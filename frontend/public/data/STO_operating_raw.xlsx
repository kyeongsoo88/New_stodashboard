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0401\Desktop\"/>
    </mc:Choice>
  </mc:AlternateContent>
  <xr:revisionPtr revIDLastSave="0" documentId="8_{06243CA4-CB71-4131-9288-578119C5E0EA}" xr6:coauthVersionLast="47" xr6:coauthVersionMax="47" xr10:uidLastSave="{00000000-0000-0000-0000-000000000000}"/>
  <bookViews>
    <workbookView xWindow="-120" yWindow="-120" windowWidth="29040" windowHeight="15720" xr2:uid="{AAC4B04E-E878-46F3-94A4-A22FC6876BB4}"/>
  </bookViews>
  <sheets>
    <sheet name="Raw Data 57-69" sheetId="1" r:id="rId1"/>
  </sheets>
  <externalReferences>
    <externalReference r:id="rId2"/>
  </externalReferences>
  <definedNames>
    <definedName name="_" hidden="1">#REF!</definedName>
    <definedName name="_?">#REF!</definedName>
    <definedName name="_?0_F" hidden="1">#REF!</definedName>
    <definedName name="_?춑_TOTAL">#REF!</definedName>
    <definedName name="_?춮t2">#REF!</definedName>
    <definedName name="_?춮ta">#REF!</definedName>
    <definedName name="_?춮tb">#REF!</definedName>
    <definedName name="__">#REF!</definedName>
    <definedName name="__?">#REF!</definedName>
    <definedName name="__?춑_TOTAL">#REF!</definedName>
    <definedName name="__?춮t2">#REF!</definedName>
    <definedName name="__?춮ta">#REF!</definedName>
    <definedName name="__?춮tb">#REF!</definedName>
    <definedName name="___">#REF!</definedName>
    <definedName name="___?">#REF!</definedName>
    <definedName name="___?춑_TOTAL">#REF!</definedName>
    <definedName name="____">#REF!</definedName>
    <definedName name="____?">#REF!</definedName>
    <definedName name="____?춑_TOTAL">#REF!</definedName>
    <definedName name="____?춮t2">#REF!</definedName>
    <definedName name="____?춮ta">#REF!</definedName>
    <definedName name="____?춮tb">#REF!</definedName>
    <definedName name="_____">#REF!</definedName>
    <definedName name="_____?">#REF!</definedName>
    <definedName name="_____?춑_TOTAL">#REF!</definedName>
    <definedName name="______">#REF!</definedName>
    <definedName name="______?">#REF!</definedName>
    <definedName name="______?춑_TOTAL">#REF!</definedName>
    <definedName name="_______">#REF!</definedName>
    <definedName name="_______?">#REF!</definedName>
    <definedName name="_______?춑_TOTAL">#REF!</definedName>
    <definedName name="________">#REF!</definedName>
    <definedName name="________?">#REF!</definedName>
    <definedName name="________?춑_TOTAL">#REF!</definedName>
    <definedName name="_________">#REF!</definedName>
    <definedName name="_________?">#REF!</definedName>
    <definedName name="_________?춑_TOTAL">#REF!</definedName>
    <definedName name="__________">#REF!</definedName>
    <definedName name="__________?">#REF!</definedName>
    <definedName name="__________?춑_TOTAL">#REF!</definedName>
    <definedName name="___________">#REF!</definedName>
    <definedName name="___________?">#REF!</definedName>
    <definedName name="___________?춑_TOTAL">#REF!</definedName>
    <definedName name="____________?">#REF!</definedName>
    <definedName name="____________?춑_TOTAL">#REF!</definedName>
    <definedName name="_____________?">#REF!</definedName>
    <definedName name="_________________________TRT11" hidden="1">{#N/A,#N/A,FALSE,"표지";#N/A,#N/A,FALSE,"전제";#N/A,#N/A,FALSE,"손익-자 (2)";#N/A,#N/A,FALSE,"손익-자";#N/A,#N/A,FALSE,"손익-마 (2)";#N/A,#N/A,FALSE,"손익-마";#N/A,#N/A,FALSE,"총손최종"}</definedName>
    <definedName name="_______________________TRT11" hidden="1">{#N/A,#N/A,FALSE,"표지";#N/A,#N/A,FALSE,"전제";#N/A,#N/A,FALSE,"손익-자 (2)";#N/A,#N/A,FALSE,"손익-자";#N/A,#N/A,FALSE,"손익-마 (2)";#N/A,#N/A,FALSE,"손익-마";#N/A,#N/A,FALSE,"총손최종"}</definedName>
    <definedName name="______________________TRT11" hidden="1">{#N/A,#N/A,FALSE,"표지";#N/A,#N/A,FALSE,"전제";#N/A,#N/A,FALSE,"손익-자 (2)";#N/A,#N/A,FALSE,"손익-자";#N/A,#N/A,FALSE,"손익-마 (2)";#N/A,#N/A,FALSE,"손익-마";#N/A,#N/A,FALSE,"총손최종"}</definedName>
    <definedName name="_____________________TRT11" hidden="1">{#N/A,#N/A,FALSE,"표지";#N/A,#N/A,FALSE,"전제";#N/A,#N/A,FALSE,"손익-자 (2)";#N/A,#N/A,FALSE,"손익-자";#N/A,#N/A,FALSE,"손익-마 (2)";#N/A,#N/A,FALSE,"손익-마";#N/A,#N/A,FALSE,"총손최종"}</definedName>
    <definedName name="____________________C332897">#REF!</definedName>
    <definedName name="____________________E65954">#REF!</definedName>
    <definedName name="____________________TRT11" hidden="1">{#N/A,#N/A,FALSE,"표지";#N/A,#N/A,FALSE,"전제";#N/A,#N/A,FALSE,"손익-자 (2)";#N/A,#N/A,FALSE,"손익-자";#N/A,#N/A,FALSE,"손익-마 (2)";#N/A,#N/A,FALSE,"손익-마";#N/A,#N/A,FALSE,"총손최종"}</definedName>
    <definedName name="___________________C332897">#REF!</definedName>
    <definedName name="___________________E65954">#REF!</definedName>
    <definedName name="___________________TRT11" hidden="1">{#N/A,#N/A,FALSE,"표지";#N/A,#N/A,FALSE,"전제";#N/A,#N/A,FALSE,"손익-자 (2)";#N/A,#N/A,FALSE,"손익-자";#N/A,#N/A,FALSE,"손익-마 (2)";#N/A,#N/A,FALSE,"손익-마";#N/A,#N/A,FALSE,"총손최종"}</definedName>
    <definedName name="__________________C332897">#REF!</definedName>
    <definedName name="__________________E65954">#REF!</definedName>
    <definedName name="__________________TRT11" hidden="1">{#N/A,#N/A,FALSE,"표지";#N/A,#N/A,FALSE,"전제";#N/A,#N/A,FALSE,"손익-자 (2)";#N/A,#N/A,FALSE,"손익-자";#N/A,#N/A,FALSE,"손익-마 (2)";#N/A,#N/A,FALSE,"손익-마";#N/A,#N/A,FALSE,"총손최종"}</definedName>
    <definedName name="_________________C332897">#REF!</definedName>
    <definedName name="_________________E65954">#REF!</definedName>
    <definedName name="_________________TRT11" hidden="1">{#N/A,#N/A,FALSE,"표지";#N/A,#N/A,FALSE,"전제";#N/A,#N/A,FALSE,"손익-자 (2)";#N/A,#N/A,FALSE,"손익-자";#N/A,#N/A,FALSE,"손익-마 (2)";#N/A,#N/A,FALSE,"손익-마";#N/A,#N/A,FALSE,"총손최종"}</definedName>
    <definedName name="________________C332897">#REF!</definedName>
    <definedName name="________________E65954">#REF!</definedName>
    <definedName name="________________TRT11" hidden="1">{#N/A,#N/A,FALSE,"표지";#N/A,#N/A,FALSE,"전제";#N/A,#N/A,FALSE,"손익-자 (2)";#N/A,#N/A,FALSE,"손익-자";#N/A,#N/A,FALSE,"손익-마 (2)";#N/A,#N/A,FALSE,"손익-마";#N/A,#N/A,FALSE,"총손최종"}</definedName>
    <definedName name="_______________C332897">#REF!</definedName>
    <definedName name="_______________E65954">#REF!</definedName>
    <definedName name="_______________TRT11" hidden="1">{#N/A,#N/A,FALSE,"표지";#N/A,#N/A,FALSE,"전제";#N/A,#N/A,FALSE,"손익-자 (2)";#N/A,#N/A,FALSE,"손익-자";#N/A,#N/A,FALSE,"손익-마 (2)";#N/A,#N/A,FALSE,"손익-마";#N/A,#N/A,FALSE,"총손최종"}</definedName>
    <definedName name="______________C332897">#REF!</definedName>
    <definedName name="______________E65954">#REF!</definedName>
    <definedName name="______________TRT11" hidden="1">{#N/A,#N/A,FALSE,"표지";#N/A,#N/A,FALSE,"전제";#N/A,#N/A,FALSE,"손익-자 (2)";#N/A,#N/A,FALSE,"손익-자";#N/A,#N/A,FALSE,"손익-마 (2)";#N/A,#N/A,FALSE,"손익-마";#N/A,#N/A,FALSE,"총손최종"}</definedName>
    <definedName name="_____________Ａ４">#REF!</definedName>
    <definedName name="_____________C1244ㅁ1430">#REF!</definedName>
    <definedName name="_____________C332897">#REF!</definedName>
    <definedName name="_____________E65954">#REF!</definedName>
    <definedName name="_____________KD1">#REF!</definedName>
    <definedName name="_____________kz1" hidden="1">#REF!</definedName>
    <definedName name="_____________kz2" hidden="1">#REF!</definedName>
    <definedName name="_____________kz3" hidden="1">#REF!</definedName>
    <definedName name="_____________kz4" hidden="1">#REF!</definedName>
    <definedName name="_____________kz5" hidden="1">#REF!</definedName>
    <definedName name="_____________kz6" hidden="1">#REF!</definedName>
    <definedName name="_____________kz7" hidden="1">#REF!</definedName>
    <definedName name="_____________kz8" hidden="1">#REF!</definedName>
    <definedName name="_____________TRT11" hidden="1">{#N/A,#N/A,FALSE,"표지";#N/A,#N/A,FALSE,"전제";#N/A,#N/A,FALSE,"손익-자 (2)";#N/A,#N/A,FALSE,"손익-자";#N/A,#N/A,FALSE,"손익-마 (2)";#N/A,#N/A,FALSE,"손익-마";#N/A,#N/A,FALSE,"총손최종"}</definedName>
    <definedName name="____________Ａ４">#REF!</definedName>
    <definedName name="____________C1244ㅁ1430">#REF!</definedName>
    <definedName name="____________C332897">#REF!</definedName>
    <definedName name="____________E65954">#REF!</definedName>
    <definedName name="____________KD1">#REF!</definedName>
    <definedName name="____________kz1" hidden="1">#REF!</definedName>
    <definedName name="____________kz2" hidden="1">#REF!</definedName>
    <definedName name="____________kz3" hidden="1">#REF!</definedName>
    <definedName name="____________kz4" hidden="1">#REF!</definedName>
    <definedName name="____________kz5" hidden="1">#REF!</definedName>
    <definedName name="____________kz6" hidden="1">#REF!</definedName>
    <definedName name="____________kz7" hidden="1">#REF!</definedName>
    <definedName name="____________kz8" hidden="1">#REF!</definedName>
    <definedName name="____________TRT11" hidden="1">{#N/A,#N/A,FALSE,"표지";#N/A,#N/A,FALSE,"전제";#N/A,#N/A,FALSE,"손익-자 (2)";#N/A,#N/A,FALSE,"손익-자";#N/A,#N/A,FALSE,"손익-마 (2)";#N/A,#N/A,FALSE,"손익-마";#N/A,#N/A,FALSE,"총손최종"}</definedName>
    <definedName name="___________Ａ４">#REF!</definedName>
    <definedName name="___________C1244ㅁ1430">#REF!</definedName>
    <definedName name="___________C332897">#REF!</definedName>
    <definedName name="___________E65954">#REF!</definedName>
    <definedName name="___________KD1">#REF!</definedName>
    <definedName name="___________kz1" hidden="1">#REF!</definedName>
    <definedName name="___________kz2" hidden="1">#REF!</definedName>
    <definedName name="___________kz3" hidden="1">#REF!</definedName>
    <definedName name="___________kz4" hidden="1">#REF!</definedName>
    <definedName name="___________kz5" hidden="1">#REF!</definedName>
    <definedName name="___________kz6" hidden="1">#REF!</definedName>
    <definedName name="___________kz7" hidden="1">#REF!</definedName>
    <definedName name="___________kz8" hidden="1">#REF!</definedName>
    <definedName name="___________TRT11" hidden="1">{#N/A,#N/A,FALSE,"표지";#N/A,#N/A,FALSE,"전제";#N/A,#N/A,FALSE,"손익-자 (2)";#N/A,#N/A,FALSE,"손익-자";#N/A,#N/A,FALSE,"손익-마 (2)";#N/A,#N/A,FALSE,"손익-마";#N/A,#N/A,FALSE,"총손최종"}</definedName>
    <definedName name="__________Ａ４">#REF!</definedName>
    <definedName name="__________C1244ㅁ1430">#REF!</definedName>
    <definedName name="__________C332897">#REF!</definedName>
    <definedName name="__________E65954">#REF!</definedName>
    <definedName name="__________KD1">#REF!</definedName>
    <definedName name="__________kz1" hidden="1">#REF!</definedName>
    <definedName name="__________kz2" hidden="1">#REF!</definedName>
    <definedName name="__________kz3" hidden="1">#REF!</definedName>
    <definedName name="__________kz4" hidden="1">#REF!</definedName>
    <definedName name="__________kz5" hidden="1">#REF!</definedName>
    <definedName name="__________kz6" hidden="1">#REF!</definedName>
    <definedName name="__________kz7" hidden="1">#REF!</definedName>
    <definedName name="__________kz8" hidden="1">#REF!</definedName>
    <definedName name="__________TRT11" hidden="1">{#N/A,#N/A,FALSE,"표지";#N/A,#N/A,FALSE,"전제";#N/A,#N/A,FALSE,"손익-자 (2)";#N/A,#N/A,FALSE,"손익-자";#N/A,#N/A,FALSE,"손익-마 (2)";#N/A,#N/A,FALSE,"손익-마";#N/A,#N/A,FALSE,"총손최종"}</definedName>
    <definedName name="_________Ａ４">#REF!</definedName>
    <definedName name="_________C1244ㅁ1430">#REF!</definedName>
    <definedName name="_________C332897">#REF!</definedName>
    <definedName name="_________E65954">#REF!</definedName>
    <definedName name="_________KD1">#REF!</definedName>
    <definedName name="_________kz1" hidden="1">#REF!</definedName>
    <definedName name="_________kz2" hidden="1">#REF!</definedName>
    <definedName name="_________kz3" hidden="1">#REF!</definedName>
    <definedName name="_________kz4" hidden="1">#REF!</definedName>
    <definedName name="_________kz5" hidden="1">#REF!</definedName>
    <definedName name="_________kz6" hidden="1">#REF!</definedName>
    <definedName name="_________kz7" hidden="1">#REF!</definedName>
    <definedName name="_________kz8" hidden="1">#REF!</definedName>
    <definedName name="_________TRT11" hidden="1">{#N/A,#N/A,FALSE,"표지";#N/A,#N/A,FALSE,"전제";#N/A,#N/A,FALSE,"손익-자 (2)";#N/A,#N/A,FALSE,"손익-자";#N/A,#N/A,FALSE,"손익-마 (2)";#N/A,#N/A,FALSE,"손익-마";#N/A,#N/A,FALSE,"총손최종"}</definedName>
    <definedName name="________Ａ４">#REF!</definedName>
    <definedName name="________C1244ㅁ1430">#REF!</definedName>
    <definedName name="________C332897">#REF!</definedName>
    <definedName name="________E65954">#REF!</definedName>
    <definedName name="________KD1">#REF!</definedName>
    <definedName name="________kz1" hidden="1">#REF!</definedName>
    <definedName name="________kz2" hidden="1">#REF!</definedName>
    <definedName name="________kz3" hidden="1">#REF!</definedName>
    <definedName name="________kz4" hidden="1">#REF!</definedName>
    <definedName name="________kz5" hidden="1">#REF!</definedName>
    <definedName name="________kz6" hidden="1">#REF!</definedName>
    <definedName name="________kz7" hidden="1">#REF!</definedName>
    <definedName name="________kz8" hidden="1">#REF!</definedName>
    <definedName name="________TRT11" hidden="1">{#N/A,#N/A,FALSE,"표지";#N/A,#N/A,FALSE,"전제";#N/A,#N/A,FALSE,"손익-자 (2)";#N/A,#N/A,FALSE,"손익-자";#N/A,#N/A,FALSE,"손익-마 (2)";#N/A,#N/A,FALSE,"손익-마";#N/A,#N/A,FALSE,"총손최종"}</definedName>
    <definedName name="_______A19999">#REF!</definedName>
    <definedName name="_______A20000">#REF!</definedName>
    <definedName name="_______Ａ４">#REF!</definedName>
    <definedName name="_______A99999">#REF!</definedName>
    <definedName name="_______C1244ㅁ1430">#REF!</definedName>
    <definedName name="_______C332897">#REF!</definedName>
    <definedName name="_______E65954">#REF!</definedName>
    <definedName name="_______KD1">#REF!</definedName>
    <definedName name="_______kz1" hidden="1">#REF!</definedName>
    <definedName name="_______kz2" hidden="1">#REF!</definedName>
    <definedName name="_______kz3" hidden="1">#REF!</definedName>
    <definedName name="_______kz4" hidden="1">#REF!</definedName>
    <definedName name="_______kz5" hidden="1">#REF!</definedName>
    <definedName name="_______kz6" hidden="1">#REF!</definedName>
    <definedName name="_______kz7" hidden="1">#REF!</definedName>
    <definedName name="_______kz8" hidden="1">#REF!</definedName>
    <definedName name="_______TRT11" hidden="1">{#N/A,#N/A,FALSE,"표지";#N/A,#N/A,FALSE,"전제";#N/A,#N/A,FALSE,"손익-자 (2)";#N/A,#N/A,FALSE,"손익-자";#N/A,#N/A,FALSE,"손익-마 (2)";#N/A,#N/A,FALSE,"손익-마";#N/A,#N/A,FALSE,"총손최종"}</definedName>
    <definedName name="_______ZZ16384">#REF!</definedName>
    <definedName name="______Ａ４">#REF!</definedName>
    <definedName name="______C1244ㅁ1430">#REF!</definedName>
    <definedName name="______C332897">#REF!</definedName>
    <definedName name="______E65954">#REF!</definedName>
    <definedName name="______KD1">#REF!</definedName>
    <definedName name="______kz1" hidden="1">#REF!</definedName>
    <definedName name="______kz2" hidden="1">#REF!</definedName>
    <definedName name="______kz3" hidden="1">#REF!</definedName>
    <definedName name="______kz4" hidden="1">#REF!</definedName>
    <definedName name="______kz5" hidden="1">#REF!</definedName>
    <definedName name="______kz6" hidden="1">#REF!</definedName>
    <definedName name="______kz7" hidden="1">#REF!</definedName>
    <definedName name="______kz8" hidden="1">#REF!</definedName>
    <definedName name="______R3_t">#N/A</definedName>
    <definedName name="______R3_t1">#N/A</definedName>
    <definedName name="______TRT11" hidden="1">{#N/A,#N/A,FALSE,"표지";#N/A,#N/A,FALSE,"전제";#N/A,#N/A,FALSE,"손익-자 (2)";#N/A,#N/A,FALSE,"손익-자";#N/A,#N/A,FALSE,"손익-마 (2)";#N/A,#N/A,FALSE,"손익-마";#N/A,#N/A,FALSE,"총손최종"}</definedName>
    <definedName name="_____Ａ４">#REF!</definedName>
    <definedName name="_____A99999">#REF!</definedName>
    <definedName name="_____C1244ㅁ1430">#REF!</definedName>
    <definedName name="_____C332897">#REF!</definedName>
    <definedName name="_____E65954">#REF!</definedName>
    <definedName name="_____KD1">#REF!</definedName>
    <definedName name="_____kz1" hidden="1">#REF!</definedName>
    <definedName name="_____kz2" hidden="1">#REF!</definedName>
    <definedName name="_____kz3" hidden="1">#REF!</definedName>
    <definedName name="_____kz4" hidden="1">#REF!</definedName>
    <definedName name="_____kz5" hidden="1">#REF!</definedName>
    <definedName name="_____kz6" hidden="1">#REF!</definedName>
    <definedName name="_____kz7" hidden="1">#REF!</definedName>
    <definedName name="_____kz8" hidden="1">#REF!</definedName>
    <definedName name="_____TRT11" hidden="1">{#N/A,#N/A,FALSE,"표지";#N/A,#N/A,FALSE,"전제";#N/A,#N/A,FALSE,"손익-자 (2)";#N/A,#N/A,FALSE,"손익-자";#N/A,#N/A,FALSE,"손익-마 (2)";#N/A,#N/A,FALSE,"손익-마";#N/A,#N/A,FALSE,"총손최종"}</definedName>
    <definedName name="_____ZZ16384">#REF!</definedName>
    <definedName name="____A19999">#REF!</definedName>
    <definedName name="____A20000">#REF!</definedName>
    <definedName name="____Ａ４">#REF!</definedName>
    <definedName name="____A99999">#REF!</definedName>
    <definedName name="____C1244ㅁ1430">#REF!</definedName>
    <definedName name="____C332897">#REF!</definedName>
    <definedName name="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E65954">#REF!</definedName>
    <definedName name="____GEL10">#REF!</definedName>
    <definedName name="____GG1">#REF!</definedName>
    <definedName name="____GTE10">#REF!</definedName>
    <definedName name="____INT2" hidden="1">{#N/A,#N/A,TRUE,"일정"}</definedName>
    <definedName name="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KD1">#REF!</definedName>
    <definedName name="____kz1" hidden="1">#REF!</definedName>
    <definedName name="____kz2" hidden="1">#REF!</definedName>
    <definedName name="____kz3" hidden="1">#REF!</definedName>
    <definedName name="____kz4" hidden="1">#REF!</definedName>
    <definedName name="____kz5" hidden="1">#REF!</definedName>
    <definedName name="____kz6" hidden="1">#REF!</definedName>
    <definedName name="____kz7" hidden="1">#REF!</definedName>
    <definedName name="____kz8" hidden="1">#REF!</definedName>
    <definedName name="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ir1" hidden="1">{#N/A,#N/A,TRUE,"일정"}</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RT11" hidden="1">{#N/A,#N/A,FALSE,"표지";#N/A,#N/A,FALSE,"전제";#N/A,#N/A,FALSE,"손익-자 (2)";#N/A,#N/A,FALSE,"손익-자";#N/A,#N/A,FALSE,"손익-마 (2)";#N/A,#N/A,FALSE,"손익-마";#N/A,#N/A,FALSE,"총손최종"}</definedName>
    <definedName name="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ZZ16384">#REF!</definedName>
    <definedName name="___A19999">#REF!</definedName>
    <definedName name="___A20000">#REF!</definedName>
    <definedName name="___A3" hidden="1">{#N/A,#N/A,FALSE,"단축1";#N/A,#N/A,FALSE,"단축2";#N/A,#N/A,FALSE,"단축3";#N/A,#N/A,FALSE,"장축";#N/A,#N/A,FALSE,"4WD"}</definedName>
    <definedName name="___Ａ４">#REF!</definedName>
    <definedName name="___A99999">#REF!</definedName>
    <definedName name="___C1244ㅁ1430">#REF!</definedName>
    <definedName name="___C332897">#REF!</definedName>
    <definedName name="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E65954">#REF!</definedName>
    <definedName name="___gap1">#REF!,#REF!</definedName>
    <definedName name="___GEL10">#REF!</definedName>
    <definedName name="___GTE10">#REF!</definedName>
    <definedName name="___INT2" hidden="1">{#N/A,#N/A,TRUE,"일정"}</definedName>
    <definedName name="___IRR2" hidden="1">#REF!</definedName>
    <definedName name="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KD1">#REF!</definedName>
    <definedName name="___kz1" hidden="1">#REF!</definedName>
    <definedName name="___kz2" hidden="1">#REF!</definedName>
    <definedName name="___kz3" hidden="1">#REF!</definedName>
    <definedName name="___kz4" hidden="1">#REF!</definedName>
    <definedName name="___kz5" hidden="1">#REF!</definedName>
    <definedName name="___kz6" hidden="1">#REF!</definedName>
    <definedName name="___kz7" hidden="1">#REF!</definedName>
    <definedName name="___kz8" hidden="1">#REF!</definedName>
    <definedName name="___P2" hidden="1">{#N/A,#N/A,FALSE,"단축1";#N/A,#N/A,FALSE,"단축2";#N/A,#N/A,FALSE,"단축3";#N/A,#N/A,FALSE,"장축";#N/A,#N/A,FALSE,"4WD"}</definedName>
    <definedName name="___PL7" hidden="1">{#N/A,#N/A,TRUE,"대 차 대 조 표"}</definedName>
    <definedName name="___SCF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sck1" hidden="1">{#N/A,#N/A,FALSE,"BS";#N/A,#N/A,FALSE,"PL";#N/A,#N/A,FALSE,"A";#N/A,#N/A,FALSE,"B";#N/A,#N/A,FALSE,"B1";#N/A,#N/A,FALSE,"C";#N/A,#N/A,FALSE,"C1";#N/A,#N/A,FALSE,"C2";#N/A,#N/A,FALSE,"D";#N/A,#N/A,FALSE,"E";#N/A,#N/A,FALSE,"F";#N/A,#N/A,FALSE,"AA";#N/A,#N/A,FALSE,"BB";#N/A,#N/A,FALSE,"CC";#N/A,#N/A,FALSE,"DD";#N/A,#N/A,FALSE,"EE";#N/A,#N/A,FALSE,"FF";#N/A,#N/A,FALSE,"PL10";#N/A,#N/A,FALSE,"PL20";#N/A,#N/A,FALSE,"PL30"}</definedName>
    <definedName name="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UM1" hidden="1">{#N/A,#N/A,FALSE,"단축1";#N/A,#N/A,FALSE,"단축2";#N/A,#N/A,FALSE,"단축3";#N/A,#N/A,FALSE,"장축";#N/A,#N/A,FALSE,"4WD"}</definedName>
    <definedName name="___T2" hidden="1">{#N/A,#N/A,FALSE,"단축1";#N/A,#N/A,FALSE,"단축2";#N/A,#N/A,FALSE,"단축3";#N/A,#N/A,FALSE,"장축";#N/A,#N/A,FALSE,"4WD"}</definedName>
    <definedName name="___T3" hidden="1">{#N/A,#N/A,FALSE,"단축1";#N/A,#N/A,FALSE,"단축2";#N/A,#N/A,FALSE,"단축3";#N/A,#N/A,FALSE,"장축";#N/A,#N/A,FALSE,"4WD"}</definedName>
    <definedName name="___T5" hidden="1">{#N/A,#N/A,FALSE,"단축1";#N/A,#N/A,FALSE,"단축2";#N/A,#N/A,FALSE,"단축3";#N/A,#N/A,FALSE,"장축";#N/A,#N/A,FALSE,"4WD"}</definedName>
    <definedName name="___Tir1" hidden="1">{#N/A,#N/A,TRUE,"일정"}</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RT11" hidden="1">{#N/A,#N/A,FALSE,"표지";#N/A,#N/A,FALSE,"전제";#N/A,#N/A,FALSE,"손익-자 (2)";#N/A,#N/A,FALSE,"손익-자";#N/A,#N/A,FALSE,"손익-마 (2)";#N/A,#N/A,FALSE,"손익-마";#N/A,#N/A,FALSE,"총손최종"}</definedName>
    <definedName name="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ZZ16384">#REF!</definedName>
    <definedName name="__0">#REF!</definedName>
    <definedName name="__01">#REF!</definedName>
    <definedName name="__02">#REF!</definedName>
    <definedName name="__03">#REF!</definedName>
    <definedName name="__04">#REF!</definedName>
    <definedName name="__05">#REF!</definedName>
    <definedName name="__06">#REF!</definedName>
    <definedName name="__1_?">#REF!</definedName>
    <definedName name="__123Graph_A" hidden="1">#REF!</definedName>
    <definedName name="__123Graph_B" hidden="1">#REF!</definedName>
    <definedName name="__123Graph_C" hidden="1">#REF!</definedName>
    <definedName name="__123Graph_D" hidden="1">#REF!</definedName>
    <definedName name="__123Graph_F" hidden="1">#REF!</definedName>
    <definedName name="__123Graph_LBL_A" hidden="1">#REF!</definedName>
    <definedName name="__123Graph_LBL_B" hidden="1">#REF!</definedName>
    <definedName name="__123Graph_X" hidden="1">#REF!</definedName>
    <definedName name="__2_?춑_TOTAL">#REF!</definedName>
    <definedName name="__3_0_0SANGD">#REF!</definedName>
    <definedName name="__4Ａ４_">#REF!</definedName>
    <definedName name="__5SANGD">#REF!</definedName>
    <definedName name="__A19999">#N/A</definedName>
    <definedName name="__A20000">#N/A</definedName>
    <definedName name="__A3" hidden="1">{#N/A,#N/A,FALSE,"단축1";#N/A,#N/A,FALSE,"단축2";#N/A,#N/A,FALSE,"단축3";#N/A,#N/A,FALSE,"장축";#N/A,#N/A,FALSE,"4WD"}</definedName>
    <definedName name="__Ａ４">#REF!</definedName>
    <definedName name="__A99999">#REF!</definedName>
    <definedName name="__aaa2" hidden="1">{#N/A,#N/A,FALSE,"Aging Summary";#N/A,#N/A,FALSE,"Ratio Analysis";#N/A,#N/A,FALSE,"Test 120 Day Accts";#N/A,#N/A,FALSE,"Tickmarks"}</definedName>
    <definedName name="__Bp2" hidden="1">{#N/A,#N/A,FALSE,"BS";#N/A,#N/A,FALSE,"PL";#N/A,#N/A,FALSE,"처분";#N/A,#N/A,FALSE,"현금";#N/A,#N/A,FALSE,"매출";#N/A,#N/A,FALSE,"원가";#N/A,#N/A,FALSE,"경영"}</definedName>
    <definedName name="__C1244ㅁ1430">#REF!</definedName>
    <definedName name="__C332897">#REF!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33">#REF!</definedName>
    <definedName name="__DAT34">#REF!</definedName>
    <definedName name="__DAT35">#REF!</definedName>
    <definedName name="__DAT36">#REF!</definedName>
    <definedName name="__DAT37">#REF!</definedName>
    <definedName name="__DAT38">#REF!</definedName>
    <definedName name="__DAT39">#REF!</definedName>
    <definedName name="__DAT4">#REF!</definedName>
    <definedName name="__DAT40">#REF!</definedName>
    <definedName name="__DAT41">#REF!</definedName>
    <definedName name="__DAT5">#REF!</definedName>
    <definedName name="__DAT6">#REF!</definedName>
    <definedName name="__DAT7">#REF!</definedName>
    <definedName name="__DAT8">#REF!</definedName>
    <definedName name="__DAT9">#REF!</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emandLoad">TRUE</definedName>
    <definedName name="__DIR1">#REF!</definedName>
    <definedName name="__DIR2">#REF!</definedName>
    <definedName name="__DR1" hidden="1">{#N/A,#N/A,FALSE,"업체선정";#N/A,#N/A,FALSE,"업체선정sheet";#N/A,#N/A,FALSE,"업체실태";#N/A,#N/A,FALSE,"업체실태(1)";#N/A,#N/A,FALSE,"종업원현황(2)";#N/A,#N/A,FALSE,"생산품목(3)";#N/A,#N/A,FALSE,"장비보유현황";#N/A,#N/A,FALSE,"차량및약도";#N/A,#N/A,FALSE,"금형LIST"}</definedName>
    <definedName name="__E65954">#REF!</definedName>
    <definedName name="__Exp97">#REF!</definedName>
    <definedName name="__FDS_HYPERLINK_TOGGLE_STATE__" hidden="1">"ON"</definedName>
    <definedName name="__FDS_UNIQUE_RANGE_ID_GENERATOR_COUNTER" hidden="1">3</definedName>
    <definedName name="__gap1">#REF!,#REF!</definedName>
    <definedName name="__GEL10">#REF!</definedName>
    <definedName name="__GG1">#REF!</definedName>
    <definedName name="__GTE10">#REF!</definedName>
    <definedName name="__INT2" hidden="1">{#N/A,#N/A,TRUE,"일정"}</definedName>
    <definedName name="__IntlFixup" hidden="1">TRUE</definedName>
    <definedName name="__IRR2" hidden="1">#REF!</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D1">#REF!</definedName>
    <definedName name="__kz4" hidden="1">#REF!</definedName>
    <definedName name="__kz5" hidden="1">#REF!</definedName>
    <definedName name="__kz6" hidden="1">#REF!</definedName>
    <definedName name="__kz7" hidden="1">#REF!</definedName>
    <definedName name="__kz8" hidden="1">#REF!</definedName>
    <definedName name="__lbg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__LG2" hidden="1">{#N/A,#N/A,TRUE,"매출진척-1";#N/A,#N/A,TRUE,"매출진척-2";#N/A,#N/A,TRUE,"제품실적";#N/A,#N/A,TRUE,"RAC";#N/A,#N/A,TRUE,"PAC ";#N/A,#N/A,TRUE,"재고현황";#N/A,#N/A,TRUE,"공지사항"}</definedName>
    <definedName name="__p1">#REF!</definedName>
    <definedName name="__P2" hidden="1">{#N/A,#N/A,FALSE,"단축1";#N/A,#N/A,FALSE,"단축2";#N/A,#N/A,FALSE,"단축3";#N/A,#N/A,FALSE,"장축";#N/A,#N/A,FALSE,"4WD"}</definedName>
    <definedName name="__pl0201">#REF!</definedName>
    <definedName name="__pl0202">#REF!</definedName>
    <definedName name="__pl0203">#REF!</definedName>
    <definedName name="__pl0204">#REF!</definedName>
    <definedName name="__pl0205">#REF!</definedName>
    <definedName name="__pl0206">#REF!</definedName>
    <definedName name="__pl0207">#REF!</definedName>
    <definedName name="__pl0208">#REF!</definedName>
    <definedName name="__pl0209">#REF!</definedName>
    <definedName name="__pl0210">#REF!</definedName>
    <definedName name="__PL7" hidden="1">{#N/A,#N/A,TRUE,"대 차 대 조 표"}</definedName>
    <definedName name="__SA1">#REF!</definedName>
    <definedName name="__SCF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sck1" hidden="1">{#N/A,#N/A,FALSE,"BS";#N/A,#N/A,FALSE,"PL";#N/A,#N/A,FALSE,"A";#N/A,#N/A,FALSE,"B";#N/A,#N/A,FALSE,"B1";#N/A,#N/A,FALSE,"C";#N/A,#N/A,FALSE,"C1";#N/A,#N/A,FALSE,"C2";#N/A,#N/A,FALSE,"D";#N/A,#N/A,FALSE,"E";#N/A,#N/A,FALSE,"F";#N/A,#N/A,FALSE,"AA";#N/A,#N/A,FALSE,"BB";#N/A,#N/A,FALSE,"CC";#N/A,#N/A,FALSE,"DD";#N/A,#N/A,FALSE,"EE";#N/A,#N/A,FALSE,"FF";#N/A,#N/A,FALSE,"PL10";#N/A,#N/A,FALSE,"PL20";#N/A,#N/A,FALSE,"PL30"}</definedName>
    <definedName name="__SHR1">#REF!</definedName>
    <definedName name="__SHR2">#REF!</definedName>
    <definedName name="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UM1"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B111">#REF!</definedName>
    <definedName name="__TB112">#REF!</definedName>
    <definedName name="__TB113">#REF!</definedName>
    <definedName name="__TB114">#REF!</definedName>
    <definedName name="__TB115">#REF!</definedName>
    <definedName name="__TB116">#REF!</definedName>
    <definedName name="__TB117">#REF!</definedName>
    <definedName name="__TB121">#REF!</definedName>
    <definedName name="__TB122">#REF!</definedName>
    <definedName name="__TB123">#REF!</definedName>
    <definedName name="__TB124">#REF!</definedName>
    <definedName name="__TB125">#REF!</definedName>
    <definedName name="__TB126">#REF!</definedName>
    <definedName name="__TB131">#REF!</definedName>
    <definedName name="__TB132">#REF!</definedName>
    <definedName name="__TB211">#REF!</definedName>
    <definedName name="__TB212">#REF!</definedName>
    <definedName name="__TB213">#REF!</definedName>
    <definedName name="__TB214">#REF!</definedName>
    <definedName name="__TB215">#REF!</definedName>
    <definedName name="__TB221">#REF!</definedName>
    <definedName name="__TB2210">#REF!</definedName>
    <definedName name="__TB222">#REF!</definedName>
    <definedName name="__TB223">#REF!</definedName>
    <definedName name="__TB224">#REF!</definedName>
    <definedName name="__TB225">#REF!</definedName>
    <definedName name="__TB226">#REF!</definedName>
    <definedName name="__TB227">#REF!</definedName>
    <definedName name="__TB228">#REF!</definedName>
    <definedName name="__TB229">#REF!</definedName>
    <definedName name="__TB311">#REF!</definedName>
    <definedName name="__TB312">#REF!</definedName>
    <definedName name="__TB313">#REF!</definedName>
    <definedName name="__TB314">#REF!</definedName>
    <definedName name="__TB315">#REF!</definedName>
    <definedName name="__TB316">#REF!</definedName>
    <definedName name="__TB317">#REF!</definedName>
    <definedName name="__TB318">#REF!</definedName>
    <definedName name="__TB319">#REF!</definedName>
    <definedName name="__TB321">#REF!</definedName>
    <definedName name="__TB322">#REF!</definedName>
    <definedName name="__TB323">#REF!</definedName>
    <definedName name="__TB324">#REF!</definedName>
    <definedName name="__TB325">#REF!</definedName>
    <definedName name="__TB401">#REF!</definedName>
    <definedName name="__TB402">#REF!</definedName>
    <definedName name="__TB403">#REF!</definedName>
    <definedName name="__TB404">#REF!</definedName>
    <definedName name="__TB405">#REF!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0">#REF!</definedName>
    <definedName name="__TB511">#REF!</definedName>
    <definedName name="__TB512">#REF!</definedName>
    <definedName name="__TB513">#REF!</definedName>
    <definedName name="__TB601">#REF!</definedName>
    <definedName name="__TB602">#REF!</definedName>
    <definedName name="__TB603">#REF!</definedName>
    <definedName name="__TB604">#REF!</definedName>
    <definedName name="__TB605">#REF!</definedName>
    <definedName name="__TB701">#REF!</definedName>
    <definedName name="__TB811">#REF!</definedName>
    <definedName name="__TB812">#REF!</definedName>
    <definedName name="__TB813">#REF!</definedName>
    <definedName name="__TB814">#REF!</definedName>
    <definedName name="__TB820">#REF!</definedName>
    <definedName name="__TB902">#REF!</definedName>
    <definedName name="__TB903">#REF!</definedName>
    <definedName name="__TB904">#REF!</definedName>
    <definedName name="__TBI1001">#REF!</definedName>
    <definedName name="__TBI1002">#REF!</definedName>
    <definedName name="__TBI1003">#REF!</definedName>
    <definedName name="__TBI1004">#REF!</definedName>
    <definedName name="__TBI1005">#REF!</definedName>
    <definedName name="__TBI101">#REF!</definedName>
    <definedName name="__TBI102">#REF!</definedName>
    <definedName name="__TBI1100">#REF!</definedName>
    <definedName name="__TBI1200">#REF!</definedName>
    <definedName name="__TBI201">#REF!</definedName>
    <definedName name="__TBI202">#REF!</definedName>
    <definedName name="__TBI203">#REF!</definedName>
    <definedName name="__TBI401">#REF!</definedName>
    <definedName name="__TBI402">#REF!</definedName>
    <definedName name="__TBI403">#REF!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425">#REF!</definedName>
    <definedName name="__TBI601">#REF!</definedName>
    <definedName name="__TBI602">#REF!</definedName>
    <definedName name="__TBI603">#REF!</definedName>
    <definedName name="__TBI604">#REF!</definedName>
    <definedName name="__TBI605">#REF!</definedName>
    <definedName name="__TBI606">#REF!</definedName>
    <definedName name="__TBI607">#REF!</definedName>
    <definedName name="__TBI608">#REF!</definedName>
    <definedName name="__TBI609">#REF!</definedName>
    <definedName name="__TBI610">#REF!</definedName>
    <definedName name="__TBI611">#REF!</definedName>
    <definedName name="__TBI612">#REF!</definedName>
    <definedName name="__TBI613">#REF!</definedName>
    <definedName name="__TBI614">#REF!</definedName>
    <definedName name="__TBI701">#REF!</definedName>
    <definedName name="__TBI702">#REF!</definedName>
    <definedName name="__TBI703">#REF!</definedName>
    <definedName name="__TBI704">#REF!</definedName>
    <definedName name="__TBI705">#REF!</definedName>
    <definedName name="__TBI706">#REF!</definedName>
    <definedName name="__TBI707">#REF!</definedName>
    <definedName name="__TBI708">#REF!</definedName>
    <definedName name="__TBI709">#REF!</definedName>
    <definedName name="__TBI710">#REF!</definedName>
    <definedName name="__TBI711">#REF!</definedName>
    <definedName name="__TBI712">#REF!</definedName>
    <definedName name="__TBI713">#REF!</definedName>
    <definedName name="__TBI714">#REF!</definedName>
    <definedName name="__TBI715">#REF!</definedName>
    <definedName name="__TBI716">#REF!</definedName>
    <definedName name="__TBI717">#REF!</definedName>
    <definedName name="__TBI718">#REF!</definedName>
    <definedName name="__TBI719">#REF!</definedName>
    <definedName name="__TBI901">#REF!</definedName>
    <definedName name="__TBI902">#REF!</definedName>
    <definedName name="__TBI903">#REF!</definedName>
    <definedName name="__TBI904">#REF!</definedName>
    <definedName name="__TBI905">#REF!</definedName>
    <definedName name="__TBI906">#REF!</definedName>
    <definedName name="__TBI907">#REF!</definedName>
    <definedName name="__Tir1" hidden="1">{#N/A,#N/A,TRUE,"일정"}</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RT11" hidden="1">{#N/A,#N/A,FALSE,"표지";#N/A,#N/A,FALSE,"전제";#N/A,#N/A,FALSE,"손익-자 (2)";#N/A,#N/A,FALSE,"손익-자";#N/A,#N/A,FALSE,"손익-마 (2)";#N/A,#N/A,FALSE,"손익-마";#N/A,#N/A,FALSE,"총손최종"}</definedName>
    <definedName name="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wpl2" hidden="1">{#N/A,#N/A,FALSE,"Aging Summary";#N/A,#N/A,FALSE,"Ratio Analysis";#N/A,#N/A,FALSE,"Test 120 Day Accts";#N/A,#N/A,FALSE,"Tickmarks"}</definedName>
    <definedName name="__ZZ16384">#REF!</definedName>
    <definedName name="_1">#REF!</definedName>
    <definedName name="_1_">#REF!</definedName>
    <definedName name="_1_?">#REF!</definedName>
    <definedName name="_1__FDSAUDITLINK__" hidden="1">{"fdsup://directions/FAT Viewer?action=UPDATE&amp;creator=factset&amp;DYN_ARGS=TRUE&amp;DOC_NAME=FAT:FQL_AUDITING_CLIENT_TEMPLATE.FAT&amp;display_string=Audit&amp;VAR:KEY=YRERYHKTEF&amp;VAR:QUERY=RkZfRUJJVF9PUEVSKENBTCwyMDA2KQ==&amp;WINDOW=FIRST_POPUP&amp;HEIGHT=450&amp;WIDTH=450&amp;START_MAXIMI","ZED=FALSE&amp;VAR:CALENDAR=FIVEDAY&amp;VAR:SYMBOL=92839U20&amp;VAR:INDEX=0"}</definedName>
    <definedName name="_1_0">#REF!</definedName>
    <definedName name="_10">#REF!</definedName>
    <definedName name="_10_05">#REF!</definedName>
    <definedName name="_101600">#REF!</definedName>
    <definedName name="_101601">#REF!</definedName>
    <definedName name="_10A20000_">#REF!</definedName>
    <definedName name="_10SANGD">#REF!</definedName>
    <definedName name="_10T3_" hidden="1">{#N/A,#N/A,FALSE,"단축1";#N/A,#N/A,FALSE,"단축2";#N/A,#N/A,FALSE,"단축3";#N/A,#N/A,FALSE,"장축";#N/A,#N/A,FALSE,"4WD"}</definedName>
    <definedName name="_11">#REF!</definedName>
    <definedName name="_11_06">#REF!</definedName>
    <definedName name="_11T5_" hidden="1">{#N/A,#N/A,FALSE,"단축1";#N/A,#N/A,FALSE,"단축2";#N/A,#N/A,FALSE,"단축3";#N/A,#N/A,FALSE,"장축";#N/A,#N/A,FALSE,"4WD"}</definedName>
    <definedName name="_12">#REF!</definedName>
    <definedName name="_12_0ㅁ">#REF!</definedName>
    <definedName name="_12_7_0__123Graph_LB" hidden="1">#REF!</definedName>
    <definedName name="_13_0_0SANGD">#REF!</definedName>
    <definedName name="_13_0bcrclcl100rtr">#REF!</definedName>
    <definedName name="_13____S" hidden="1">#REF!</definedName>
    <definedName name="_135_0Crite">#REF!</definedName>
    <definedName name="_14_0Crite">#REF!</definedName>
    <definedName name="_147_0계기">#REF!</definedName>
    <definedName name="_149_0계기en">#REF!</definedName>
    <definedName name="_15_0Extr">#REF!</definedName>
    <definedName name="_15__0_S" hidden="1">#REF!</definedName>
    <definedName name="_151_0누계기">#REF!</definedName>
    <definedName name="_153_0누계생">#REF!</definedName>
    <definedName name="_155_0누실마">#REF!</definedName>
    <definedName name="_15672asdf">#REF!</definedName>
    <definedName name="_157_0누실적">#REF!</definedName>
    <definedName name="_159_0실기버">#REF!</definedName>
    <definedName name="_16_?춑_TOTAL">#REF!</definedName>
    <definedName name="_16_9_0__123Grap" hidden="1">#REF!</definedName>
    <definedName name="_161_0실적마">#REF!</definedName>
    <definedName name="_163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65F_0Datab">#REF!</definedName>
    <definedName name="_167n_0Extr">#REF!</definedName>
    <definedName name="_16A1_">#REF!</definedName>
    <definedName name="_17A100_">#REF!</definedName>
    <definedName name="_18A101_">#REF!</definedName>
    <definedName name="_1999_01_29">#REF!</definedName>
    <definedName name="_19A20000_">#REF!</definedName>
    <definedName name="_1A19999_">#REF!</definedName>
    <definedName name="_1Bp2_" hidden="1">{#N/A,#N/A,FALSE,"BS";#N/A,#N/A,FALSE,"PL";#N/A,#N/A,FALSE,"처분";#N/A,#N/A,FALSE,"현금";#N/A,#N/A,FALSE,"매출";#N/A,#N/A,FALSE,"원가";#N/A,#N/A,FALSE,"경영"}</definedName>
    <definedName name="_1st_Yr_Turn_over_rate">#REF!</definedName>
    <definedName name="_1st_Yr_V">#REF!</definedName>
    <definedName name="_1st_Yr_Vacancy">#REF!</definedName>
    <definedName name="_2">#REF!</definedName>
    <definedName name="_2_">#REF!</definedName>
    <definedName name="_2_?">#REF!</definedName>
    <definedName name="_2_?춑_TOTAL">#REF!</definedName>
    <definedName name="_2__FDSAUDITLINK__" hidden="1">{"fdsup://directions/FAT Viewer?action=UPDATE&amp;creator=factset&amp;DYN_ARGS=TRUE&amp;DOC_NAME=FAT:FQL_AUDITING_CLIENT_TEMPLATE.FAT&amp;display_string=Audit&amp;VAR:KEY=BQJSRKHOJG&amp;VAR:QUERY=RkZfRUJJVF9PUEVSKENBTCwyMDA2KQ==&amp;WINDOW=FIRST_POPUP&amp;HEIGHT=450&amp;WIDTH=450&amp;START_MAXIMI","ZED=FALSE&amp;VAR:CALENDAR=FIVEDAY&amp;VAR:INDEX=0"}</definedName>
    <definedName name="_2_0bcrclcl10">#REF!</definedName>
    <definedName name="_20_9_0__123Graph_LB" hidden="1">#REF!</definedName>
    <definedName name="_20A25000_">#REF!</definedName>
    <definedName name="_21Ａ４_">#REF!</definedName>
    <definedName name="_2311">#REF!</definedName>
    <definedName name="_2331">#REF!</definedName>
    <definedName name="_23DR1_" hidden="1">{#N/A,#N/A,FALSE,"업체선정";#N/A,#N/A,FALSE,"업체선정sheet";#N/A,#N/A,FALSE,"업체실태";#N/A,#N/A,FALSE,"업체실태(1)";#N/A,#N/A,FALSE,"종업원현황(2)";#N/A,#N/A,FALSE,"생산품목(3)";#N/A,#N/A,FALSE,"장비보유현황";#N/A,#N/A,FALSE,"차량및약도";#N/A,#N/A,FALSE,"금형LIST"}</definedName>
    <definedName name="_24_0_0SANGD">#REF!</definedName>
    <definedName name="_24p1_">#REF!</definedName>
    <definedName name="_2512">#REF!</definedName>
    <definedName name="_25120">#REF!</definedName>
    <definedName name="_25160">#REF!</definedName>
    <definedName name="_26A3_" hidden="1">{#N/A,#N/A,FALSE,"단축1";#N/A,#N/A,FALSE,"단축2";#N/A,#N/A,FALSE,"단축3";#N/A,#N/A,FALSE,"장축";#N/A,#N/A,FALSE,"4WD"}</definedName>
    <definedName name="_26T2_" hidden="1">{#N/A,#N/A,FALSE,"단축1";#N/A,#N/A,FALSE,"단축2";#N/A,#N/A,FALSE,"단축3";#N/A,#N/A,FALSE,"장축";#N/A,#N/A,FALSE,"4WD"}</definedName>
    <definedName name="_28aa1_" hidden="1">{#N/A,#N/A,FALSE,"Aging Summary";#N/A,#N/A,FALSE,"Ratio Analysis";#N/A,#N/A,FALSE,"Test 120 Day Accts";#N/A,#N/A,FALSE,"Tickmarks"}</definedName>
    <definedName name="_28T3_" hidden="1">{#N/A,#N/A,FALSE,"단축1";#N/A,#N/A,FALSE,"단축2";#N/A,#N/A,FALSE,"단축3";#N/A,#N/A,FALSE,"장축";#N/A,#N/A,FALSE,"4WD"}</definedName>
    <definedName name="_29Bp2_" hidden="1">{#N/A,#N/A,FALSE,"BS";#N/A,#N/A,FALSE,"PL";#N/A,#N/A,FALSE,"처분";#N/A,#N/A,FALSE,"현금";#N/A,#N/A,FALSE,"매출";#N/A,#N/A,FALSE,"원가";#N/A,#N/A,FALSE,"경영"}</definedName>
    <definedName name="_29uÞOUðuueßAÞAIee_YA">#REF!</definedName>
    <definedName name="_2A20000_">#REF!</definedName>
    <definedName name="_2FM2_">BlankMacro1</definedName>
    <definedName name="_2MatInverse" hidden="1">#REF!</definedName>
    <definedName name="_3">#REF!</definedName>
    <definedName name="_3_">#REF!</definedName>
    <definedName name="_3_?">#REF!</definedName>
    <definedName name="_3_?춮tb">#REF!</definedName>
    <definedName name="_3_0_0SANGD">#REF!</definedName>
    <definedName name="_30__0_S">#REF!</definedName>
    <definedName name="_32Ａ４_">#REF!</definedName>
    <definedName name="_3311">#REF!</definedName>
    <definedName name="_3331">#REF!</definedName>
    <definedName name="_33310">#REF!</definedName>
    <definedName name="_35P2_" hidden="1">{#N/A,#N/A,FALSE,"단축1";#N/A,#N/A,FALSE,"단축2";#N/A,#N/A,FALSE,"단축3";#N/A,#N/A,FALSE,"장축";#N/A,#N/A,FALSE,"4WD"}</definedName>
    <definedName name="_3Ａ４_">#REF!</definedName>
    <definedName name="_4">#REF!</definedName>
    <definedName name="_4_">#REF!</definedName>
    <definedName name="_4_?춑_TOTAL">#REF!</definedName>
    <definedName name="_4_0">#REF!</definedName>
    <definedName name="_4_0_0_MatInverse" hidden="1">#REF!</definedName>
    <definedName name="_4_0_0SANGD">#REF!</definedName>
    <definedName name="_4_0실마">#REF!</definedName>
    <definedName name="_4_5_0__123Grap" hidden="1">#REF!</definedName>
    <definedName name="_40SANGD">#REF!</definedName>
    <definedName name="_43T2_" hidden="1">{#N/A,#N/A,FALSE,"단축1";#N/A,#N/A,FALSE,"단축2";#N/A,#N/A,FALSE,"단축3";#N/A,#N/A,FALSE,"장축";#N/A,#N/A,FALSE,"4WD"}</definedName>
    <definedName name="_44">#REF!</definedName>
    <definedName name="_44T3_" hidden="1">{#N/A,#N/A,FALSE,"단축1";#N/A,#N/A,FALSE,"단축2";#N/A,#N/A,FALSE,"단축3";#N/A,#N/A,FALSE,"장축";#N/A,#N/A,FALSE,"4WD"}</definedName>
    <definedName name="_45T5_" hidden="1">{#N/A,#N/A,FALSE,"단축1";#N/A,#N/A,FALSE,"단축2";#N/A,#N/A,FALSE,"단축3";#N/A,#N/A,FALSE,"장축";#N/A,#N/A,FALSE,"4WD"}</definedName>
    <definedName name="_47____S" hidden="1">#REF!</definedName>
    <definedName name="_48__0_S" hidden="1">#REF!</definedName>
    <definedName name="_4Ａ４_">#REF!</definedName>
    <definedName name="_4SANGD">#REF!</definedName>
    <definedName name="_5">#REF!</definedName>
    <definedName name="_5_">#REF!</definedName>
    <definedName name="_5__123Graph_A차트_1" hidden="1">#REF!</definedName>
    <definedName name="_5_0">#REF!</definedName>
    <definedName name="_5A19999_">#REF!</definedName>
    <definedName name="_5A3_" hidden="1">{#N/A,#N/A,FALSE,"단축1";#N/A,#N/A,FALSE,"단축2";#N/A,#N/A,FALSE,"단축3";#N/A,#N/A,FALSE,"장축";#N/A,#N/A,FALSE,"4WD"}</definedName>
    <definedName name="_5Ａ４_">#REF!</definedName>
    <definedName name="_5SANGD">#REF!</definedName>
    <definedName name="_6">#REF!</definedName>
    <definedName name="_6_">#REF!</definedName>
    <definedName name="_6_?춑_TOTAL">#REF!</definedName>
    <definedName name="_6__123Graph_B차트_1" hidden="1">#REF!</definedName>
    <definedName name="_6_0_0SANGD">#REF!</definedName>
    <definedName name="_6_01">#REF!</definedName>
    <definedName name="_6_0실적">#REF!</definedName>
    <definedName name="_6Ａ４_">#REF!</definedName>
    <definedName name="_6aa1_" hidden="1">{#N/A,#N/A,FALSE,"Aging Summary";#N/A,#N/A,FALSE,"Ratio Analysis";#N/A,#N/A,FALSE,"Test 120 Day Accts";#N/A,#N/A,FALSE,"Tickmarks"}</definedName>
    <definedName name="_6SANGD">#REF!</definedName>
    <definedName name="_7">#REF!</definedName>
    <definedName name="_7__123Graph_C차트_1" hidden="1">#REF!</definedName>
    <definedName name="_7_02">#REF!</definedName>
    <definedName name="_77">#REF!</definedName>
    <definedName name="_7Bp2_" hidden="1">{#N/A,#N/A,FALSE,"BS";#N/A,#N/A,FALSE,"PL";#N/A,#N/A,FALSE,"처분";#N/A,#N/A,FALSE,"현금";#N/A,#N/A,FALSE,"매출";#N/A,#N/A,FALSE,"원가";#N/A,#N/A,FALSE,"경영"}</definedName>
    <definedName name="_8">#REF!</definedName>
    <definedName name="_8_?">#REF!</definedName>
    <definedName name="_8__123Graph_X차트_1" hidden="1">#REF!</definedName>
    <definedName name="_8_03">#REF!</definedName>
    <definedName name="_8_7_0__123Grap" hidden="1">#REF!</definedName>
    <definedName name="_8Ａ４_">#REF!</definedName>
    <definedName name="_8P2_" hidden="1">{#N/A,#N/A,FALSE,"단축1";#N/A,#N/A,FALSE,"단축2";#N/A,#N/A,FALSE,"단축3";#N/A,#N/A,FALSE,"장축";#N/A,#N/A,FALSE,"4WD"}</definedName>
    <definedName name="_8SANGD">#REF!</definedName>
    <definedName name="_9">#REF!</definedName>
    <definedName name="_9_04">#REF!</definedName>
    <definedName name="_90045769">#REF!</definedName>
    <definedName name="_96BUD">#REF!</definedName>
    <definedName name="_9T2_" hidden="1">{#N/A,#N/A,FALSE,"단축1";#N/A,#N/A,FALSE,"단축2";#N/A,#N/A,FALSE,"단축3";#N/A,#N/A,FALSE,"장축";#N/A,#N/A,FALSE,"4WD"}</definedName>
    <definedName name="_A">#REF!</definedName>
    <definedName name="_A1">#REF!</definedName>
    <definedName name="_A100">#REF!</definedName>
    <definedName name="_A101">#REF!</definedName>
    <definedName name="_A19999">#REF!</definedName>
    <definedName name="_A20000">#REF!</definedName>
    <definedName name="_A25000">#REF!</definedName>
    <definedName name="_A3" hidden="1">{#N/A,#N/A,FALSE,"단축1";#N/A,#N/A,FALSE,"단축2";#N/A,#N/A,FALSE,"단축3";#N/A,#N/A,FALSE,"장축";#N/A,#N/A,FALSE,"4WD"}</definedName>
    <definedName name="_Ａ４">#REF!</definedName>
    <definedName name="_Ａ４1">#N/A</definedName>
    <definedName name="_Ａ４2">#REF!</definedName>
    <definedName name="_Ａ４3">#REF!</definedName>
    <definedName name="_A99999">#REF!</definedName>
    <definedName name="_aa1" hidden="1">{#N/A,#N/A,FALSE,"Aging Summary";#N/A,#N/A,FALSE,"Ratio Analysis";#N/A,#N/A,FALSE,"Test 120 Day Accts";#N/A,#N/A,FALSE,"Tickmarks"}</definedName>
    <definedName name="_aaa2" hidden="1">{#N/A,#N/A,FALSE,"Aging Summary";#N/A,#N/A,FALSE,"Ratio Analysis";#N/A,#N/A,FALSE,"Test 120 Day Accts";#N/A,#N/A,FALSE,"Tickmarks"}</definedName>
    <definedName name="_active_nylon_satin">#REF!</definedName>
    <definedName name="_active_nylon_taffeta__">#REF!</definedName>
    <definedName name="_active_poplin">#REF!</definedName>
    <definedName name="_AU100000">#REF!</definedName>
    <definedName name="_AU66000">#REF!</definedName>
    <definedName name="_AU69999">#REF!</definedName>
    <definedName name="_AU70000">#REF!</definedName>
    <definedName name="_aZ">#N/A</definedName>
    <definedName name="_basic_ctn_twill">#REF!</definedName>
    <definedName name="_bdm.394f88709a624112bb885dcdf9bb9c89.edm" hidden="1">#REF!</definedName>
    <definedName name="_bdm.395863AB53644336B2056A5F6DA9A188.edm" hidden="1">#REF!</definedName>
    <definedName name="_bdm.4CDCAF1D094941E5A339B526095ADADE.edm" hidden="1">#REF!</definedName>
    <definedName name="_bdm.6015505EF38F4EA9A7A64CA91A7AC823.edm" hidden="1">#REF!</definedName>
    <definedName name="_bdm.65A2DF797C9F439DA6CD915BD1D09038.edm" hidden="1">#REF!</definedName>
    <definedName name="_bdm.672ED8E030734C3691D809C0CF43A024.edm" hidden="1">#REF!</definedName>
    <definedName name="_bdm.75DBE4F245204851BA3A62A106421643.edm" hidden="1">#REF!</definedName>
    <definedName name="_bdm.D23A8C01A3644FD396E2171ACDAE427A.edm" hidden="1">#REF!</definedName>
    <definedName name="_Bondex_Stretch">#REF!</definedName>
    <definedName name="_Bp2" hidden="1">{#N/A,#N/A,FALSE,"BS";#N/A,#N/A,FALSE,"PL";#N/A,#N/A,FALSE,"처분";#N/A,#N/A,FALSE,"현금";#N/A,#N/A,FALSE,"매출";#N/A,#N/A,FALSE,"원가";#N/A,#N/A,FALSE,"경영"}</definedName>
    <definedName name="_C1244ㅁ1430">#REF!</definedName>
    <definedName name="_C332897">#REF!</definedName>
    <definedName name="_clean_denim">#REF!</definedName>
    <definedName name="_color_denim">#REF!</definedName>
    <definedName name="_Commander">#REF!</definedName>
    <definedName name="_compact_wool_blend_o_w">#REF!</definedName>
    <definedName name="_cracked___distressed_leather">#REF!</definedName>
    <definedName name="_Crossroads">#REF!</definedName>
    <definedName name="_ctn_sateen">#REF!</definedName>
    <definedName name="_Dark_blue_denim">#REF!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DIR1">#REF!</definedName>
    <definedName name="_DIR2">#REF!</definedName>
    <definedName name="_Dist_Bin" hidden="1">#REF!</definedName>
    <definedName name="_Dist_Bin2" hidden="1">#REF!</definedName>
    <definedName name="_Dist_Values" hidden="1">#REF!</definedName>
    <definedName name="_Dist_Values2" hidden="1">#REF!</definedName>
    <definedName name="_dressy_satin">#REF!</definedName>
    <definedName name="_E65954">#REF!</definedName>
    <definedName name="_Exp97">#REF!</definedName>
    <definedName name="_Fill" hidden="1">#REF!</definedName>
    <definedName name="_Fill2" hidden="1">#REF!</definedName>
    <definedName name="_Fill3" hidden="1">#REF!</definedName>
    <definedName name="_xlnm._FilterDatabase" localSheetId="0" hidden="1">'Raw Data 57-69'!$A$1:$Q$5364</definedName>
    <definedName name="_xlnm._FilterDatabase" hidden="1">#REF!</definedName>
    <definedName name="_fine_nylon_faille">#REF!</definedName>
    <definedName name="_flower_print_cord">#REF!</definedName>
    <definedName name="_gap1">#REF!,#REF!</definedName>
    <definedName name="_GEL10">#REF!</definedName>
    <definedName name="_GG1">#REF!</definedName>
    <definedName name="_gold_stnd_ctn_poplin">#REF!</definedName>
    <definedName name="_GTE10">#REF!</definedName>
    <definedName name="_Harrison">#REF!</definedName>
    <definedName name="_heavy_poly_microfiber_">#REF!</definedName>
    <definedName name="_Huh?" hidden="1">#REF!</definedName>
    <definedName name="_indigo__yarn_dyed_stripe">#REF!</definedName>
    <definedName name="_INT2" hidden="1">{#N/A,#N/A,TRUE,"일정"}</definedName>
    <definedName name="_IRR2" hidden="1">#REF!</definedName>
    <definedName name="_je2">#REF!</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D1">#REF!</definedName>
    <definedName name="_Key1" hidden="1">#REF!</definedName>
    <definedName name="_Key11" hidden="1">#REF!</definedName>
    <definedName name="_Key2" hidden="1">#REF!</definedName>
    <definedName name="_Key22" hidden="1">#REF!</definedName>
    <definedName name="_Key3" hidden="1">#REF!</definedName>
    <definedName name="_kz4" hidden="1">#REF!</definedName>
    <definedName name="_kz5" hidden="1">#REF!</definedName>
    <definedName name="_kz6" hidden="1">#REF!</definedName>
    <definedName name="_kz7" hidden="1">#REF!</definedName>
    <definedName name="_kz8" hidden="1">#REF!</definedName>
    <definedName name="_lbg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_LG2" hidden="1">{#N/A,#N/A,TRUE,"매출진척-1";#N/A,#N/A,TRUE,"매출진척-2";#N/A,#N/A,TRUE,"제품실적";#N/A,#N/A,TRUE,"RAC";#N/A,#N/A,TRUE,"PAC ";#N/A,#N/A,TRUE,"재고현황";#N/A,#N/A,TRUE,"공지사항"}</definedName>
    <definedName name="_light_ripstop">#REF!</definedName>
    <definedName name="_LNF1">OFFSET(#REF!,0,0,COUNTA(#REF!)-1,1)</definedName>
    <definedName name="_loose_outerwear_poplin">#REF!</definedName>
    <definedName name="_lskfj" hidden="1">#REF!</definedName>
    <definedName name="_lt_wt_ctn_moleskin">#REF!</definedName>
    <definedName name="_MatInverse_In" hidden="1">#REF!</definedName>
    <definedName name="_MatInverse_Out" hidden="1">#REF!</definedName>
    <definedName name="_multi_count_warp_denim">#REF!</definedName>
    <definedName name="_multicount_warp_denim">#REF!</definedName>
    <definedName name="_novelty_ctn_twill">#REF!</definedName>
    <definedName name="_nylon_faille___coated">#REF!</definedName>
    <definedName name="_nylon_taffeta">#REF!</definedName>
    <definedName name="_opt1">#REF!</definedName>
    <definedName name="_opt10">#REF!</definedName>
    <definedName name="_opt11">#REF!</definedName>
    <definedName name="_opt12">#REF!</definedName>
    <definedName name="_opt13">#REF!</definedName>
    <definedName name="_opt14">#REF!</definedName>
    <definedName name="_opt15">#REF!</definedName>
    <definedName name="_opt16">#REF!</definedName>
    <definedName name="_opt17">#REF!</definedName>
    <definedName name="_opt18">#REF!</definedName>
    <definedName name="_opt19">#REF!</definedName>
    <definedName name="_opt2">#REF!</definedName>
    <definedName name="_opt20">#REF!</definedName>
    <definedName name="_opt21">#REF!</definedName>
    <definedName name="_OPT22">#REF!</definedName>
    <definedName name="_opt23">#REF!</definedName>
    <definedName name="_opt3">#REF!</definedName>
    <definedName name="_opt4">#REF!</definedName>
    <definedName name="_opt5">#REF!</definedName>
    <definedName name="_opt6">#REF!</definedName>
    <definedName name="_opt7">#REF!</definedName>
    <definedName name="_opt8">#REF!</definedName>
    <definedName name="_opt9">#REF!</definedName>
    <definedName name="_Order1" hidden="1">#REF!</definedName>
    <definedName name="_Order1_1" hidden="1">0</definedName>
    <definedName name="_Order2" hidden="1">255</definedName>
    <definedName name="_Order2_1" hidden="1">0</definedName>
    <definedName name="_P2" hidden="1">{#N/A,#N/A,FALSE,"단축1";#N/A,#N/A,FALSE,"단축2";#N/A,#N/A,FALSE,"단축3";#N/A,#N/A,FALSE,"장축";#N/A,#N/A,FALSE,"4WD"}</definedName>
    <definedName name="_Parse_In" hidden="1">#REF!</definedName>
    <definedName name="_Parse_Out" hidden="1">#REF!</definedName>
    <definedName name="_peach_ctn_satin_shirting">#REF!</definedName>
    <definedName name="_pigment_coated_face_nylon_oxford">#REF!</definedName>
    <definedName name="_pl0201">#REF!</definedName>
    <definedName name="_pl0202">#REF!</definedName>
    <definedName name="_pl0203">#REF!</definedName>
    <definedName name="_pl0204">#REF!</definedName>
    <definedName name="_pl0205">#REF!</definedName>
    <definedName name="_pl0206">#REF!</definedName>
    <definedName name="_pl0207">#REF!</definedName>
    <definedName name="_pl0208">#REF!</definedName>
    <definedName name="_pl0209">#REF!</definedName>
    <definedName name="_pl0210">#REF!</definedName>
    <definedName name="_PL7" hidden="1">{#N/A,#N/A,TRUE,"대 차 대 조 표"}</definedName>
    <definedName name="_PL7_1" hidden="1">{#N/A,#N/A,TRUE,"대 차 대 조 표"}</definedName>
    <definedName name="_PM1">#REF!</definedName>
    <definedName name="_PnP1">#REF!</definedName>
    <definedName name="_PNT1">#REF!</definedName>
    <definedName name="_PNT2">#REF!</definedName>
    <definedName name="_PNT3">#N/A</definedName>
    <definedName name="_PNT4">#N/A</definedName>
    <definedName name="_q1" hidden="1">#REF!</definedName>
    <definedName name="_q2" hidden="1">#REF!</definedName>
    <definedName name="_q3" hidden="1">#REF!</definedName>
    <definedName name="_q4" hidden="1">#REF!</definedName>
    <definedName name="_real_suede">#REF!</definedName>
    <definedName name="_Regression_Int" hidden="1">1</definedName>
    <definedName name="_Regression_Y" hidden="1">#REF!</definedName>
    <definedName name="_SA1">#REF!</definedName>
    <definedName name="_SCF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sck1" hidden="1">{#N/A,#N/A,FALSE,"BS";#N/A,#N/A,FALSE,"PL";#N/A,#N/A,FALSE,"A";#N/A,#N/A,FALSE,"B";#N/A,#N/A,FALSE,"B1";#N/A,#N/A,FALSE,"C";#N/A,#N/A,FALSE,"C1";#N/A,#N/A,FALSE,"C2";#N/A,#N/A,FALSE,"D";#N/A,#N/A,FALSE,"E";#N/A,#N/A,FALSE,"F";#N/A,#N/A,FALSE,"AA";#N/A,#N/A,FALSE,"BB";#N/A,#N/A,FALSE,"CC";#N/A,#N/A,FALSE,"DD";#N/A,#N/A,FALSE,"EE";#N/A,#N/A,FALSE,"FF";#N/A,#N/A,FALSE,"PL10";#N/A,#N/A,FALSE,"PL20";#N/A,#N/A,FALSE,"PL30"}</definedName>
    <definedName name="_SCM02">#REF!</definedName>
    <definedName name="_shiney_taffeta__core_">#REF!</definedName>
    <definedName name="_SHR1">#REF!</definedName>
    <definedName name="_SHR2">#REF!</definedName>
    <definedName name="_solid_ctn_poplin">#REF!</definedName>
    <definedName name="_Sort" hidden="1">#REF!</definedName>
    <definedName name="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TJ2">#REF!</definedName>
    <definedName name="_stretch_cotton_cord">#REF!</definedName>
    <definedName name="_stretch_rht">#REF!</definedName>
    <definedName name="_SUM1" hidden="1">{#N/A,#N/A,FALSE,"단축1";#N/A,#N/A,FALSE,"단축2";#N/A,#N/A,FALSE,"단축3";#N/A,#N/A,FALSE,"장축";#N/A,#N/A,FALSE,"4WD"}</definedName>
    <definedName name="_T2" hidden="1">{#N/A,#N/A,FALSE,"단축1";#N/A,#N/A,FALSE,"단축2";#N/A,#N/A,FALSE,"단축3";#N/A,#N/A,FALSE,"장축";#N/A,#N/A,FALSE,"4WD"}</definedName>
    <definedName name="_T3" hidden="1">{#N/A,#N/A,FALSE,"단축1";#N/A,#N/A,FALSE,"단축2";#N/A,#N/A,FALSE,"단축3";#N/A,#N/A,FALSE,"장축";#N/A,#N/A,FALSE,"4WD"}</definedName>
    <definedName name="_T5" hidden="1">{#N/A,#N/A,FALSE,"단축1";#N/A,#N/A,FALSE,"단축2";#N/A,#N/A,FALSE,"단축3";#N/A,#N/A,FALSE,"장축";#N/A,#N/A,FALSE,"4WD"}</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11">#REF!</definedName>
    <definedName name="_TB112">#REF!</definedName>
    <definedName name="_TB113">#REF!</definedName>
    <definedName name="_TB114">#REF!</definedName>
    <definedName name="_TB115">#REF!</definedName>
    <definedName name="_TB116">#REF!</definedName>
    <definedName name="_TB117">#REF!</definedName>
    <definedName name="_TB121">#REF!</definedName>
    <definedName name="_TB122">#REF!</definedName>
    <definedName name="_TB123">#REF!</definedName>
    <definedName name="_TB124">#REF!</definedName>
    <definedName name="_TB125">#REF!</definedName>
    <definedName name="_TB126">#REF!</definedName>
    <definedName name="_TB131">#REF!</definedName>
    <definedName name="_TB132">#REF!</definedName>
    <definedName name="_TB211">#REF!</definedName>
    <definedName name="_TB212">#REF!</definedName>
    <definedName name="_TB213">#REF!</definedName>
    <definedName name="_TB214">#REF!</definedName>
    <definedName name="_TB215">#REF!</definedName>
    <definedName name="_TB221">#REF!</definedName>
    <definedName name="_TB2210">#REF!</definedName>
    <definedName name="_TB222">#REF!</definedName>
    <definedName name="_TB223">#REF!</definedName>
    <definedName name="_TB224">#REF!</definedName>
    <definedName name="_TB225">#REF!</definedName>
    <definedName name="_TB226">#REF!</definedName>
    <definedName name="_TB227">#REF!</definedName>
    <definedName name="_TB228">#REF!</definedName>
    <definedName name="_TB229">#REF!</definedName>
    <definedName name="_TB311">#REF!</definedName>
    <definedName name="_TB312">#REF!</definedName>
    <definedName name="_TB313">#REF!</definedName>
    <definedName name="_TB314">#REF!</definedName>
    <definedName name="_TB315">#REF!</definedName>
    <definedName name="_TB316">#REF!</definedName>
    <definedName name="_TB317">#REF!</definedName>
    <definedName name="_TB318">#REF!</definedName>
    <definedName name="_TB319">#REF!</definedName>
    <definedName name="_TB321">#REF!</definedName>
    <definedName name="_TB322">#REF!</definedName>
    <definedName name="_TB323">#REF!</definedName>
    <definedName name="_TB324">#REF!</definedName>
    <definedName name="_TB325">#REF!</definedName>
    <definedName name="_TB401">#REF!</definedName>
    <definedName name="_TB402">#REF!</definedName>
    <definedName name="_TB403">#REF!</definedName>
    <definedName name="_TB404">#REF!</definedName>
    <definedName name="_TB405">#REF!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0">#REF!</definedName>
    <definedName name="_TB511">#REF!</definedName>
    <definedName name="_TB512">#REF!</definedName>
    <definedName name="_TB513">#REF!</definedName>
    <definedName name="_TB601">#REF!</definedName>
    <definedName name="_TB602">#REF!</definedName>
    <definedName name="_TB603">#REF!</definedName>
    <definedName name="_TB604">#REF!</definedName>
    <definedName name="_TB605">#REF!</definedName>
    <definedName name="_TB701">#REF!</definedName>
    <definedName name="_TB811">#REF!</definedName>
    <definedName name="_TB812">#REF!</definedName>
    <definedName name="_TB813">#REF!</definedName>
    <definedName name="_TB814">#REF!</definedName>
    <definedName name="_TB820">#REF!</definedName>
    <definedName name="_TB901">#REF!</definedName>
    <definedName name="_TB902">#REF!</definedName>
    <definedName name="_TB903">#REF!</definedName>
    <definedName name="_TB904">#REF!</definedName>
    <definedName name="_TBI1001">#REF!</definedName>
    <definedName name="_TBI1002">#REF!</definedName>
    <definedName name="_TBI1003">#REF!</definedName>
    <definedName name="_TBI1004">#REF!</definedName>
    <definedName name="_TBI1005">#REF!</definedName>
    <definedName name="_TBI101">#REF!</definedName>
    <definedName name="_TBI102">#REF!</definedName>
    <definedName name="_TBI1100">#REF!</definedName>
    <definedName name="_TBI1200">#REF!</definedName>
    <definedName name="_TBI201">#REF!</definedName>
    <definedName name="_TBI202">#REF!</definedName>
    <definedName name="_TBI203">#REF!</definedName>
    <definedName name="_TBI401">#REF!</definedName>
    <definedName name="_TBI402">#REF!</definedName>
    <definedName name="_TBI403">#REF!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425">#REF!</definedName>
    <definedName name="_TBI601">#REF!</definedName>
    <definedName name="_TBI602">#REF!</definedName>
    <definedName name="_TBI603">#REF!</definedName>
    <definedName name="_TBI604">#REF!</definedName>
    <definedName name="_TBI605">#REF!</definedName>
    <definedName name="_TBI606">#REF!</definedName>
    <definedName name="_TBI607">#REF!</definedName>
    <definedName name="_TBI608">#REF!</definedName>
    <definedName name="_TBI609">#REF!</definedName>
    <definedName name="_TBI610">#REF!</definedName>
    <definedName name="_TBI611">#REF!</definedName>
    <definedName name="_TBI612">#REF!</definedName>
    <definedName name="_TBI613">#REF!</definedName>
    <definedName name="_TBI614">#REF!</definedName>
    <definedName name="_TBI701">#REF!</definedName>
    <definedName name="_TBI702">#REF!</definedName>
    <definedName name="_TBI703">#REF!</definedName>
    <definedName name="_TBI704">#REF!</definedName>
    <definedName name="_TBI705">#REF!</definedName>
    <definedName name="_TBI706">#REF!</definedName>
    <definedName name="_TBI707">#REF!</definedName>
    <definedName name="_TBI708">#REF!</definedName>
    <definedName name="_TBI709">#REF!</definedName>
    <definedName name="_TBI710">#REF!</definedName>
    <definedName name="_TBI711">#REF!</definedName>
    <definedName name="_TBI712">#REF!</definedName>
    <definedName name="_TBI713">#REF!</definedName>
    <definedName name="_TBI714">#REF!</definedName>
    <definedName name="_TBI715">#REF!</definedName>
    <definedName name="_TBI716">#REF!</definedName>
    <definedName name="_TBI717">#REF!</definedName>
    <definedName name="_TBI718">#REF!</definedName>
    <definedName name="_TBI719">#REF!</definedName>
    <definedName name="_TBI901">#REF!</definedName>
    <definedName name="_TBI902">#REF!</definedName>
    <definedName name="_TBI903">#REF!</definedName>
    <definedName name="_TBI904">#REF!</definedName>
    <definedName name="_TBI905">#REF!</definedName>
    <definedName name="_TBI906">#REF!</definedName>
    <definedName name="_TBI907">#REF!</definedName>
    <definedName name="_tea_tined_chambray">#REF!</definedName>
    <definedName name="_TRT11" hidden="1">{#N/A,#N/A,FALSE,"표지";#N/A,#N/A,FALSE,"전제";#N/A,#N/A,FALSE,"손익-자 (2)";#N/A,#N/A,FALSE,"손익-자";#N/A,#N/A,FALSE,"손익-마 (2)";#N/A,#N/A,FALSE,"손익-마";#N/A,#N/A,FALSE,"총손최종"}</definedName>
    <definedName name="_TXD1">#REF!</definedName>
    <definedName name="_uncut_cord">#REF!</definedName>
    <definedName name="_VOC2" hidden="1">255</definedName>
    <definedName name="_wide_wale_cord">#REF!</definedName>
    <definedName name="_wool_blend_skirt">#REF!</definedName>
    <definedName name="_wool_coating___solid">#REF!</definedName>
    <definedName name="_wpl2" hidden="1">{#N/A,#N/A,FALSE,"Aging Summary";#N/A,#N/A,FALSE,"Ratio Analysis";#N/A,#N/A,FALSE,"Test 120 Day Accts";#N/A,#N/A,FALSE,"Tickmarks"}</definedName>
    <definedName name="_y_d_wool_twill_coating">#REF!</definedName>
    <definedName name="_y_dye_cording_multi_stripe">#REF!</definedName>
    <definedName name="_YEAR">#REF!</definedName>
    <definedName name="_z123">#REF!</definedName>
    <definedName name="_ZZ16384">#REF!</definedName>
    <definedName name="_첨부">#REF!</definedName>
    <definedName name="´cAE°eE¹" hidden="1">#REF!</definedName>
    <definedName name="￠￥cAE¡ÆeEⓒo" hidden="1">#REF!</definedName>
    <definedName name="¤A¤A">#REF!</definedName>
    <definedName name="¤μ¤μ">#REF!</definedName>
    <definedName name="￥">#REF!</definedName>
    <definedName name="\">#REF!</definedName>
    <definedName name="\0">#N/A</definedName>
    <definedName name="\1">#N/A</definedName>
    <definedName name="\2">#N/A</definedName>
    <definedName name="\a">#N/A</definedName>
    <definedName name="\b">#N/A</definedName>
    <definedName name="\c">#REF!</definedName>
    <definedName name="\d">#REF!</definedName>
    <definedName name="\E">#REF!</definedName>
    <definedName name="\f">#N/A</definedName>
    <definedName name="\g">#REF!</definedName>
    <definedName name="\h">#REF!</definedName>
    <definedName name="\i">#N/A</definedName>
    <definedName name="\j">#N/A</definedName>
    <definedName name="\k">#N/A</definedName>
    <definedName name="\L">#REF!</definedName>
    <definedName name="\m">#N/A</definedName>
    <definedName name="\n">#REF!</definedName>
    <definedName name="\o">#N/A</definedName>
    <definedName name="\P">#REF!</definedName>
    <definedName name="\q">#REF!</definedName>
    <definedName name="\r">#REF!</definedName>
    <definedName name="\S">#REF!</definedName>
    <definedName name="\t">#N/A</definedName>
    <definedName name="\u">#REF!</definedName>
    <definedName name="\v">#N/A</definedName>
    <definedName name="\W">#REF!</definedName>
    <definedName name="\X">#REF!</definedName>
    <definedName name="\Y">#REF!</definedName>
    <definedName name="\z">#REF!</definedName>
    <definedName name="√">"SQRT"</definedName>
    <definedName name="●_기존_체계">#REF!</definedName>
    <definedName name="●_판매관리비_및_영업이익_2002년">#REF!</definedName>
    <definedName name="↑">#REF!</definedName>
    <definedName name="°a°u">#REF!</definedName>
    <definedName name="※_BGA_직접재료비_변동추이">#REF!</definedName>
    <definedName name="※_추후_NAVA__PROJECT는__부품_">#REF!</definedName>
    <definedName name="¹ß">#REF!</definedName>
    <definedName name="¹Uº¸">#REF!</definedName>
    <definedName name="³²¼R">#REF!</definedName>
    <definedName name="A">#REF!</definedName>
    <definedName name="a_1" hidden="1">{"MonthlyRentRoll",#N/A,FALSE,"RentRoll"}</definedName>
    <definedName name="A_123">#REF!,#REF!,#REF!</definedName>
    <definedName name="a_123_error_10">#REF!</definedName>
    <definedName name="a_123_error_2">#REF!</definedName>
    <definedName name="a_123_error_4">#REF!,#REF!,#REF!,#REF!</definedName>
    <definedName name="a_123_error_5">#REF!</definedName>
    <definedName name="a_123_error_7">#REF!</definedName>
    <definedName name="a_123_error_8">#REF!</definedName>
    <definedName name="a_123_error_9">#REF!</definedName>
    <definedName name="A_I">#REF!</definedName>
    <definedName name="A_I1">#REF!</definedName>
    <definedName name="A_I2">#REF!</definedName>
    <definedName name="A_P">#REF!</definedName>
    <definedName name="a_z_error_1">#REF!,#REF!,#REF!,#REF!,#REF!,#REF!</definedName>
    <definedName name="a_z_error_10">#REF!,#REF!,#REF!,#REF!,#REF!,#REF!</definedName>
    <definedName name="a_z_error_2">#REF!</definedName>
    <definedName name="a_z_error_5">#REF!,#REF!,#REF!,#REF!,#REF!,#REF!,#REF!,#REF!,#REF!,#REF!,#REF!,#REF!,#REF!,#REF!,#REF!,#REF!,#REF!,#REF!,#REF!,#REF!,#REF!,#REF!,#REF!,#REF!,#REF!,#REF!,#REF!,#REF!,#REF!,#REF!,#REF!,#REF!,#REF!</definedName>
    <definedName name="a_z_error_7">#REF!</definedName>
    <definedName name="a_z_error_8">#REF!</definedName>
    <definedName name="a_z_error_9">#REF!,#REF!,#REF!,#REF!,#REF!,#REF!</definedName>
    <definedName name="A¶E¸AOE­¸e">#REF!</definedName>
    <definedName name="A1_00근거" hidden="1">{#N/A,#N/A,FALSE,"단축1";#N/A,#N/A,FALSE,"단축2";#N/A,#N/A,FALSE,"단축3";#N/A,#N/A,FALSE,"장축";#N/A,#N/A,FALSE,"4WD"}</definedName>
    <definedName name="a2_">#REF!</definedName>
    <definedName name="AA">#REF!</definedName>
    <definedName name="AAA">#REF!</definedName>
    <definedName name="aaa_1" hidden="1">{"MonthlyRentRoll",#N/A,FALSE,"RentRoll"}</definedName>
    <definedName name="AAA_DOCTOPS" hidden="1">"AAA_SET"</definedName>
    <definedName name="AAA_duser" hidden="1">"OFF"</definedName>
    <definedName name="AAAA" hidden="1">{#N/A,#N/A,FALSE,"단축1";#N/A,#N/A,FALSE,"단축2";#N/A,#N/A,FALSE,"단축3";#N/A,#N/A,FALSE,"장축";#N/A,#N/A,FALSE,"4WD"}</definedName>
    <definedName name="AAAAA">#REF!</definedName>
    <definedName name="aaaaa_1" hidden="1">{"p",#N/A,FALSE,"Sheet1";"p 2",#N/A,FALSE,"Sheet1";"p 3",#N/A,FALSE,"Sheet1"}</definedName>
    <definedName name="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#REF!</definedName>
    <definedName name="AAAAAAAA">#REF!</definedName>
    <definedName name="AAAAAAAAAA">#REF!</definedName>
    <definedName name="aaaaaaaaaaa" hidden="1">{#N/A,#N/A,FALSE,"Aging Summary";#N/A,#N/A,FALSE,"Ratio Analysis";#N/A,#N/A,FALSE,"Test 120 Day Accts";#N/A,#N/A,FALSE,"Tickmarks"}</definedName>
    <definedName name="aaaaaaaaaaaaa" hidden="1">{#N/A,#N/A,FALSE,"Aging Summary";#N/A,#N/A,FALSE,"Ratio Analysis";#N/A,#N/A,FALSE,"Test 120 Day Accts";#N/A,#N/A,FALSE,"Tickmarks"}</definedName>
    <definedName name="aaaaaaaaaaaaa12" hidden="1">{#N/A,#N/A,FALSE,"Aging Summary";#N/A,#N/A,FALSE,"Ratio Analysis";#N/A,#N/A,FALSE,"Test 120 Day Accts";#N/A,#N/A,FALSE,"Tickmarks"}</definedName>
    <definedName name="AAAAAAAAAAAAAAAAAAAAAAAAAA" hidden="1">#REF!</definedName>
    <definedName name="aaaaaaaaaaaaaaaaaaaaaaaaaaaaaaaaaaaaaaaaaaaaaa">#REF!</definedName>
    <definedName name="AAB_Addin5" hidden="1">"AAB_Description for addin 5,Description for addin 5,Description for addin 5,Description for addin 5,Description for addin 5,Description for addin 5"</definedName>
    <definedName name="AAL">#REF!</definedName>
    <definedName name="AAP">#REF!</definedName>
    <definedName name="AASSQQ" hidden="1">#REF!</definedName>
    <definedName name="aassss">#REF!</definedName>
    <definedName name="AB">#REF!</definedName>
    <definedName name="abbreviations" hidden="1">{"'매출'!$A$1:$I$22"}</definedName>
    <definedName name="ABC" hidden="1">{#N/A,#N/A,FALSE,"3가";#N/A,#N/A,FALSE,"3나";#N/A,#N/A,FALSE,"3다"}</definedName>
    <definedName name="abcc" hidden="1">{#N/A,#N/A,FALSE,"1.CRITERIA";#N/A,#N/A,FALSE,"2.IS";#N/A,#N/A,FALSE,"3.BS";#N/A,#N/A,FALSE,"4.PER PL";#N/A,#N/A,FALSE,"5.INVESTMENT";#N/A,#N/A,FALSE,"6.공문";#N/A,#N/A,FALSE,"7.netinvest"}</definedName>
    <definedName name="abcd">#REF!</definedName>
    <definedName name="ABJ">#N/A</definedName>
    <definedName name="ABL">#REF!</definedName>
    <definedName name="ABP">#REF!</definedName>
    <definedName name="abs">#REF!</definedName>
    <definedName name="AC">#REF!</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On1">#REF!</definedName>
    <definedName name="ACCR1">#REF!</definedName>
    <definedName name="accruals">#REF!</definedName>
    <definedName name="ACL">#REF!</definedName>
    <definedName name="ACON" hidden="1">{#N/A,#N/A,TRUE,"일정"}</definedName>
    <definedName name="ACP">#REF!</definedName>
    <definedName name="Acquiror">#REF!</definedName>
    <definedName name="Acquisition_Cost">#REF!</definedName>
    <definedName name="ACR4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SPEC">#REF!</definedName>
    <definedName name="ACTWK">#REF!</definedName>
    <definedName name="ACY_M1">#REF!</definedName>
    <definedName name="ACY_M2">#REF!</definedName>
    <definedName name="ACY_P1">#REF!</definedName>
    <definedName name="ACY_P10">#REF!</definedName>
    <definedName name="ACY_P2">#REF!</definedName>
    <definedName name="ACY_P3">#REF!</definedName>
    <definedName name="ACY_P4">#REF!</definedName>
    <definedName name="ACY_P5">#REF!</definedName>
    <definedName name="ACY_P6">#REF!</definedName>
    <definedName name="ACY_P7">#REF!</definedName>
    <definedName name="ACY_P8">#REF!</definedName>
    <definedName name="ACY_P9">#REF!</definedName>
    <definedName name="AD">#REF!</definedName>
    <definedName name="Add_AcqCost">#REF!</definedName>
    <definedName name="Add_ExitCost">#REF!</definedName>
    <definedName name="Add_HedgeCost">#REF!</definedName>
    <definedName name="Add_OperatingExp">#REF!</definedName>
    <definedName name="Add_OtherInc">#REF!</definedName>
    <definedName name="Add_RentalInc">#REF!</definedName>
    <definedName name="adf">#REF!</definedName>
    <definedName name="adf_1" hidden="1">{"MonthlyRentRoll",#N/A,FALSE,"RentRoll"}</definedName>
    <definedName name="adf3qrqer" hidden="1">{#N/A,#N/A,FALSE,"Aging Summary";#N/A,#N/A,FALSE,"Ratio Analysis";#N/A,#N/A,FALSE,"Test 120 Day Accts";#N/A,#N/A,FALSE,"Tickmarks"}</definedName>
    <definedName name="adj">#REF!</definedName>
    <definedName name="ADJ_SHARE">#REF!</definedName>
    <definedName name="ADL">#REF!</definedName>
    <definedName name="ADLJFJDJ" hidden="1">{#N/A,#N/A,TRUE,"일정"}</definedName>
    <definedName name="ADP">#REF!</definedName>
    <definedName name="ads" hidden="1">{#N/A,#N/A,FALSE,"표지";#N/A,#N/A,FALSE,"전제";#N/A,#N/A,FALSE,"손익-자 (2)";#N/A,#N/A,FALSE,"손익-자";#N/A,#N/A,FALSE,"손익-마 (2)";#N/A,#N/A,FALSE,"손익-마";#N/A,#N/A,FALSE,"총손최종"}</definedName>
    <definedName name="adsas" hidden="1">{#N/A,#N/A,FALSE,"Aging Summary";#N/A,#N/A,FALSE,"Ratio Analysis";#N/A,#N/A,FALSE,"Test 120 Day Accts";#N/A,#N/A,FALSE,"Tickmarks"}</definedName>
    <definedName name="ADSDF" hidden="1">{#N/A,#N/A,TRUE,"Y생산";#N/A,#N/A,TRUE,"Y판매";#N/A,#N/A,TRUE,"Y총물량";#N/A,#N/A,TRUE,"Y능력";#N/A,#N/A,TRUE,"YKD"}</definedName>
    <definedName name="ADSDF_1" hidden="1">{#N/A,#N/A,TRUE,"Y생산";#N/A,#N/A,TRUE,"Y판매";#N/A,#N/A,TRUE,"Y총물량";#N/A,#N/A,TRUE,"Y능력";#N/A,#N/A,TRUE,"YKD"}</definedName>
    <definedName name="ADSF" hidden="1">{#N/A,#N/A,TRUE,"매출진척-1";#N/A,#N/A,TRUE,"매출진척-2";#N/A,#N/A,TRUE,"제품실적";#N/A,#N/A,TRUE,"RAC";#N/A,#N/A,TRUE,"PAC ";#N/A,#N/A,TRUE,"재고현황";#N/A,#N/A,TRUE,"공지사항"}</definedName>
    <definedName name="ADVANCE">#REF!</definedName>
    <definedName name="aer">#REF!</definedName>
    <definedName name="afdasfa" hidden="1">{#N/A,#N/A,TRUE,"Assumptions";#N/A,#N/A,TRUE,"Sources of Revenue";#N/A,#N/A,TRUE,"P&amp;L";#N/A,#N/A,TRUE,"Bal. Sheet";#N/A,#N/A,TRUE,"Rights Issue &amp; X Adjustment";#N/A,#N/A,TRUE,"Transaction Model"}</definedName>
    <definedName name="afdsasfafd" hidden="1">{#N/A,#N/A,TRUE,"Assumptions";#N/A,#N/A,TRUE,"Sources of Revenue";#N/A,#N/A,TRUE,"P&amp;L";#N/A,#N/A,TRUE,"Bal. Sheet";#N/A,#N/A,TRUE,"Rights Issue &amp; X Adjustment";#N/A,#N/A,TRUE,"Transaction Model"}</definedName>
    <definedName name="afdsdsfdsads" hidden="1">{#N/A,#N/A,TRUE,"Assumptions";#N/A,#N/A,TRUE,"Sources of Revenue";#N/A,#N/A,TRUE,"P&amp;L";#N/A,#N/A,TRUE,"Bal. Sheet";#N/A,#N/A,TRUE,"Rights Issue &amp; X Adjustment";#N/A,#N/A,TRUE,"Transaction Model"}</definedName>
    <definedName name="affdsafsaf" hidden="1">{#N/A,#N/A,TRUE,"Assumptions";#N/A,#N/A,TRUE,"Sources of Revenue";#N/A,#N/A,TRUE,"P&amp;L";#N/A,#N/A,TRUE,"Bal. Sheet";#N/A,#N/A,TRUE,"Rights Issue &amp; X Adjustment";#N/A,#N/A,TRUE,"Transaction Model"}</definedName>
    <definedName name="afsafadsf" hidden="1">{#N/A,#N/A,TRUE,"Assumptions";#N/A,#N/A,TRUE,"Sources of Revenue";#N/A,#N/A,TRUE,"P&amp;L";#N/A,#N/A,TRUE,"Bal. Sheet";#N/A,#N/A,TRUE,"Rights Issue &amp; X Adjustment";#N/A,#N/A,TRUE,"Transaction Model"}</definedName>
    <definedName name="afsasfdasdf" hidden="1">#REF!</definedName>
    <definedName name="Ag">#REF!</definedName>
    <definedName name="ahffk" hidden="1">"AS2DocumentBrowse"</definedName>
    <definedName name="AI">#REF!</definedName>
    <definedName name="aldkjflasdjgladg">#REF!</definedName>
    <definedName name="all">#REF!</definedName>
    <definedName name="AllTables">{5}</definedName>
    <definedName name="alpha1">#REF!</definedName>
    <definedName name="alpha2">#REF!</definedName>
    <definedName name="alpha3">#REF!</definedName>
    <definedName name="Alt">#REF!</definedName>
    <definedName name="ALY_M1">#REF!</definedName>
    <definedName name="ALY_M2">#REF!</definedName>
    <definedName name="ALY_P1">#REF!</definedName>
    <definedName name="ALY_P10">#REF!</definedName>
    <definedName name="ALY_P2">#REF!</definedName>
    <definedName name="ALY_P3">#REF!</definedName>
    <definedName name="ALY_P4">#REF!</definedName>
    <definedName name="ALY_P5">#REF!</definedName>
    <definedName name="ALY_P6">#REF!</definedName>
    <definedName name="ALY_P7">#REF!</definedName>
    <definedName name="ALY_P8">#REF!</definedName>
    <definedName name="ALY_P9">#REF!</definedName>
    <definedName name="am_fee">#REF!</definedName>
    <definedName name="AMC_Fee">#REF!</definedName>
    <definedName name="AMC_Promote_Fee">#REF!</definedName>
    <definedName name="AMMORT">#REF!:#REF!</definedName>
    <definedName name="Ammortamenti">#REF!:#REF!</definedName>
    <definedName name="Amounts">#REF!</definedName>
    <definedName name="Annual_Allowance">#REF!</definedName>
    <definedName name="anscount" hidden="1">2</definedName>
    <definedName name="Ao¿￢">#REF!</definedName>
    <definedName name="AOP">#REF!</definedName>
    <definedName name="aoqtmwktksdnsdyd">#REF!</definedName>
    <definedName name="APCBF_Codes">#REF!</definedName>
    <definedName name="A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roved_Gross_Area">#REF!</definedName>
    <definedName name="ARA_Threshold">#REF!</definedName>
    <definedName name="ARC">#REF!</definedName>
    <definedName name="are" hidden="1">{#N/A,#N/A,FALSE,"신규dep";#N/A,#N/A,FALSE,"신규dep-금형상각후";#N/A,#N/A,FALSE,"신규dep-연구비상각후";#N/A,#N/A,FALSE,"신규dep-기계,공구상각후"}</definedName>
    <definedName name="AREA">#REF!</definedName>
    <definedName name="Area_Chonsei">#REF!</definedName>
    <definedName name="Area_Office">#REF!</definedName>
    <definedName name="Area_Residential">#REF!</definedName>
    <definedName name="Area_Retail">#REF!</definedName>
    <definedName name="Area_Western">#REF!</definedName>
    <definedName name="areaunit">#REF!</definedName>
    <definedName name="areaunitname">#REF!</definedName>
    <definedName name="ARP_Threshold">#REF!</definedName>
    <definedName name="as">#REF!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cxf" hidden="1">{#N/A,#N/A,FALSE,"Aging Summary";#N/A,#N/A,FALSE,"Ratio Analysis";#N/A,#N/A,FALSE,"Test 120 Day Accts";#N/A,#N/A,FALSE,"Tickmarks"}</definedName>
    <definedName name="asd">#REF!</definedName>
    <definedName name="asda">#REF!</definedName>
    <definedName name="asdasdasdad" hidden="1">{#N/A,#N/A,FALSE,"95FW"}</definedName>
    <definedName name="asdf">#REF!</definedName>
    <definedName name="asdfasdf" hidden="1">{#N/A,#N/A,TRUE,"Assumptions";#N/A,#N/A,TRUE,"Sources of Revenue";#N/A,#N/A,TRUE,"P&amp;L";#N/A,#N/A,TRUE,"Bal. Sheet";#N/A,#N/A,TRUE,"Rights Issue &amp; X Adjustment";#N/A,#N/A,TRUE,"Transaction Model"}</definedName>
    <definedName name="asdfasdfsdfa" hidden="1">#REF!</definedName>
    <definedName name="asdfasfgasdf" hidden="1">#REF!</definedName>
    <definedName name="ASDFF" hidden="1">{#N/A,#N/A,FALSE,"표지";#N/A,#N/A,FALSE,"전제";#N/A,#N/A,FALSE,"손익-자 (2)";#N/A,#N/A,FALSE,"손익-자";#N/A,#N/A,FALSE,"손익-마 (2)";#N/A,#N/A,FALSE,"손익-마";#N/A,#N/A,FALSE,"총손최종"}</definedName>
    <definedName name="asdfsdf" hidden="1">#REF!</definedName>
    <definedName name="asdgasdg" hidden="1">{#N/A,#N/A,TRUE,"Assumptions";#N/A,#N/A,TRUE,"Sources of Revenue";#N/A,#N/A,TRUE,"P&amp;L";#N/A,#N/A,TRUE,"Bal. Sheet";#N/A,#N/A,TRUE,"Rights Issue &amp; X Adjustment";#N/A,#N/A,TRUE,"Transaction Model"}</definedName>
    <definedName name="ased">#REF!</definedName>
    <definedName name="asfasfasf" hidden="1">#REF!</definedName>
    <definedName name="asfasfasff" hidden="1">#REF!</definedName>
    <definedName name="asfasgasdg" hidden="1">#REF!</definedName>
    <definedName name="asfgasdgas" hidden="1">#REF!</definedName>
    <definedName name="asfsa" hidden="1">#REF!</definedName>
    <definedName name="asgf" hidden="1">#REF!</definedName>
    <definedName name="asr">+#REF!</definedName>
    <definedName name="assda">#REF!</definedName>
    <definedName name="Asset">#REF!</definedName>
    <definedName name="Asset_MgmtFee">#REF!</definedName>
    <definedName name="assetdebt">#REF!</definedName>
    <definedName name="ASS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TA">#REF!</definedName>
    <definedName name="ASTL">#REF!</definedName>
    <definedName name="ASTR">#REF!</definedName>
    <definedName name="ASTX">#REF!</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ut">#REF!</definedName>
    <definedName name="autoexec">#REF!</definedName>
    <definedName name="avrest">#REF!</definedName>
    <definedName name="awc">#REF!</definedName>
    <definedName name="AZ">#REF!</definedName>
    <definedName name="B">#REF!</definedName>
    <definedName name="b_t2">#REF!</definedName>
    <definedName name="BA">#REF!</definedName>
    <definedName name="BACK"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Back_AGENCY_COFEE">#REF!</definedName>
    <definedName name="BAck_AGENCY_EEFEE">#REF!</definedName>
    <definedName name="Back_ANN_BASE">#REF!</definedName>
    <definedName name="Back_ANN_EC_GIVEN">#REF!</definedName>
    <definedName name="Back_AREA_ALW">#REF!</definedName>
    <definedName name="Back_BON_ACT2">#REF!</definedName>
    <definedName name="Back_BON_TGT2">#REF!</definedName>
    <definedName name="Back_BURN_ALW">#REF!</definedName>
    <definedName name="Back_CAR_PLAN">#REF!</definedName>
    <definedName name="Back_CAR_PRK">#REF!</definedName>
    <definedName name="Back_Class_of_Lawyer">#REF!</definedName>
    <definedName name="Back_CLEAN_ALW">#REF!</definedName>
    <definedName name="Back_CLOTH_ALW">#REF!</definedName>
    <definedName name="Back_DEEMOT_ALW">#REF!</definedName>
    <definedName name="Back_DEEMOT_PRO">#REF!</definedName>
    <definedName name="Back_DRIVER_SAL">#REF!</definedName>
    <definedName name="Back_EPI_RATE">#REF!</definedName>
    <definedName name="Back_FAMILY_ALW">#REF!</definedName>
    <definedName name="Back_FBT_ITEMS">#REF!</definedName>
    <definedName name="Back_FEST_BON">#REF!</definedName>
    <definedName name="Back_FIXED_BON">#REF!</definedName>
    <definedName name="Back_FIXEMP_TEC">#REF!</definedName>
    <definedName name="Back_FLEX_ALW">#REF!</definedName>
    <definedName name="Back_GRATUITY">#REF!</definedName>
    <definedName name="Back_HI_RATE">#REF!</definedName>
    <definedName name="Back_HLTH_PREM">#REF!</definedName>
    <definedName name="Back_HRD_BEN">#REF!</definedName>
    <definedName name="Back_INCENT_ACT2">#REF!</definedName>
    <definedName name="Back_INCENT_TGT2">#REF!</definedName>
    <definedName name="Back_KIWI_CONVAL">#REF!</definedName>
    <definedName name="Back_KIWI_FUND">#REF!</definedName>
    <definedName name="Back_KIWI_OTHER">#REF!</definedName>
    <definedName name="Back_KIWI_TEC">#REF!</definedName>
    <definedName name="Back_KR_Actual_Title">#REF!</definedName>
    <definedName name="Back_KR_Code_Title">#REF!</definedName>
    <definedName name="Back_LEASEPRICE2">#REF!</definedName>
    <definedName name="Back_LEASEPRICEFBT">#REF!</definedName>
    <definedName name="Back_LEAVE_LOAD">#REF!</definedName>
    <definedName name="Back_MED_ALW">#REF!</definedName>
    <definedName name="BAck_MEDCARE_BEN">#REF!</definedName>
    <definedName name="Back_MSU_INSURE">#REF!</definedName>
    <definedName name="Back_NFBT_ITEMS">#REF!</definedName>
    <definedName name="Back_NUM_MTH2">#REF!</definedName>
    <definedName name="Back_OTH_BEN">#REF!</definedName>
    <definedName name="Back_OTHBON_ACT2">#REF!</definedName>
    <definedName name="Back_OTHBON_TGT2">#REF!</definedName>
    <definedName name="Back_OTHSUP_TEC">#REF!</definedName>
    <definedName name="Back_PAG_IBIG">#REF!</definedName>
    <definedName name="Back_PERSONALUSE">#REF!</definedName>
    <definedName name="Back_PREVENT_HLTH">#REF!</definedName>
    <definedName name="Back_PRICE2">#REF!</definedName>
    <definedName name="Back_PURCHASEDISCOUNT">#REF!</definedName>
    <definedName name="Back_RET_BENVAL">#REF!</definedName>
    <definedName name="Back_RET_CONVAL">#REF!</definedName>
    <definedName name="Back_SCOPE_ALW">#REF!</definedName>
    <definedName name="Back_SITEOFF_ALW">#REF!</definedName>
    <definedName name="Back_SLSMAN_ALW">#REF!</definedName>
    <definedName name="Back_SS_BEN">#REF!</definedName>
    <definedName name="Back_SS_RATE">#REF!</definedName>
    <definedName name="Back_Store_Type">#REF!</definedName>
    <definedName name="Back_TRAVEL_ALW">#REF!</definedName>
    <definedName name="Back_Type_of_Empl">#REF!</definedName>
    <definedName name="Back_UNION_COFEE">#REF!</definedName>
    <definedName name="Back_UNION_EEFEE">#REF!</definedName>
    <definedName name="BadLink" hidden="1">#REF!</definedName>
    <definedName name="BAL">#REF!</definedName>
    <definedName name="BalanceSheet">#REF!</definedName>
    <definedName name="BalanceSheet97">#REF!</definedName>
    <definedName name="BalanceSheetDates">#REF!</definedName>
    <definedName name="BANCA1">#REF!</definedName>
    <definedName name="banka">#REF!</definedName>
    <definedName name="bankb">#REF!</definedName>
    <definedName name="BAP">#REF!</definedName>
    <definedName name="BASE">#REF!</definedName>
    <definedName name="basebalance">#REF!</definedName>
    <definedName name="BASECARR">#N/A</definedName>
    <definedName name="BASEDOC">#N/A</definedName>
    <definedName name="Basic">#REF!</definedName>
    <definedName name="BatchName">#REF!</definedName>
    <definedName name="BB">#REF!</definedName>
    <definedName name="BBB" hidden="1">#REF!</definedName>
    <definedName name="BBBB" hidden="1">{"'호선별현황(방식)'!$K$22:$P$22","'호선별현황(방식)'!$K$22:$P$22"}</definedName>
    <definedName name="bbbbb" hidden="1">{#N/A,#N/A,FALSE,"Aging Summary";#N/A,#N/A,FALSE,"Ratio Analysis";#N/A,#N/A,FALSE,"Test 120 Day Accts";#N/A,#N/A,FALSE,"Tickmarks"}</definedName>
    <definedName name="bbbbbbbbb">#REF!</definedName>
    <definedName name="bbbbbbbbbbbbbbb" hidden="1">{#N/A,#N/A,FALSE,"Aging Summary";#N/A,#N/A,FALSE,"Ratio Analysis";#N/A,#N/A,FALSE,"Test 120 Day Accts";#N/A,#N/A,FALSE,"Tickmarks"}</definedName>
    <definedName name="BBL">#REF!</definedName>
    <definedName name="BBP">#REF!</definedName>
    <definedName name="bc">#REF!</definedName>
    <definedName name="BCL">#REF!</definedName>
    <definedName name="BCP">#REF!</definedName>
    <definedName name="bcrclcl100rt">#REF!</definedName>
    <definedName name="bcrclcl100rtrkrk">#REF!</definedName>
    <definedName name="BCY_M1">#REF!</definedName>
    <definedName name="BCY_M2">#REF!</definedName>
    <definedName name="BCY_P1">#REF!</definedName>
    <definedName name="BCY_P10">#REF!</definedName>
    <definedName name="BCY_P2">#REF!</definedName>
    <definedName name="BCY_P3">#REF!</definedName>
    <definedName name="BCY_P4">#REF!</definedName>
    <definedName name="BCY_P5">#REF!</definedName>
    <definedName name="BCY_P6">#REF!</definedName>
    <definedName name="BCY_P7">#REF!</definedName>
    <definedName name="BCY_P8">#REF!</definedName>
    <definedName name="BCY_P9">#REF!</definedName>
    <definedName name="BD">#REF!</definedName>
    <definedName name="BDL">#REF!</definedName>
    <definedName name="BDP">#REF!</definedName>
    <definedName name="Beachwood" hidden="1">{"p",#N/A,FALSE,"Sheet1";"p 2",#N/A,FALSE,"Sheet1";"p 3",#N/A,FALSE,"Sheet1"}</definedName>
    <definedName name="Beachwood_1" hidden="1">{"p",#N/A,FALSE,"Sheet1";"p 2",#N/A,FALSE,"Sheet1";"p 3",#N/A,FALSE,"Sheet1"}</definedName>
    <definedName name="BEG_MISC">#REF!</definedName>
    <definedName name="Ben_LA2">#REF!</definedName>
    <definedName name="Ben_PM2">#REF!</definedName>
    <definedName name="Benchmark">#REF!</definedName>
    <definedName name="beta">#REF!</definedName>
    <definedName name="BG_Del" hidden="1">15</definedName>
    <definedName name="BG_Ins" hidden="1">4</definedName>
    <definedName name="BG_Mod" hidden="1">6</definedName>
    <definedName name="bn" hidden="1">{#N/A,#N/A,FALSE,"Aging Summary";#N/A,#N/A,FALSE,"Ratio Analysis";#N/A,#N/A,FALSE,"Test 120 Day Accts";#N/A,#N/A,FALSE,"Tickmarks"}</definedName>
    <definedName name="BNY_M1">#REF!</definedName>
    <definedName name="BNY_M2">#REF!</definedName>
    <definedName name="BNY_P1">#REF!</definedName>
    <definedName name="BNY_P10">#REF!</definedName>
    <definedName name="BNY_P2">#REF!</definedName>
    <definedName name="BNY_P3">#REF!</definedName>
    <definedName name="BNY_P4">#REF!</definedName>
    <definedName name="BNY_P5">#REF!</definedName>
    <definedName name="BNY_P6">#REF!</definedName>
    <definedName name="BNY_P7">#REF!</definedName>
    <definedName name="BNY_P8">#REF!</definedName>
    <definedName name="BNY_P9">#REF!</definedName>
    <definedName name="BODY">#REF!</definedName>
    <definedName name="Book_2002">#REF!</definedName>
    <definedName name="book1" hidden="1">{#N/A,#N/A,TRUE,"Y생산";#N/A,#N/A,TRUE,"Y판매";#N/A,#N/A,TRUE,"Y총물량";#N/A,#N/A,TRUE,"Y능력";#N/A,#N/A,TRUE,"YKD"}</definedName>
    <definedName name="Borrow_Cost">#REF!</definedName>
    <definedName name="BPR_01" hidden="1">{#N/A,#N/A,FALSE,"BS";#N/A,#N/A,FALSE,"PL";#N/A,#N/A,FALSE,"처분";#N/A,#N/A,FALSE,"현금";#N/A,#N/A,FALSE,"매출";#N/A,#N/A,FALSE,"원가";#N/A,#N/A,FALSE,"경영"}</definedName>
    <definedName name="Branch">#REF!</definedName>
    <definedName name="BRCOD">#REF!</definedName>
    <definedName name="bridge">#REF!</definedName>
    <definedName name="BRK">#REF!</definedName>
    <definedName name="brougham">#REF!</definedName>
    <definedName name="bs" hidden="1">{#N/A,#N/A,FALSE,"Aging Summary";#N/A,#N/A,FALSE,"Ratio Analysis";#N/A,#N/A,FALSE,"Test 120 Day Accts";#N/A,#N/A,FALSE,"Tickmarks"}</definedName>
    <definedName name="BS_Co">#REF!</definedName>
    <definedName name="bsbalance">#REF!</definedName>
    <definedName name="bsNote">#N/A</definedName>
    <definedName name="BSTA">#REF!</definedName>
    <definedName name="BSTL">#REF!</definedName>
    <definedName name="BSTR">#REF!</definedName>
    <definedName name="BSTX">#REF!</definedName>
    <definedName name="BTC_List1_100">#REF!</definedName>
    <definedName name="BTC_List1_110">#REF!</definedName>
    <definedName name="BTC_List1_120">#REF!</definedName>
    <definedName name="BTC_List1_123">#REF!</definedName>
    <definedName name="BTC_List1_130">#REF!</definedName>
    <definedName name="BTC_List1_140">#REF!</definedName>
    <definedName name="BTC_List1_150">#REF!</definedName>
    <definedName name="BTC_List1_155">#REF!</definedName>
    <definedName name="BTC_List1_160">#REF!</definedName>
    <definedName name="BTC_List1_162">#REF!</definedName>
    <definedName name="BTC_List1_166">#REF!</definedName>
    <definedName name="BTC_List1_170">#REF!</definedName>
    <definedName name="BTC_List1_180">#REF!</definedName>
    <definedName name="BTC_List1_187">#REF!</definedName>
    <definedName name="BTC_List1_190">#REF!</definedName>
    <definedName name="BTC_List1_200">#REF!</definedName>
    <definedName name="BTC_List1_210">#REF!</definedName>
    <definedName name="BTC_List1_220">#REF!</definedName>
    <definedName name="BTC_List1_501">#REF!</definedName>
    <definedName name="BTC_List1_510">#REF!</definedName>
    <definedName name="BTC_List1_520">#REF!</definedName>
    <definedName name="BTC_List1_530">#REF!</definedName>
    <definedName name="BTC_List1_541">#REF!</definedName>
    <definedName name="BTC_List1_542">#REF!</definedName>
    <definedName name="BTC_List1_543">#REF!</definedName>
    <definedName name="BTC_List1_560">#REF!</definedName>
    <definedName name="BTC_List1_570">#REF!</definedName>
    <definedName name="BTC_List1_600">#REF!</definedName>
    <definedName name="BTC_List1_610">#REF!</definedName>
    <definedName name="BTC_List1_642">#REF!</definedName>
    <definedName name="BTC_List1_671">#REF!</definedName>
    <definedName name="BTC_List1_672">#REF!</definedName>
    <definedName name="BTC_List1_690">#REF!</definedName>
    <definedName name="BTC_List1_701">#REF!</definedName>
    <definedName name="BTC_List1_702">#REF!</definedName>
    <definedName name="BTC_List1_All">#REF!</definedName>
    <definedName name="BTC_List2">#REF!</definedName>
    <definedName name="BTCs_Generic">#REF!</definedName>
    <definedName name="btnClose">#N/A</definedName>
    <definedName name="btnFootNoting">#N/A</definedName>
    <definedName name="btnNext">#N/A</definedName>
    <definedName name="btnOK">#N/A</definedName>
    <definedName name="btnPrevious">#N/A</definedName>
    <definedName name="btnReturn">#N/A</definedName>
    <definedName name="BuiltIn_Print_Area___1">NA()</definedName>
    <definedName name="BuiltIn_Print_Area___1___0">NA()</definedName>
    <definedName name="BuiltIn_Print_Area___2">NA()</definedName>
    <definedName name="BuiltIn_Print_Area___2___0">NA()</definedName>
    <definedName name="BuiltIn_Print_Area___3">NA()</definedName>
    <definedName name="BuiltIn_Print_Area___3___0">NA()</definedName>
    <definedName name="bumwi">#REF!</definedName>
    <definedName name="BUTTON_N">#REF!</definedName>
    <definedName name="BUTTON_T">#REF!</definedName>
    <definedName name="Buy_Price">#REF!</definedName>
    <definedName name="bv" hidden="1">{#N/A,#N/A,FALSE,"1.CRITERIA";#N/A,#N/A,FALSE,"2.IS";#N/A,#N/A,FALSE,"3.BS";#N/A,#N/A,FALSE,"4.PER PL";#N/A,#N/A,FALSE,"5.INVESTMENT";#N/A,#N/A,FALSE,"6.공문";#N/A,#N/A,FALSE,"7.netinvest"}</definedName>
    <definedName name="B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#REF!</definedName>
    <definedName name="CAE해석" hidden="1">{#N/A,#N/A,FALSE,"단축1";#N/A,#N/A,FALSE,"단축2";#N/A,#N/A,FALSE,"단축3";#N/A,#N/A,FALSE,"장축";#N/A,#N/A,FALSE,"4WD"}</definedName>
    <definedName name="CAL">#REF!</definedName>
    <definedName name="can">#REF!</definedName>
    <definedName name="canestr">#REF!:#REF!</definedName>
    <definedName name="CAP">#REF!</definedName>
    <definedName name="CAPA" hidden="1">{#N/A,#N/A,FALSE,"인원";#N/A,#N/A,FALSE,"비용2";#N/A,#N/A,FALSE,"비용1";#N/A,#N/A,FALSE,"비용";#N/A,#N/A,FALSE,"보증2";#N/A,#N/A,FALSE,"보증1";#N/A,#N/A,FALSE,"보증";#N/A,#N/A,FALSE,"손익1";#N/A,#N/A,FALSE,"손익";#N/A,#N/A,FALSE,"부서별매출";#N/A,#N/A,FALSE,"매출"}</definedName>
    <definedName name="CapEx_A">#REF!</definedName>
    <definedName name="CapEx_B">#REF!</definedName>
    <definedName name="CapEx_C">#REF!</definedName>
    <definedName name="CapEx_D">#REF!</definedName>
    <definedName name="CapEx_E">#REF!</definedName>
    <definedName name="CapEx_F">#REF!</definedName>
    <definedName name="CapEx_G">#REF!</definedName>
    <definedName name="CapEx_H">#REF!</definedName>
    <definedName name="Capital_Reserve">#REF!</definedName>
    <definedName name="Car_List">#REF!</definedName>
    <definedName name="CARCODE">#REF!</definedName>
    <definedName name="Carpark_Revenue">#REF!</definedName>
    <definedName name="Case_Rev">#REF!</definedName>
    <definedName name="CASE1">#REF!</definedName>
    <definedName name="CASE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E3">#REF!</definedName>
    <definedName name="CASE4">#REF!</definedName>
    <definedName name="cash">#N/A</definedName>
    <definedName name="Cashflow">#REF!</definedName>
    <definedName name="CashFlow_Button1_Click">#N/A</definedName>
    <definedName name="CashFlow97">#REF!</definedName>
    <definedName name="CashflowStt">#REF!</definedName>
    <definedName name="cashIndex">#N/A</definedName>
    <definedName name="CB">#REF!</definedName>
    <definedName name="CBL">#REF!</definedName>
    <definedName name="CBP">#REF!</definedName>
    <definedName name="cc">#REF!</definedName>
    <definedName name="CC.QQ">#REF!</definedName>
    <definedName name="CCC">#REF!</definedName>
    <definedName name="cccccccㅊㅊㅊㅊㅊㅊㅊㅊㅊㅊㅊㅊㅊ">#REF!</definedName>
    <definedName name="CCL">#REF!</definedName>
    <definedName name="CCP">#REF!</definedName>
    <definedName name="ccr">#REF!</definedName>
    <definedName name="Ccy">#REF!</definedName>
    <definedName name="CD">#REF!</definedName>
    <definedName name="Cday">#REF!</definedName>
    <definedName name="CDE" hidden="1">{#N/A,#N/A,TRUE,"일정"}</definedName>
    <definedName name="cdhbkjbkjnkjnlmmn" hidden="1">{#N/A,#N/A,TRUE,"일정"}</definedName>
    <definedName name="CDL">#REF!</definedName>
    <definedName name="CDP">#REF!</definedName>
    <definedName name="CELLNOTE10">#REF!</definedName>
    <definedName name="CELLNOTE4">#REF!</definedName>
    <definedName name="CELLNOTE5">#REF!</definedName>
    <definedName name="CELLNOTE6">#REF!</definedName>
    <definedName name="CellSize">#REF!</definedName>
    <definedName name="CF">#REF!</definedName>
    <definedName name="cf1fc1s4" hidden="1">{#N/A,#N/A,FALSE,"Aging Summary";#N/A,#N/A,FALSE,"Ratio Analysis";#N/A,#N/A,FALSE,"Test 120 Day Accts";#N/A,#N/A,FALSE,"Tickmarks"}</definedName>
    <definedName name="cfclear" hidden="1">{#N/A,#N/A,FALSE,"BS";#N/A,#N/A,FALSE,"PL";#N/A,#N/A,FALSE,"처분";#N/A,#N/A,FALSE,"현금";#N/A,#N/A,FALSE,"매출";#N/A,#N/A,FALSE,"원가";#N/A,#N/A,FALSE,"경영"}</definedName>
    <definedName name="CFP">#REF!</definedName>
    <definedName name="CHECK">#REF!:#REF!</definedName>
    <definedName name="chobae">#N/A</definedName>
    <definedName name="chobu">#N/A</definedName>
    <definedName name="chobub">#N/A</definedName>
    <definedName name="chogu">#N/A</definedName>
    <definedName name="Chonsei_Interest_Rate">#REF!</definedName>
    <definedName name="Chonsei_Unit">#REF!</definedName>
    <definedName name="chopo">#N/A</definedName>
    <definedName name="choto">#N/A</definedName>
    <definedName name="ci" hidden="1">{#N/A,#N/A,FALSE,"단축1";#N/A,#N/A,FALSE,"단축2";#N/A,#N/A,FALSE,"단축3";#N/A,#N/A,FALSE,"장축";#N/A,#N/A,FALSE,"4WD"}</definedName>
    <definedName name="CIQWBGuid" hidden="1">"476f5d56-2f49-456f-b2f9-cd2c53c26ccd"</definedName>
    <definedName name="Circ">#REF!</definedName>
    <definedName name="Citi_Rent_Growth">#REF!</definedName>
    <definedName name="ckc">#REF!</definedName>
    <definedName name="closing">#REF!</definedName>
    <definedName name="Closing_Date">#REF!</definedName>
    <definedName name="Cmonth">#REF!</definedName>
    <definedName name="CoData_Link1">#REF!</definedName>
    <definedName name="Ｃｏｄｅ">#REF!</definedName>
    <definedName name="code1">#REF!</definedName>
    <definedName name="code2">#REF!</definedName>
    <definedName name="ColorNames">#REF!</definedName>
    <definedName name="Com">#REF!</definedName>
    <definedName name="comp">#REF!</definedName>
    <definedName name="Company_Code">#REF!</definedName>
    <definedName name="Company_Name">#REF!</definedName>
    <definedName name="Composite_Land_Tax">#REF!</definedName>
    <definedName name="con">#REF!</definedName>
    <definedName name="CoName1">#REF!</definedName>
    <definedName name="conb1">#REF!</definedName>
    <definedName name="conb10">#REF!</definedName>
    <definedName name="conb100">#REF!</definedName>
    <definedName name="conb101">#REF!</definedName>
    <definedName name="conb102">#REF!</definedName>
    <definedName name="conb103">#REF!</definedName>
    <definedName name="conb104">#REF!</definedName>
    <definedName name="conb105">#REF!</definedName>
    <definedName name="conb106">#REF!</definedName>
    <definedName name="conb107">#REF!</definedName>
    <definedName name="conb108">#REF!</definedName>
    <definedName name="conb109">#REF!</definedName>
    <definedName name="conb11">#REF!</definedName>
    <definedName name="conb110">#REF!</definedName>
    <definedName name="conb111">#REF!</definedName>
    <definedName name="conb112">#REF!</definedName>
    <definedName name="conb113">#REF!</definedName>
    <definedName name="conb114">#REF!</definedName>
    <definedName name="conb115">#REF!</definedName>
    <definedName name="conb116">#REF!</definedName>
    <definedName name="conb117">#REF!</definedName>
    <definedName name="conb118">#REF!</definedName>
    <definedName name="conb119">#REF!</definedName>
    <definedName name="conb12">#REF!</definedName>
    <definedName name="conb120">#REF!</definedName>
    <definedName name="conb121">#REF!</definedName>
    <definedName name="conb13">#REF!</definedName>
    <definedName name="conb14">#REF!</definedName>
    <definedName name="conb15">#REF!</definedName>
    <definedName name="conb16">#REF!</definedName>
    <definedName name="conb17">#REF!</definedName>
    <definedName name="conb18">#REF!</definedName>
    <definedName name="conb19">#REF!</definedName>
    <definedName name="conb2">#REF!</definedName>
    <definedName name="conb20">#REF!</definedName>
    <definedName name="conb21">#REF!</definedName>
    <definedName name="conb22">#REF!</definedName>
    <definedName name="conb23">#REF!</definedName>
    <definedName name="conb24">#REF!</definedName>
    <definedName name="conb25">#REF!</definedName>
    <definedName name="conb26">#REF!</definedName>
    <definedName name="conb27">#REF!</definedName>
    <definedName name="conb28">#REF!</definedName>
    <definedName name="conb29">#REF!</definedName>
    <definedName name="conb3">#REF!</definedName>
    <definedName name="conb30">#REF!</definedName>
    <definedName name="conb31">#REF!</definedName>
    <definedName name="conb33">#REF!</definedName>
    <definedName name="conb34">#REF!</definedName>
    <definedName name="conb36">#REF!</definedName>
    <definedName name="conb37">#REF!</definedName>
    <definedName name="conb38">#REF!</definedName>
    <definedName name="conb39">#REF!</definedName>
    <definedName name="conb4">#REF!</definedName>
    <definedName name="conb40">#REF!</definedName>
    <definedName name="conb41">#REF!</definedName>
    <definedName name="conb42">#REF!</definedName>
    <definedName name="conb43">#REF!</definedName>
    <definedName name="conb44">#REF!</definedName>
    <definedName name="conb45">#REF!</definedName>
    <definedName name="conb46">#REF!</definedName>
    <definedName name="conb47">#REF!</definedName>
    <definedName name="conb48">#REF!</definedName>
    <definedName name="conb49">#REF!</definedName>
    <definedName name="conb5">#REF!</definedName>
    <definedName name="conb50">#REF!</definedName>
    <definedName name="conb51">#REF!</definedName>
    <definedName name="conb52">#REF!</definedName>
    <definedName name="conb53">#REF!</definedName>
    <definedName name="conb54">#REF!</definedName>
    <definedName name="conb55">#REF!</definedName>
    <definedName name="conb58">#REF!</definedName>
    <definedName name="conb59">#REF!</definedName>
    <definedName name="conb6">#REF!</definedName>
    <definedName name="conb60">#REF!</definedName>
    <definedName name="conb61">#REF!</definedName>
    <definedName name="conb62">#REF!</definedName>
    <definedName name="conb63">#REF!</definedName>
    <definedName name="conb64">#REF!</definedName>
    <definedName name="conb65">#REF!</definedName>
    <definedName name="conb66">#REF!</definedName>
    <definedName name="conb67">#REF!</definedName>
    <definedName name="conb68">#REF!</definedName>
    <definedName name="conb69">#REF!</definedName>
    <definedName name="conb7">#REF!</definedName>
    <definedName name="conb70">#REF!</definedName>
    <definedName name="conb71">#REF!</definedName>
    <definedName name="conb72">#REF!</definedName>
    <definedName name="conb73">#REF!</definedName>
    <definedName name="conb74">#REF!</definedName>
    <definedName name="conb75">#REF!</definedName>
    <definedName name="conb76">#REF!</definedName>
    <definedName name="conb77">#REF!</definedName>
    <definedName name="conb78">#REF!</definedName>
    <definedName name="conb79">#REF!</definedName>
    <definedName name="conb8">#REF!</definedName>
    <definedName name="conb80">#REF!</definedName>
    <definedName name="conb81">#REF!</definedName>
    <definedName name="conb82">#REF!</definedName>
    <definedName name="conb83">#REF!</definedName>
    <definedName name="conb84">#REF!</definedName>
    <definedName name="conb85">#REF!</definedName>
    <definedName name="conb86">#REF!</definedName>
    <definedName name="conb87">#REF!</definedName>
    <definedName name="conb88">#REF!</definedName>
    <definedName name="conb89">#REF!</definedName>
    <definedName name="conb9">#REF!</definedName>
    <definedName name="conb90">#REF!</definedName>
    <definedName name="conb91">#REF!</definedName>
    <definedName name="conb92">#REF!</definedName>
    <definedName name="conb93">#REF!</definedName>
    <definedName name="conb94">#REF!</definedName>
    <definedName name="conb95">#REF!</definedName>
    <definedName name="conb96">#REF!</definedName>
    <definedName name="conb97">#REF!</definedName>
    <definedName name="conb98">#REF!</definedName>
    <definedName name="conb99">#REF!</definedName>
    <definedName name="ConstructionCost">#REF!</definedName>
    <definedName name="Contact1">#REF!</definedName>
    <definedName name="Contact2">#REF!</definedName>
    <definedName name="Contact3">#REF!</definedName>
    <definedName name="Contact4">#REF!</definedName>
    <definedName name="Contact5">#REF!</definedName>
    <definedName name="contagiorni">#N/A</definedName>
    <definedName name="CoNum1">#REF!</definedName>
    <definedName name="Conv">#REF!</definedName>
    <definedName name="Conventions">#REF!</definedName>
    <definedName name="CorpTax_Coeff">#REF!</definedName>
    <definedName name="cost">#REF!</definedName>
    <definedName name="CostData">#REF!</definedName>
    <definedName name="Costs_of_Sales">#REF!</definedName>
    <definedName name="Country">#REF!</definedName>
    <definedName name="CountryCode">#REF!</definedName>
    <definedName name="COUNTY">#REF!</definedName>
    <definedName name="COUPPCD">#REF!</definedName>
    <definedName name="Cover">#REF!</definedName>
    <definedName name="CPI_Sambu_RR">#REF!</definedName>
    <definedName name="CR">#REF!</definedName>
    <definedName name="CRa">#REF!</definedName>
    <definedName name="CRb">#REF!</definedName>
    <definedName name="CRC_CorpTax_Coeff">#REF!</definedName>
    <definedName name="CRC_Special_Capital_Gain_Tax">#REF!</definedName>
    <definedName name="CRC_Tax_Base_above100">#REF!</definedName>
    <definedName name="CRC_Tax_Base_below100">#REF!</definedName>
    <definedName name="CRC_Tax_Rental_Above100">#REF!</definedName>
    <definedName name="CRC_Tax_Rental_below100">#REF!</definedName>
    <definedName name="CRC_Tax_Withhold_Capital_Gains">#REF!</definedName>
    <definedName name="CRC_Tax_Withhold_Dividends">#REF!</definedName>
    <definedName name="Credit_Card_Rate">#REF!</definedName>
    <definedName name="crinkled_ctn_blend">#REF!</definedName>
    <definedName name="_xlnm.Criteria">#REF!</definedName>
    <definedName name="Criteria_MI">#REF!</definedName>
    <definedName name="CSTA">#REF!</definedName>
    <definedName name="CSTL">#REF!</definedName>
    <definedName name="CSTR">#REF!</definedName>
    <definedName name="CSTX">#REF!</definedName>
    <definedName name="CubeData">!#REF!</definedName>
    <definedName name="cumule">#REF!</definedName>
    <definedName name="CUR">#REF!</definedName>
    <definedName name="CUR3MTH">6</definedName>
    <definedName name="CUR3MTH_CHG">8</definedName>
    <definedName name="CURCYTD">9</definedName>
    <definedName name="CURMTH">1</definedName>
    <definedName name="CURMYTD">12</definedName>
    <definedName name="Currency">#REF!</definedName>
    <definedName name="Currency_List">#REF!</definedName>
    <definedName name="current">#REF!</definedName>
    <definedName name="Current_Month">#REF!</definedName>
    <definedName name="Current_Month_SvcCharge">#REF!</definedName>
    <definedName name="Current_Tenant_Deposit_Growth">#REF!</definedName>
    <definedName name="Current_Tenant_Rent_Growth">#REF!</definedName>
    <definedName name="Current_Year">#REF!</definedName>
    <definedName name="Customer_Type">#REF!</definedName>
    <definedName name="CY">#REF!</definedName>
    <definedName name="Cyear">#REF!</definedName>
    <definedName name="CYs">#REF!</definedName>
    <definedName name="CYTD_CHG">11</definedName>
    <definedName name="C채권계정과목">#REF!</definedName>
    <definedName name="C채무계정과목">#REF!</definedName>
    <definedName name="D">#REF!</definedName>
    <definedName name="dafadfafadfa" hidden="1">{#N/A,#N/A,FALSE,"Aging Summary";#N/A,#N/A,FALSE,"Ratio Analysis";#N/A,#N/A,FALSE,"Test 120 Day Accts";#N/A,#N/A,FALSE,"Tickmarks"}</definedName>
    <definedName name="Dala">#REF!</definedName>
    <definedName name="DALBAL.PriorPeriod1Balance">#REF!</definedName>
    <definedName name="dalcielo">#REF!,#REF!,#REF!,#REF!,#REF!,#REF!,#REF!</definedName>
    <definedName name="dallanos">#REF!,#REF!,#REF!,#REF!,#REF!,#REF!,#REF!</definedName>
    <definedName name="dalleganza">#REF!,#REF!,#REF!,#REF!,#REF!,#REF!,#REF!</definedName>
    <definedName name="dalnubira">#REF!,#REF!,#REF!,#REF!,#REF!,#REF!,#REF!</definedName>
    <definedName name="dalsung">#REF!,#REF!,#REF!,#REF!,#REF!,#REF!</definedName>
    <definedName name="daltacuma">#REF!,#REF!,#REF!,#REF!,#REF!,#REF!,#REF!</definedName>
    <definedName name="DAT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4">#REF!</definedName>
    <definedName name="DATA5">#REF!</definedName>
    <definedName name="DATA6">#REF!</definedName>
    <definedName name="DATA7">#REF!</definedName>
    <definedName name="DATA8">#REF!</definedName>
    <definedName name="DATA9">#REF!</definedName>
    <definedName name="datab">#REF!</definedName>
    <definedName name="_xlnm.Database">#REF!</definedName>
    <definedName name="Database_MI">#REF!</definedName>
    <definedName name="Date">#REF!</definedName>
    <definedName name="date_lookup_range">#REF!</definedName>
    <definedName name="date2">#REF!</definedName>
    <definedName name="DateColorClear">#REF!</definedName>
    <definedName name="dates">#REF!</definedName>
    <definedName name="Davinci_AnnFee_ofBuyAcq">#REF!</definedName>
    <definedName name="Davinci_AnnFee_ofGrossRev">#REF!</definedName>
    <definedName name="DB">#REF!</definedName>
    <definedName name="DB_AC">#REF!</definedName>
    <definedName name="DB_Ave">#REF!</definedName>
    <definedName name="DB_Increase">#REF!</definedName>
    <definedName name="DB_Plan">#REF!</definedName>
    <definedName name="dbswhdgusdbswhdgus">#REF!</definedName>
    <definedName name="DC_Plan">#REF!</definedName>
    <definedName name="DCFINPUTS">#REF!</definedName>
    <definedName name="DCFMATRIX">#REF!</definedName>
    <definedName name="DD">#REF!</definedName>
    <definedName name="ddd">#REF!</definedName>
    <definedName name="DDDD">#REF!</definedName>
    <definedName name="dddd_1" hidden="1">{#N/A,#N/A,FALSE,"BS";#N/A,#N/A,FALSE,"PL";#N/A,#N/A,FALSE,"A";#N/A,#N/A,FALSE,"B";#N/A,#N/A,FALSE,"B1";#N/A,#N/A,FALSE,"C";#N/A,#N/A,FALSE,"C1";#N/A,#N/A,FALSE,"C2";#N/A,#N/A,FALSE,"D";#N/A,#N/A,FALSE,"E";#N/A,#N/A,FALSE,"F";#N/A,#N/A,FALSE,"AA";#N/A,#N/A,FALSE,"BB";#N/A,#N/A,FALSE,"CC";#N/A,#N/A,FALSE,"DD";#N/A,#N/A,FALSE,"EE";#N/A,#N/A,FALSE,"FF";#N/A,#N/A,FALSE,"PL10";#N/A,#N/A,FALSE,"PL20";#N/A,#N/A,FALSE,"PL30"}</definedName>
    <definedName name="DDDDD">#REF!</definedName>
    <definedName name="dddddddd">#REF!</definedName>
    <definedName name="DDDDDDDDDD" hidden="1">{#N/A,#N/A,TRUE,"Y생산";#N/A,#N/A,TRUE,"Y판매";#N/A,#N/A,TRUE,"Y총물량";#N/A,#N/A,TRUE,"Y능력";#N/A,#N/A,TRUE,"YKD"}</definedName>
    <definedName name="DDDDDDDDDD_1" hidden="1">{#N/A,#N/A,TRUE,"Y생산";#N/A,#N/A,TRUE,"Y판매";#N/A,#N/A,TRUE,"Y총물량";#N/A,#N/A,TRUE,"Y능력";#N/A,#N/A,TRUE,"YKD"}</definedName>
    <definedName name="ddddddddddd">#REF!</definedName>
    <definedName name="DDDDDDDDDDDD" hidden="1">{#N/A,#N/A,FALSE,"표지";#N/A,#N/A,FALSE,"전제";#N/A,#N/A,FALSE,"손익-자 (2)";#N/A,#N/A,FALSE,"손익-자";#N/A,#N/A,FALSE,"손익-마 (2)";#N/A,#N/A,FALSE,"손익-마";#N/A,#N/A,FALSE,"총손최종"}</definedName>
    <definedName name="DDDDDDDDDDDDD" hidden="1">#REF!</definedName>
    <definedName name="dddddddddddddddd">#REF!</definedName>
    <definedName name="dddddddddddddddddd" hidden="1">{#N/A,#N/A,FALSE,"Aging Summary";#N/A,#N/A,FALSE,"Ratio Analysis";#N/A,#N/A,FALSE,"Test 120 Day Accts";#N/A,#N/A,FALSE,"Tickmarks"}</definedName>
    <definedName name="dddddddddddddddddddddddddddddddddd">#REF!</definedName>
    <definedName name="ddddddddddddddddddddddddddddddddddddddddddddddddddddd">#REF!</definedName>
    <definedName name="DDFDF" hidden="1">#REF!</definedName>
    <definedName name="Deal_Name">#REF!</definedName>
    <definedName name="debt">#REF!</definedName>
    <definedName name="Debt_BreakFee">#REF!</definedName>
    <definedName name="Debt_Ratio">#REF!</definedName>
    <definedName name="DebtType">#REF!</definedName>
    <definedName name="DEC.GH">#REF!</definedName>
    <definedName name="deduction">#REF!</definedName>
    <definedName name="DEFERRED">#REF!</definedName>
    <definedName name="DEFERRED2">#REF!</definedName>
    <definedName name="deferred3">#REF!</definedName>
    <definedName name="dek">#REF!</definedName>
    <definedName name="Deloitte.">#REF!</definedName>
    <definedName name="DELPHONE">#N/A</definedName>
    <definedName name="delta">#REF!</definedName>
    <definedName name="delta1">#REF!</definedName>
    <definedName name="delta2">#REF!</definedName>
    <definedName name="dep_rate">#REF!</definedName>
    <definedName name="deposit">#REF!</definedName>
    <definedName name="deposit_raise">#REF!</definedName>
    <definedName name="deposit_rate">#REF!</definedName>
    <definedName name="Depreciation">#REF!</definedName>
    <definedName name="DEPT">#REF!</definedName>
    <definedName name="dererred4">#REF!</definedName>
    <definedName name="Description">#REF!</definedName>
    <definedName name="DESIGN">#REF!</definedName>
    <definedName name="detail">#REF!</definedName>
    <definedName name="detailbalance">#REF!</definedName>
    <definedName name="detteis">#REF!</definedName>
    <definedName name="Deutsche">#REF!</definedName>
    <definedName name="Develop">#REF!</definedName>
    <definedName name="devs">#REF!</definedName>
    <definedName name="DF" hidden="1">{#N/A,#N/A,FALSE,"Aging Summary";#N/A,#N/A,FALSE,"Ratio Analysis";#N/A,#N/A,FALSE,"Test 120 Day Accts";#N/A,#N/A,FALSE,"Tickmarks"}</definedName>
    <definedName name="dfadfdafdafdafd" hidden="1">{#N/A,#N/A,FALSE,"Aging Summary";#N/A,#N/A,FALSE,"Ratio Analysis";#N/A,#N/A,FALSE,"Test 120 Day Accts";#N/A,#N/A,FALSE,"Tickmarks"}</definedName>
    <definedName name="dfddf">#REF!</definedName>
    <definedName name="DFDF" hidden="1">{#N/A,#N/A,FALSE,"Aging Summary";#N/A,#N/A,FALSE,"Ratio Analysis";#N/A,#N/A,FALSE,"Test 120 Day Accts";#N/A,#N/A,FALSE,"Tickmarks"}</definedName>
    <definedName name="DFDFDFD" hidden="1">{#N/A,#N/A,FALSE,"Aging Summary";#N/A,#N/A,FALSE,"Ratio Analysis";#N/A,#N/A,FALSE,"Test 120 Day Accts";#N/A,#N/A,FALSE,"Tickmarks"}</definedName>
    <definedName name="dff"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dfg" hidden="1">{#N/A,#N/A,TRUE,"Assumptions";#N/A,#N/A,TRUE,"Sources of Revenue";#N/A,#N/A,TRUE,"P&amp;L";#N/A,#N/A,TRUE,"Bal. Sheet";#N/A,#N/A,TRUE,"Rights Issue &amp; X Adjustment";#N/A,#N/A,TRUE,"Transaction Model"}</definedName>
    <definedName name="dfgbr" hidden="1">#REF!</definedName>
    <definedName name="DFGDF">#REF!</definedName>
    <definedName name="DFGFHY">#REF!</definedName>
    <definedName name="dfghdfghhdfh" hidden="1">{#N/A,#N/A,TRUE,"Assumptions";#N/A,#N/A,TRUE,"Sources of Revenue";#N/A,#N/A,TRUE,"P&amp;L";#N/A,#N/A,TRUE,"Bal. Sheet";#N/A,#N/A,TRUE,"Rights Issue &amp; X Adjustment";#N/A,#N/A,TRUE,"Transaction Model"}</definedName>
    <definedName name="dfjk" hidden="1">#REF!</definedName>
    <definedName name="DFSDFS" hidden="1">#REF!</definedName>
    <definedName name="DG_Company_Info">#REF!</definedName>
    <definedName name="DG_Empl_Category">#REF!</definedName>
    <definedName name="DG_Highest_Qual">#REF!</definedName>
    <definedName name="DG_Important_Notes">#REF!</definedName>
    <definedName name="DG_Incumbent_Basic">#REF!</definedName>
    <definedName name="DG_Incumbent_Compensation">#REF!</definedName>
    <definedName name="DG_Industry_List">#REF!</definedName>
    <definedName name="DG_Terms_Definitions">#REF!</definedName>
    <definedName name="DG_Toolbar">#REF!</definedName>
    <definedName name="dgffdh" hidden="1">{#N/A,#N/A,TRUE,"Assumptions";#N/A,#N/A,TRUE,"Sources of Revenue";#N/A,#N/A,TRUE,"P&amp;L";#N/A,#N/A,TRUE,"Bal. Sheet";#N/A,#N/A,TRUE,"Rights Issue &amp; X Adjustment";#N/A,#N/A,TRUE,"Transaction Model"}</definedName>
    <definedName name="DGFHTJTYKHJMKJ">#REF!</definedName>
    <definedName name="dhdhdh">#REF!</definedName>
    <definedName name="DI">#REF!</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ifferc">#REF!,#REF!,#REF!,#REF!,#REF!</definedName>
    <definedName name="differe">#REF!,#REF!,#REF!,#REF!,#REF!,#REF!</definedName>
    <definedName name="DIFFERLANOS">#REF!,#REF!,#REF!,#REF!,#REF!,#REF!</definedName>
    <definedName name="DIFFERT">#REF!,#REF!,#REF!,#REF!,#REF!,#REF!</definedName>
    <definedName name="DIFFERV">#REF!,#REF!,#REF!,#REF!,#REF!,#REF!</definedName>
    <definedName name="DIR">#REF!</definedName>
    <definedName name="DIS" hidden="1">#REF!</definedName>
    <definedName name="Discount">#REF!</definedName>
    <definedName name="Discount_Factor">#REF!</definedName>
    <definedName name="Discount_Period">#REF!</definedName>
    <definedName name="discount_rate">#REF!</definedName>
    <definedName name="DISPLAY_DIALOG">#REF!</definedName>
    <definedName name="DisplaySelectedSheetsMacroButton">#REF!</definedName>
    <definedName name="dispo_date">#REF!</definedName>
    <definedName name="dispo_date_lookup">#REF!</definedName>
    <definedName name="dispo_fee">#REF!</definedName>
    <definedName name="DISTR">#REF!</definedName>
    <definedName name="DIV">#REF!</definedName>
    <definedName name="DJQAN" hidden="1">{#N/A,#N/A,TRUE,"대 차 대 조 표"}</definedName>
    <definedName name="DJQAN_1" hidden="1">{#N/A,#N/A,TRUE,"대 차 대 조 표"}</definedName>
    <definedName name="dk" hidden="1">{#N/A,#N/A,FALSE,"3가";#N/A,#N/A,FALSE,"3나";#N/A,#N/A,FALSE,"3다"}</definedName>
    <definedName name="dkd" hidden="1">{#N/A,#N/A,FALSE,"1.CRITERIA";#N/A,#N/A,FALSE,"2.IS";#N/A,#N/A,FALSE,"3.BS";#N/A,#N/A,FALSE,"4.PER PL";#N/A,#N/A,FALSE,"5.INVESTMENT";#N/A,#N/A,FALSE,"6.공문";#N/A,#N/A,FALSE,"7.netinvest"}</definedName>
    <definedName name="DKDI">#REF!</definedName>
    <definedName name="DKDKFG8TBTB2RT">#REF!</definedName>
    <definedName name="dkdlrh" hidden="1">{"'Sheet1'!$A$1:$D$15"}</definedName>
    <definedName name="dkf" hidden="1">{#N/A,#N/A,FALSE,"채산3501.XLS";#N/A,#N/A,FALSE,"신조수A.XLS";#N/A,#N/A,FALSE,"신조수b.XLS";#N/A,#N/A,FALSE,"채산3502.XLS";#N/A,#N/A,FALSE,"신조원리.XLS";#N/A,#N/A,FALSE,"신조감가.XLS"}</definedName>
    <definedName name="DKS" hidden="1">{#N/A,#N/A,FALSE,"3가";#N/A,#N/A,FALSE,"3나";#N/A,#N/A,FALSE,"3다"}</definedName>
    <definedName name="dkskslfjklsd" hidden="1">{#N/A,#N/A,FALSE,"1.CRITERIA";#N/A,#N/A,FALSE,"2.IS";#N/A,#N/A,FALSE,"3.BS";#N/A,#N/A,FALSE,"4.PER PL";#N/A,#N/A,FALSE,"5.INVESTMENT";#N/A,#N/A,FALSE,"6.공문";#N/A,#N/A,FALSE,"7.netinvest"}</definedName>
    <definedName name="dl">#REF!</definedName>
    <definedName name="DLF" hidden="1">{#N/A,#N/A,TRUE,"일정"}</definedName>
    <definedName name="DLS" hidden="1">{#N/A,#N/A,TRUE,"Y생산";#N/A,#N/A,TRUE,"Y판매";#N/A,#N/A,TRUE,"Y총물량";#N/A,#N/A,TRUE,"Y능력";#N/A,#N/A,TRUE,"YKD"}</definedName>
    <definedName name="DLTMD" hidden="1">#N/A</definedName>
    <definedName name="dltmdwo">#N/A</definedName>
    <definedName name="DOCS">#N/A</definedName>
    <definedName name="Document_array">{"Book1"}</definedName>
    <definedName name="DOL">#REF!</definedName>
    <definedName name="DOMESTIC">#REF!</definedName>
    <definedName name="domestic_ctn_twill">#REF!</definedName>
    <definedName name="Dongjin">#REF!</definedName>
    <definedName name="DOOR">#REF!</definedName>
    <definedName name="DPS">#REF!</definedName>
    <definedName name="D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RAW_COM">#REF!</definedName>
    <definedName name="DRAW_COM2">#REF!</definedName>
    <definedName name="DRAW_TICK">#REF!</definedName>
    <definedName name="DRIVEABILITY" hidden="1">{#N/A,#N/A,FALSE,"단축1";#N/A,#N/A,FALSE,"단축2";#N/A,#N/A,FALSE,"단축3";#N/A,#N/A,FALSE,"장축";#N/A,#N/A,FALSE,"4WD"}</definedName>
    <definedName name="DROW">#N/A</definedName>
    <definedName name="dsafasd" hidden="1">{#N/A,#N/A,FALSE,"BS";#N/A,#N/A,FALSE,"PL";#N/A,#N/A,FALSE,"처분";#N/A,#N/A,FALSE,"현금";#N/A,#N/A,FALSE,"매출";#N/A,#N/A,FALSE,"원가";#N/A,#N/A,FALSE,"경영"}</definedName>
    <definedName name="dsasdf" hidden="1">{#N/A,#N/A,TRUE,"Assumptions";#N/A,#N/A,TRUE,"Sources of Revenue";#N/A,#N/A,TRUE,"P&amp;L";#N/A,#N/A,TRUE,"Bal. Sheet";#N/A,#N/A,TRUE,"Rights Issue &amp; X Adjustment";#N/A,#N/A,TRUE,"Transaction Model"}</definedName>
    <definedName name="DSF" hidden="1">#REF!</definedName>
    <definedName name="dsjflsajf" hidden="1">{#N/A,#N/A,FALSE,"BS";#N/A,#N/A,FALSE,"PL";#N/A,#N/A,FALSE,"처분";#N/A,#N/A,FALSE,"현금";#N/A,#N/A,FALSE,"매출";#N/A,#N/A,FALSE,"원가";#N/A,#N/A,FALSE,"경영"}</definedName>
    <definedName name="DSL" hidden="1">{#N/A,#N/A,FALSE,"단축1";#N/A,#N/A,FALSE,"단축2";#N/A,#N/A,FALSE,"단축3";#N/A,#N/A,FALSE,"장축";#N/A,#N/A,FALSE,"4WD"}</definedName>
    <definedName name="DU7월Order_J">#REF!</definedName>
    <definedName name="DU7월Order_V">#REF!</definedName>
    <definedName name="DU8월Order_J">#REF!</definedName>
    <definedName name="DU8월Order_V">#REF!</definedName>
    <definedName name="dud" hidden="1">{#N/A,#N/A,FALSE,"Aging Summary";#N/A,#N/A,FALSE,"Ratio Analysis";#N/A,#N/A,FALSE,"Test 120 Day Accts";#N/A,#N/A,FALSE,"Tickmarks"}</definedName>
    <definedName name="DUMP일정" hidden="1">{#N/A,#N/A,FALSE,"신규dep";#N/A,#N/A,FALSE,"신규dep-금형상각후";#N/A,#N/A,FALSE,"신규dep-연구비상각후";#N/A,#N/A,FALSE,"신규dep-기계,공구상각후"}</definedName>
    <definedName name="dwsev01">#REF!</definedName>
    <definedName name="dyna">#REF!</definedName>
    <definedName name="Dyna_Process">#REF!</definedName>
    <definedName name="dㄴㄹㅇ" hidden="1">{#N/A,#N/A,FALSE,"Aging Summary";#N/A,#N/A,FALSE,"Ratio Analysis";#N/A,#N/A,FALSE,"Test 120 Day Accts";#N/A,#N/A,FALSE,"Tickmarks"}</definedName>
    <definedName name="e" hidden="1">#REF!</definedName>
    <definedName name="ea" hidden="1">{#N/A,#N/A,FALSE,"Aging Summary";#N/A,#N/A,FALSE,"Ratio Analysis";#N/A,#N/A,FALSE,"Test 120 Day Accts";#N/A,#N/A,FALSE,"Tickmarks"}</definedName>
    <definedName name="EC_Plan">#REF!</definedName>
    <definedName name="ECOF">#REF!</definedName>
    <definedName name="EDPSP">#REF!</definedName>
    <definedName name="EE">#REF!</definedName>
    <definedName name="EEC">#N/A</definedName>
    <definedName name="eee" hidden="1">{#N/A,#N/A,TRUE,"Assumptions";#N/A,#N/A,TRUE,"Sources of Revenue";#N/A,#N/A,TRUE,"P&amp;L";#N/A,#N/A,TRUE,"Bal. Sheet";#N/A,#N/A,TRUE,"Rights Issue &amp; X Adjustment";#N/A,#N/A,TRUE,"Transaction Model"}</definedName>
    <definedName name="eeee" hidden="1">#REF!</definedName>
    <definedName name="eeeee" hidden="1">#REF!</definedName>
    <definedName name="EEEEEE">#REF!</definedName>
    <definedName name="eeeeeeee">#REF!</definedName>
    <definedName name="eeeeeeeeeeeee">#REF!</definedName>
    <definedName name="eeeeeeeeeeeeeee" hidden="1">{"'호선별현황(방식)'!$K$22:$P$22","'호선별현황(방식)'!$K$22:$P$22"}</definedName>
    <definedName name="eeeeeeeeeeeeeeeeeeeeeee">#REF!</definedName>
    <definedName name="efewf" hidden="1">#N/A</definedName>
    <definedName name="EffDate">#REF!</definedName>
    <definedName name="EGPSP">#REF!</definedName>
    <definedName name="EI">#REF!</definedName>
    <definedName name="EKA_Adj">#REF!</definedName>
    <definedName name="EKA_Fut">#REF!</definedName>
    <definedName name="EKA_Stk">#REF!</definedName>
    <definedName name="EKC">#REF!</definedName>
    <definedName name="eland">#REF!</definedName>
    <definedName name="ELC">#REF!</definedName>
    <definedName name="ELG">#REF!</definedName>
    <definedName name="ELSK" hidden="1">{#N/A,#N/A,FALSE,"1.CRITERIA";#N/A,#N/A,FALSE,"2.IS";#N/A,#N/A,FALSE,"3.BS";#N/A,#N/A,FALSE,"4.PER PL";#N/A,#N/A,FALSE,"5.INVESTMENT";#N/A,#N/A,FALSE,"6.공문";#N/A,#N/A,FALSE,"7.netinvest"}</definedName>
    <definedName name="Email">#REF!</definedName>
    <definedName name="EMC_종평보고" hidden="1">#REF!</definedName>
    <definedName name="EMEABUDGET">#REF!</definedName>
    <definedName name="EMEASUMMARY">#REF!</definedName>
    <definedName name="Employee">#REF!</definedName>
    <definedName name="Empty">#REF!,#REF!,#REF!</definedName>
    <definedName name="end">#REF!</definedName>
    <definedName name="END_SHARE">#REF!</definedName>
    <definedName name="ENG">#REF!</definedName>
    <definedName name="ENG_COOLG">#REF!</definedName>
    <definedName name="eng감가">#REF!</definedName>
    <definedName name="eng매출">#REF!</definedName>
    <definedName name="ENG배부">#REF!</definedName>
    <definedName name="eng인원">#REF!</definedName>
    <definedName name="EntryYield">#REF!</definedName>
    <definedName name="EntryYield_GoalSeek">#REF!</definedName>
    <definedName name="eo" hidden="1">{#N/A,#N/A,FALSE,"BS";#N/A,#N/A,FALSE,"PL";#N/A,#N/A,FALSE,"처분";#N/A,#N/A,FALSE,"현금";#N/A,#N/A,FALSE,"매출";#N/A,#N/A,FALSE,"원가";#N/A,#N/A,FALSE,"경영"}</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quity">#REF!</definedName>
    <definedName name="er">#REF!</definedName>
    <definedName name="ERGFDG">#REF!</definedName>
    <definedName name="ErrorCode_Table">#REF!</definedName>
    <definedName name="ert" hidden="1">{#N/A,#N/A,TRUE,"Y생산";#N/A,#N/A,TRUE,"Y판매";#N/A,#N/A,TRUE,"Y총물량";#N/A,#N/A,TRUE,"Y능력";#N/A,#N/A,TRUE,"YKD"}</definedName>
    <definedName name="ertyweg" hidden="1">#REF!</definedName>
    <definedName name="erwweqr" hidden="1">#REF!</definedName>
    <definedName name="eryhetyjufkg" hidden="1">#REF!</definedName>
    <definedName name="es" hidden="1">{#N/A,#N/A,FALSE,"Aging Summary";#N/A,#N/A,FALSE,"Ratio Analysis";#N/A,#N/A,FALSE,"Test 120 Day Accts";#N/A,#N/A,FALSE,"Tickmarks"}</definedName>
    <definedName name="esafasf" hidden="1">#REF!</definedName>
    <definedName name="esc">#REF!</definedName>
    <definedName name="escalation">#REF!</definedName>
    <definedName name="Escalation_Rate">#REF!</definedName>
    <definedName name="EscRate">#REF!</definedName>
    <definedName name="et">#REF!</definedName>
    <definedName name="EUATP">#REF!</definedName>
    <definedName name="Euroup_V5" hidden="1">#N/A</definedName>
    <definedName name="EV__LASTREFTIME__" hidden="1">"2018-09-14 오전 10:20:22"</definedName>
    <definedName name="evict_smarket">#REF!</definedName>
    <definedName name="ewe">#REF!</definedName>
    <definedName name="ex">#REF!</definedName>
    <definedName name="excess" hidden="1">{#N/A,#N/A,FALSE,"품의서";#N/A,#N/A,FALSE,"전제";#N/A,#N/A,FALSE,"총손";#N/A,#N/A,FALSE,"손익";#N/A,#N/A,FALSE,"대당";#N/A,#N/A,FALSE,"가공비";#N/A,#N/A,FALSE,"재료비";#N/A,#N/A,FALSE,"판비";#N/A,#N/A,FALSE,"가격"}</definedName>
    <definedName name="exch">#REF!</definedName>
    <definedName name="Exch_Rate_End_Of_Period">#REF!</definedName>
    <definedName name="Exchange_Rate">#REF!</definedName>
    <definedName name="EXCLUDE">#N/A</definedName>
    <definedName name="EXDATE">#REF!</definedName>
    <definedName name="existing_key_money">#REF!</definedName>
    <definedName name="existing_occupancy">#REF!</definedName>
    <definedName name="Exit_Cap">#REF!</definedName>
    <definedName name="Exit_Cost">#REF!</definedName>
    <definedName name="Exit_Date">#REF!</definedName>
    <definedName name="Exit_Price">#REF!</definedName>
    <definedName name="Exit_Reversion">#REF!</definedName>
    <definedName name="Exit_Term">#REF!</definedName>
    <definedName name="EXP">#REF!</definedName>
    <definedName name="ExpandOutputs">#REF!</definedName>
    <definedName name="ExpandVPeriods">#REF!</definedName>
    <definedName name="Expenses">#REF!</definedName>
    <definedName name="ExportFile">#REF!</definedName>
    <definedName name="EXT" hidden="1">{#N/A,#N/A,TRUE,"일정"}</definedName>
    <definedName name="External_Renovation">#REF!</definedName>
    <definedName name="_xlnm.Extract">#REF!</definedName>
    <definedName name="Extract_MI">#REF!</definedName>
    <definedName name="EXTT" hidden="1">{#N/A,#N/A,TRUE,"일정"}</definedName>
    <definedName name="E매출">#REF!</definedName>
    <definedName name="E이자">#REF!</definedName>
    <definedName name="e인원">#REF!</definedName>
    <definedName name="F" hidden="1">{#N/A,#N/A,FALSE,"96 3월물량표";#N/A,#N/A,FALSE,"96 4월물량표";#N/A,#N/A,FALSE,"96 5월물량표"}</definedName>
    <definedName name="F?LZEICHEN">#REF!</definedName>
    <definedName name="F_123">#N/A</definedName>
    <definedName name="FA">#REF!</definedName>
    <definedName name="factor">#REF!</definedName>
    <definedName name="Factor2">#REF!</definedName>
    <definedName name="Factor3">#REF!</definedName>
    <definedName name="Factor4a">#REF!</definedName>
    <definedName name="FAKOR">#REF!</definedName>
    <definedName name="Fall1차" hidden="1">{#N/A,#N/A,FALSE,"95FW"}</definedName>
    <definedName name="fasdfadf" hidden="1">{#N/A,#N/A,FALSE,"Aging Summary";#N/A,#N/A,FALSE,"Ratio Analysis";#N/A,#N/A,FALSE,"Test 120 Day Accts";#N/A,#N/A,FALSE,"Tickmarks"}</definedName>
    <definedName name="Fax">#REF!</definedName>
    <definedName name="FA증감">#REF!</definedName>
    <definedName name="fchynd" hidden="1">{#N/A,#N/A,FALSE,"Aging Summary";#N/A,#N/A,FALSE,"Ratio Analysis";#N/A,#N/A,FALSE,"Test 120 Day Accts";#N/A,#N/A,FALSE,"Tickmarks"}</definedName>
    <definedName name="FD" hidden="1">{#N/A,#N/A,FALSE,"Aging Summary";#N/A,#N/A,FALSE,"Ratio Analysis";#N/A,#N/A,FALSE,"Test 120 Day Accts";#N/A,#N/A,FALSE,"Tickmarks"}</definedName>
    <definedName name="fdasfds">#REF!</definedName>
    <definedName name="FDF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S">#REF!</definedName>
    <definedName name="FE">#REF!</definedName>
    <definedName name="Fee">#REF!</definedName>
    <definedName name="feee" hidden="1">{"'買掛金'!$J$6"}</definedName>
    <definedName name="Fees">#REF!</definedName>
    <definedName name="FF">#REF!</definedName>
    <definedName name="ffee" hidden="1">{"'買掛金'!$J$6"}</definedName>
    <definedName name="F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fff">#REF!</definedName>
    <definedName name="ffffffffffffffffffffffffffffffffffffffffffffffffffffffffff">#REF!</definedName>
    <definedName name="FFGFG" hidden="1">#REF!</definedName>
    <definedName name="FG">#REF!</definedName>
    <definedName name="FG10TBTB2RT">#REF!</definedName>
    <definedName name="FG12TBTB2RTDKDKGMLRT">#REF!</definedName>
    <definedName name="FG22TBTB3RTDKDKDK">#REF!</definedName>
    <definedName name="FG46TBTB4RTDKDK">#REF!</definedName>
    <definedName name="FGDG">#REF!</definedName>
    <definedName name="FGGHGFHJ" hidden="1">{#N/A,#N/A,FALSE,"단축1";#N/A,#N/A,FALSE,"단축2";#N/A,#N/A,FALSE,"단축3";#N/A,#N/A,FALSE,"장축";#N/A,#N/A,FALSE,"4WD"}</definedName>
    <definedName name="fghj" hidden="1">{#N/A,#N/A,TRUE,"Assumptions";#N/A,#N/A,TRUE,"Sources of Revenue";#N/A,#N/A,TRUE,"P&amp;L";#N/A,#N/A,TRUE,"Bal. Sheet";#N/A,#N/A,TRUE,"Rights Issue &amp; X Adjustment";#N/A,#N/A,TRUE,"Transaction Model"}</definedName>
    <definedName name="FGHJFGHJ" hidden="1">{#N/A,#N/A,TRUE,"Assumptions";#N/A,#N/A,TRUE,"Sources of Revenue";#N/A,#N/A,TRUE,"P&amp;L";#N/A,#N/A,TRUE,"Bal. Sheet";#N/A,#N/A,TRUE,"Rights Issue &amp; X Adjustment";#N/A,#N/A,TRUE,"Transaction Model"}</definedName>
    <definedName name="fghjfgkj" hidden="1">{#N/A,#N/A,TRUE,"Assumptions";#N/A,#N/A,TRUE,"Sources of Revenue";#N/A,#N/A,TRUE,"P&amp;L";#N/A,#N/A,TRUE,"Bal. Sheet";#N/A,#N/A,TRUE,"Rights Issue &amp; X Adjustment";#N/A,#N/A,TRUE,"Transaction Model"}</definedName>
    <definedName name="FGHJFJ" hidden="1">{#N/A,#N/A,TRUE,"Assumptions";#N/A,#N/A,TRUE,"Sources of Revenue";#N/A,#N/A,TRUE,"P&amp;L";#N/A,#N/A,TRUE,"Bal. Sheet";#N/A,#N/A,TRUE,"Rights Issue &amp; X Adjustment";#N/A,#N/A,TRUE,"Transaction Model"}</definedName>
    <definedName name="fgj" hidden="1">{"'호선별현황(방식)'!$K$22:$P$22","'호선별현황(방식)'!$K$22:$P$22"}</definedName>
    <definedName name="fgPRPRRKRKRKRKRKTBTB2RT">#REF!</definedName>
    <definedName name="FGPRTBTB1RTDKDK">#REF!</definedName>
    <definedName name="FGRKBS11TBTB3RTDKDK">#REF!</definedName>
    <definedName name="FGrkbs7tbtbsprt">#REF!</definedName>
    <definedName name="fgRKBS8TBTB3RT">#REF!</definedName>
    <definedName name="FGRKRKRKRKRKRKRKRKRKTBTB1RTDKDK">#REF!</definedName>
    <definedName name="fgRKRKRKRKRKTBTB2RTDKDK">#REF!</definedName>
    <definedName name="FGtbtbspspsprtdkdk">#REF!</definedName>
    <definedName name="FHGFHJGHJK">#REF!</definedName>
    <definedName name="File">#REF!</definedName>
    <definedName name="FINAL_FS">#N/A</definedName>
    <definedName name="finalReport">#N/A</definedName>
    <definedName name="Financials">#REF!</definedName>
    <definedName name="Financing_Fee">#REF!</definedName>
    <definedName name="findingss" hidden="1">{#N/A,#N/A,FALSE,"Aging Summary";#N/A,#N/A,FALSE,"Ratio Analysis";#N/A,#N/A,FALSE,"Test 120 Day Accts";#N/A,#N/A,FALSE,"Tickmarks"}</definedName>
    <definedName name="FinishedGoods">#REF!</definedName>
    <definedName name="FirstCell">#REF!</definedName>
    <definedName name="FirstFinYearEnd">#REF!</definedName>
    <definedName name="Fiscal_term">#REF!</definedName>
    <definedName name="FJD" hidden="1">{#N/A,#N/A,FALSE,"단축1";#N/A,#N/A,FALSE,"단축2";#N/A,#N/A,FALSE,"단축3";#N/A,#N/A,FALSE,"장축";#N/A,#N/A,FALSE,"4WD"}</definedName>
    <definedName name="fjdks" hidden="1">{#N/A,#N/A,FALSE,"Aging Summary";#N/A,#N/A,FALSE,"Ratio Analysis";#N/A,#N/A,FALSE,"Test 120 Day Accts";#N/A,#N/A,FALSE,"Tickmarks"}</definedName>
    <definedName name="fkla" hidden="1">{#N/A,#N/A,TRUE,"Y생산";#N/A,#N/A,TRUE,"Y판매";#N/A,#N/A,TRUE,"Y총물량";#N/A,#N/A,TRUE,"Y능력";#N/A,#N/A,TRUE,"YKD"}</definedName>
    <definedName name="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AG1">#REF!</definedName>
    <definedName name="FLAG2">#REF!</definedName>
    <definedName name="FLAG3">#REF!</definedName>
    <definedName name="FLAG4">#REF!</definedName>
    <definedName name="Flex_Plan">#REF!</definedName>
    <definedName name="FLEXIBLE.T.L" hidden="1">{#N/A,#N/A,FALSE,"단축1";#N/A,#N/A,FALSE,"단축2";#N/A,#N/A,FALSE,"단축3";#N/A,#N/A,FALSE,"장축";#N/A,#N/A,FALSE,"4WD"}</definedName>
    <definedName name="Floors">#REF!</definedName>
    <definedName name="FM계약일할" hidden="1">{#N/A,#N/A,TRUE,"대 차 대 조 표"}</definedName>
    <definedName name="FM계약일할_1" hidden="1">{#N/A,#N/A,TRUE,"대 차 대 조 표"}</definedName>
    <definedName name="Fo">#REF!</definedName>
    <definedName name="FO_02">68700</definedName>
    <definedName name="Fondi_ammortamento">#REF!:#REF!</definedName>
    <definedName name="forex">#REF!</definedName>
    <definedName name="Format">#REF!</definedName>
    <definedName name="formulas">#REF!</definedName>
    <definedName name="fournimmo">#REF!</definedName>
    <definedName name="FR">#REF!</definedName>
    <definedName name="frg" hidden="1">{#N/A,#N/A,FALSE,"표지";#N/A,#N/A,FALSE,"전제";#N/A,#N/A,FALSE,"손익-자 (2)";#N/A,#N/A,FALSE,"손익-자";#N/A,#N/A,FALSE,"손익-마 (2)";#N/A,#N/A,FALSE,"손익-마";#N/A,#N/A,FALSE,"총손최종"}</definedName>
    <definedName name="fs">#REF!</definedName>
    <definedName name="FU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ullMth">#REF!</definedName>
    <definedName name="Function_List1">#REF!</definedName>
    <definedName name="Function_List2">#REF!</definedName>
    <definedName name="Funding">#REF!</definedName>
    <definedName name="FVF" hidden="1">#REF!</definedName>
    <definedName name="fx">#REF!</definedName>
    <definedName name="G" hidden="1">{#N/A,#N/A,FALSE,"96 3월물량표";#N/A,#N/A,FALSE,"96 4월물량표";#N/A,#N/A,FALSE,"96 5월물량표"}</definedName>
    <definedName name="ga" hidden="1">{#N/A,#N/A,FALSE,"Aging Summary";#N/A,#N/A,FALSE,"Ratio Analysis";#N/A,#N/A,FALSE,"Test 120 Day Accts";#N/A,#N/A,FALSE,"Tickmarks"}</definedName>
    <definedName name="GALP">#REF!</definedName>
    <definedName name="GandA97">#REF!</definedName>
    <definedName name="gd" hidden="1">#REF!</definedName>
    <definedName name="gdmhgdmhg" hidden="1">{#N/A,#N/A,TRUE,"일정"}</definedName>
    <definedName name="GDP">#REF!</definedName>
    <definedName name="GE_Share">#REF!</definedName>
    <definedName name="GECC_Share">#REF!</definedName>
    <definedName name="General">#REF!</definedName>
    <definedName name="GF">#REF!</definedName>
    <definedName name="GFA">#REF!</definedName>
    <definedName name="GFA_Before">#REF!</definedName>
    <definedName name="GFACJ">#REF!</definedName>
    <definedName name="gfasdgasgasd" hidden="1">#REF!</definedName>
    <definedName name="GFD" hidden="1">{#N/A,#N/A,TRUE,"일정"}</definedName>
    <definedName name="GFHGJ" hidden="1">{#N/A,#N/A,TRUE,"Y생산";#N/A,#N/A,TRUE,"Y판매";#N/A,#N/A,TRUE,"Y총물량";#N/A,#N/A,TRUE,"Y능력";#N/A,#N/A,TRUE,"YKD"}</definedName>
    <definedName name="gfld" hidden="1">{#N/A,#N/A,TRUE,"Y생산";#N/A,#N/A,TRUE,"Y판매";#N/A,#N/A,TRUE,"Y총물량";#N/A,#N/A,TRUE,"Y능력";#N/A,#N/A,TRUE,"YKD"}</definedName>
    <definedName name="GG">#REF!</definedName>
    <definedName name="gg_1" hidden="1">{#N/A,#N/A,FALSE,"Aging Summary";#N/A,#N/A,FALSE,"Ratio Analysis";#N/A,#N/A,FALSE,"Test 120 Day Accts";#N/A,#N/A,FALSE,"Tickmarks"}</definedName>
    <definedName name="GGG" hidden="1">{"'Sheet1'!$A$1:$H$36"}</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ggggggggg" hidden="1">{#N/A,#N/A,FALSE,"SILO현황";#N/A,#N/A,FALSE,"타업체";#N/A,#N/A,FALSE,"생산능력"}</definedName>
    <definedName name="gggggggggggggggggggggggggggggggg">#REF!</definedName>
    <definedName name="GH">#REF!</definedName>
    <definedName name="GHGF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J">#REF!</definedName>
    <definedName name="GHHH" hidden="1">#REF!</definedName>
    <definedName name="GHJGH">#REF!</definedName>
    <definedName name="GHKJL">#REF!</definedName>
    <definedName name="GHLDML" hidden="1">{#N/A,#N/A,FALSE,"품의서";#N/A,#N/A,FALSE,"전제";#N/A,#N/A,FALSE,"총손";#N/A,#N/A,FALSE,"손익"}</definedName>
    <definedName name="GHUTGHF" hidden="1">{#N/A,#N/A,FALSE,"96 3월물량표";#N/A,#N/A,FALSE,"96 4월물량표";#N/A,#N/A,FALSE,"96 5월물량표"}</definedName>
    <definedName name="GJGK" hidden="1">{#N/A,#N/A,FALSE,"표지";#N/A,#N/A,FALSE,"전제";#N/A,#N/A,FALSE,"손익-자 (2)";#N/A,#N/A,FALSE,"손익-자";#N/A,#N/A,FALSE,"손익-마 (2)";#N/A,#N/A,FALSE,"손익-마";#N/A,#N/A,FALSE,"총손최종"}</definedName>
    <definedName name="GJT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JYKU" hidden="1">{#N/A,#N/A,TRUE,"Y생산";#N/A,#N/A,TRUE,"Y판매";#N/A,#N/A,TRUE,"Y총물량";#N/A,#N/A,TRUE,"Y능력";#N/A,#N/A,TRUE,"YKD"}</definedName>
    <definedName name="gksthf">BlankMacro1</definedName>
    <definedName name="GL_Balance">#REF!</definedName>
    <definedName name="GLS">#REF!</definedName>
    <definedName name="GRACE">#REF!</definedName>
    <definedName name="GRADE">#N/A</definedName>
    <definedName name="Graph">#REF!</definedName>
    <definedName name="GRAPH1">#REF!</definedName>
    <definedName name="GRAPH2">#REF!</definedName>
    <definedName name="Gross_Area">#REF!</definedName>
    <definedName name="GROUP">#N/A</definedName>
    <definedName name="GRY">#REF!</definedName>
    <definedName name="gunmok">#N/A</definedName>
    <definedName name="gvdasskv" hidden="1">{#N/A,#N/A,TRUE,"일정"}</definedName>
    <definedName name="H" hidden="1">{#N/A,#N/A,TRUE,"Y생산";#N/A,#N/A,TRUE,"Y판매";#N/A,#N/A,TRUE,"Y총물량";#N/A,#N/A,TRUE,"Y능력";#N/A,#N/A,TRUE,"YKD"}</definedName>
    <definedName name="H1_">#REF!</definedName>
    <definedName name="hcc감가">#REF!</definedName>
    <definedName name="hcc매출">#REF!</definedName>
    <definedName name="hcc인원">#REF!</definedName>
    <definedName name="HCINV">#REF!</definedName>
    <definedName name="hcownership">#REF!</definedName>
    <definedName name="Hd_CarLn">#REF!</definedName>
    <definedName name="Hd_DB_DthPen">#REF!</definedName>
    <definedName name="Hd_DC_Cont">#REF!</definedName>
    <definedName name="Hd_HseLn">#REF!</definedName>
    <definedName name="Hd_LA_SalDef">#REF!</definedName>
    <definedName name="Hd_LTD_provA">#REF!</definedName>
    <definedName name="Hd_LTD_provB">#REF!</definedName>
    <definedName name="Hd_LTD_provC">#REF!</definedName>
    <definedName name="Hd_LTD_SalDef">#REF!</definedName>
    <definedName name="Hd_Med_PlanType">#REF!</definedName>
    <definedName name="Hd_Mob">#REF!</definedName>
    <definedName name="Hd_Ret_SalDef">#REF!</definedName>
    <definedName name="HD11t">#REF!</definedName>
    <definedName name="HD14t">#REF!</definedName>
    <definedName name="HD15t">#REF!</definedName>
    <definedName name="HD17t">#REF!</definedName>
    <definedName name="HD18t">#REF!</definedName>
    <definedName name="HD19t">#REF!</definedName>
    <definedName name="HD20t">#REF!</definedName>
    <definedName name="HD22t">#REF!</definedName>
    <definedName name="HD24t">#REF!</definedName>
    <definedName name="HD25t">#REF!</definedName>
    <definedName name="HD28t">#REF!</definedName>
    <definedName name="HD2t">#REF!</definedName>
    <definedName name="HD6t">#REF!</definedName>
    <definedName name="HD7t">#REF!</definedName>
    <definedName name="HD8t">#REF!</definedName>
    <definedName name="HdOth1">#REF!</definedName>
    <definedName name="HdOth2">#REF!</definedName>
    <definedName name="HdOth3">#REF!</definedName>
    <definedName name="HdOth4">#REF!</definedName>
    <definedName name="HdOth5">#REF!</definedName>
    <definedName name="hds">#REF!</definedName>
    <definedName name="head">#REF!</definedName>
    <definedName name="Hedge_Cost">#REF!</definedName>
    <definedName name="HEN">#REF!</definedName>
    <definedName name="HFG" hidden="1">{#N/A,#N/A,TRUE,"Y생산";#N/A,#N/A,TRUE,"Y판매";#N/A,#N/A,TRUE,"Y총물량";#N/A,#N/A,TRUE,"Y능력";#N/A,#N/A,TRUE,"YKD"}</definedName>
    <definedName name="hgc" hidden="1">{#N/A,#N/A,TRUE,"대 차 대 조 표"}</definedName>
    <definedName name="hgc_1" hidden="1">{#N/A,#N/A,TRUE,"대 차 대 조 표"}</definedName>
    <definedName name="hgfshg" hidden="1">{#N/A,#N/A,TRUE,"일정"}</definedName>
    <definedName name="hgfxd" hidden="1">{#N/A,#N/A,TRUE,"일정"}</definedName>
    <definedName name="HGGHHG" hidden="1">#REF!</definedName>
    <definedName name="HGHTJTY">#REF!</definedName>
    <definedName name="hgkdj" hidden="1">{"AnnualRentRoll",#N/A,FALSE,"RentRoll"}</definedName>
    <definedName name="hgkdj_1" hidden="1">{"AnnualRentRoll",#N/A,FALSE,"RentRoll"}</definedName>
    <definedName name="HGXC">#REF!</definedName>
    <definedName name="HH">#REF!</definedName>
    <definedName name="HHH">#REF!</definedName>
    <definedName name="hhhhhhhhhhhhhhhhhhhh">#REF!</definedName>
    <definedName name="hhhhhhhhhhhhhhhhhhhhhh">#REF!</definedName>
    <definedName name="HING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J" hidden="1">#REF!</definedName>
    <definedName name="hjdg" hidden="1">{#N/A,#N/A,FALSE,"PropertyInfo"}</definedName>
    <definedName name="hjdg_1" hidden="1">{#N/A,#N/A,FALSE,"PropertyInfo"}</definedName>
    <definedName name="HJJHKHJ">#REF!</definedName>
    <definedName name="hjjjh" hidden="1">{#N/A,#N/A,FALSE,"Aging Summary";#N/A,#N/A,FALSE,"Ratio Analysis";#N/A,#N/A,FALSE,"Test 120 Day Accts";#N/A,#N/A,FALSE,"Tickmarks"}</definedName>
    <definedName name="hkd">#REF!</definedName>
    <definedName name="HKHLJ" hidden="1">{#N/A,#N/A,FALSE,"업체선정";#N/A,#N/A,FALSE,"업체선정sheet";#N/A,#N/A,FALSE,"업체실태";#N/A,#N/A,FALSE,"업체실태(1)";#N/A,#N/A,FALSE,"종업원현황(2)";#N/A,#N/A,FALSE,"생산품목(3)";#N/A,#N/A,FALSE,"장비보유현황";#N/A,#N/A,FALSE,"차량및약도";#N/A,#N/A,FALSE,"금형LIST"}</definedName>
    <definedName name="ho">#REF!</definedName>
    <definedName name="Hold_Year">#REF!</definedName>
    <definedName name="hon">#REF!</definedName>
    <definedName name="HOUSECODE">#N/A</definedName>
    <definedName name="Housing">#REF!</definedName>
    <definedName name="HOVATCODE">#N/A</definedName>
    <definedName name="HOVATRATE">#N/A</definedName>
    <definedName name="HOZIP">#N/A</definedName>
    <definedName name="HTML_CodePage" hidden="1">949</definedName>
    <definedName name="HTML_Control" hidden="1">{"'손익현황'!$A$1:$J$29"}</definedName>
    <definedName name="HTML_Description" hidden="1">""</definedName>
    <definedName name="HTML_Email" hidden="1">""</definedName>
    <definedName name="HTML_Header" hidden="1">""</definedName>
    <definedName name="HTML_LastUpdate" hidden="1">"98-10-28"</definedName>
    <definedName name="HTML_LineAfter" hidden="1">FALSE</definedName>
    <definedName name="HTML_LineBefore" hidden="1">FALSE</definedName>
    <definedName name="HTML_Name" hidden="1">"박진영"</definedName>
    <definedName name="HTML_OBDlg2" hidden="1">TRUE</definedName>
    <definedName name="HTML_OBDlg3" hidden="1">TRUE</definedName>
    <definedName name="HTML_OBDlg4" hidden="1">TRUE</definedName>
    <definedName name="HTML_OS" hidden="1">0</definedName>
    <definedName name="HTML_PathFile" hidden="1">"D:\PARK98\98실적보고\미착"</definedName>
    <definedName name="HTML_PathTemplate" hidden="1">"\\맹세호\USERS\jhkim\Finding\T200 ESO.HTML"</definedName>
    <definedName name="HTML_Title" hidden="1">""</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7</definedName>
    <definedName name="HTYL">#REF!</definedName>
    <definedName name="HYP" hidden="1">#REF!</definedName>
    <definedName name="H매출">#REF!</definedName>
    <definedName name="H이자">#REF!</definedName>
    <definedName name="H인원">#REF!</definedName>
    <definedName name="I">#REF!</definedName>
    <definedName name="I_Ex_Factor">#REF!</definedName>
    <definedName name="ia" hidden="1">{#N/A,#N/A,FALSE,"Aging Summary";#N/A,#N/A,FALSE,"Ratio Analysis";#N/A,#N/A,FALSE,"Test 120 Day Accts";#N/A,#N/A,FALSE,"Tickmarks"}</definedName>
    <definedName name="ic" hidden="1">{#N/A,#N/A,FALSE,"단축1";#N/A,#N/A,FALSE,"단축2";#N/A,#N/A,FALSE,"단축3";#N/A,#N/A,FALSE,"장축";#N/A,#N/A,FALSE,"4WD"}</definedName>
    <definedName name="ID">#N/A</definedName>
    <definedName name="II">#REF!</definedName>
    <definedName name="III">#REF!</definedName>
    <definedName name="iiii">#N/A</definedName>
    <definedName name="iiiiiiiiiiiiiiiiiiiiiiiiiiiiiiiiiiiiiiiiiiiiiiiiiiiiiiiiiiiiiiiiiiiiiii">#REF!</definedName>
    <definedName name="iiiiiiiiiiiiiiiiiiiiiiiiiiiiiiiiiiiiiiiiiiiiiiiiiiiiiiiiiiiiiiiiiiiiiiiiiiiiiiiiiiiiiiiiiiiiiiiiiiiiiiiiiiiiiiiiiiiiiiiiiiiiiiiiiiiiiiiiiiiiiiiiiiiiiiiiiiiiiiii">#REF!</definedName>
    <definedName name="Immobilizzazioni">#REF!:#REF!</definedName>
    <definedName name="import">#REF!</definedName>
    <definedName name="ImportFile">#REF!</definedName>
    <definedName name="Improvement">#REF!</definedName>
    <definedName name="Inc">#REF!</definedName>
    <definedName name="Inc_Base">#REF!</definedName>
    <definedName name="include_interest">#REF!</definedName>
    <definedName name="Income">#REF!</definedName>
    <definedName name="Income_Projection_시작일">#REF!</definedName>
    <definedName name="IncomeData">#REF!</definedName>
    <definedName name="IncomeStatementDates">#REF!</definedName>
    <definedName name="INDEX">#REF!</definedName>
    <definedName name="indiv_rate">#REF!</definedName>
    <definedName name="industry_group">#REF!</definedName>
    <definedName name="inflation">#REF!</definedName>
    <definedName name="info">#REF!</definedName>
    <definedName name="ini_button_Click">#N/A</definedName>
    <definedName name="INPUT">#REF!</definedName>
    <definedName name="Installment_1">#REF!</definedName>
    <definedName name="Installment_2">#REF!</definedName>
    <definedName name="Installment_3">#REF!</definedName>
    <definedName name="Installment_4">#REF!</definedName>
    <definedName name="Installment_5">#REF!</definedName>
    <definedName name="Instructions">#REF!</definedName>
    <definedName name="INT" hidden="1">{#N/A,#N/A,TRUE,"일정"}</definedName>
    <definedName name="INTER">#REF!</definedName>
    <definedName name="INTER_CO">#REF!</definedName>
    <definedName name="interest_income_included">#REF!</definedName>
    <definedName name="Interest_Reserve">#REF!</definedName>
    <definedName name="interestoverall" hidden="1">{#N/A,#N/A,FALSE,"Aging Summary";#N/A,#N/A,FALSE,"Ratio Analysis";#N/A,#N/A,FALSE,"Test 120 Day Accts";#N/A,#N/A,FALSE,"Tickmarks"}</definedName>
    <definedName name="Internal_Renovation">#REF!</definedName>
    <definedName name="INVDATE">#N/A</definedName>
    <definedName name="INVNUM">#N/A</definedName>
    <definedName name="invoice">#REF!</definedName>
    <definedName name="ipo_pct">#REF!</definedName>
    <definedName name="IPRT">#REF!</definedName>
    <definedName name="IPRTSAVE">#REF!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USIP" hidden="1">"c2245"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 hidden="1">"c157"</definedName>
    <definedName name="IQ_EBIT_GROWTH_2" hidden="1">"c161"</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GROWTH_1" hidden="1">"c156"</definedName>
    <definedName name="IQ_EBITDA_GROWTH_2" hidden="1">"c160"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_1" hidden="1">"c189"</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EPS_SURPRISE" hidden="1">"c1635"</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100000</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AMOUNT" hidden="1">"c240"</definedName>
    <definedName name="IQ_FIVE_PERCENT_OWNER" hidden="1">"c442"</definedName>
    <definedName name="IQ_FIVEPERCENT_OWNER" hidden="1">"c239"</definedName>
    <definedName name="IQ_FIVEPERCENT_PERCENT" hidden="1">"c443"</definedName>
    <definedName name="IQ_FIVEPERCENT_SHARES" hidden="1">"c444"</definedName>
    <definedName name="IQ_FIXED_ASSET_TURNS" hidden="1">"c445"</definedName>
    <definedName name="IQ_FLOAT" hidden="1">"c225"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43557.9304282407</definedName>
    <definedName name="IQ_NAV_ACT_OR_EST" hidden="1">"c2225"</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UTSTANDING_FILING_DATE_TOTAL" hidden="1">"c2107"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CENT_FLOAT" hidden="1">"c227"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DATE" hidden="1">"c1069"</definedName>
    <definedName name="IQ_PRICEDATETIME" hidden="1">"IQ_PRICEDATETIME"</definedName>
    <definedName name="IQ_PRICING_DATE" hidden="1">"c1613"</definedName>
    <definedName name="IQ_PRIMARY_EPS_TYPE_THOM" hidden="1">"c5297"</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EST_1" hidden="1">"c190"</definedName>
    <definedName name="IQ_REVENUE_GROWTH_1" hidden="1">"c155"</definedName>
    <definedName name="IQ_REVENUE_GROWTH_2" hidden="1">"c159"</definedName>
    <definedName name="IQ_REVISION_DATE_" hidden="1">38945.4937962963</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LASTCLOSE" hidden="1">"c1855"</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3</definedName>
    <definedName name="IQB_BOOKMARK_LOCATION_0" hidden="1">#REF!</definedName>
    <definedName name="IQB_BOOKMARK_LOCATION_1" hidden="1">#REF!</definedName>
    <definedName name="IQB_BOOKMARK_LOCATION_2" hidden="1">#REF!</definedName>
    <definedName name="IQB_CURRENT_BOOKMARK" hidden="1">1</definedName>
    <definedName name="IQRA7" hidden="1">"$A$8:$A$11"</definedName>
    <definedName name="IQRB7" hidden="1">"$B$8:$B$11"</definedName>
    <definedName name="IQRC7" hidden="1">"$C$8:$C$11"</definedName>
    <definedName name="IQRD7" hidden="1">"$D$8:$D$11"</definedName>
    <definedName name="IQRE7" hidden="1">"$E$8:$E$11"</definedName>
    <definedName name="IQRF7" hidden="1">"$F$8:$F$11"</definedName>
    <definedName name="IQRG7" hidden="1">"$G$8:$G$11"</definedName>
    <definedName name="IQRH7" hidden="1">"$H$8:$H$11"</definedName>
    <definedName name="IQRI7" hidden="1">"$I$8:$I$11"</definedName>
    <definedName name="IQRJ7" hidden="1">"$J$8:$J$11"</definedName>
    <definedName name="IR">#N/A</definedName>
    <definedName name="IR8145_">#N/A</definedName>
    <definedName name="IRR">#REF!</definedName>
    <definedName name="IS">#REF!</definedName>
    <definedName name="IS_JP">{"Client Name or Project Name"}</definedName>
    <definedName name="ISAVE">#REF!</definedName>
    <definedName name="issue">#REF!</definedName>
    <definedName name="IT" hidden="1">{"'Sheet1'!$A$1:$H$36"}</definedName>
    <definedName name="ITEM1">#REF!</definedName>
    <definedName name="Iter">#REF!</definedName>
    <definedName name="IT수정" hidden="1">{"'Sheet1'!$A$1:$H$36"}</definedName>
    <definedName name="IWJJJJ" hidden="1">{#N/A,#N/A,FALSE,"Aging Summary";#N/A,#N/A,FALSE,"Ratio Analysis";#N/A,#N/A,FALSE,"Test 120 Day Accts";#N/A,#N/A,FALSE,"Tickmarks"}</definedName>
    <definedName name="j">#REF!</definedName>
    <definedName name="jalkjalkf" hidden="1">{#N/A,#N/A,FALSE,"BS";#N/A,#N/A,FALSE,"PL";#N/A,#N/A,FALSE,"처분";#N/A,#N/A,FALSE,"현금";#N/A,#N/A,FALSE,"매출";#N/A,#N/A,FALSE,"원가";#N/A,#N/A,FALSE,"경영"}</definedName>
    <definedName name="Japan_IncTax">#REF!</definedName>
    <definedName name="Japan_WHT">#REF!</definedName>
    <definedName name="jd" hidden="1">{#N/A,#N/A,FALSE,"LoanAssumptions"}</definedName>
    <definedName name="jd_1" hidden="1">{#N/A,#N/A,FALSE,"LoanAssumptions"}</definedName>
    <definedName name="je">#REF!</definedName>
    <definedName name="jfksjdf" hidden="1">{#N/A,#N/A,FALSE,"Aging Summary";#N/A,#N/A,FALSE,"Ratio Analysis";#N/A,#N/A,FALSE,"Test 120 Day Accts";#N/A,#N/A,FALSE,"Tickmarks"}</definedName>
    <definedName name="jgfsjhgfsjhgfsdjhgfds" hidden="1">{#N/A,#N/A,TRUE,"일정"}</definedName>
    <definedName name="JGHJ" hidden="1">{#N/A,#N/A,FALSE,"업체선정";#N/A,#N/A,FALSE,"업체선정sheet";#N/A,#N/A,FALSE,"업체실태";#N/A,#N/A,FALSE,"업체실태(1)";#N/A,#N/A,FALSE,"종업원현황(2)";#N/A,#N/A,FALSE,"생산품목(3)";#N/A,#N/A,FALSE,"장비보유현황";#N/A,#N/A,FALSE,"차량및약도";#N/A,#N/A,FALSE,"금형LIST"}</definedName>
    <definedName name="JIN">#REF!</definedName>
    <definedName name="JINs_Option">#REF!</definedName>
    <definedName name="JINs_Option2">#REF!</definedName>
    <definedName name="JJ">#REF!</definedName>
    <definedName name="jjj" hidden="1">{"'호선별현황(방식)'!$K$22:$P$22","'호선별현황(방식)'!$K$22:$P$22"}</definedName>
    <definedName name="JJJJ" hidden="1">#REF!</definedName>
    <definedName name="jjjjjjjjjjjjjjjjjjjjjjjjj">#REF!</definedName>
    <definedName name="jjjjjjjjjjjjjjjjjjjjjjjjjjjjjjjjj">#REF!</definedName>
    <definedName name="JJKR" hidden="1">#REF!</definedName>
    <definedName name="JJnlDescn">#REF!</definedName>
    <definedName name="JJnlName">#REF!</definedName>
    <definedName name="JJnlRef">#REF!</definedName>
    <definedName name="JK" hidden="1">{#N/A,#N/A,TRUE,"Y생산";#N/A,#N/A,TRUE,"Y판매";#N/A,#N/A,TRUE,"Y총물량";#N/A,#N/A,TRUE,"Y능력";#N/A,#N/A,TRUE,"YKD"}</definedName>
    <definedName name="jkh">{"Client Name or Project Name"}</definedName>
    <definedName name="JKL">#REF!</definedName>
    <definedName name="jkljk" hidden="1">{#N/A,#N/A,FALSE,"이력서&amp;자기소개서"}</definedName>
    <definedName name="JKYUKUK">#REF!</definedName>
    <definedName name="jlkajsf" hidden="1">{#N/A,#N/A,FALSE,"BS";#N/A,#N/A,FALSE,"PL";#N/A,#N/A,FALSE,"A";#N/A,#N/A,FALSE,"B";#N/A,#N/A,FALSE,"B1";#N/A,#N/A,FALSE,"C";#N/A,#N/A,FALSE,"C1";#N/A,#N/A,FALSE,"C2";#N/A,#N/A,FALSE,"D";#N/A,#N/A,FALSE,"E";#N/A,#N/A,FALSE,"F";#N/A,#N/A,FALSE,"AA";#N/A,#N/A,FALSE,"BB";#N/A,#N/A,FALSE,"CC";#N/A,#N/A,FALSE,"DD";#N/A,#N/A,FALSE,"EE";#N/A,#N/A,FALSE,"FF";#N/A,#N/A,FALSE,"PL10";#N/A,#N/A,FALSE,"PL20";#N/A,#N/A,FALSE,"PL30"}</definedName>
    <definedName name="JN10t">#REF!</definedName>
    <definedName name="JN11t">#REF!</definedName>
    <definedName name="JN12t">#REF!</definedName>
    <definedName name="JN13t">#REF!</definedName>
    <definedName name="JN14t">#REF!</definedName>
    <definedName name="JN15t">#REF!</definedName>
    <definedName name="JN16t">#REF!</definedName>
    <definedName name="JN17t">#REF!</definedName>
    <definedName name="JN18t">#REF!</definedName>
    <definedName name="JN19t">#REF!</definedName>
    <definedName name="JN1t">#REF!</definedName>
    <definedName name="JN20t">#REF!</definedName>
    <definedName name="JN21t">#REF!</definedName>
    <definedName name="JN23t">#REF!</definedName>
    <definedName name="JN29t">#REF!</definedName>
    <definedName name="JN2t">#REF!</definedName>
    <definedName name="JN30t">#REF!</definedName>
    <definedName name="JN31t">#REF!</definedName>
    <definedName name="JN32t">#REF!</definedName>
    <definedName name="JN3t">#REF!</definedName>
    <definedName name="JN4t">#REF!</definedName>
    <definedName name="JN5t">#REF!</definedName>
    <definedName name="JN6t">#REF!</definedName>
    <definedName name="JN7t">#REF!</definedName>
    <definedName name="JN8t">#REF!</definedName>
    <definedName name="JN9t">#REF!</definedName>
    <definedName name="JnlDesc">#REF!</definedName>
    <definedName name="JnlSufX">#REF!</definedName>
    <definedName name="JnlSufY">#REF!</definedName>
    <definedName name="JOB">#REF!</definedName>
    <definedName name="job_run">#N/A</definedName>
    <definedName name="Journal">#REF!</definedName>
    <definedName name="journalcredit">#REF!</definedName>
    <definedName name="journaldebit">#REF!</definedName>
    <definedName name="Jr_CarLn">#REF!</definedName>
    <definedName name="Jr_DB_DthPen">#REF!</definedName>
    <definedName name="Jr_DC_Cont">#REF!</definedName>
    <definedName name="Jr_HseLn">#REF!</definedName>
    <definedName name="Jr_LA_SalDef">#REF!</definedName>
    <definedName name="Jr_LTD_provA">#REF!</definedName>
    <definedName name="Jr_LTD_provB">#REF!</definedName>
    <definedName name="Jr_LTD_provC">#REF!</definedName>
    <definedName name="Jr_LTD_SalDef">#REF!</definedName>
    <definedName name="Jr_Med_PlanType">#REF!</definedName>
    <definedName name="Jr_Mob">#REF!</definedName>
    <definedName name="JR_PAGE_ANCHOR_0_1">#REF!</definedName>
    <definedName name="Jr_Ret_SalDef">#REF!</definedName>
    <definedName name="jw.pl">#REF!</definedName>
    <definedName name="K">#REF!</definedName>
    <definedName name="K_OBO">#REF!</definedName>
    <definedName name="KEY" hidden="1">#REF!</definedName>
    <definedName name="Key_AcqCost">#REF!</definedName>
    <definedName name="Key_BuyPrice_Option">#REF!</definedName>
    <definedName name="Key_CapEx">#REF!</definedName>
    <definedName name="Key_DebtRatio">#REF!</definedName>
    <definedName name="Key_ExitCap">#REF!</definedName>
    <definedName name="Key_ExitCost">#REF!</definedName>
    <definedName name="Key_ExitPrice_Opion">#REF!</definedName>
    <definedName name="Key_Hedge">#REF!</definedName>
    <definedName name="Key_IRR">#REF!</definedName>
    <definedName name="key_money_dep">#REF!</definedName>
    <definedName name="Key_OtherAdminCost">#REF!</definedName>
    <definedName name="Key_SecDeposit">#REF!</definedName>
    <definedName name="Key_Tax">#REF!</definedName>
    <definedName name="KeyMoney">#REF!</definedName>
    <definedName name="keyy" hidden="1">#REF!</definedName>
    <definedName name="kfkrkf">#REF!</definedName>
    <definedName name="khks" hidden="1">#REF!</definedName>
    <definedName name="KIA" hidden="1">{#N/A,#N/A,FALSE,"단축1";#N/A,#N/A,FALSE,"단축2";#N/A,#N/A,FALSE,"단축3";#N/A,#N/A,FALSE,"장축";#N/A,#N/A,FALSE,"4WD"}</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jkj" hidden="1">{#N/A,#N/A,FALSE,"표지";#N/A,#N/A,FALSE,"전제";#N/A,#N/A,FALSE,"손익-자 (2)";#N/A,#N/A,FALSE,"손익-자";#N/A,#N/A,FALSE,"손익-마 (2)";#N/A,#N/A,FALSE,"손익-마";#N/A,#N/A,FALSE,"총손최종"}</definedName>
    <definedName name="KIM" hidden="1">{#N/A,#N/A,FALSE,"단축1";#N/A,#N/A,FALSE,"단축2";#N/A,#N/A,FALSE,"단축3";#N/A,#N/A,FALSE,"장축";#N/A,#N/A,FALSE,"4WD"}</definedName>
    <definedName name="KING" hidden="1">#REF!</definedName>
    <definedName name="kj" hidden="1">#REF!</definedName>
    <definedName name="KJH">#REF!</definedName>
    <definedName name="KK">#REF!</definedName>
    <definedName name="KKI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HJ" hidden="1">{#N/A,#N/A,FALSE,"95FW"}</definedName>
    <definedName name="KKK" hidden="1">{#N/A,#N/A,FALSE,"단축1";#N/A,#N/A,FALSE,"단축2";#N/A,#N/A,FALSE,"단축3";#N/A,#N/A,FALSE,"장축";#N/A,#N/A,FALSE,"4WD"}</definedName>
    <definedName name="kkkk" hidden="1">0</definedName>
    <definedName name="KKKKK">#REF!</definedName>
    <definedName name="kkkkkkkkkkkkkkkkkkkkkkkkkkkkkkkkkkkkkkkkkkkkkkkkkkkkkkkkk">#REF!</definedName>
    <definedName name="kl">#REF!</definedName>
    <definedName name="kldf" hidden="1">#REF!</definedName>
    <definedName name="klsdfj" hidden="1">#REF!</definedName>
    <definedName name="KoDoYoung">#REF!</definedName>
    <definedName name="krwm">#REF!</definedName>
    <definedName name="KRWUSD">#REF!</definedName>
    <definedName name="KSJ_25" hidden="1">{#N/A,#N/A,FALSE,"동부"}</definedName>
    <definedName name="KSJ_25_1" hidden="1">{#N/A,#N/A,FALSE,"동부"}</definedName>
    <definedName name="KU" hidden="1">{#N/A,#N/A,TRUE,"Y생산";#N/A,#N/A,TRUE,"Y판매";#N/A,#N/A,TRUE,"Y총물량";#N/A,#N/A,TRUE,"Y능력";#N/A,#N/A,TRUE,"YKD"}</definedName>
    <definedName name="L" hidden="1">#N/A</definedName>
    <definedName name="L_CY_Beg">#REF!</definedName>
    <definedName name="LA_AccDth">#REF!</definedName>
    <definedName name="LA_BasedPay">#REF!</definedName>
    <definedName name="LA_Lsum">#REF!</definedName>
    <definedName name="LA_Plan">#REF!</definedName>
    <definedName name="LA_SpousePen">#REF!</definedName>
    <definedName name="land">#REF!</definedName>
    <definedName name="Land_Area">#REF!</definedName>
    <definedName name="Land_Value">#REF!</definedName>
    <definedName name="Language">#REF!</definedName>
    <definedName name="Last_Quarter">#REF!</definedName>
    <definedName name="Late">#REF!</definedName>
    <definedName name="LB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C_02">256600</definedName>
    <definedName name="Leasing_Commission_New">#REF!</definedName>
    <definedName name="Leasing_Commission_Renewal">#REF!</definedName>
    <definedName name="lee">#REF!</definedName>
    <definedName name="Legal_Fee">#REF!</definedName>
    <definedName name="LHSDHSD" hidden="1">{#N/A,#N/A,TRUE,"일정"}</definedName>
    <definedName name="LINE">#REF!</definedName>
    <definedName name="LINE검토2" hidden="1">{#N/A,#N/A,TRUE,"Y생산";#N/A,#N/A,TRUE,"Y판매";#N/A,#N/A,TRUE,"Y총물량";#N/A,#N/A,TRUE,"Y능력";#N/A,#N/A,TRUE,"YKD"}</definedName>
    <definedName name="Link_Acquisition">#REF!</definedName>
    <definedName name="Link_Capex">#REF!</definedName>
    <definedName name="Link_Debt">#REF!</definedName>
    <definedName name="Link_Exit">#REF!</definedName>
    <definedName name="Link_Exp_Growth">#REF!</definedName>
    <definedName name="Link_Expense">#REF!</definedName>
    <definedName name="Link_Grth">#REF!</definedName>
    <definedName name="Link_HedgeCost">#REF!</definedName>
    <definedName name="Link_Home">#REF!</definedName>
    <definedName name="Link_PropInfo">#REF!</definedName>
    <definedName name="Link_Refurbishment">#REF!</definedName>
    <definedName name="Link_Rev_Growth">#REF!</definedName>
    <definedName name="Link_Revenue">#REF!</definedName>
    <definedName name="Link_Tax">#REF!</definedName>
    <definedName name="Link_Tenancy">#REF!</definedName>
    <definedName name="LIST">#REF!</definedName>
    <definedName name="ListSheetsMacroButton">#REF!</definedName>
    <definedName name="LK">#REF!</definedName>
    <definedName name="lksdj" hidden="1">#REF!</definedName>
    <definedName name="lksdjf" hidden="1">#REF!</definedName>
    <definedName name="LL">#REF!</definedName>
    <definedName name="lljh" hidden="1">#REF!</definedName>
    <definedName name="lll"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lllllllllllllllllll">#REF!</definedName>
    <definedName name="LLREI_Financing_Fee">#REF!</definedName>
    <definedName name="Loans">#REF!</definedName>
    <definedName name="LOCAL">#REF!</definedName>
    <definedName name="local1" hidden="1">#REF!</definedName>
    <definedName name="LOE">#REF!</definedName>
    <definedName name="loiu" hidden="1">{#N/A,#N/A,FALSE,"표지";#N/A,#N/A,FALSE,"전제";#N/A,#N/A,FALSE,"손익-자 (2)";#N/A,#N/A,FALSE,"손익-자";#N/A,#N/A,FALSE,"손익-마 (2)";#N/A,#N/A,FALSE,"손익-마";#N/A,#N/A,FALSE,"총손최종"}</definedName>
    <definedName name="lok" hidden="1">#REF!</definedName>
    <definedName name="LongTermCash">#REF!</definedName>
    <definedName name="LOVE">#REF!</definedName>
    <definedName name="LPI_Graph" hidden="1">#REF!</definedName>
    <definedName name="LPRT">#REF!</definedName>
    <definedName name="LPRTSAVE">#REF!</definedName>
    <definedName name="LPS">#REF!</definedName>
    <definedName name="LPS가동계획">#REF!</definedName>
    <definedName name="lrcp522">#REF!</definedName>
    <definedName name="LSAVE">#REF!</definedName>
    <definedName name="lsjdf" hidden="1">#REF!</definedName>
    <definedName name="lt_wt_cord">#REF!</definedName>
    <definedName name="lt_wt_slub_canvas">#REF!</definedName>
    <definedName name="LTD_GtdInc">#REF!</definedName>
    <definedName name="LTD_Plan">#REF!</definedName>
    <definedName name="LTI_Language">#REF!</definedName>
    <definedName name="LY">#REF!</definedName>
    <definedName name="LYs">#REF!</definedName>
    <definedName name="LYWK">#REF!</definedName>
    <definedName name="LZ_03">39500</definedName>
    <definedName name="M" hidden="1">{#N/A,#N/A,FALSE,"95FW"}</definedName>
    <definedName name="M.복귀">#REF!</definedName>
    <definedName name="M_Expense">#REF!</definedName>
    <definedName name="M_Rent">#REF!</definedName>
    <definedName name="MA_1">#REF!</definedName>
    <definedName name="MA_11">#REF!</definedName>
    <definedName name="MA_1END">#REF!</definedName>
    <definedName name="MA_1POS1">#REF!</definedName>
    <definedName name="MA_2">#REF!</definedName>
    <definedName name="MA_21">#REF!</definedName>
    <definedName name="MA_2END">#REF!</definedName>
    <definedName name="MA_2POS1">#REF!</definedName>
    <definedName name="MA_DATEN">#REF!</definedName>
    <definedName name="MA_DATEN_A">#REF!</definedName>
    <definedName name="MA_SPALTEN">#REF!</definedName>
    <definedName name="MAC">#REF!</definedName>
    <definedName name="MACRO">#REF!</definedName>
    <definedName name="Macro1">#N/A</definedName>
    <definedName name="Macro11">#N/A</definedName>
    <definedName name="Macro12">#N/A</definedName>
    <definedName name="Macro13">#N/A</definedName>
    <definedName name="Macro14">#N/A</definedName>
    <definedName name="Macro2">#N/A</definedName>
    <definedName name="Macro3">#N/A</definedName>
    <definedName name="Macro4">#N/A</definedName>
    <definedName name="Macro5">#N/A</definedName>
    <definedName name="Macro6">#N/A</definedName>
    <definedName name="Macro8">#N/A</definedName>
    <definedName name="MAI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INMENU">#REF!</definedName>
    <definedName name="Map" hidden="1">#REF!</definedName>
    <definedName name="Mar">#REF!</definedName>
    <definedName name="MARK">#N/A</definedName>
    <definedName name="Market">#REF!</definedName>
    <definedName name="MASTER" hidden="1">{#N/A,#N/A,TRUE,"일정"}</definedName>
    <definedName name="MATCH1">#N/A</definedName>
    <definedName name="MATCH2">#N/A</definedName>
    <definedName name="may" hidden="1">#REF!</definedName>
    <definedName name="MB">#REF!</definedName>
    <definedName name="MDATA">#REF!</definedName>
    <definedName name="me">"Button 5"</definedName>
    <definedName name="Med_Excess">#REF!</definedName>
    <definedName name="Med_MaxCover">#REF!</definedName>
    <definedName name="Med_Plan">#REF!</definedName>
    <definedName name="MEMO">#N/A</definedName>
    <definedName name="mensuel">#REF!</definedName>
    <definedName name="Mensuelv2">#REF!</definedName>
    <definedName name="menu_button_Click">#N/A</definedName>
    <definedName name="message_turnover_rent">#REF!</definedName>
    <definedName name="mf">#REF!</definedName>
    <definedName name="MH3_A">#REF!</definedName>
    <definedName name="MK">#REF!</definedName>
    <definedName name="mkl" hidden="1">{#N/A,#N/A,TRUE,"Y생산";#N/A,#N/A,TRUE,"Y판매";#N/A,#N/A,TRUE,"Y총물량";#N/A,#N/A,TRUE,"Y능력";#N/A,#N/A,TRUE,"YKD"}</definedName>
    <definedName name="mkl_1" hidden="1">{#N/A,#N/A,TRUE,"Y생산";#N/A,#N/A,TRUE,"Y판매";#N/A,#N/A,TRUE,"Y총물량";#N/A,#N/A,TRUE,"Y능력";#N/A,#N/A,TRUE,"YKD"}</definedName>
    <definedName name="Mkt_Rent">#REF!</definedName>
    <definedName name="Mkt_Rent_Growth">#REF!</definedName>
    <definedName name="MLS_Top_225">#REF!</definedName>
    <definedName name="MM">#REF!</definedName>
    <definedName name="mm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l" hidden="1">#REF!</definedName>
    <definedName name="month">#REF!</definedName>
    <definedName name="Monthly_Maintenance_Fee__000won_py">#REF!</definedName>
    <definedName name="Monthly_Rent">#REF!</definedName>
    <definedName name="monthnames">#REF!</definedName>
    <definedName name="months_of_loss">#REF!</definedName>
    <definedName name="months_to_evict">#REF!</definedName>
    <definedName name="Months_to_Release">#REF!</definedName>
    <definedName name="montht">#REF!</definedName>
    <definedName name="mor" hidden="1">#REF!</definedName>
    <definedName name="mortgage_amount">#REF!</definedName>
    <definedName name="Most_Lease_Expire_Date">#REF!</definedName>
    <definedName name="MP">#REF!</definedName>
    <definedName name="MPROA10">#REF!</definedName>
    <definedName name="Mq">#REF!</definedName>
    <definedName name="MYTD_CHG">14</definedName>
    <definedName name="MZ">#REF!</definedName>
    <definedName name="m記" hidden="1">{"'買掛金'!$J$6"}</definedName>
    <definedName name="M행">#REF!</definedName>
    <definedName name="N">#REF!</definedName>
    <definedName name="NAME">OFFSET(#REF!,0,0,COUNTA(#REF!),1)</definedName>
    <definedName name="NAMELABEL">#REF!</definedName>
    <definedName name="namelist">#REF!</definedName>
    <definedName name="NCO">#REF!</definedName>
    <definedName name="NEW">#REF!</definedName>
    <definedName name="NewMatrix">#REF!</definedName>
    <definedName name="N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jk"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njk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NL22t">#REF!</definedName>
    <definedName name="NL24t">#REF!</definedName>
    <definedName name="NL25t">#REF!</definedName>
    <definedName name="NL26t">#REF!</definedName>
    <definedName name="NL75t">#REF!</definedName>
    <definedName name="nn">#REF!</definedName>
    <definedName name="nnn" hidden="1">{#N/A,#N/A,TRUE,"Assumptions";#N/A,#N/A,TRUE,"Sources of Revenue";#N/A,#N/A,TRUE,"P&amp;L";#N/A,#N/A,TRUE,"Bal. Sheet";#N/A,#N/A,TRUE,"Rights Issue &amp; X Adjustment";#N/A,#N/A,TRUE,"Transaction Model"}</definedName>
    <definedName name="No">#REF!</definedName>
    <definedName name="No._Parking">#REF!</definedName>
    <definedName name="NOC">#REF!</definedName>
    <definedName name="NOC_col">#REF!</definedName>
    <definedName name="NOC_row">#REF!</definedName>
    <definedName name="November"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November_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NR_1203" hidden="1">{"'Sheet1'!$A$1:$H$36"}</definedName>
    <definedName name="NRA">#REF!</definedName>
    <definedName name="ny" hidden="1">{#N/A,#N/A,FALSE,"95FW"}</definedName>
    <definedName name="NYs">#REF!</definedName>
    <definedName name="N행">#REF!</definedName>
    <definedName name="O" hidden="1">{#N/A,#N/A,TRUE,"Y생산";#N/A,#N/A,TRUE,"Y판매";#N/A,#N/A,TRUE,"Y총물량";#N/A,#N/A,TRUE,"Y능력";#N/A,#N/A,TRUE,"YKD"}</definedName>
    <definedName name="O¤eE_UYØ¿¿ø">#REF!</definedName>
    <definedName name="º≫≫c¼OAI">#REF!</definedName>
    <definedName name="ºA¼R">#REF!</definedName>
    <definedName name="OBS">#REF!</definedName>
    <definedName name="OIIUU" hidden="1">#REF!</definedName>
    <definedName name="OIUP" hidden="1">#REF!</definedName>
    <definedName name="ok">#REF!</definedName>
    <definedName name="okwon">#REF!</definedName>
    <definedName name="olddeli_turnover_rent">#REF!</definedName>
    <definedName name="on" hidden="1">#REF!</definedName>
    <definedName name="oo">#REF!</definedName>
    <definedName name="O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oooo">#REF!</definedName>
    <definedName name="oooooooooooooooo">#REF!</definedName>
    <definedName name="ooop" hidden="1">{"'매출'!$A$1:$I$22"}</definedName>
    <definedName name="OpcoBridge">#REF!</definedName>
    <definedName name="OpcoDebt">#REF!</definedName>
    <definedName name="OPEN1">#N/A</definedName>
    <definedName name="opioui" hidden="1">{#N/A,#N/A,TRUE,"Assumptions";#N/A,#N/A,TRUE,"Sources of Revenue";#N/A,#N/A,TRUE,"P&amp;L";#N/A,#N/A,TRUE,"Bal. Sheet";#N/A,#N/A,TRUE,"Rights Issue &amp; X Adjustment";#N/A,#N/A,TRUE,"Transaction Model"}</definedName>
    <definedName name="OpnTerm">#REF!</definedName>
    <definedName name="Option">#REF!</definedName>
    <definedName name="OptionButton21_Click">#N/A</definedName>
    <definedName name="ORADDRESS">#N/A</definedName>
    <definedName name="OrderSheet1プリント用">#REF!</definedName>
    <definedName name="ORDERTYPE">#N/A</definedName>
    <definedName name="Org">#REF!</definedName>
    <definedName name="Orig_Bank_Statement">#REF!</definedName>
    <definedName name="OST합계">#REF!</definedName>
    <definedName name="Ot_CarLn">#REF!</definedName>
    <definedName name="Ot_DB_DthPen">#REF!</definedName>
    <definedName name="Ot_DB_Payable">#REF!</definedName>
    <definedName name="Ot_DC_Cont">#REF!</definedName>
    <definedName name="Ot_HseLn">#REF!</definedName>
    <definedName name="Ot_LA_SalDef">#REF!</definedName>
    <definedName name="Ot_LTD_provA">#REF!</definedName>
    <definedName name="Ot_LTD_provB">#REF!</definedName>
    <definedName name="Ot_LTD_provC">#REF!</definedName>
    <definedName name="Ot_LTD_SalDef">#REF!</definedName>
    <definedName name="Ot_Med_PlanType">#REF!</definedName>
    <definedName name="Ot_Mob">#REF!</definedName>
    <definedName name="Ot_Ret_SalDef">#REF!</definedName>
    <definedName name="other">#REF!</definedName>
    <definedName name="Other_Revenue">#REF!</definedName>
    <definedName name="O행">#REF!</definedName>
    <definedName name="P">#REF!</definedName>
    <definedName name="p_all">#REF!</definedName>
    <definedName name="P_Income">#REF!</definedName>
    <definedName name="P_T">#REF!</definedName>
    <definedName name="P3가공향상" hidden="1">{#N/A,#N/A,TRUE,"Y생산";#N/A,#N/A,TRUE,"Y판매";#N/A,#N/A,TRUE,"Y총물량";#N/A,#N/A,TRUE,"Y능력";#N/A,#N/A,TRUE,"YKD"}</definedName>
    <definedName name="PAGE2">#REF!</definedName>
    <definedName name="PAGE3">#REF!</definedName>
    <definedName name="PAGE4">#REF!</definedName>
    <definedName name="PAID">#N/A</definedName>
    <definedName name="Parking_No">#REF!</definedName>
    <definedName name="PART_NAME">#REF!</definedName>
    <definedName name="PART_NO">#REF!</definedName>
    <definedName name="PC_List">#REF!</definedName>
    <definedName name="PC_PROD">#REF!</definedName>
    <definedName name="pds">#REF!</definedName>
    <definedName name="per">{"Client Name or Project Name"}</definedName>
    <definedName name="Per_SF">#REF!</definedName>
    <definedName name="Per_SM">#REF!</definedName>
    <definedName name="Per_US">#REF!</definedName>
    <definedName name="Period">#REF!</definedName>
    <definedName name="PERIOD_END">#REF!</definedName>
    <definedName name="PERSON_1">#REF!</definedName>
    <definedName name="PERSON_10">#REF!</definedName>
    <definedName name="PERSON_11">#REF!</definedName>
    <definedName name="PERSON_12">#REF!</definedName>
    <definedName name="PERSON_13">#REF!</definedName>
    <definedName name="PERSON_14">#REF!</definedName>
    <definedName name="PERSON_15">#REF!</definedName>
    <definedName name="PERSON_16">#REF!</definedName>
    <definedName name="PERSON_17">#REF!</definedName>
    <definedName name="PERSON_18">#REF!</definedName>
    <definedName name="PERSON_19">#REF!</definedName>
    <definedName name="PERSON_2">#REF!</definedName>
    <definedName name="PERSON_20">#REF!</definedName>
    <definedName name="PERSON_3">#REF!</definedName>
    <definedName name="PERSON_4">#REF!</definedName>
    <definedName name="PERSON_5">#REF!</definedName>
    <definedName name="PERSON_6">#REF!</definedName>
    <definedName name="PERSON_7">#REF!</definedName>
    <definedName name="PERSON_8">#REF!</definedName>
    <definedName name="PERSON_9">#REF!</definedName>
    <definedName name="PH">#REF!</definedName>
    <definedName name="PH단계별" hidden="1">{#N/A,#N/A,TRUE,"일정"}</definedName>
    <definedName name="PI" hidden="1">{#N/A,#N/A,TRUE,"Y생산";#N/A,#N/A,TRUE,"Y판매";#N/A,#N/A,TRUE,"Y총물량";#N/A,#N/A,TRUE,"Y능력";#N/A,#N/A,TRUE,"YKD"}</definedName>
    <definedName name="PickXY">#REF!</definedName>
    <definedName name="picture">#REF!</definedName>
    <definedName name="PL"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plandat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lbalance">#REF!</definedName>
    <definedName name="plNote">#N/A</definedName>
    <definedName name="PLS">#REF!</definedName>
    <definedName name="PM">#REF!</definedName>
    <definedName name="PM0tb0tb198tb32tb34rtOR132C13rt">#REF!</definedName>
    <definedName name="PM0tb0tb198tb36tb37rtOR136C13rt">#REF!</definedName>
    <definedName name="PM0tb0tb198tb36tb37rtOR136C14rt">#REF!</definedName>
    <definedName name="PM0tb0tb198tb36tb38rtOR136C13rt">#REF!</definedName>
    <definedName name="PMC_Fee">#REF!</definedName>
    <definedName name="po">#N/A</definedName>
    <definedName name="poiu" hidden="1">#REF!</definedName>
    <definedName name="POR1015C413rtPPOR1631C1520rtP">#REF!</definedName>
    <definedName name="POR11C45R141C45RTSKS15C5LRTHR5C">#REF!</definedName>
    <definedName name="POR137C13RTSC60L40RTM0TB0TB0TB0">#REF!</definedName>
    <definedName name="POR16C16R589C41RTSKS15C6LRTHR8C">#REF!</definedName>
    <definedName name="POR3C1R50C13RTSKS15C5LRTHDLRTMT">#REF!</definedName>
    <definedName name="POR439C124RTSQKS15C4LRTM0TB0TB0">#REF!</definedName>
    <definedName name="POR52C2R87C15RTMTBTBTBTBTB55RTR">#REF!</definedName>
    <definedName name="POSFINE" hidden="1">#REF!</definedName>
    <definedName name="PositionClass">#REF!</definedName>
    <definedName name="PP">#REF!,#REF!</definedName>
    <definedName name="PPK" hidden="1">{#N/A,#N/A,FALSE,"96 3월물량표";#N/A,#N/A,FALSE,"96 4월물량표";#N/A,#N/A,FALSE,"96 5월물량표"}</definedName>
    <definedName name="ppp">#REF!</definedName>
    <definedName name="PP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p">#REF!</definedName>
    <definedName name="ppppppppppppppppppppppppppppppppp">#REF!</definedName>
    <definedName name="PQ점수">"Dialog Frame 1"</definedName>
    <definedName name="PRELIM_TM2">#REF!</definedName>
    <definedName name="press" hidden="1">#REF!</definedName>
    <definedName name="press2" hidden="1">#REF!</definedName>
    <definedName name="press3" hidden="1">#REF!</definedName>
    <definedName name="press4" hidden="1">#REF!</definedName>
    <definedName name="press5" hidden="1">#REF!</definedName>
    <definedName name="press6" hidden="1">#REF!</definedName>
    <definedName name="PRIME">#REF!</definedName>
    <definedName name="PRIMTH">2</definedName>
    <definedName name="PRIMTH_CHG">4</definedName>
    <definedName name="print">#REF!</definedName>
    <definedName name="_xlnm.Print_Area">#REF!</definedName>
    <definedName name="Print_Area_MI">#REF!</definedName>
    <definedName name="PRINT_AREA_MI1">#REF!</definedName>
    <definedName name="Print_Dedail">#REF!</definedName>
    <definedName name="_xlnm.Print_Titles">#REF!</definedName>
    <definedName name="Print_Titles_MI">#REF!</definedName>
    <definedName name="PRINT1">#N/A</definedName>
    <definedName name="printarea">#REF!</definedName>
    <definedName name="printer_titles">#REF!</definedName>
    <definedName name="printing_stationery">#REF!</definedName>
    <definedName name="PrintManagerQuery">#REF!</definedName>
    <definedName name="PrintSelectedSheetsMacroButton">#REF!</definedName>
    <definedName name="PrintTitleArea">#REF!</definedName>
    <definedName name="PRO" hidden="1">{#N/A,#N/A,TRUE,"일정"}</definedName>
    <definedName name="profit">#REF!</definedName>
    <definedName name="Profits">#REF!</definedName>
    <definedName name="Profits_Tax_HK">#REF!</definedName>
    <definedName name="ProImportExport.ImportFile">#N/A</definedName>
    <definedName name="ProImportExport.SaveNewFile">#N/A</definedName>
    <definedName name="PROJEC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oject_Name">#REF!</definedName>
    <definedName name="ProjectName">{"Client Name or Project Name"}</definedName>
    <definedName name="ProjectName2">{"Client Name or Project Name"}</definedName>
    <definedName name="promote">#REF!</definedName>
    <definedName name="Property_Tax">#REF!</definedName>
    <definedName name="Property_Units">#REF!</definedName>
    <definedName name="Property_Value">#REF!</definedName>
    <definedName name="PropertyData">#REF!</definedName>
    <definedName name="PROTO">#REF!</definedName>
    <definedName name="PROTO1">#REF!</definedName>
    <definedName name="PROTO2" hidden="1">{#N/A,#N/A,FALSE,"단축1";#N/A,#N/A,FALSE,"단축2";#N/A,#N/A,FALSE,"단축3";#N/A,#N/A,FALSE,"장축";#N/A,#N/A,FALSE,"4WD"}</definedName>
    <definedName name="PROTO3" hidden="1">{#N/A,#N/A,FALSE,"단축1";#N/A,#N/A,FALSE,"단축2";#N/A,#N/A,FALSE,"단축3";#N/A,#N/A,FALSE,"장축";#N/A,#N/A,FALSE,"4WD"}</definedName>
    <definedName name="PTR">#REF!</definedName>
    <definedName name="PURCHASE">#REF!</definedName>
    <definedName name="PURE" hidden="1">#REF!</definedName>
    <definedName name="PV_CB">#REF!</definedName>
    <definedName name="PV_NO_CB">#REF!</definedName>
    <definedName name="py">#REF!</definedName>
    <definedName name="PYA">#REF!</definedName>
    <definedName name="PYB">#REF!</definedName>
    <definedName name="PYC">#REF!</definedName>
    <definedName name="PYD">#REF!</definedName>
    <definedName name="PYE">#REF!</definedName>
    <definedName name="PYF">#REF!</definedName>
    <definedName name="PYG">#REF!</definedName>
    <definedName name="pyung">#REF!</definedName>
    <definedName name="Pyung_to_SF">#REF!</definedName>
    <definedName name="P행">#REF!</definedName>
    <definedName name="q"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Q_ALL">#REF!</definedName>
    <definedName name="Q_실적2">#REF!</definedName>
    <definedName name="Q2000BUS">#REF!</definedName>
    <definedName name="qa" hidden="1">{#N/A,#N/A,FALSE,"Aging Summary";#N/A,#N/A,FALSE,"Ratio Analysis";#N/A,#N/A,FALSE,"Test 120 Day Accts";#N/A,#N/A,FALSE,"Tickmarks"}</definedName>
    <definedName name="qfwe" hidden="1">#REF!</definedName>
    <definedName name="QK">#REF!</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tnwls" hidden="1">{#N/A,#N/A,FALSE,"Aging Summary";#N/A,#N/A,FALSE,"Ratio Analysis";#N/A,#N/A,FALSE,"Test 120 Day Accts";#N/A,#N/A,FALSE,"Tickmarks"}</definedName>
    <definedName name="QQ" hidden="1">{#N/A,#N/A,FALSE,"단축1";#N/A,#N/A,FALSE,"단축2";#N/A,#N/A,FALSE,"단축3";#N/A,#N/A,FALSE,"장축";#N/A,#N/A,FALSE,"4WD"}</definedName>
    <definedName name="qqq" hidden="1">{"'買掛金'!$J$6"}</definedName>
    <definedName name="QQQAAASSS" hidden="1">{#N/A,#N/A,TRUE,"Y생산";#N/A,#N/A,TRUE,"Y판매";#N/A,#N/A,TRUE,"Y총물량";#N/A,#N/A,TRUE,"Y능력";#N/A,#N/A,TRUE,"YKD"}</definedName>
    <definedName name="QQQAAASSS_1" hidden="1">{#N/A,#N/A,TRUE,"Y생산";#N/A,#N/A,TRUE,"Y판매";#N/A,#N/A,TRUE,"Y총물량";#N/A,#N/A,TRUE,"Y능력";#N/A,#N/A,TRUE,"YKD"}</definedName>
    <definedName name="QQQQ" hidden="1">{#N/A,#N/A,FALSE,"단축1";#N/A,#N/A,FALSE,"단축2";#N/A,#N/A,FALSE,"단축3";#N/A,#N/A,FALSE,"장축";#N/A,#N/A,FALSE,"4WD"}</definedName>
    <definedName name="qqqqq" hidden="1">#REF!</definedName>
    <definedName name="QQQQQQQ" hidden="1">{#N/A,#N/A,TRUE,"Y생산";#N/A,#N/A,TRUE,"Y판매";#N/A,#N/A,TRUE,"Y총물량";#N/A,#N/A,TRUE,"Y능력";#N/A,#N/A,TRUE,"YKD"}</definedName>
    <definedName name="QQQQQQQ_1" hidden="1">{#N/A,#N/A,TRUE,"Y생산";#N/A,#N/A,TRUE,"Y판매";#N/A,#N/A,TRUE,"Y총물량";#N/A,#N/A,TRUE,"Y능력";#N/A,#N/A,TRUE,"YKD"}</definedName>
    <definedName name="qqqqqqqqqq">#REF!</definedName>
    <definedName name="qqqqqqqqqqqqqqqqqqq">#REF!</definedName>
    <definedName name="qqqqqqqqqqqqqqqqqqqqqqqqqqqqqqq">#REF!</definedName>
    <definedName name="qqqw" hidden="1">0</definedName>
    <definedName name="Quality">#REF!</definedName>
    <definedName name="Query1">#REF!</definedName>
    <definedName name="quit_button_Click">#N/A</definedName>
    <definedName name="QULIT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 hidden="1">{#N/A,#N/A,FALSE,"Aging Summary";#N/A,#N/A,FALSE,"Ratio Analysis";#N/A,#N/A,FALSE,"Test 120 Day Accts";#N/A,#N/A,FALSE,"Tickmarks"}</definedName>
    <definedName name="QWE">#REF!</definedName>
    <definedName name="QWERQ" hidden="1">0</definedName>
    <definedName name="qwqe" hidden="1">{#N/A,#N/A,TRUE,"Assumptions";#N/A,#N/A,TRUE,"Sources of Revenue";#N/A,#N/A,TRUE,"P&amp;L";#N/A,#N/A,TRUE,"Bal. Sheet";#N/A,#N/A,TRUE,"Rights Issue &amp; X Adjustment";#N/A,#N/A,TRUE,"Transaction Model"}</definedName>
    <definedName name="QWQEW">#REF!</definedName>
    <definedName name="Q행">#REF!</definedName>
    <definedName name="r_Accident_Data1">#REF!,#REF!,#REF!,#REF!,#REF!,#REF!,#REF!</definedName>
    <definedName name="r_Accident_Data2">#REF!,#REF!,#REF!,#REF!</definedName>
    <definedName name="r_at_Retirement_DC_Er_Contrib_Match_Cap">#REF!</definedName>
    <definedName name="r_Compensation_Mix">#REF!</definedName>
    <definedName name="r_Compensation_Mix_Data">#REF!</definedName>
    <definedName name="r_DC_Overallcap">#REF!</definedName>
    <definedName name="r_Inpatient_Data1">#REF!,#REF!,#REF!</definedName>
    <definedName name="r_Inpatient_Data2">#REF!,#REF!,#REF!,#REF!</definedName>
    <definedName name="r_Life_Data1">#REF!,#REF!,#REF!,#REF!</definedName>
    <definedName name="r_Life_Data2">#REF!,#REF!,#REF!,#REF!</definedName>
    <definedName name="r_Outpatient_Data">#REF!,#REF!,#REF!,#REF!,#REF!,#REF!,#REF!,#REF!,#REF!,#REF!,#REF!,#REF!</definedName>
    <definedName name="r_Outpatient_Data1">#REF!,#REF!,#REF!</definedName>
    <definedName name="r_Outpatient_Data2">#REF!,#REF!,#REF!,#REF!</definedName>
    <definedName name="r_Prof_Shar">#REF!</definedName>
    <definedName name="r_Profit_Sharing">#REF!</definedName>
    <definedName name="r_raise">#REF!</definedName>
    <definedName name="r_Sales_Inc">#REF!</definedName>
    <definedName name="r_Sales_Incentives1">#REF!</definedName>
    <definedName name="r_Sales_Incentives2">#REF!</definedName>
    <definedName name="r_Sales_Incentives3">#REF!</definedName>
    <definedName name="r_Sales_Incentives4">#REF!,#REF!,#REF!,#REF!,#REF!,#REF!</definedName>
    <definedName name="r_STI_SALSINCT_Data1">#REF!,#REF!,#REF!,#REF!,#REF!,#REF!,#REF!</definedName>
    <definedName name="r_v_Bon">#REF!</definedName>
    <definedName name="r_v_Bonus1">#REF!</definedName>
    <definedName name="r_v_Bonus2">#REF!</definedName>
    <definedName name="r_v_Bonus3">#REF!</definedName>
    <definedName name="r_v_Bonus4">#REF!,#REF!,#REF!,#REF!</definedName>
    <definedName name="radsdffsda" hidden="1">#REF!</definedName>
    <definedName name="range">#REF!</definedName>
    <definedName name="range2">#REF!</definedName>
    <definedName name="RANGEA">#N/A</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te_1">#REF!</definedName>
    <definedName name="rate_2">#REF!</definedName>
    <definedName name="rate_3">#REF!</definedName>
    <definedName name="rate_4">#REF!</definedName>
    <definedName name="rate_5">#REF!</definedName>
    <definedName name="rate_6">#REF!</definedName>
    <definedName name="RDGRGERTY">#REF!</definedName>
    <definedName name="realisé">#REF!</definedName>
    <definedName name="Rebate" hidden="1">{#N/A,#N/A,FALSE,"Aging Summary";#N/A,#N/A,FALSE,"Ratio Analysis";#N/A,#N/A,FALSE,"Test 120 Day Accts";#N/A,#N/A,FALSE,"Tickmarks"}</definedName>
    <definedName name="RECORD">#REF!</definedName>
    <definedName name="_xlnm.Recorder">#REF!</definedName>
    <definedName name="recs">#REF!</definedName>
    <definedName name="ref">#REF!</definedName>
    <definedName name="Refi">#REF!</definedName>
    <definedName name="refinance">#REF!</definedName>
    <definedName name="Refurbish_Begin">#REF!</definedName>
    <definedName name="Refurbish_End">#REF!</definedName>
    <definedName name="Refurbishment">#REF!</definedName>
    <definedName name="refx">#REF!</definedName>
    <definedName name="region">#REF!</definedName>
    <definedName name="Region_AT">#REF!</definedName>
    <definedName name="Region_BA">#REF!</definedName>
    <definedName name="Region_BE">#REF!</definedName>
    <definedName name="Region_BG">#REF!</definedName>
    <definedName name="Region_CH">#REF!</definedName>
    <definedName name="Region_CZ">#REF!</definedName>
    <definedName name="Region_DE">#REF!</definedName>
    <definedName name="Region_DK">#REF!</definedName>
    <definedName name="Region_EE">#REF!</definedName>
    <definedName name="Region_ES">#REF!</definedName>
    <definedName name="Region_FI">#REF!</definedName>
    <definedName name="Region_FR">#REF!</definedName>
    <definedName name="Region_HR">#REF!</definedName>
    <definedName name="Region_HU">#REF!</definedName>
    <definedName name="Region_IE">#REF!</definedName>
    <definedName name="Region_IS">#REF!</definedName>
    <definedName name="Region_IT">#REF!</definedName>
    <definedName name="Region_LT">#REF!</definedName>
    <definedName name="Region_LV">#REF!</definedName>
    <definedName name="Region_MK">#REF!</definedName>
    <definedName name="Region_NL">#REF!</definedName>
    <definedName name="Region_NO">#REF!</definedName>
    <definedName name="Region_PL">#REF!</definedName>
    <definedName name="Region_PT">#REF!</definedName>
    <definedName name="Region_RO">#REF!</definedName>
    <definedName name="Region_RU">#REF!</definedName>
    <definedName name="Region_SB">#REF!</definedName>
    <definedName name="Region_SE">#REF!</definedName>
    <definedName name="Region_SI">#REF!</definedName>
    <definedName name="Region_SK">#REF!</definedName>
    <definedName name="Region_TR">#REF!</definedName>
    <definedName name="Region_UA">#REF!</definedName>
    <definedName name="Region_UK">#REF!</definedName>
    <definedName name="remaining_mortgage_amount">#REF!</definedName>
    <definedName name="REMARK">#N/A</definedName>
    <definedName name="rent">#REF!</definedName>
    <definedName name="rent_raise">#REF!</definedName>
    <definedName name="rent_rebate">#REF!</definedName>
    <definedName name="rent_rebate_2nd">#REF!</definedName>
    <definedName name="rent_rebate_co">#REF!</definedName>
    <definedName name="rent_rebate_indiv">#REF!</definedName>
    <definedName name="rent_rebate_month_end">#REF!</definedName>
    <definedName name="rent_reduction">#REF!</definedName>
    <definedName name="Rental_Deposit">#REF!</definedName>
    <definedName name="Rental_Deposit_Unit">#REF!</definedName>
    <definedName name="Rentroll">#REF!</definedName>
    <definedName name="REP">#N/A</definedName>
    <definedName name="Replacement_Cost">#REF!</definedName>
    <definedName name="Replacement_Cost_Percent">#REF!</definedName>
    <definedName name="REPNORMAL">#N/A</definedName>
    <definedName name="reportPl">#N/A</definedName>
    <definedName name="Reset">#REF!</definedName>
    <definedName name="R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ultat">#REF!</definedName>
    <definedName name="resultatcum">#REF!</definedName>
    <definedName name="resultatsit1">#REF!</definedName>
    <definedName name="Ret_Plan">#REF!</definedName>
    <definedName name="Returns">#REF!</definedName>
    <definedName name="Returns2">#REF!</definedName>
    <definedName name="RevPer">#REF!</definedName>
    <definedName name="RevYN">#REF!</definedName>
    <definedName name="rewr" hidden="1">{#N/A,#N/A,FALSE,"이력서&amp;자기소개서"}</definedName>
    <definedName name="rewr_1" hidden="1">{#N/A,#N/A,FALSE,"이력서&amp;자기소개서"}</definedName>
    <definedName name="rewrs" hidden="1">{#N/A,#N/A,FALSE,"이력서&amp;자기소개서"}</definedName>
    <definedName name="RHD">#N/A</definedName>
    <definedName name="RI_M1">#REF!</definedName>
    <definedName name="RI_M2">#REF!</definedName>
    <definedName name="RI_P1">#REF!</definedName>
    <definedName name="RI_P10">#REF!</definedName>
    <definedName name="RI_P2">#REF!</definedName>
    <definedName name="RI_P3">#REF!</definedName>
    <definedName name="RI_P4">#REF!</definedName>
    <definedName name="RI_P5">#REF!</definedName>
    <definedName name="RI_P6">#REF!</definedName>
    <definedName name="RI_P7">#REF!</definedName>
    <definedName name="RI_P8">#REF!</definedName>
    <definedName name="RI_P9">#REF!</definedName>
    <definedName name="RIII_M1">#REF!</definedName>
    <definedName name="RIII_M2">#REF!</definedName>
    <definedName name="RIII_P1">#REF!</definedName>
    <definedName name="RIII_P10">#REF!</definedName>
    <definedName name="RIII_P2">#REF!</definedName>
    <definedName name="RIII_P3">#REF!</definedName>
    <definedName name="RIII_P4">#REF!</definedName>
    <definedName name="RIII_P5">#REF!</definedName>
    <definedName name="RIII_P6">#REF!</definedName>
    <definedName name="RIII_P7">#REF!</definedName>
    <definedName name="RIII_P8">#REF!</definedName>
    <definedName name="RIII_P9">#REF!</definedName>
    <definedName name="Risk">#REF!</definedName>
    <definedName name="RiskAutoStopPercChange">1.5</definedName>
    <definedName name="RiskCollectDistributionSamples">2</definedName>
    <definedName name="RiskExcelReportsGoInNewWorkbook">TRUE</definedName>
    <definedName name="RiskExcelReportsToGenerate">2105</definedName>
    <definedName name="RiskFixedSeed">1</definedName>
    <definedName name="RiskGenerateExcelReportsAtEndOfSimulation">TRUE</definedName>
    <definedName name="RiskHasSettings">TRUE</definedName>
    <definedName name="RiskMinimizeOnStart">FALSE</definedName>
    <definedName name="RiskMonitorConvergence">TRUE</definedName>
    <definedName name="RiskNumIterations">10000</definedName>
    <definedName name="RiskNumSimulations">1</definedName>
    <definedName name="RiskPauseOnError">FALSE</definedName>
    <definedName name="RiskRealTimeResults">TRUE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2</definedName>
    <definedName name="RiskTemplateSheetName">"myTemplate"</definedName>
    <definedName name="RiskUpdateDisplay">TRUE</definedName>
    <definedName name="RiskUseDifferentSeedForEachSim">FALSE</definedName>
    <definedName name="RiskUseFixedSeed">FALSE</definedName>
    <definedName name="RiskUseMultipleCPUs">FALSE</definedName>
    <definedName name="RK">BlankMacro1</definedName>
    <definedName name="RKSK" hidden="1">#REF!</definedName>
    <definedName name="rkwk" hidden="1">{#N/A,#N/A,FALSE,"1.CRITERIA";#N/A,#N/A,FALSE,"2.IS";#N/A,#N/A,FALSE,"3.BS";#N/A,#N/A,FALSE,"4.PER PL";#N/A,#N/A,FALSE,"5.INVESTMENT";#N/A,#N/A,FALSE,"6.공문";#N/A,#N/A,FALSE,"7.netinvest"}</definedName>
    <definedName name="RLA" hidden="1">#N/A</definedName>
    <definedName name="rlawkd" hidden="1">{#N/A,#N/A,FALSE,"업체선정";#N/A,#N/A,FALSE,"업체선정sheet";#N/A,#N/A,FALSE,"업체실태";#N/A,#N/A,FALSE,"업체실태(1)";#N/A,#N/A,FALSE,"종업원현황(2)";#N/A,#N/A,FALSE,"생산품목(3)";#N/A,#N/A,FALSE,"장비보유현황";#N/A,#N/A,FALSE,"차량및약도";#N/A,#N/A,FALSE,"금형LIST"}</definedName>
    <definedName name="RMRMR">#REF!</definedName>
    <definedName name="RNAO" hidden="1">{#N/A,#N/A,FALSE,"Aging Summary";#N/A,#N/A,FALSE,"Ratio Analysis";#N/A,#N/A,FALSE,"Test 120 Day Accts";#N/A,#N/A,FALSE,"Tickmarks"}</definedName>
    <definedName name="rnrnf" hidden="1">{"'호선별현황(방식)'!$K$22:$P$22","'호선별현황(방식)'!$K$22:$P$22"}</definedName>
    <definedName name="RNRNRNR" hidden="1">{#N/A,#N/A,FALSE,"95FW"}</definedName>
    <definedName name="ROB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 hidden="1">{#N/A,#N/A,TRUE,"일정"}</definedName>
    <definedName name="ROOF투자명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pponngi" hidden="1">{"AnnualRentRoll",#N/A,FALSE,"RentRoll"}</definedName>
    <definedName name="ropponngi_1" hidden="1">{"AnnualRentRoll",#N/A,FALSE,"RentRoll"}</definedName>
    <definedName name="ROW">#REF!</definedName>
    <definedName name="row_Bonus">#REF!</definedName>
    <definedName name="row_Compensation_Mix">#REF!</definedName>
    <definedName name="row_Cpy_Car_Data">#REF!,#REF!,#REF!,#REF!,#REF!,#REF!,#REF!,#REF!,#REF!</definedName>
    <definedName name="row_DB_Early_Retirement_Data">#REF!,#REF!</definedName>
    <definedName name="row_DC_mandatory_3_Data">#REF!,#REF!,#REF!,#REF!,#REF!,#REF!,#REF!</definedName>
    <definedName name="row_Loan_Car_Data">#REF!,#REF!,#REF!,#REF!,#REF!,#REF!,#REF!</definedName>
    <definedName name="row_Loan_HardSoft_Data">#REF!,#REF!,#REF!,#REF!,#REF!,#REF!,#REF!</definedName>
    <definedName name="row_Loan_Hse_Data">#REF!,#REF!,#REF!,#REF!,#REF!,#REF!,#REF!</definedName>
    <definedName name="row_Loan_Personal_Data">#REF!,#REF!,#REF!,#REF!,#REF!,#REF!,#REF!</definedName>
    <definedName name="row_Product_Services">#REF!,#REF!</definedName>
    <definedName name="row_Profit_Sharing">#REF!</definedName>
    <definedName name="row_Retirement_Type_1_Data1">#REF!,#REF!,#REF!,#REF!,#REF!,#REF!,#REF!,#REF!,#REF!,#REF!</definedName>
    <definedName name="row_Retirement_Type_1_Data2">#REF!,#REF!,#REF!,#REF!,#REF!,#REF!</definedName>
    <definedName name="row_Retirement_Type_2_Data1">#REF!,#REF!,#REF!,#REF!,#REF!,#REF!,#REF!,#REF!,#REF!</definedName>
    <definedName name="row_Retirement_Type_2_Data2">#REF!,#REF!,#REF!,#REF!,#REF!,#REF!</definedName>
    <definedName name="row_Retirement_Type_2_Data3">#REF!,#REF!</definedName>
    <definedName name="row_Retirement_Type_2_Data4">#REF!,#REF!</definedName>
    <definedName name="row_Sales_Incentives">#REF!</definedName>
    <definedName name="row_Share_Data">#REF!,#REF!,#REF!,#REF!,#REF! ,#REF! ,#REF!</definedName>
    <definedName name="row_Training_Edu_Data">#REF!,#REF!</definedName>
    <definedName name="row_Travel_Ins_Data">#REF!,#REF!</definedName>
    <definedName name="row_z_last">#REF!</definedName>
    <definedName name="RowTitleRegion1..G2">#REF!</definedName>
    <definedName name="RP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#REF!</definedName>
    <definedName name="RRR" hidden="1">#REF!</definedName>
    <definedName name="RRRR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RRRR">#REF!</definedName>
    <definedName name="rrrrrrrrrrrr">#REF!</definedName>
    <definedName name="rrrrrrrrrrrrrrrrrrrrrrrrrrrrrrrrrrrrrrrrrrrrrrrrrrrrrrrrrrrrrrrrrrrrrrrrrrrrrrrrrrrrrrrrrrrrrrr">#REF!</definedName>
    <definedName name="RT" hidden="1">#REF!</definedName>
    <definedName name="RT.RTDK">#REF!</definedName>
    <definedName name="RTCLSPRT">#REF!</definedName>
    <definedName name="rtclsprtdk">#REF!</definedName>
    <definedName name="rtyrty" hidden="1">{#N/A,#N/A,TRUE,"Assumptions";#N/A,#N/A,TRUE,"Sources of Revenue";#N/A,#N/A,TRUE,"P&amp;L";#N/A,#N/A,TRUE,"Bal. Sheet";#N/A,#N/A,TRUE,"Rights Issue &amp; X Adjustment";#N/A,#N/A,TRUE,"Transaction Model"}</definedName>
    <definedName name="rtyu" hidden="1">{#N/A,#N/A,TRUE,"Assumptions";#N/A,#N/A,TRUE,"Sources of Revenue";#N/A,#N/A,TRUE,"P&amp;L";#N/A,#N/A,TRUE,"Bal. Sheet";#N/A,#N/A,TRUE,"Rights Issue &amp; X Adjustment";#N/A,#N/A,TRUE,"Transaction Model"}</definedName>
    <definedName name="RT검사">#REF!</definedName>
    <definedName name="RY">#REF!</definedName>
    <definedName name="R행">#REF!</definedName>
    <definedName name="S">#REF!</definedName>
    <definedName name="s.v_reduction">#REF!</definedName>
    <definedName name="S_Adjust">#REF!</definedName>
    <definedName name="S_AJE_Tot">#REF!</definedName>
    <definedName name="S_CY_Beg_Data">#REF!</definedName>
    <definedName name="S_CY_End">#REF!</definedName>
    <definedName name="S_Diff_Amt">#REF!</definedName>
    <definedName name="S_Diff_Pct">#REF!</definedName>
    <definedName name="s_raise">#REF!</definedName>
    <definedName name="S_RJE_Tot">#REF!</definedName>
    <definedName name="S_S">#REF!</definedName>
    <definedName name="SA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dd" hidden="1">{"MonthlyRentRoll",#N/A,FALSE,"RentRoll"}</definedName>
    <definedName name="sadd_1" hidden="1">{"MonthlyRentRoll",#N/A,FALSE,"RentRoll"}</definedName>
    <definedName name="saddd" hidden="1">{"AnnualRentRoll",#N/A,FALSE,"RentRoll"}</definedName>
    <definedName name="saddd_1" hidden="1">{"AnnualRentRoll",#N/A,FALSE,"RentRoll"}</definedName>
    <definedName name="saddddd" hidden="1">{"AnnualRentRoll",#N/A,FALSE,"RentRoll"}</definedName>
    <definedName name="saddddd_1" hidden="1">{"AnnualRentRoll",#N/A,FALSE,"RentRoll"}</definedName>
    <definedName name="sadddddddd" hidden="1">{#N/A,#N/A,FALSE,"ExitStratigy"}</definedName>
    <definedName name="sadddddddd_1" hidden="1">{#N/A,#N/A,FALSE,"ExitStratigy"}</definedName>
    <definedName name="sadddddddddd" hidden="1">{#N/A,#N/A,FALSE,"LoanAssumptions"}</definedName>
    <definedName name="sadddddddddd_1" hidden="1">{#N/A,#N/A,FALSE,"LoanAssumptions"}</definedName>
    <definedName name="saddddddddddddd" hidden="1">{#N/A,#N/A,FALSE,"OperatingAssumptions"}</definedName>
    <definedName name="saddddddddddddd_1" hidden="1">{#N/A,#N/A,FALSE,"OperatingAssumptions"}</definedName>
    <definedName name="sadf" hidden="1">#REF!</definedName>
    <definedName name="SALES">#REF!</definedName>
    <definedName name="sales1">#REF!</definedName>
    <definedName name="Salesable_Area">#REF!</definedName>
    <definedName name="SAMPLE">#REF!</definedName>
    <definedName name="Sample1">#REF!</definedName>
    <definedName name="Samuel_Opt">#N/A</definedName>
    <definedName name="SAN">#N/A</definedName>
    <definedName name="SANGDATA">#REF!</definedName>
    <definedName name="SAPBEXrevision" hidden="1">1</definedName>
    <definedName name="SAPBEXsysID" hidden="1">"BPR"</definedName>
    <definedName name="SAPBEXwbID" hidden="1">"3LD3ORV0NYP5WZ7NXILJ4HLJA"</definedName>
    <definedName name="sasd" hidden="1">#REF!</definedName>
    <definedName name="savenefile11111">#REF!</definedName>
    <definedName name="SaveNewFile">#REF!</definedName>
    <definedName name="savenewfile1">#REF!</definedName>
    <definedName name="sa부하" hidden="1">#REF!</definedName>
    <definedName name="SBC" hidden="1">#REF!</definedName>
    <definedName name="SC">#REF!</definedName>
    <definedName name="SC11월">#REF!</definedName>
    <definedName name="SC12월">#REF!</definedName>
    <definedName name="SC1월">#REF!</definedName>
    <definedName name="SC2월">#REF!</definedName>
    <definedName name="SC2월2">#REF!</definedName>
    <definedName name="SC3월">#REF!</definedName>
    <definedName name="SC4월">#REF!</definedName>
    <definedName name="SCF"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CFP">#REF!</definedName>
    <definedName name="scheda">#REF!:#REF!</definedName>
    <definedName name="SChonsei">#REF!</definedName>
    <definedName name="sck" hidden="1">{#N/A,#N/A,FALSE,"BS";#N/A,#N/A,FALSE,"PL";#N/A,#N/A,FALSE,"처분";#N/A,#N/A,FALSE,"현금";#N/A,#N/A,FALSE,"매출";#N/A,#N/A,FALSE,"원가";#N/A,#N/A,FALSE,"경영"}</definedName>
    <definedName name="Scoresheet">#REF!</definedName>
    <definedName name="sd">#REF!</definedName>
    <definedName name="sda">#REF!</definedName>
    <definedName name="sdad">#REF!</definedName>
    <definedName name="sdafdadfad" hidden="1">{#N/A,#N/A,FALSE,"Aging Summary";#N/A,#N/A,FALSE,"Ratio Analysis";#N/A,#N/A,FALSE,"Test 120 Day Accts";#N/A,#N/A,FALSE,"Tickmarks"}</definedName>
    <definedName name="SD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 hidden="1">{#N/A,#N/A,FALSE,"채산3501.XLS";#N/A,#N/A,FALSE,"신조수A.XLS";#N/A,#N/A,FALSE,"신조수b.XLS";#N/A,#N/A,FALSE,"채산3502.XLS";#N/A,#N/A,FALSE,"신조원리.XLS";#N/A,#N/A,FALSE,"신조감가.XLS"}</definedName>
    <definedName name="sdfgdfg" hidden="1">{#N/A,#N/A,TRUE,"Assumptions";#N/A,#N/A,TRUE,"Sources of Revenue";#N/A,#N/A,TRUE,"P&amp;L";#N/A,#N/A,TRUE,"Bal. Sheet";#N/A,#N/A,TRUE,"Rights Issue &amp; X Adjustment";#N/A,#N/A,TRUE,"Transaction Model"}</definedName>
    <definedName name="sdfgsdfg" hidden="1">{#N/A,#N/A,TRUE,"Assumptions";#N/A,#N/A,TRUE,"Sources of Revenue";#N/A,#N/A,TRUE,"P&amp;L";#N/A,#N/A,TRUE,"Bal. Sheet";#N/A,#N/A,TRUE,"Rights Issue &amp; X Adjustment";#N/A,#N/A,TRUE,"Transaction Model"}</definedName>
    <definedName name="sdfgsdfgsdgfs">#N/A</definedName>
    <definedName name="sdfgsdfsdfafasd" hidden="1">#REF!</definedName>
    <definedName name="sdfsf" hidden="1">#REF!</definedName>
    <definedName name="sdfteseagegwe" hidden="1">#REF!</definedName>
    <definedName name="SDGEART" hidden="1">#REF!</definedName>
    <definedName name="sdklfj" hidden="1">#REF!</definedName>
    <definedName name="sds">BlankMacro1</definedName>
    <definedName name="sdsd" hidden="1">#REF!</definedName>
    <definedName name="sdsdsdsdsd">#REF!</definedName>
    <definedName name="sdss">#REF!</definedName>
    <definedName name="sdvrys" hidden="1">{#N/A,#N/A,TRUE,"Assumptions";#N/A,#N/A,TRUE,"Sources of Revenue";#N/A,#N/A,TRUE,"P&amp;L";#N/A,#N/A,TRUE,"Bal. Sheet";#N/A,#N/A,TRUE,"Rights Issue &amp; X Adjustment";#N/A,#N/A,TRUE,"Transaction Model"}</definedName>
    <definedName name="SE">#REF!</definedName>
    <definedName name="second_s">#REF!</definedName>
    <definedName name="SECT_120">#REF!</definedName>
    <definedName name="SECT_130">#REF!</definedName>
    <definedName name="SECT_140">#REF!</definedName>
    <definedName name="SECT_160">#REF!</definedName>
    <definedName name="SECT_170">#REF!</definedName>
    <definedName name="SECT_180">#REF!</definedName>
    <definedName name="SECT_190">#REF!</definedName>
    <definedName name="sectionNames">#REF!</definedName>
    <definedName name="Security_Deposit_Multiplier">#REF!</definedName>
    <definedName name="segvx" hidden="1">{"'買掛金'!$J$6"}</definedName>
    <definedName name="Sellers">#REF!</definedName>
    <definedName name="sencount" hidden="1">1</definedName>
    <definedName name="SENG0">#REF!</definedName>
    <definedName name="Sensistivity_BuyPrice">#REF!</definedName>
    <definedName name="Sensistivity_Exit_Price">#REF!</definedName>
    <definedName name="Sensistivity_Hold_Period">#REF!</definedName>
    <definedName name="Sensitivity_Borrow_Cost">#REF!</definedName>
    <definedName name="Sensitivity_Debt_Ratio">#REF!</definedName>
    <definedName name="Sensitivity_Exit">#REF!</definedName>
    <definedName name="Sensitivity_Term">#REF!</definedName>
    <definedName name="Service_Charge_Collection">#REF!</definedName>
    <definedName name="service_raise">#REF!</definedName>
    <definedName name="Set_1">#REF!</definedName>
    <definedName name="sf" hidden="1">#REF!</definedName>
    <definedName name="sfd" hidden="1">{#N/A,#N/A,FALSE,"95FW"}</definedName>
    <definedName name="SFD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gdfs" hidden="1">{#N/A,#N/A,FALSE,"BS";#N/A,#N/A,FALSE,"PL";#N/A,#N/A,FALSE,"A";#N/A,#N/A,FALSE,"B";#N/A,#N/A,FALSE,"B1";#N/A,#N/A,FALSE,"C";#N/A,#N/A,FALSE,"C1";#N/A,#N/A,FALSE,"C2";#N/A,#N/A,FALSE,"D";#N/A,#N/A,FALSE,"E";#N/A,#N/A,FALSE,"F";#N/A,#N/A,FALSE,"AA";#N/A,#N/A,FALSE,"BB";#N/A,#N/A,FALSE,"CC";#N/A,#N/A,FALSE,"DD";#N/A,#N/A,FALSE,"EE";#N/A,#N/A,FALSE,"FF";#N/A,#N/A,FALSE,"PL10";#N/A,#N/A,FALSE,"PL20";#N/A,#N/A,FALSE,"PL30"}</definedName>
    <definedName name="Share_MaxAmt">#REF!</definedName>
    <definedName name="Share_Plan">#REF!</definedName>
    <definedName name="sheet" hidden="1">{#N/A,#N/A,FALSE,"95FW"}</definedName>
    <definedName name="sheet1" hidden="1">{#N/A,#N/A,FALSE,"95FW"}</definedName>
    <definedName name="SHEET2" hidden="1">{#N/A,#N/A,FALSE,"단축1";#N/A,#N/A,FALSE,"단축2";#N/A,#N/A,FALSE,"단축3";#N/A,#N/A,FALSE,"장축";#N/A,#N/A,FALSE,"4WD"}</definedName>
    <definedName name="Ship">#REF!</definedName>
    <definedName name="SHL_Interest">#REF!</definedName>
    <definedName name="SHL_Ratio">#REF!</definedName>
    <definedName name="SHL_Tax">#REF!</definedName>
    <definedName name="SHORTNAME">#N/A</definedName>
    <definedName name="Show">#REF!</definedName>
    <definedName name="SHR">#REF!</definedName>
    <definedName name="shtName">INDEX(wsNames, shtPos)</definedName>
    <definedName name="Sigma">#REF!+(#REF!-#REF!)</definedName>
    <definedName name="signage_revenue">#REF!</definedName>
    <definedName name="SINGPORE">#REF!</definedName>
    <definedName name="SIS" hidden="1">{#N/A,#N/A,FALSE,"업체선정";#N/A,#N/A,FALSE,"업체선정sheet";#N/A,#N/A,FALSE,"업체실태";#N/A,#N/A,FALSE,"업체실태(1)";#N/A,#N/A,FALSE,"종업원현황(2)";#N/A,#N/A,FALSE,"생산품목(3)";#N/A,#N/A,FALSE,"장비보유현황";#N/A,#N/A,FALSE,"차량및약도";#N/A,#N/A,FALSE,"금형LIST"}</definedName>
    <definedName name="Site_Area">#REF!</definedName>
    <definedName name="sj">#REF!</definedName>
    <definedName name="sjflkaejflkjglk">#REF!</definedName>
    <definedName name="skaaldud"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SKSK">#REF!</definedName>
    <definedName name="Sm_per_Pyong">#REF!</definedName>
    <definedName name="smarket_eviction_cost">#REF!</definedName>
    <definedName name="smarket_key_money">#REF!</definedName>
    <definedName name="smarket_market_rent">#REF!</definedName>
    <definedName name="smarket_percent">#REF!</definedName>
    <definedName name="smarket_size">#REF!</definedName>
    <definedName name="SO">#REF!</definedName>
    <definedName name="solid_ctn_poplin">#REF!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2</definedName>
    <definedName name="solver_neg" hidden="1">2</definedName>
    <definedName name="solver_num" hidden="1">0</definedName>
    <definedName name="solver_nwt" hidden="1">1</definedName>
    <definedName name="solver_pre" hidden="1">0.000001</definedName>
    <definedName name="solver_rel1" hidden="1">1</definedName>
    <definedName name="solver_rhs1" hidden="1">#REF!*1.5</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rt" hidden="1">#REF!</definedName>
    <definedName name="SOU">#REF!</definedName>
    <definedName name="source">#REF!</definedName>
    <definedName name="SP4월">#REF!</definedName>
    <definedName name="spa">#REF!</definedName>
    <definedName name="spc_setup">#REF!</definedName>
    <definedName name="Special_Capital_Gain_Tax">#REF!</definedName>
    <definedName nam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R134202C113TBH1B0RTSUS">#REF!</definedName>
    <definedName name="SPR165C113TBH1B2RTSUS">#REF!</definedName>
    <definedName name="SPR188C103121TBH1B0RTSUS">#REF!</definedName>
    <definedName name="SPR188C116136TBH1B0RTSUS">#REF!</definedName>
    <definedName name="SPR188C127152TBH1B0RTSUS">#REF!</definedName>
    <definedName name="SPR188C95111TBH1B0RTSUS">#REF!</definedName>
    <definedName name="SPR190C3452RTSUS">#REF!</definedName>
    <definedName name="SPR190C5466RRSUS">#REF!</definedName>
    <definedName name="SPR190C5466RTSUS">#REF!</definedName>
    <definedName name="SPR193C127RTSUS">#REF!</definedName>
    <definedName name="SPR193C7798RTSUS">#REF!</definedName>
    <definedName name="SPR68127C113TBH1B2RTSUS">#REF!</definedName>
    <definedName name="SPT_FLUSSI">#REF!,#REF!</definedName>
    <definedName name="SPWS_WBID">"0D145571-4AA7-4C6E-B8EB-4DF0FED2B8BC"</definedName>
    <definedName name="SQF">#REF!</definedName>
    <definedName name="sqft">#REF!</definedName>
    <definedName name="sqmt">#REF!</definedName>
    <definedName name="SS">#REF!</definedName>
    <definedName name="SS_CAPEX">{"Client Name or Project Name"}</definedName>
    <definedName name="ssdsd">#REF!</definedName>
    <definedName name="SSRR">#REF!</definedName>
    <definedName name="sss" hidden="1">{#N/A,#N/A,FALSE,"95FW"}</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ssssssss">#REF!</definedName>
    <definedName name="sssssssssssssssssssssss">#REF!</definedName>
    <definedName name="ST_interest">#REF!</definedName>
    <definedName name="Stabilized_Vacancy">#REF!</definedName>
    <definedName name="stacking">#N/A</definedName>
    <definedName name="stamp">#REF!,#REF!</definedName>
    <definedName name="STAR">#REF!</definedName>
    <definedName name="STAR1">#REF!</definedName>
    <definedName name="start">#REF!</definedName>
    <definedName name="START2">#REF!</definedName>
    <definedName name="Stato_Patrimoniale">#REF!</definedName>
    <definedName name="stcode">#REF!</definedName>
    <definedName name="STE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ep1">#REF!</definedName>
    <definedName name="step2">#REF!</definedName>
    <definedName name="STI_Language">#REF!</definedName>
    <definedName name="STJ">#REF!</definedName>
    <definedName name="Stock_List">#REF!</definedName>
    <definedName name="strloc">#REF!</definedName>
    <definedName name="STRU">#REF!</definedName>
    <definedName name="SU">#REF!</definedName>
    <definedName name="sum">#REF!</definedName>
    <definedName name="SUMMARY">#REF!</definedName>
    <definedName name="surt" hidden="1">#REF!</definedName>
    <definedName name="SurveyDate">#REF!</definedName>
    <definedName name="SurveyName">#REF!</definedName>
    <definedName name="swds" hidden="1">#REF!</definedName>
    <definedName name="SYNOFF">#REF!</definedName>
    <definedName name="SYNON">#REF!</definedName>
    <definedName name="SYSDATE">#N/A</definedName>
    <definedName name="s부하" hidden="1">#REF!</definedName>
    <definedName name="s조향" hidden="1">#REF!</definedName>
    <definedName name="S행">#REF!</definedName>
    <definedName name="t">#REF!</definedName>
    <definedName name="t_all">#REF!</definedName>
    <definedName name="T1_">#N/A</definedName>
    <definedName name="T200팀별투자비" hidden="1">{#N/A,#N/A,TRUE,"일정"}</definedName>
    <definedName name="ta" hidden="1">{#N/A,#N/A,FALSE,"Aging Summary";#N/A,#N/A,FALSE,"Ratio Analysis";#N/A,#N/A,FALSE,"Test 120 Day Accts";#N/A,#N/A,FALSE,"Tickmarks"}</definedName>
    <definedName name="TAB_BUTTON">#REF!</definedName>
    <definedName name="TABLE1">#REF!</definedName>
    <definedName name="Target">#REF!</definedName>
    <definedName name="TARWK">#REF!</definedName>
    <definedName name="tax"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Tax_Base_above100">#REF!</definedName>
    <definedName name="Tax_Base_below100">#REF!</definedName>
    <definedName name="Tax_Rate">#REF!</definedName>
    <definedName name="Tax_Rate1">#REF!</definedName>
    <definedName name="Tax_Rental_Above100">#REF!</definedName>
    <definedName name="Tax_Rental_below100">#REF!</definedName>
    <definedName name="Tax_Withhold_Capital_Gains">#REF!</definedName>
    <definedName name="Tax_Withhold_Dividends">#REF!</definedName>
    <definedName name="TB">#REF!</definedName>
    <definedName name="TB112.1">#REF!</definedName>
    <definedName name="TB113.1">#REF!</definedName>
    <definedName name="TB114.1">#REF!</definedName>
    <definedName name="TB115.1">#REF!</definedName>
    <definedName name="TB116.1">#REF!</definedName>
    <definedName name="TB117.1">#REF!</definedName>
    <definedName name="TB212.1">#REF!</definedName>
    <definedName name="TB213.1">#REF!</definedName>
    <definedName name="TB221.1">#REF!</definedName>
    <definedName name="TB222.1">#REF!</definedName>
    <definedName name="TB222.2">#REF!</definedName>
    <definedName name="TB223.1">#REF!</definedName>
    <definedName name="TB224.1">#REF!</definedName>
    <definedName name="TB312.1">#REF!</definedName>
    <definedName name="TB313.1">#REF!</definedName>
    <definedName name="TB314.1">#REF!</definedName>
    <definedName name="TB315.1">#REF!</definedName>
    <definedName name="TB316.1">#REF!</definedName>
    <definedName name="TB317.1">#REF!</definedName>
    <definedName name="TB318.1">#REF!</definedName>
    <definedName name="TB601.1">#REF!</definedName>
    <definedName name="TB605.1">#REF!</definedName>
    <definedName name="TB904.1">#REF!</definedName>
    <definedName name="TB904.2">#REF!</definedName>
    <definedName name="tc" hidden="1">{#N/A,#N/A,FALSE,"단축1";#N/A,#N/A,FALSE,"단축2";#N/A,#N/A,FALSE,"단축3";#N/A,#N/A,FALSE,"장축";#N/A,#N/A,FALSE,"4WD"}</definedName>
    <definedName name="TChonsei">#REF!</definedName>
    <definedName name="tci" hidden="1">{#N/A,#N/A,FALSE,"단축1";#N/A,#N/A,FALSE,"단축2";#N/A,#N/A,FALSE,"단축3";#N/A,#N/A,FALSE,"장축";#N/A,#N/A,FALSE,"4WD"}</definedName>
    <definedName name="tcn">#REF!</definedName>
    <definedName name="TDeposit">#REF!</definedName>
    <definedName name="TDS">#REF!</definedName>
    <definedName name="TEAM">#REF!</definedName>
    <definedName name="Tel">#REF!</definedName>
    <definedName name="temp">#REF!</definedName>
    <definedName name="Tenant">#REF!</definedName>
    <definedName name="TenantData">#REF!</definedName>
    <definedName name="tenmo">#REF!</definedName>
    <definedName name="Term">#REF!</definedName>
    <definedName name="TEST">#REF!</definedName>
    <definedName name="TEST_1">#REF!</definedName>
    <definedName name="TEST_2">#REF!</definedName>
    <definedName name="TEST_A">#N/A</definedName>
    <definedName name="TEST_A1">#REF!</definedName>
    <definedName name="TEST_A2">#REF!</definedName>
    <definedName name="TEST_A3">#REF!</definedName>
    <definedName name="TEST_B">#N/A</definedName>
    <definedName name="TEST_B1">#REF!</definedName>
    <definedName name="TEST_B2">#REF!</definedName>
    <definedName name="TEST_B3">#REF!</definedName>
    <definedName name="TEST_C">#N/A</definedName>
    <definedName name="TEST_C1">#REF!</definedName>
    <definedName name="TEST_C2">#REF!</definedName>
    <definedName name="TEST_C3">#REF!</definedName>
    <definedName name="TEST_D">#N/A</definedName>
    <definedName name="TEST_D1">#REF!</definedName>
    <definedName name="TEST_D2">#REF!</definedName>
    <definedName name="TEST_D3">#REF!</definedName>
    <definedName name="TEST_E">#N/A</definedName>
    <definedName name="TEST_E1">#REF!</definedName>
    <definedName name="TEST_E2">#REF!</definedName>
    <definedName name="TEST_E3">#REF!</definedName>
    <definedName name="TEST_F1">#REF!</definedName>
    <definedName name="TEST_F2">#REF!</definedName>
    <definedName name="TEST_F3">#REF!</definedName>
    <definedName name="TEST_G">#REF!</definedName>
    <definedName name="TEST_G1">#REF!</definedName>
    <definedName name="TEST_G2">#REF!</definedName>
    <definedName name="TEST_G3">#REF!</definedName>
    <definedName name="TEST_H1">#REF!</definedName>
    <definedName name="TEST_H2">#REF!</definedName>
    <definedName name="TEST_H3">#REF!</definedName>
    <definedName name="TEST_I1">#REF!</definedName>
    <definedName name="TEST_I2">#REF!</definedName>
    <definedName name="TEST_I3">#REF!</definedName>
    <definedName name="TEST_J1">#REF!</definedName>
    <definedName name="TEST_J2">#REF!</definedName>
    <definedName name="TEST_J3">#REF!</definedName>
    <definedName name="TEST_K1">#REF!</definedName>
    <definedName name="TEST_K2">#REF!</definedName>
    <definedName name="TEST_K3">#REF!</definedName>
    <definedName name="TEST_L2">#REF!</definedName>
    <definedName name="TEST_L3">#REF!</definedName>
    <definedName name="TEST_M2">#REF!</definedName>
    <definedName name="TEST_M3">#REF!</definedName>
    <definedName name="TEST_N2">#REF!</definedName>
    <definedName name="TEST_N3">#REF!</definedName>
    <definedName name="TEST_O2">#REF!</definedName>
    <definedName name="TEST_O3">#REF!</definedName>
    <definedName name="TEST_P2">#REF!</definedName>
    <definedName name="TEST_P3">#REF!</definedName>
    <definedName name="TEST_Q2">#REF!</definedName>
    <definedName name="TEST_Q3">#REF!</definedName>
    <definedName name="TEST_R2">#REF!</definedName>
    <definedName name="TEST_R3">#REF!</definedName>
    <definedName name="TEST_S3">#REF!</definedName>
    <definedName name="TEST_T3">#REF!</definedName>
    <definedName name="TEST_U3">#REF!</definedName>
    <definedName name="TEST_V3">#REF!</definedName>
    <definedName name="TEST_W3">#REF!</definedName>
    <definedName name="TEST_X3">#REF!</definedName>
    <definedName name="TEST_Y3">#REF!</definedName>
    <definedName name="TEST_Z3">#REF!</definedName>
    <definedName name="TEST0">#REF!</definedName>
    <definedName name="TEST1">#REF!</definedName>
    <definedName name="TESTDTA_F4095">#REF!</definedName>
    <definedName name="TESTHKEY">#REF!</definedName>
    <definedName name="TESTKEYS">#REF!</definedName>
    <definedName name="TESTVKEY">#REF!</definedName>
    <definedName name="TEXT16">#REF!</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2">#REF!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2</definedName>
    <definedName name="THEME2" hidden="1">{#N/A,#N/A,FALSE,"96 3월물량표";#N/A,#N/A,FALSE,"96 4월물량표";#N/A,#N/A,FALSE,"96 5월물량표"}</definedName>
    <definedName name="THEMONTH">#REF!</definedName>
    <definedName name="This_Quarter">#REF!</definedName>
    <definedName name="ThisPeriod">#REF!</definedName>
    <definedName name="ThisYear">#REF!</definedName>
    <definedName name="thsdls" hidden="1">{#N/A,#N/A,FALSE,"Aging Summary";#N/A,#N/A,FALSE,"Ratio Analysis";#N/A,#N/A,FALSE,"Test 120 Day Accts";#N/A,#N/A,FALSE,"Tickmarks"}</definedName>
    <definedName name="thtty" hidden="1">{#N/A,#N/A,FALSE,"96 3월물량표";#N/A,#N/A,FALSE,"96 4월물량표";#N/A,#N/A,FALSE,"96 5월물량표"}</definedName>
    <definedName name="ti">#REF!</definedName>
    <definedName name="Time">#REF!</definedName>
    <definedName name="TIMESTAMP">#REF!</definedName>
    <definedName name="TIPS_Actual_Title">#REF!</definedName>
    <definedName name="TIPS_AGENCY_COFEE">#REF!</definedName>
    <definedName name="TIPS_AGENCY_EEFEE">#REF!</definedName>
    <definedName name="TIPS_ALLOW_RUNCOST">#REF!</definedName>
    <definedName name="TIPS_ALLOWANCE">#REF!</definedName>
    <definedName name="TIPS_ANN_BASE">#REF!</definedName>
    <definedName name="TIPS_ANN_EC_GIVEN">#REF!</definedName>
    <definedName name="TIPS_AREA_ALW">#REF!</definedName>
    <definedName name="TIPS_BENEFITPOLICY">#REF!</definedName>
    <definedName name="TIPS_Benefits_1">#REF!</definedName>
    <definedName name="TIPS_Benefits_2">#REF!</definedName>
    <definedName name="TIPS_BON_ACT">#REF!</definedName>
    <definedName name="TIPS_BON_ACT2">#REF!</definedName>
    <definedName name="TIPS_BON_ELIG">#REF!</definedName>
    <definedName name="TIPS_BON_TGT">#REF!</definedName>
    <definedName name="TIPS_BON_TGT2">#REF!</definedName>
    <definedName name="TIPS_BURN_ALW">#REF!</definedName>
    <definedName name="TIPS_CAR_ENGINE">#REF!</definedName>
    <definedName name="TIPS_CAR_MODEL">#REF!</definedName>
    <definedName name="TIPS_CAR_PLAN">#REF!</definedName>
    <definedName name="TIPS_CAR_PRK">#REF!</definedName>
    <definedName name="TIPS_CHILD_EDUC">#REF!</definedName>
    <definedName name="TIPS_Class_of_Lawyer">#REF!</definedName>
    <definedName name="TIPS_CLEAN_ALW">#REF!</definedName>
    <definedName name="TIPS_CLOTH_ALW">#REF!</definedName>
    <definedName name="TIPS_CLUB_BEN">#REF!</definedName>
    <definedName name="TIPS_Combined_MUPCS_Title">#REF!</definedName>
    <definedName name="TIPS_Country_Code">#REF!</definedName>
    <definedName name="TIPS_CURR_CODE">#REF!</definedName>
    <definedName name="TIPS_DBPOLICY">#REF!</definedName>
    <definedName name="TIPS_DCPOLICY">#REF!</definedName>
    <definedName name="TIPS_DEEMOT_ALW">#REF!</definedName>
    <definedName name="TIPS_DEEMOT_PRO">#REF!</definedName>
    <definedName name="TIPS_DRIVER_SAL">#REF!</definedName>
    <definedName name="TIPS_Education_Allw">#REF!</definedName>
    <definedName name="TIPS_Employee_ID">#REF!</definedName>
    <definedName name="TIPS_EPI_RATE">#REF!</definedName>
    <definedName name="TIPS_FAMILY_ALW">#REF!</definedName>
    <definedName name="TIPS_FBT_ITEMS">#REF!</definedName>
    <definedName name="TIPS_FEST_BON">#REF!</definedName>
    <definedName name="TIPS_Financial_Vol">#REF!</definedName>
    <definedName name="TIPS_FIXED_BON">#REF!</definedName>
    <definedName name="TIPS_FIXEMP_TEC">#REF!</definedName>
    <definedName name="TIPS_FLEX_ALW">#REF!</definedName>
    <definedName name="TIPS_FLEX_BEN">#REF!</definedName>
    <definedName name="TIPS_FUEL">#REF!</definedName>
    <definedName name="TIPS_Geog_Resp">#REF!</definedName>
    <definedName name="TIPS_GOVT_FUND">#REF!</definedName>
    <definedName name="TIPS_GRATUITY">#REF!</definedName>
    <definedName name="TIPS_Headcount">#REF!</definedName>
    <definedName name="TIPS_HEADORG_TYPE">#REF!</definedName>
    <definedName name="TIPS_HI_RATE">#REF!</definedName>
    <definedName name="TIPS_Highest_Qual">#REF!</definedName>
    <definedName name="TIPS_HLTH_PREM">#REF!</definedName>
    <definedName name="TIPS_HOUSE_ALW">#REF!</definedName>
    <definedName name="TIPS_HOUSE_RENTAL">#REF!</definedName>
    <definedName name="TIPS_INCENT_ACT">#REF!</definedName>
    <definedName name="TIPS_INCENT_ACT2">#REF!</definedName>
    <definedName name="TIPS_INCENT_ELIG">#REF!</definedName>
    <definedName name="TIPS_INCENT_TGT">#REF!</definedName>
    <definedName name="TIPS_INCENT_TGT2">#REF!</definedName>
    <definedName name="TIPS_Incumbent_Data">#REF!</definedName>
    <definedName name="TIPS_IND_TYPE_SALES">#REF!</definedName>
    <definedName name="TIPS_Industry_List">#REF!</definedName>
    <definedName name="TIPS_INSURANCE">#REF!</definedName>
    <definedName name="TIPS_Internal_BU">#REF!</definedName>
    <definedName name="TIPS_Intl_Assignment">#REF!</definedName>
    <definedName name="TIPS_JOB_ALW">#REF!</definedName>
    <definedName name="TIPS_Job_Code">#REF!</definedName>
    <definedName name="TIPS_Job_Family">#REF!</definedName>
    <definedName name="TIPS_Job_Grade">#REF!</definedName>
    <definedName name="TIPS_Job_Identifier_Other">#REF!</definedName>
    <definedName name="TIPS_Job_Level">#REF!</definedName>
    <definedName name="TIPS_KIWI_CONVAL">#REF!</definedName>
    <definedName name="TIPS_KIWI_FUND">#REF!</definedName>
    <definedName name="TIPS_KIWI_OTHER">#REF!</definedName>
    <definedName name="TIPS_KIWI_TEC">#REF!</definedName>
    <definedName name="TIPS_KR_Actual_Title">#REF!</definedName>
    <definedName name="TIPS_KR_Code_Title">#REF!</definedName>
    <definedName name="TIPS_Last_Salary_Review">#REF!</definedName>
    <definedName name="TIPS_LEASEPRICE">#REF!</definedName>
    <definedName name="TIPS_LEASEPRICE2">#REF!</definedName>
    <definedName name="TIPS_LEASEPRICEFBT">#REF!</definedName>
    <definedName name="TIPS_LEAVE_LOAD">#REF!</definedName>
    <definedName name="TIPS_Location">#REF!</definedName>
    <definedName name="TIPS_LocationPOST">#REF!</definedName>
    <definedName name="TIPS_LTI_ELIG">#REF!</definedName>
    <definedName name="TIPS_LTIACCVAL1">#REF!</definedName>
    <definedName name="TIPS_LTICASH1">#REF!</definedName>
    <definedName name="TIPS_LTICUR1">#REF!</definedName>
    <definedName name="TIPS_LTIDTEGR1">#REF!</definedName>
    <definedName name="TIPS_LTIFMV1">#REF!</definedName>
    <definedName name="TIPS_LTIFREQ1">#REF!</definedName>
    <definedName name="TIPS_LTIMAXAWRD1">#REF!</definedName>
    <definedName name="TIPS_LTIPERFMEA1">#REF!</definedName>
    <definedName name="TIPS_LTIPLNTYP1">#REF!</definedName>
    <definedName name="TIPS_LTIPRCGR1">#REF!</definedName>
    <definedName name="TIPS_LTISHARES1">#REF!</definedName>
    <definedName name="TIPS_LTISTRUCT1">#REF!</definedName>
    <definedName name="TIPS_LTITERM1">#REF!</definedName>
    <definedName name="TIPS_MAINTENANCE">#REF!</definedName>
    <definedName name="TIPS_MEAL_ALW">#REF!</definedName>
    <definedName name="TIPS_MED_ALW">#REF!</definedName>
    <definedName name="TIPS_MEDCARE_BEN">#REF!</definedName>
    <definedName name="TIPS_Mercer_PC">#REF!</definedName>
    <definedName name="TIPS_MSU_INSURE">#REF!</definedName>
    <definedName name="TIPS_MTH_BASE">#REF!</definedName>
    <definedName name="TIPS_MUPC">#REF!</definedName>
    <definedName name="TIPS_NFBT_ITEMS">#REF!</definedName>
    <definedName name="TIPS_NUM_MTH">#REF!</definedName>
    <definedName name="TIPS_NUM_MTH2">#REF!</definedName>
    <definedName name="TIPS_Org_Ownership">#REF!</definedName>
    <definedName name="TIPS_Org_Type">#REF!</definedName>
    <definedName name="TIPS_ORG_TYPE_incumbent">#REF!</definedName>
    <definedName name="TIPS_Org_Type1">#REF!</definedName>
    <definedName name="TIPS_OTH_ALW">#REF!</definedName>
    <definedName name="TIPS_OTH_BEN">#REF!</definedName>
    <definedName name="TIPS_OTHBON_ACT">#REF!</definedName>
    <definedName name="TIPS_OTHBON_ACT2">#REF!</definedName>
    <definedName name="TIPS_OTHBON_TGT">#REF!</definedName>
    <definedName name="TIPS_OTHBON_TGT2">#REF!</definedName>
    <definedName name="TIPS_Other_LocalPlus_Allw">#REF!</definedName>
    <definedName name="TIPS_OTHSUP_TEC">#REF!</definedName>
    <definedName name="TIPS_PAG_IBIG">#REF!</definedName>
    <definedName name="TIPS_PERSONALUSE">#REF!</definedName>
    <definedName name="TIPS_PHONE_ALW">#REF!</definedName>
    <definedName name="TIPS_POS_FOCUS">#REF!</definedName>
    <definedName name="TIPS_POS_REVTGT">#REF!</definedName>
    <definedName name="TIPS_PP_CTRY">#REF!</definedName>
    <definedName name="TIPS_PREVENT_HLTH">#REF!</definedName>
    <definedName name="TIPS_PRICE">#REF!</definedName>
    <definedName name="TIPS_PRICE2">#REF!</definedName>
    <definedName name="TIPS_Product">#REF!</definedName>
    <definedName name="TIPS_PURCHASEDISCOUNT">#REF!</definedName>
    <definedName name="TIPS_REPLACEMENTTERM">#REF!</definedName>
    <definedName name="TIPS_RET_BENVAL">#REF!</definedName>
    <definedName name="TIPS_RET_CONVAL">#REF!</definedName>
    <definedName name="TIPS_Retirement">#REF!</definedName>
    <definedName name="TIPS_Salary_Increase">#REF!</definedName>
    <definedName name="TIPS_SCOPE_ALW">#REF!</definedName>
    <definedName name="TIPS_Service">#REF!</definedName>
    <definedName name="TIPS_SHARE_ROLE">#REF!</definedName>
    <definedName name="TIPS_SHIFT12_ALW">#REF!</definedName>
    <definedName name="TIPS_SHIFT8_ALW">#REF!</definedName>
    <definedName name="TIPS_SITE_ALW">#REF!</definedName>
    <definedName name="TIPS_SITEOFF_ALW">#REF!</definedName>
    <definedName name="TIPS_SKILL_ALW">#REF!</definedName>
    <definedName name="TIPS_SKILL_SPEC">#REF!</definedName>
    <definedName name="TIPS_SLSMAN_ALW">#REF!</definedName>
    <definedName name="TIPS_SS_BEN">#REF!</definedName>
    <definedName name="TIPS_SS_RATE">#REF!</definedName>
    <definedName name="TIPS_STK_CTRY">#REF!</definedName>
    <definedName name="TIPS_STK_EXCH">#REF!</definedName>
    <definedName name="TIPS_STK_TICKER">#REF!</definedName>
    <definedName name="TIPS_Store_Type">#REF!</definedName>
    <definedName name="TIPS_SUPP_HFUND">#REF!</definedName>
    <definedName name="TIPS_TRANS_ALW">#REF!</definedName>
    <definedName name="TIPS_TRAVEL_ALW">#REF!</definedName>
    <definedName name="TIPS_Type_of_contract">#REF!</definedName>
    <definedName name="TIPS_Type_of_Empl">#REF!</definedName>
    <definedName name="TIPS_UNION_COFEE">#REF!</definedName>
    <definedName name="TIPS_UNION_EEFEE">#REF!</definedName>
    <definedName name="TIPS_VESTOPT1">#REF!</definedName>
    <definedName name="TIPS_VESTOTH1">#REF!</definedName>
    <definedName name="TIPS_VESTPER1">#REF!</definedName>
    <definedName name="TIPS_VESTTYP1">#REF!</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LE">#REF!</definedName>
    <definedName name="title_tranfer_timing">#REF!</definedName>
    <definedName name="title_transfer_month">#REF!</definedName>
    <definedName name="title_transfer_month_lookup">#REF!</definedName>
    <definedName name="T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K" hidden="1">{#N/A,#N/A,FALSE,"인원";#N/A,#N/A,FALSE,"비용2";#N/A,#N/A,FALSE,"비용1";#N/A,#N/A,FALSE,"비용";#N/A,#N/A,FALSE,"보증2";#N/A,#N/A,FALSE,"보증1";#N/A,#N/A,FALSE,"보증";#N/A,#N/A,FALSE,"손익1";#N/A,#N/A,FALSE,"손익";#N/A,#N/A,FALSE,"부서별매출";#N/A,#N/A,FALSE,"매출"}</definedName>
    <definedName name="tkrwp">#REF!</definedName>
    <definedName name="to" hidden="1">{#N/A,#N/A,FALSE,"표지";#N/A,#N/A,FALSE,"전제";#N/A,#N/A,FALSE,"손익-자 (2)";#N/A,#N/A,FALSE,"손익-자";#N/A,#N/A,FALSE,"손익-마 (2)";#N/A,#N/A,FALSE,"손익-마";#N/A,#N/A,FALSE,"총손최종"}</definedName>
    <definedName name="todoroki" hidden="1">#REF!</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T">#REF!</definedName>
    <definedName name="Tot_Outstand_Check">#REF!</definedName>
    <definedName name="TOTAL" hidden="1">{#N/A,#N/A,TRUE,"일정"}</definedName>
    <definedName name="Total_Contracted_Gross_Area">#REF!</definedName>
    <definedName name="TOTAL1">#REF!</definedName>
    <definedName name="TOTAL2">#REF!</definedName>
    <definedName name="TOTALCARR">#N/A</definedName>
    <definedName name="TOTALDOC">#N/A</definedName>
    <definedName name="TOTALGOODS">#N/A</definedName>
    <definedName name="TotalPyung">#REF!</definedName>
    <definedName name="TOTALVAT">#N/A</definedName>
    <definedName name="totamt">#REF!</definedName>
    <definedName name="TOWN">#N/A</definedName>
    <definedName name="TP1t">#REF!</definedName>
    <definedName name="TP2t">#REF!</definedName>
    <definedName name="TP3t">#REF!</definedName>
    <definedName name="TP5t">#REF!</definedName>
    <definedName name="tr" hidden="1">#REF!</definedName>
    <definedName name="TRAD">#REF!</definedName>
    <definedName name="TrafficLY">OFFSET(#REF!,1,#REF!,12,1)</definedName>
    <definedName name="TrafficTY">OFFSET(#REF!,,#REF!,12,1)</definedName>
    <definedName name="Training">#REF!</definedName>
    <definedName name="TransNum">#REF!</definedName>
    <definedName name="TRent">#REF!</definedName>
    <definedName name="TrialBalance2">#REF!</definedName>
    <definedName name="TRIM">#REF!</definedName>
    <definedName name="TRK">#REF!</definedName>
    <definedName name="TRLY">OFFSET(#REF!,1,#REF!,12,1)</definedName>
    <definedName name="TRTY">OFFSET(#REF!,,#REF!,12,1)</definedName>
    <definedName name="Trust_Fee">#REF!</definedName>
    <definedName name="TT">#REF!</definedName>
    <definedName name="TT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t">#REF!</definedName>
    <definedName name="TTTTTTT">#REF!</definedName>
    <definedName name="ttttttttt">#REF!</definedName>
    <definedName name="tttttttttttt">#REF!</definedName>
    <definedName name="ttttttttttttttttttttttttttttttttttttttttttttttttttttt">#REF!</definedName>
    <definedName name="ttxx">#REF!</definedName>
    <definedName name="ttxxxx">#REF!</definedName>
    <definedName name="ttxxxxx">#REF!</definedName>
    <definedName name="TV">#REF!</definedName>
    <definedName name="TVMETH1">#REF!</definedName>
    <definedName name="TVMETH2">#REF!</definedName>
    <definedName name="TVMETH3">#REF!</definedName>
    <definedName name="TVMETH4">#REF!</definedName>
    <definedName name="TVMETH5">#REF!</definedName>
    <definedName name="TWN">#REF!</definedName>
    <definedName name="TXH">#REF!</definedName>
    <definedName name="TXK">#REF!</definedName>
    <definedName name="txx">#REF!</definedName>
    <definedName name="TYPE">#REF!</definedName>
    <definedName name="tyuiiut" hidden="1">{#N/A,#N/A,TRUE,"Assumptions";#N/A,#N/A,TRUE,"Sources of Revenue";#N/A,#N/A,TRUE,"P&amp;L";#N/A,#N/A,TRUE,"Bal. Sheet";#N/A,#N/A,TRUE,"Rights Issue &amp; X Adjustment";#N/A,#N/A,TRUE,"Transaction Model"}</definedName>
    <definedName name="tyuiryudadf" hidden="1">{#N/A,#N/A,TRUE,"Assumptions";#N/A,#N/A,TRUE,"Sources of Revenue";#N/A,#N/A,TRUE,"P&amp;L";#N/A,#N/A,TRUE,"Bal. Sheet";#N/A,#N/A,TRUE,"Rights Issue &amp; X Adjustment";#N/A,#N/A,TRUE,"Transaction Model"}</definedName>
    <definedName name="TYUITYUITYUI" hidden="1">{#N/A,#N/A,TRUE,"Assumptions";#N/A,#N/A,TRUE,"Sources of Revenue";#N/A,#N/A,TRUE,"P&amp;L";#N/A,#N/A,TRUE,"Bal. Sheet";#N/A,#N/A,TRUE,"Rights Issue &amp; X Adjustment";#N/A,#N/A,TRUE,"Transaction Model"}</definedName>
    <definedName name="TYUTUYUYUTYJUTYJ">#REF!</definedName>
    <definedName name="T행">#REF!</definedName>
    <definedName name="U">#REF!</definedName>
    <definedName name="U_C11">#REF!</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a" hidden="1">{#N/A,#N/A,FALSE,"Aging Summary";#N/A,#N/A,FALSE,"Ratio Analysis";#N/A,#N/A,FALSE,"Test 120 Day Accts";#N/A,#N/A,FALSE,"Tickmarks"}</definedName>
    <definedName name="uighkj" hidden="1">{#N/A,#N/A,TRUE,"Assumptions";#N/A,#N/A,TRUE,"Sources of Revenue";#N/A,#N/A,TRUE,"P&amp;L";#N/A,#N/A,TRUE,"Bal. Sheet";#N/A,#N/A,TRUE,"Rights Issue &amp; X Adjustment";#N/A,#N/A,TRUE,"Transaction Model"}</definedName>
    <definedName name="uio" hidden="1">{#N/A,#N/A,TRUE,"Assumptions";#N/A,#N/A,TRUE,"Sources of Revenue";#N/A,#N/A,TRUE,"P&amp;L";#N/A,#N/A,TRUE,"Bal. Sheet";#N/A,#N/A,TRUE,"Rights Issue &amp; X Adjustment";#N/A,#N/A,TRUE,"Transaction Model"}</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천원">#REF!</definedName>
    <definedName name="Units">#REF!</definedName>
    <definedName name="Untitled">#REF!</definedName>
    <definedName name="UP_KOPIE">#REF!</definedName>
    <definedName name="UPC">#REF!</definedName>
    <definedName name="update">#REF!</definedName>
    <definedName name="UploadFile">#REF!</definedName>
    <definedName name="uti">#N/A</definedName>
    <definedName name="UtileBilver_utileBilCEE">#REF!</definedName>
    <definedName name="uto">#N/A</definedName>
    <definedName name="UT검사">#REF!</definedName>
    <definedName name="uu">#REF!</definedName>
    <definedName name="UUU" hidden="1">#REF!</definedName>
    <definedName name="uuuuuu">#REF!</definedName>
    <definedName name="uuuuuuuuuuuuuuuuuuuuuuuuuuuuuuuuuuuuuuuuuuuuuuuuuuuuuuuuuuuuuuuuuuuuuuuuuuuuuuuuuuuuuuuuuuuuuuuuuuuuuu">#REF!</definedName>
    <definedName name="U행">#REF!</definedName>
    <definedName name="V">#REF!</definedName>
    <definedName name="variance">#REF!</definedName>
    <definedName name="vat_at_aquisition">#REF!</definedName>
    <definedName name="vatloan">#REF!</definedName>
    <definedName name="vbn" hidden="1">{#N/A,#N/A,TRUE,"Assumptions";#N/A,#N/A,TRUE,"Sources of Revenue";#N/A,#N/A,TRUE,"P&amp;L";#N/A,#N/A,TRUE,"Bal. Sheet";#N/A,#N/A,TRUE,"Rights Issue &amp; X Adjustment";#N/A,#N/A,TRUE,"Transaction Model"}</definedName>
    <definedName name="vds" hidden="1">{"'買掛金'!$J$6"}</definedName>
    <definedName name="VDSAG" hidden="1">{#N/A,#N/A,TRUE,"일정"}</definedName>
    <definedName name="vfdf" hidden="1">{#N/A,#N/A,TRUE,"Assumptions";#N/A,#N/A,TRUE,"Sources of Revenue";#N/A,#N/A,TRUE,"P&amp;L";#N/A,#N/A,TRUE,"Bal. Sheet";#N/A,#N/A,TRUE,"Rights Issue &amp; X Adjustment";#N/A,#N/A,TRUE,"Transaction Model"}</definedName>
    <definedName name="vips_turnover_rent">#REF!</definedName>
    <definedName name="voc" hidden="1">#REF!</definedName>
    <definedName name="VOCDIDTLR2" hidden="1">#REF!</definedName>
    <definedName name="VSUMCL">#REF!</definedName>
    <definedName name="VT">#REF!</definedName>
    <definedName name="VV">#REF!</definedName>
    <definedName name="VVT">#REF!</definedName>
    <definedName name="vvv" hidden="1">{"'買掛金'!$J$6"}</definedName>
    <definedName name="vvvvv">#REF!</definedName>
    <definedName name="vvvvvvvvvvvvvv">#REF!</definedName>
    <definedName name="vxccx" hidden="1">{"'買掛金'!$J$6"}</definedName>
    <definedName name="V행">#REF!</definedName>
    <definedName name="w" hidden="1">{#N/A,#N/A,FALSE,"Aging Summary";#N/A,#N/A,FALSE,"Ratio Analysis";#N/A,#N/A,FALSE,"Test 120 Day Accts";#N/A,#N/A,FALSE,"Tickmarks"}</definedName>
    <definedName name="W.SHOP">#N/A</definedName>
    <definedName name="warrants">#REF!</definedName>
    <definedName name="warrants1">#REF!</definedName>
    <definedName name="WBS" hidden="1">{#N/A,#N/A,FALSE,"Aging Summary";#N/A,#N/A,FALSE,"Ratio Analysis";#N/A,#N/A,FALSE,"Test 120 Day Accts";#N/A,#N/A,FALSE,"Tickmarks"}</definedName>
    <definedName name="we" hidden="1">{#N/A,#N/A,FALSE,"인원";#N/A,#N/A,FALSE,"비용2";#N/A,#N/A,FALSE,"비용1";#N/A,#N/A,FALSE,"비용";#N/A,#N/A,FALSE,"보증2";#N/A,#N/A,FALSE,"보증1";#N/A,#N/A,FALSE,"보증";#N/A,#N/A,FALSE,"손익1";#N/A,#N/A,FALSE,"손익";#N/A,#N/A,FALSE,"부서별매출";#N/A,#N/A,FALSE,"매출"}</definedName>
    <definedName name="WEARF" hidden="1">{#N/A,#N/A,TRUE,"Y생산";#N/A,#N/A,TRUE,"Y판매";#N/A,#N/A,TRUE,"Y총물량";#N/A,#N/A,TRUE,"Y능력";#N/A,#N/A,TRUE,"YKD"}</definedName>
    <definedName name="WEARF_1" hidden="1">{#N/A,#N/A,TRUE,"Y생산";#N/A,#N/A,TRUE,"Y판매";#N/A,#N/A,TRUE,"Y총물량";#N/A,#N/A,TRUE,"Y능력";#N/A,#N/A,TRUE,"YKD"}</definedName>
    <definedName name="wer" hidden="1">{#N/A,#N/A,TRUE,"Assumptions";#N/A,#N/A,TRUE,"Sources of Revenue";#N/A,#N/A,TRUE,"P&amp;L";#N/A,#N/A,TRUE,"Bal. Sheet";#N/A,#N/A,TRUE,"Rights Issue &amp; X Adjustment";#N/A,#N/A,TRUE,"Transaction Model"}</definedName>
    <definedName name="werq">#REF!</definedName>
    <definedName name="wetr" hidden="1">{#N/A,#N/A,TRUE,"Assumptions";#N/A,#N/A,TRUE,"Sources of Revenue";#N/A,#N/A,TRUE,"P&amp;L";#N/A,#N/A,TRUE,"Bal. Sheet";#N/A,#N/A,TRUE,"Rights Issue &amp; X Adjustment";#N/A,#N/A,TRUE,"Transaction Model"}</definedName>
    <definedName name="wetrwet" hidden="1">{#N/A,#N/A,TRUE,"Assumptions";#N/A,#N/A,TRUE,"Sources of Revenue";#N/A,#N/A,TRUE,"P&amp;L";#N/A,#N/A,TRUE,"Bal. Sheet";#N/A,#N/A,TRUE,"Rights Issue &amp; X Adjustment";#N/A,#N/A,TRUE,"Transaction Model"}</definedName>
    <definedName name="WEW">#REF!</definedName>
    <definedName name="white_non_see_thru_solid_ctn_poplin">#REF!</definedName>
    <definedName name="wide_wale_cord">#REF!</definedName>
    <definedName name="widebs">#REF!</definedName>
    <definedName name="Winter" hidden="1">{#N/A,#N/A,FALSE,"95FW"}</definedName>
    <definedName name="wkd" hidden="1">{#N/A,#N/A,FALSE,"3가";#N/A,#N/A,FALSE,"3나";#N/A,#N/A,FALSE,"3다"}</definedName>
    <definedName name="wkgk" hidden="1">{#N/A,#N/A,FALSE,"BS";#N/A,#N/A,FALSE,"PL";#N/A,#N/A,FALSE,"처분";#N/A,#N/A,FALSE,"현금";#N/A,#N/A,FALSE,"매출";#N/A,#N/A,FALSE,"원가";#N/A,#N/A,FALSE,"경영"}</definedName>
    <definedName name="wks">#REF!</definedName>
    <definedName name="wkworhgk" hidden="1">{#N/A,#N/A,TRUE,"Y생산";#N/A,#N/A,TRUE,"Y판매";#N/A,#N/A,TRUE,"Y총물량";#N/A,#N/A,TRUE,"Y능력";#N/A,#N/A,TRUE,"YKD"}</definedName>
    <definedName name="wnd" hidden="1">{#N/A,#N/A,TRUE,"Y생산";#N/A,#N/A,TRUE,"Y판매";#N/A,#N/A,TRUE,"Y총물량";#N/A,#N/A,TRUE,"Y능력";#N/A,#N/A,TRUE,"YKD"}</definedName>
    <definedName name="Woori_Growth_Grate">#REF!</definedName>
    <definedName name="Woori_Growth_rate">#REF!</definedName>
    <definedName name="WORK_COM">#N/A</definedName>
    <definedName name="WPL" hidden="1">{#N/A,#N/A,FALSE,"Aging Summary";#N/A,#N/A,FALSE,"Ratio Analysis";#N/A,#N/A,FALSE,"Test 120 Day Accts";#N/A,#N/A,FALSE,"Tickmarks"}</definedName>
    <definedName name="WP투자사업개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 hidden="1">{#N/A,#N/A,TRUE,"일정"}</definedName>
    <definedName name="wrn.345." hidden="1">{#N/A,#N/A,FALSE,"96 3월물량표";#N/A,#N/A,FALSE,"96 4월물량표";#N/A,#N/A,FALSE,"96 5월물량표"}</definedName>
    <definedName name="wrn.95._.fw._.진행현황." hidden="1">{#N/A,#N/A,FALSE,"95FW"}</definedName>
    <definedName name="wrn.97년._.9월._.임차현황." hidden="1">{#N/A,#N/A,FALSE,"동부"}</definedName>
    <definedName name="wrn.97년._.9월._.임차현황._1" hidden="1">{#N/A,#N/A,FALSE,"동부"}</definedName>
    <definedName name="WRN.AAA." hidden="1">{#N/A,#N/A,FALSE,"단축1";#N/A,#N/A,FALSE,"단축2";#N/A,#N/A,FALSE,"단축3";#N/A,#N/A,FALSE,"장축";#N/A,#N/A,FALSE,"4WD"}</definedName>
    <definedName name="wrn.ACCEL._.PERF." hidden="1">{#N/A,#N/A,FALSE,"입력SHT"}</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_1"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LL." hidden="1">{#N/A,#N/A,FALSE,"PROG &amp; MARKET";#N/A,#N/A,FALSE,"SUMMARY";#N/A,#N/A,FALSE,"LANDSIDE -DETAIL";#N/A,#N/A,FALSE,"VESSEL"}</definedName>
    <definedName name="wrn.ALL._.METRICS." hidden="1">{#N/A,#N/A,TRUE,"contents";#N/A,#N/A,TRUE,"production";#N/A,#N/A,TRUE,"svcg";#N/A,#N/A,TRUE,"cent_offices";#N/A,#N/A,TRUE,"subs"}</definedName>
    <definedName name="wrn.All._.Sheets." hidden="1">{#N/A,#N/A,TRUE,"Assumptions";#N/A,#N/A,TRUE,"Sources of Revenue";#N/A,#N/A,TRUE,"P&amp;L";#N/A,#N/A,TRUE,"Bal. Sheet";#N/A,#N/A,TRUE,"Rights Issue &amp; X Adjustment";#N/A,#N/A,TRUE,"Transaction Model"}</definedName>
    <definedName name="wrn.ALL._1" hidden="1">{#N/A,#N/A,FALSE,"PROG &amp; MARKET";#N/A,#N/A,FALSE,"SUMMARY";#N/A,#N/A,FALSE,"LANDSIDE -DETAIL";#N/A,#N/A,FALSE,"VESSEL"}</definedName>
    <definedName name="wrn.AnnualRentRoll" hidden="1">{"AnnualRentRoll",#N/A,FALSE,"RentRoll"}</definedName>
    <definedName name="wrn.AnnualRentRoll." hidden="1">{"AnnualRentRoll",#N/A,FALSE,"RentRoll"}</definedName>
    <definedName name="wrn.AnnualRentRoll._1" hidden="1">{"AnnualRentRoll",#N/A,FALSE,"RentRoll"}</definedName>
    <definedName name="wrn.AnnualRentRoll_1" hidden="1">{"AnnualRentRoll",#N/A,FALSE,"RentRoll"}</definedName>
    <definedName name="wrn.balance._.france."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definedName>
    <definedName name="wrn.balance._.france._1"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definedName>
    <definedName name="wrn.Balance._.Sheet._.Qtr._.Workbook." hidden="1">{#N/A,#N/A,FALSE,"Checklist";#N/A,#N/A,FALSE,"Balance Sheet";#N/A,#N/A,FALSE,"COC - Quarterly";#N/A,#N/A,FALSE,"COC - Year-To-Date";#N/A,#N/A,FALSE,"AR Aging";#N/A,#N/A,FALSE,"Other AR";#N/A,#N/A,FALSE,"Fixed Assets";#N/A,#N/A,FALSE,"Inventory_LC";#N/A,#N/A,FALSE,"Inventory_Units";#N/A,#N/A,FALSE,"Income Tax Schedule";#N/A,#N/A,FALSE,"Interco. Detail";#N/A,#N/A,FALSE,"Interco. Summary";#N/A,#N/A,FALSE,"Interco. Sales &amp; GP";#N/A,#N/A,FALSE,"Due dates";#N/A,#N/A,FALSE,"Policies"}</definedName>
    <definedName name="wrn.bbb." hidden="1">{#N/A,#N/A,FALSE,"단축1";#N/A,#N/A,FALSE,"단축2";#N/A,#N/A,FALSE,"단축3";#N/A,#N/A,FALSE,"장축";#N/A,#N/A,FALSE,"4WD"}</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_1"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budget." hidden="1">{"budget1",#N/A,FALSE,"BUDG.XLS";"budget2",#N/A,FALSE,"BUDG.XLS"}</definedName>
    <definedName name="wrn.budget._1" hidden="1">{"budget1",#N/A,FALSE,"BUDG.XLS";"budget2",#N/A,FALSE,"BUDG.XLS"}</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_1"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omplet._.sauf._.balance." hidden="1">{"VUEIS",#N/A,FALSE,"calcul IS";"FNP",#N/A,FALSE,"FNP";"CCA",#N/A,FALSE,"CCA et produits a recevoir";"IMPOTS",#N/A,FALSE,"TAXESet prov charges sociales";"FRAISFI",#N/A,FALSE,"Intérêts financiers, PCA ";"budget1",#N/A,FALSE,"BUDG.XLS";"budget2",#N/A,FALSE,"BUDG.XLS";"marge complete",#N/A,FALSE,"marge";"VUECUMUL",#N/A,FALSE,"marge cumulée";"page 25",#N/A,FALSE,"inventory Summary";#N/A,#N/A,FALSE,"reserves and accruals";#N/A,#N/A,FALSE,"contrôle"}</definedName>
    <definedName name="wrn.complet._.sauf._.balance._1" hidden="1">{"VUEIS",#N/A,FALSE,"calcul IS";"FNP",#N/A,FALSE,"FNP";"CCA",#N/A,FALSE,"CCA et produits a recevoir";"IMPOTS",#N/A,FALSE,"TAXESet prov charges sociales";"FRAISFI",#N/A,FALSE,"Intérêts financiers, PCA ";"budget1",#N/A,FALSE,"BUDG.XLS";"budget2",#N/A,FALSE,"BUDG.XLS";"marge complete",#N/A,FALSE,"marge";"VUECUMUL",#N/A,FALSE,"marge cumulée";"page 25",#N/A,FALSE,"inventory Summary";#N/A,#N/A,FALSE,"reserves and accruals";#N/A,#N/A,FALSE,"contrôle"}</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SA._.FS._.국문."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hidden="1">{#N/A,#N/A,FALSE,"1.CRITERIA";#N/A,#N/A,FALSE,"2.IS";#N/A,#N/A,FALSE,"3.BS";#N/A,#N/A,FALSE,"4.PER PL";#N/A,#N/A,FALSE,"5.INVESTMENT";#N/A,#N/A,FALSE,"6.공문";#N/A,#N/A,FALSE,"7.netinvest"}</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EM." hidden="1">{#N/A,#N/A,FALSE,"전제";#N/A,#N/A,FALSE,"표지";#N/A,#N/A,FALSE,"6D16";#N/A,#N/A,FALSE,"6D22";#N/A,#N/A,FALSE,"6D22-T";#N/A,#N/A,FALSE,"Q-DEG";#N/A,#N/A,FALSE,"총손";#N/A,#N/A,FALSE,"대당";#N/A,#N/A,FALSE,"가공비"}</definedName>
    <definedName name="wrn.ExitAndSalesAssumptions." hidden="1">{#N/A,#N/A,FALSE,"ExitStratigy"}</definedName>
    <definedName name="wrn.ExitAndSalesAssumptions._1" hidden="1">{#N/A,#N/A,FALSE,"ExitStratigy"}</definedName>
    <definedName name="wrn.FULL." hidden="1">{#N/A,#N/A,FALSE,"B"}</definedName>
    <definedName name="wrn.FULL._1" hidden="1">{#N/A,#N/A,FALSE,"B"}</definedName>
    <definedName name="wrn.HILTON._.GARDEN._.INN." hidden="1">{#N/A,#N/A,FALSE,"SUMMARY SHEET";#N/A,#N/A,FALSE,"CAT1-16 SUMM";#N/A,#N/A,FALSE,"LABOR";#N/A,#N/A,FALSE,"TELEPHONES";#N/A,#N/A,FALSE,"EQUIPMENT";#N/A,#N/A,FALSE,"SUPPLIES";#N/A,#N/A,FALSE,"FF &amp; E";#N/A,#N/A,FALSE,"DESIGN COSTS";#N/A,#N/A,FALSE,"PROGRAM"}</definedName>
    <definedName name="wrn.HILTON._.GARDEN._.INN._1" hidden="1">{#N/A,#N/A,FALSE,"SUMMARY SHEET";#N/A,#N/A,FALSE,"CAT1-16 SUMM";#N/A,#N/A,FALSE,"LABOR";#N/A,#N/A,FALSE,"TELEPHONES";#N/A,#N/A,FALSE,"EQUIPMENT";#N/A,#N/A,FALSE,"SUPPLIES";#N/A,#N/A,FALSE,"FF &amp; E";#N/A,#N/A,FALSE,"DESIGN COSTS";#N/A,#N/A,FALSE,"PROGRAM"}</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_1"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oanInformation." hidden="1">{#N/A,#N/A,FALSE,"LoanAssumptions"}</definedName>
    <definedName name="wrn.LoanInformation._1" hidden="1">{#N/A,#N/A,FALSE,"LoanAssumptions"}</definedName>
    <definedName name="wrn.lodging." hidden="1">{"p",#N/A,FALSE,"Sheet1";"p 2",#N/A,FALSE,"Sheet1";"p 3",#N/A,FALSE,"Sheet1"}</definedName>
    <definedName name="wrn.lodging._1" hidden="1">{"p",#N/A,FALSE,"Sheet1";"p 2",#N/A,FALSE,"Sheet1";"p 3",#N/A,FALSE,"Sheet1"}</definedName>
    <definedName name="wrn.MonthlyRentRoll." hidden="1">{"MonthlyRentRoll",#N/A,FALSE,"RentRoll"}</definedName>
    <definedName name="wrn.MonthlyRentRoll._1" hidden="1">{"MonthlyRentRoll",#N/A,FALSE,"RentRoll"}</definedName>
    <definedName name="wrn.no.1." hidden="1">{#N/A,#N/A,FALSE,"Const";#N/A,#N/A,FALSE,"P&amp;L";#N/A,#N/A,FALSE,"Sale"}</definedName>
    <definedName name="Wrn.nov29" hidden="1">{#N/A,#N/A,FALSE,"BALLY COSTS";#N/A,#N/A,FALSE,"FF&amp;E";#N/A,#N/A,FALSE,"FEES";#N/A,#N/A,FALSE,"CONTINGENCY";#N/A,#N/A,FALSE,"SOFT COSTS";#N/A,#N/A,FALSE,"DETAIL";#N/A,#N/A,FALSE,"sum12-3"}</definedName>
    <definedName name="Wrn.nov29_1"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30._1" hidden="1">{#N/A,#N/A,FALSE,"BALLY COSTS";#N/A,#N/A,FALSE,"FF&amp;E";#N/A,#N/A,FALSE,"FEES";#N/A,#N/A,FALSE,"CONTINGENCY";#N/A,#N/A,FALSE,"SOFT COSTS";#N/A,#N/A,FALSE,"DETAIL";#N/A,#N/A,FALSE,"sum12-3"}</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_1"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peratingAssumtions." hidden="1">{#N/A,#N/A,FALSE,"OperatingAssumptions"}</definedName>
    <definedName name="wrn.OperatingAssumtions._1" hidden="1">{#N/A,#N/A,FALSE,"OperatingAssumptions"}</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_1"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RESENTATION." hidden="1">{#N/A,#N/A,FALSE,"SUMMARY SHEET";#N/A,#N/A,FALSE,"VARIANCE REPORT";#N/A,#N/A,FALSE,"CAT1-16 SUMM";#N/A,#N/A,FALSE,"GCS";#N/A,#N/A,FALSE,"FF &amp; E";#N/A,#N/A,FALSE,"DESIGN COSTS"}</definedName>
    <definedName name="wrn.PRESENTATION._1" hidden="1">{#N/A,#N/A,FALSE,"SUMMARY SHEET";#N/A,#N/A,FALSE,"VARIANCE REPORT";#N/A,#N/A,FALSE,"CAT1-16 SUMM";#N/A,#N/A,FALSE,"GCS";#N/A,#N/A,FALSE,"FF &amp; E";#N/A,#N/A,FALSE,"DESIGN COSTS"}</definedName>
    <definedName name="wrn.print." hidden="1">{"page1",#N/A,FALSE,"Sheet1";"page2",#N/A,FALSE,"Sheet1"}</definedName>
    <definedName name="wrn.print._1" hidden="1">{"page1",#N/A,FALSE,"Sheet1";"page2",#N/A,FALSE,"Sheet1"}</definedName>
    <definedName name="wrn.PropertyInformation." hidden="1">{#N/A,#N/A,FALSE,"PropertyInfo"}</definedName>
    <definedName name="wrn.PropertyInformation._1" hidden="1">{#N/A,#N/A,FALSE,"PropertyInfo"}</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EPORT._.ALL._1" hidden="1">{#N/A,#N/A,FALSE,"MASTER SUMMARY";#N/A,#N/A,FALSE,"FF&amp;E COSTS";#N/A,#N/A,FALSE,"BALLY COSTS";#N/A,#N/A,FALSE,"GENERAL COND.";#N/A,#N/A,FALSE,"SOFT COSTS";#N/A,#N/A,FALSE,"GARAGE SUMMARY";#N/A,#N/A,FALSE,"CAP INTEREST";#N/A,#N/A,FALSE,"4.00 FEATURES";#N/A,#N/A,FALSE,"MISCELLANEOUS";#N/A,#N/A,FALSE,"DESIGN COSTS"}</definedName>
    <definedName name="wrn.RPT." hidden="1">{#N/A,#N/A,FALSE,"인원";#N/A,#N/A,FALSE,"비용2";#N/A,#N/A,FALSE,"비용1";#N/A,#N/A,FALSE,"비용";#N/A,#N/A,FALSE,"보증2";#N/A,#N/A,FALSE,"보증1";#N/A,#N/A,FALSE,"보증";#N/A,#N/A,FALSE,"손익1";#N/A,#N/A,FALSE,"손익";#N/A,#N/A,FALSE,"부서별매출";#N/A,#N/A,FALSE,"매출"}</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_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_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ituation._.complete."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France";"vueis",#N/A,TRUE,"calcul IS";"FNP",#N/A,TRUE,"FNP";"CCA",#N/A,TRUE,"CCA et produits a recevoir";"I&amp;T",#N/A,TRUE,"TAXESet prov charges sociales";"Interets",#N/A,TRUE,"Intérêts financiers, PCA ";"Budget",#N/A,TRUE,"BUDG.XLS";"cashflow",#N/A,TRUE,"cash flow";"margemensuelle",#N/A,TRUE,"marge";"margecumulée",#N/A,TRUE,"marge cumulée";"inventory",#N/A,TRUE,"inventory Summary";"interco",#N/A,TRUE,"interco";"assets",#N/A,TRUE,"assets";"controle",#N/A,TRUE,"contrôle"}</definedName>
    <definedName name="wrn.situation._.complete._1"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France";"vueis",#N/A,TRUE,"calcul IS";"FNP",#N/A,TRUE,"FNP";"CCA",#N/A,TRUE,"CCA et produits a recevoir";"I&amp;T",#N/A,TRUE,"TAXESet prov charges sociales";"Interets",#N/A,TRUE,"Intérêts financiers, PCA ";"Budget",#N/A,TRUE,"BUDG.XLS";"cashflow",#N/A,TRUE,"cash flow";"margemensuelle",#N/A,TRUE,"marge";"margecumulée",#N/A,TRUE,"marge cumulée";"inventory",#N/A,TRUE,"inventory Summary";"interco",#N/A,TRUE,"interco";"assets",#N/A,TRUE,"assets";"controle",#N/A,TRUE,"contrôle"}</definedName>
    <definedName name="wrn.su." hidden="1">{#N/A,#N/A,FALSE,"표지";#N/A,#N/A,FALSE,"전제";#N/A,#N/A,FALSE,"손익-자 (2)";#N/A,#N/A,FALSE,"손익-자";#N/A,#N/A,FALSE,"손익-마 (2)";#N/A,#N/A,FALSE,"손익-마";#N/A,#N/A,FALSE,"총손최종"}</definedName>
    <definedName name="wrn.Summary." hidden="1">{#N/A,#N/A,FALSE,"Summary"}</definedName>
    <definedName name="wrn.Summary._1" hidden="1">{#N/A,#N/A,FALSE,"Summary"}</definedName>
    <definedName name="wrn.TEST." hidden="1">{#N/A,#N/A,FALSE,"3가";#N/A,#N/A,FALSE,"3나";#N/A,#N/A,FALSE,"3다"}</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_1"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hidden="1">{#N/A,#N/A,TRUE,"1호 과표세액";#N/A,#N/A,TRUE,"6호 첨부(익)";#N/A,#N/A,TRUE,"6-3호 퇴충";#N/A,#N/A,TRUE,"PL";#N/A,#N/A,TRUE,"BS";#N/A,#N/A,TRUE,"RE";#N/A,#N/A,TRUE,"표지"}</definedName>
    <definedName name="wrn.대차._.대조표." hidden="1">{#N/A,#N/A,TRUE,"대 차 대 조 표"}</definedName>
    <definedName name="wrn.대차._.대조표._1" hidden="1">{#N/A,#N/A,TRUE,"대 차 대 조 표"}</definedName>
    <definedName name="wrn.보고서." hidden="1">{#N/A,#N/A,FALSE,"Sheet1";#N/A,#N/A,FALSE,"기평9607"}</definedName>
    <definedName name="wrn.보고서._1" hidden="1">{#N/A,#N/A,FALSE,"Sheet1";#N/A,#N/A,FALSE,"기평9607"}</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사업계획." hidden="1">{#N/A,#N/A,FALSE,"SILO현황";#N/A,#N/A,FALSE,"타업체";#N/A,#N/A,FALSE,"생산능력"}</definedName>
    <definedName name="wrn.사업계획서." hidden="1">{#N/A,#N/A,FALSE,"표지";#N/A,#N/A,FALSE,"목차";#N/A,#N/A,FALSE,"사업개요";#N/A,#N/A,FALSE,"수급전망";#N/A,#N/A,FALSE,"기간연장";#N/A,#N/A,FALSE,"선박운항계획";#N/A,#N/A,FALSE,"채산성"}</definedName>
    <definedName name="wrn.선박도입._.채산성." hidden="1">{#N/A,#N/A,FALSE,"채산3501.XLS";#N/A,#N/A,FALSE,"신조수A.XLS";#N/A,#N/A,FALSE,"신조수b.XLS";#N/A,#N/A,FALSE,"채산3502.XLS";#N/A,#N/A,FALSE,"신조원리.XLS";#N/A,#N/A,FALSE,"신조감가.XLS"}</definedName>
    <definedName name="wrn.선사." hidden="1">{#N/A,#N/A,FALSE,"품의서";#N/A,#N/A,FALSE,"전제";#N/A,#N/A,FALSE,"총손";#N/A,#N/A,FALSE,"손익"}</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규dep._.full._.set." hidden="1">{#N/A,#N/A,FALSE,"신규dep";#N/A,#N/A,FALSE,"신규dep-금형상각후";#N/A,#N/A,FALSE,"신규dep-연구비상각후";#N/A,#N/A,FALSE,"신규dep-기계,공구상각후"}</definedName>
    <definedName name="wrn.월추정." hidden="1">{#N/A,#N/A,FALSE,"월추정감가상각비";#N/A,#N/A,FALSE,"main_prog"}</definedName>
    <definedName name="wrn.유형자산." hidden="1">{#N/A,#N/A,FALSE,"Sheet1"}</definedName>
    <definedName name="wrn.이력서._.자기소개서." hidden="1">{#N/A,#N/A,FALSE,"이력서&amp;자기소개서"}</definedName>
    <definedName name="wrn.이력서._.자기소개서._1" hidden="1">{#N/A,#N/A,FALSE,"이력서&amp;자기소개서"}</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hidden="1">{#N/A,#N/A,FALSE,"BS";#N/A,#N/A,FALSE,"IS";#N/A,#N/A,FALSE,"결손금처리";#N/A,#N/A,FALSE,"cashflow"}</definedName>
    <definedName name="wrn.전부인쇄." hidden="1">{#N/A,#N/A,FALSE,"단축1";#N/A,#N/A,FALSE,"단축2";#N/A,#N/A,FALSE,"단축3";#N/A,#N/A,FALSE,"장축";#N/A,#N/A,FALSE,"4WD"}</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_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_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hidden="1">{#N/A,#N/A,TRUE,"일정"}</definedName>
    <definedName name="wrn.중국.XLS." hidden="1">{#N/A,#N/A,FALSE,"표지";#N/A,#N/A,FALSE,"을지1";#N/A,#N/A,FALSE,"일정1";#N/A,#N/A,FALSE,"일정2";#N/A,#N/A,FALSE,"11T-C";#N/A,#N/A,FALSE,"15T-D";#N/A,#N/A,FALSE,"판매현황";#N/A,#N/A,FALSE,"업무 FLOW"}</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채권채무조회서." hidden="1">{#N/A,#N/A,FALSE,"채권채무";#N/A,#N/A,FALSE,"control sheet"}</definedName>
    <definedName name="wrn.통신지." hidden="1">{#N/A,#N/A,FALSE,"기안지";#N/A,#N/A,FALSE,"통신지"}</definedName>
    <definedName name="wrn.포장단가." hidden="1">{#N/A,#N/A,FALSE,"포장단가"}</definedName>
    <definedName name="wrn.포항강판." hidden="1">{"현수",#N/A,FALSE,"월추정감가상각비"}</definedName>
    <definedName name="wrn.현대정공구매현황." hidden="1">{#N/A,#N/A,FALSE,"정공"}</definedName>
    <definedName name="wrn.회의0104.XLS." hidden="1">{#N/A,#N/A,TRUE,"매출진척-1";#N/A,#N/A,TRUE,"매출진척-2";#N/A,#N/A,TRUE,"제품실적";#N/A,#N/A,TRUE,"RAC";#N/A,#N/A,TRUE,"PAC ";#N/A,#N/A,TRUE,"재고현황";#N/A,#N/A,TRUE,"공지사항"}</definedName>
    <definedName name="ww">#REF!</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WWWW" hidden="1">{"'호선별현황(방식)'!$K$22:$P$22","'호선별현황(방식)'!$K$22:$P$22"}</definedName>
    <definedName name="wwwwww" hidden="1">{"'호선별현황(방식)'!$K$22:$P$22","'호선별현황(방식)'!$K$22:$P$22"}</definedName>
    <definedName name="wwwwwwww">#REF!</definedName>
    <definedName name="wwwwwwwwwwwww">#REF!</definedName>
    <definedName name="wwwwwwwwwwwwwwwwww">#REF!</definedName>
    <definedName name="W행">#REF!</definedName>
    <definedName name="W행1">#N/A</definedName>
    <definedName name="x"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9802장판원본_원본_List">#REF!</definedName>
    <definedName name="XG액션">#REF!</definedName>
    <definedName name="XIII._당기순이익">#REF!</definedName>
    <definedName name="XL">#REF!</definedName>
    <definedName name="XOUT">#REF!</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5" hidden="1">#REF!</definedName>
    <definedName name="XREF_COLUMN_36" hidden="1">#REF!</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1" hidden="1">#REF!</definedName>
    <definedName name="XRefCopy102" hidden="1">#REF!</definedName>
    <definedName name="XRefCopy103" hidden="1">#REF!</definedName>
    <definedName name="XRefCopy104" hidden="1">#REF!</definedName>
    <definedName name="XRefCopy105"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7" hidden="1">#REF!</definedName>
    <definedName name="XRefCopy47Row" hidden="1">#REF!</definedName>
    <definedName name="XRefCopy48" hidden="1">#REF!</definedName>
    <definedName name="XRefCopy49" hidden="1">#REF!</definedName>
    <definedName name="XRefCopy4Row" hidden="1">#REF!</definedName>
    <definedName name="XRefCopy5" hidden="1">#REF!</definedName>
    <definedName name="XRefCopy50" hidden="1">#REF!</definedName>
    <definedName name="XRefCopy51" hidden="1">#REF!</definedName>
    <definedName name="XRefCopy52" hidden="1">#REF!</definedName>
    <definedName name="XRefCopy53" hidden="1">#REF!</definedName>
    <definedName name="XRefCopy54" hidden="1">#REF!</definedName>
    <definedName name="XRefCopy55" hidden="1">#REF!</definedName>
    <definedName name="XRefCopy56" hidden="1">#REF!</definedName>
    <definedName name="XRefCopy57" hidden="1">#REF!</definedName>
    <definedName name="XRefCopy58" hidden="1">#REF!</definedName>
    <definedName name="XRefCopy59" hidden="1">#REF!</definedName>
    <definedName name="XRefCopy5Row" hidden="1">#REF!</definedName>
    <definedName name="XRefCopy6" hidden="1">#REF!</definedName>
    <definedName name="XRefCopy60" hidden="1">#REF!</definedName>
    <definedName name="XRefCopy61" hidden="1">#REF!</definedName>
    <definedName name="XRefCopy62" hidden="1">#REF!</definedName>
    <definedName name="XRefCopy63" hidden="1">#REF!</definedName>
    <definedName name="XRefCopy64" hidden="1">#REF!</definedName>
    <definedName name="XRefCopy65" hidden="1">#REF!</definedName>
    <definedName name="XRefCopy66" hidden="1">#REF!</definedName>
    <definedName name="XRefCopy67" hidden="1">#REF!</definedName>
    <definedName name="XRefCopy69"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4" hidden="1">#REF!</definedName>
    <definedName name="XRefCopy76" hidden="1">#REF!</definedName>
    <definedName name="XRefCopy77" hidden="1">#REF!</definedName>
    <definedName name="XRefCopy78" hidden="1">#REF!</definedName>
    <definedName name="XRefCopy79" hidden="1">#REF!</definedName>
    <definedName name="XRefCopy7Row" hidden="1">#REF!</definedName>
    <definedName name="XRefCopy8" hidden="1">#REF!</definedName>
    <definedName name="XRefCopy80" hidden="1">#REF!</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hidden="1">#REF!</definedName>
    <definedName name="XRefCopyRangeCount" hidden="1">2</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3Row" hidden="1">#REF!</definedName>
    <definedName name="XRefPaste114" hidden="1">#REF!</definedName>
    <definedName name="XRefPaste114Row" hidden="1">#REF!</definedName>
    <definedName name="XRefPaste115" hidden="1">#REF!</definedName>
    <definedName name="XRefPaste115Row" hidden="1">#REF!</definedName>
    <definedName name="XRefPaste116" hidden="1">#REF!</definedName>
    <definedName name="XRefPaste116Row" hidden="1">#REF!</definedName>
    <definedName name="XRefPaste117" hidden="1">#REF!</definedName>
    <definedName name="XRefPaste117Row" hidden="1">#REF!</definedName>
    <definedName name="XRefPaste118" hidden="1">#REF!</definedName>
    <definedName name="XRefPaste118Row" hidden="1">#REF!</definedName>
    <definedName name="XRefPaste119Row" hidden="1">#REF!</definedName>
    <definedName name="XRefPaste11Row" hidden="1">#REF!</definedName>
    <definedName name="XRefPaste12" hidden="1">#REF!</definedName>
    <definedName name="XRefPaste120Row"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Row" hidden="1">#REF!</definedName>
    <definedName name="XRefPaste128Row" hidden="1">#REF!</definedName>
    <definedName name="XRefPaste129Row" hidden="1">#REF!</definedName>
    <definedName name="XRefPaste12Row" hidden="1">#REF!</definedName>
    <definedName name="XRefPaste13"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Row" hidden="1">#REF!</definedName>
    <definedName name="XRefPaste134Row" hidden="1">#REF!</definedName>
    <definedName name="XRefPaste135" hidden="1">#REF!</definedName>
    <definedName name="XRefPaste135Row" hidden="1">#REF!</definedName>
    <definedName name="XRefPaste136Row" hidden="1">#REF!</definedName>
    <definedName name="XRefPaste137Row"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0Row" hidden="1">#REF!</definedName>
    <definedName name="XRefPaste141" hidden="1">#REF!</definedName>
    <definedName name="XRefPaste141Row"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Row" hidden="1">#REF!</definedName>
    <definedName name="XRefPaste148Row" hidden="1">#REF!</definedName>
    <definedName name="XRefPaste149Row"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9"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2" hidden="1">#REF!</definedName>
    <definedName name="XRefPaste18Row" hidden="1">#REF!</definedName>
    <definedName name="XRefPaste19" hidden="1">#REF!</definedName>
    <definedName name="XRefPaste192Row" hidden="1">#REF!</definedName>
    <definedName name="XRefPaste198"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Row" hidden="1">#REF!</definedName>
    <definedName name="XRefPaste234Row" hidden="1">#REF!</definedName>
    <definedName name="XRefPaste235" hidden="1">#REF!</definedName>
    <definedName name="XRefPaste235Row" hidden="1">#REF!</definedName>
    <definedName name="XRefPaste237Row" hidden="1">#REF!</definedName>
    <definedName name="XRefPaste238Row" hidden="1">#REF!</definedName>
    <definedName name="XRefPaste239Row" hidden="1">#REF!</definedName>
    <definedName name="XRefPaste23Row" hidden="1">#REF!</definedName>
    <definedName name="XRefPaste24" hidden="1">#REF!</definedName>
    <definedName name="XRefPaste240Row" hidden="1">#REF!</definedName>
    <definedName name="XRefPaste241Row" hidden="1">#REF!</definedName>
    <definedName name="XRefPaste242Row" hidden="1">#REF!</definedName>
    <definedName name="XRefPaste243Row" hidden="1">#REF!</definedName>
    <definedName name="XRefPaste244Row" hidden="1">#REF!</definedName>
    <definedName name="XRefPaste245Row"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4</definedName>
    <definedName name="xx">#REF!</definedName>
    <definedName name="xxx" hidden="1">#REF!</definedName>
    <definedName name="xxxxxxx">#REF!</definedName>
    <definedName name="xxxxxxxxxx">#REF!</definedName>
    <definedName name="xxxxxxxxxxxxx">#REF!</definedName>
    <definedName name="xxxxxxxxxxxxxxxxxxxxxxxxxxxxxxxxxxxxxxxxxxxxxxxxxxxxxxxxxxxxxxxxxxxxxxxx">#REF!</definedName>
    <definedName name="X행">#REF!</definedName>
    <definedName name="Y">#REF!</definedName>
    <definedName name="ya" hidden="1">{#N/A,#N/A,FALSE,"Aging Summary";#N/A,#N/A,FALSE,"Ratio Analysis";#N/A,#N/A,FALSE,"Test 120 Day Accts";#N/A,#N/A,FALSE,"Tickmarks"}</definedName>
    <definedName name="Year">#REF!</definedName>
    <definedName name="Year_To_WesternStyle">#REF!</definedName>
    <definedName name="YEAREND">#REF!</definedName>
    <definedName name="YEARS">#REF!</definedName>
    <definedName name="YEN">#REF!</definedName>
    <definedName name="YEON">#REF!</definedName>
    <definedName name="yh" hidden="1">{#N/A,#N/A,FALSE,"Aging Summary";#N/A,#N/A,FALSE,"Ratio Analysis";#N/A,#N/A,FALSE,"Test 120 Day Accts";#N/A,#N/A,FALSE,"Tickmarks"}</definedName>
    <definedName name="YM">#REF!</definedName>
    <definedName name="YN">#REF!</definedName>
    <definedName name="Yr_1_Rent_Growth">#REF!</definedName>
    <definedName name="YRA3MTH">7</definedName>
    <definedName name="YRA3MTH_CHG">8</definedName>
    <definedName name="YRACYTD">10</definedName>
    <definedName name="YRAMTH">3</definedName>
    <definedName name="YRAMTH_CHG">5</definedName>
    <definedName name="YRAMYTD">13</definedName>
    <definedName name="YTD">#REF!</definedName>
    <definedName name="YTD1">#REF!</definedName>
    <definedName name="YTD2">#REF!</definedName>
    <definedName name="yuioyuoiio" hidden="1">{#N/A,#N/A,TRUE,"Assumptions";#N/A,#N/A,TRUE,"Sources of Revenue";#N/A,#N/A,TRUE,"P&amp;L";#N/A,#N/A,TRUE,"Bal. Sheet";#N/A,#N/A,TRUE,"Rights Issue &amp; X Adjustment";#N/A,#N/A,TRUE,"Transaction Model"}</definedName>
    <definedName name="YUIY" hidden="1">{#N/A,#N/A,TRUE,"Assumptions";#N/A,#N/A,TRUE,"Sources of Revenue";#N/A,#N/A,TRUE,"P&amp;L";#N/A,#N/A,TRUE,"Bal. Sheet";#N/A,#N/A,TRUE,"Rights Issue &amp; X Adjustment";#N/A,#N/A,TRUE,"Transaction Model"}</definedName>
    <definedName name="YUYU">#REF!</definedName>
    <definedName name="yy">#REF!</definedName>
    <definedName name="YYY" hidden="1">{#N/A,#N/A,TRUE,"Y생산";#N/A,#N/A,TRUE,"Y판매";#N/A,#N/A,TRUE,"Y총물량";#N/A,#N/A,TRUE,"Y능력";#N/A,#N/A,TRUE,"YKD"}</definedName>
    <definedName name="yyyyyyyy">#REF!</definedName>
    <definedName name="YYYYYYYYY">#REF!</definedName>
    <definedName name="yyyyyyyyyy">#REF!</definedName>
    <definedName name="yyyyyyyyyyy">#REF!</definedName>
    <definedName name="yyyyyyyyyyyy">#REF!</definedName>
    <definedName name="yyyyyyyyyyyyyy">#REF!</definedName>
    <definedName name="yyyyyyyyyyyyyyy">#REF!</definedName>
    <definedName name="yyyyyyyyyyyyyyyy">#REF!</definedName>
    <definedName name="yyyyyyyyyyyyyyyyyy">#REF!</definedName>
    <definedName name="YYYYYYYYYYYYYYYYYYYYYYYYYYYYYYYYYYYYYYYYYYYYYYYYYYYYYYYYYYYYYYYYYYYYYYYYYYYYY">#REF!</definedName>
    <definedName name="Y부서">#REF!</definedName>
    <definedName name="Z">#REF!</definedName>
    <definedName name="Z_A5716FB3_058D_11D5_BFEC_0050BF418CB9_.wvu.FilterData" hidden="1">#REF!</definedName>
    <definedName name="Zace">#REF!</definedName>
    <definedName name="zcv" hidden="1">0</definedName>
    <definedName name="ZEI">#REF!</definedName>
    <definedName name="ZIP">#N/A</definedName>
    <definedName name="zsdf" hidden="1">{#N/A,#N/A,TRUE,"Assumptions";#N/A,#N/A,TRUE,"Sources of Revenue";#N/A,#N/A,TRUE,"P&amp;L";#N/A,#N/A,TRUE,"Bal. Sheet";#N/A,#N/A,TRUE,"Rights Issue &amp; X Adjustment";#N/A,#N/A,TRUE,"Transaction Model"}</definedName>
    <definedName name="ZZ">#REF!</definedName>
    <definedName name="zzb" hidden="1">#REF!</definedName>
    <definedName name="ZZZ" hidden="1">{#N/A,#N/A,FALSE,"Aging Summary";#N/A,#N/A,FALSE,"Ratio Analysis";#N/A,#N/A,FALSE,"Test 120 Day Accts";#N/A,#N/A,FALSE,"Tickmarks"}</definedName>
    <definedName name="ZZZZ" hidden="1">#REF!</definedName>
    <definedName name="zzzzzzzz">#REF!</definedName>
    <definedName name="zzzzzzzzz">#REF!</definedName>
    <definedName name="zzzzzzzzzzzzzz">#REF!</definedName>
    <definedName name="Z횴LER">#REF!</definedName>
    <definedName name="Z횴LER간">#REF!</definedName>
    <definedName name="α">#REF!</definedName>
    <definedName name="β">#REF!</definedName>
    <definedName name="γ">#REF!</definedName>
    <definedName name="あああ" hidden="1">{"'買掛金'!$J$6"}</definedName>
    <definedName name="その他の投資" hidden="1">{"'買掛金'!$J$6"}</definedName>
    <definedName name="っっｂ" hidden="1">{"'買掛金'!$J$6"}</definedName>
    <definedName name="ﾃﾞｰﾀ１番目枠">#REF!,#REF!,#REF!</definedName>
    <definedName name="ﾃﾞｰﾀ２番目枠">#REF!,#REF!,#REF!</definedName>
    <definedName name="ﾃﾞｰﾀ３番目枠">#REF!,#REF!,#REF!</definedName>
    <definedName name="ﾃﾞｰﾀ４番目枠">#REF!,#REF!,#REF!</definedName>
    <definedName name="テスト" hidden="1">{"'買掛金'!$J$6"}</definedName>
    <definedName name="ז">#REF!</definedName>
    <definedName name="ח">#REF!</definedName>
    <definedName name="מדד_חודש_97__9">"a"</definedName>
    <definedName name="מקדם">#REF!</definedName>
    <definedName name="ㄱ">#REF!</definedName>
    <definedName name="ㄱㄱ">#REF!</definedName>
    <definedName name="ㄱㄱㄱ">#REF!</definedName>
    <definedName name="ㄱㄱㄳㅎ">#REF!</definedName>
    <definedName name="ㄱㄴㄷ" hidden="1">{#N/A,#N/A,FALSE,"BS";#N/A,#N/A,FALSE,"PL";#N/A,#N/A,FALSE,"처분";#N/A,#N/A,FALSE,"현금";#N/A,#N/A,FALSE,"매출";#N/A,#N/A,FALSE,"원가";#N/A,#N/A,FALSE,"경영"}</definedName>
    <definedName name="ㄱㄷㄱㄱ" hidden="1">{#N/A,#N/A,TRUE,"일정"}</definedName>
    <definedName name="ㄱㅇ" hidden="1">{#N/A,#N/A,FALSE,"단축1";#N/A,#N/A,FALSE,"단축2";#N/A,#N/A,FALSE,"단축3";#N/A,#N/A,FALSE,"장축";#N/A,#N/A,FALSE,"4WD"}</definedName>
    <definedName name="ㄱ히망ㅎ" hidden="1">{#N/A,#N/A,FALSE,"1.CRITERIA";#N/A,#N/A,FALSE,"2.IS";#N/A,#N/A,FALSE,"3.BS";#N/A,#N/A,FALSE,"4.PER PL";#N/A,#N/A,FALSE,"5.INVESTMENT";#N/A,#N/A,FALSE,"6.공문";#N/A,#N/A,FALSE,"7.netinvest"}</definedName>
    <definedName name="가">#REF!</definedName>
    <definedName name="가1" hidden="1">{#N/A,#N/A,TRUE,"Y생산";#N/A,#N/A,TRUE,"Y판매";#N/A,#N/A,TRUE,"Y총물량";#N/A,#N/A,TRUE,"Y능력";#N/A,#N/A,TRUE,"YKD"}</definedName>
    <definedName name="가10층">#REF!</definedName>
    <definedName name="가11층">#REF!</definedName>
    <definedName name="가12층">#REF!</definedName>
    <definedName name="가13층">#REF!</definedName>
    <definedName name="가14층">#REF!</definedName>
    <definedName name="가15층">#REF!</definedName>
    <definedName name="가16층">#REF!</definedName>
    <definedName name="가17층">#REF!</definedName>
    <definedName name="가18층">#REF!</definedName>
    <definedName name="가19층">#REF!</definedName>
    <definedName name="가20층">#REF!</definedName>
    <definedName name="가21층">#REF!</definedName>
    <definedName name="가22층">#REF!</definedName>
    <definedName name="가23층">#REF!</definedName>
    <definedName name="가24층">#REF!</definedName>
    <definedName name="가25층">#REF!</definedName>
    <definedName name="가2층">#REF!</definedName>
    <definedName name="가3층">#REF!</definedName>
    <definedName name="가4층">#REF!</definedName>
    <definedName name="가5층">#REF!</definedName>
    <definedName name="가6층">#REF!</definedName>
    <definedName name="가7층">#REF!</definedName>
    <definedName name="가8층">#REF!</definedName>
    <definedName name="가9층">#REF!</definedName>
    <definedName name="가가" hidden="1">{#N/A,#N/A,FALSE,"1.CRITERIA";#N/A,#N/A,FALSE,"2.IS";#N/A,#N/A,FALSE,"3.BS";#N/A,#N/A,FALSE,"4.PER PL";#N/A,#N/A,FALSE,"5.INVESTMENT";#N/A,#N/A,FALSE,"6.공문";#N/A,#N/A,FALSE,"7.netinvest"}</definedName>
    <definedName name="가가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격">#REF!</definedName>
    <definedName name="가공비">#REF!</definedName>
    <definedName name="가나">#REF!</definedName>
    <definedName name="가나라"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동" hidden="1">{#N/A,#N/A,TRUE,"Y생산";#N/A,#N/A,TRUE,"Y판매";#N/A,#N/A,TRUE,"Y총물량";#N/A,#N/A,TRUE,"Y능력";#N/A,#N/A,TRUE,"YKD"}</definedName>
    <definedName name="가동2" hidden="1">{#N/A,#N/A,TRUE,"Y생산";#N/A,#N/A,TRUE,"Y판매";#N/A,#N/A,TRUE,"Y총물량";#N/A,#N/A,TRUE,"Y능력";#N/A,#N/A,TRUE,"YKD"}</definedName>
    <definedName name="가라" hidden="1">{#N/A,#N/A,FALSE,"1.CRITERIA";#N/A,#N/A,FALSE,"2.IS";#N/A,#N/A,FALSE,"3.BS";#N/A,#N/A,FALSE,"4.PER PL";#N/A,#N/A,FALSE,"5.INVESTMENT";#N/A,#N/A,FALSE,"6.공문";#N/A,#N/A,FALSE,"7.netinvest"}</definedName>
    <definedName name="가맋"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미"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스로">#REF!</definedName>
    <definedName name="가스료">#REF!</definedName>
    <definedName name="가아"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을" hidden="1">{#N/A,#N/A,FALSE,"95FW"}</definedName>
    <definedName name="가전">#REF!</definedName>
    <definedName name="가족">#REF!</definedName>
    <definedName name="가중평균">#REF!</definedName>
    <definedName name="가지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카"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각"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간접">#REF!</definedName>
    <definedName name="간지목록">#REF!</definedName>
    <definedName name="갈" hidden="1">{#N/A,#N/A,FALSE,"1.CRITERIA";#N/A,#N/A,FALSE,"2.IS";#N/A,#N/A,FALSE,"3.BS";#N/A,#N/A,FALSE,"4.PER PL";#N/A,#N/A,FALSE,"5.INVESTMENT";#N/A,#N/A,FALSE,"6.공문";#N/A,#N/A,FALSE,"7.netinvest"}</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overall" hidden="1">{#N/A,#N/A,FALSE,"Aging Summary";#N/A,#N/A,FALSE,"Ratio Analysis";#N/A,#N/A,FALSE,"Test 120 Day Accts";#N/A,#N/A,FALSE,"Tickmarks"}</definedName>
    <definedName name="감가상각">#REF!</definedName>
    <definedName name="감가상각비">#REF!</definedName>
    <definedName name="감가상각비2" hidden="1">{#N/A,#N/A,FALSE,"Aging Summary";#N/A,#N/A,FALSE,"Ratio Analysis";#N/A,#N/A,FALSE,"Test 120 Day Accts";#N/A,#N/A,FALSE,"Tickmarks"}</definedName>
    <definedName name="감사" hidden="1">{#N/A,#N/A,FALSE,"채산3501.XLS";#N/A,#N/A,FALSE,"신조수A.XLS";#N/A,#N/A,FALSE,"신조수b.XLS";#N/A,#N/A,FALSE,"채산3502.XLS";#N/A,#N/A,FALSE,"신조원리.XLS";#N/A,#N/A,FALSE,"신조감가.XLS"}</definedName>
    <definedName name="감우">#REF!</definedName>
    <definedName name="감원검토2">BlankMacro1</definedName>
    <definedName name="갑측정산">#REF!</definedName>
    <definedName name="강">#REF!</definedName>
    <definedName name="강동곤">#REF!</definedName>
    <definedName name="강선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숙현">#REF!</definedName>
    <definedName name="강용" hidden="1">{"'Sheet1'!$A$1:$H$36"}</definedName>
    <definedName name="강용혁" hidden="1">#N/A</definedName>
    <definedName name="강태혁" hidden="1">#N/A</definedName>
    <definedName name="개발인정">"Picture 49"</definedName>
    <definedName name="개발일정" hidden="1">{#N/A,#N/A,FALSE,"신규dep";#N/A,#N/A,FALSE,"신규dep-금형상각후";#N/A,#N/A,FALSE,"신규dep-연구비상각후";#N/A,#N/A,FALSE,"신규dep-기계,공구상각후"}</definedName>
    <definedName name="개발차종">#N/A</definedName>
    <definedName name="개선">#REF!</definedName>
    <definedName name="개선1">#REF!</definedName>
    <definedName name="개선2">#REF!</definedName>
    <definedName name="개선내용" hidden="1">{#N/A,#N/A,TRUE,"Y생산";#N/A,#N/A,TRUE,"Y판매";#N/A,#N/A,TRUE,"Y총물량";#N/A,#N/A,TRUE,"Y능력";#N/A,#N/A,TRUE,"YKD"}</definedName>
    <definedName name="개선내용_1" hidden="1">{#N/A,#N/A,TRUE,"Y생산";#N/A,#N/A,TRUE,"Y판매";#N/A,#N/A,TRUE,"Y총물량";#N/A,#N/A,TRUE,"Y능력";#N/A,#N/A,TRUE,"YKD"}</definedName>
    <definedName name="개선실적" hidden="1">{#N/A,#N/A,TRUE,"Y생산";#N/A,#N/A,TRUE,"Y판매";#N/A,#N/A,TRUE,"Y총물량";#N/A,#N/A,TRUE,"Y능력";#N/A,#N/A,TRUE,"YKD"}</definedName>
    <definedName name="개선실적_1" hidden="1">{#N/A,#N/A,TRUE,"Y생산";#N/A,#N/A,TRUE,"Y판매";#N/A,#N/A,TRUE,"Y총물량";#N/A,#N/A,TRUE,"Y능력";#N/A,#N/A,TRUE,"YKD"}</definedName>
    <definedName name="개선절감">#REF!</definedName>
    <definedName name="갱신임료수준">#REF!</definedName>
    <definedName name="갸">#REF!</definedName>
    <definedName name="거" hidden="1">{#N/A,#N/A,FALSE,"1.CRITERIA";#N/A,#N/A,FALSE,"2.IS";#N/A,#N/A,FALSE,"3.BS";#N/A,#N/A,FALSE,"4.PER PL";#N/A,#N/A,FALSE,"5.INVESTMENT";#N/A,#N/A,FALSE,"6.공문";#N/A,#N/A,FALSE,"7.netinvest"}</definedName>
    <definedName name="거래조건10월">#REF!</definedName>
    <definedName name="거이" hidden="1">{#N/A,#N/A,FALSE,"1.CRITERIA";#N/A,#N/A,FALSE,"2.IS";#N/A,#N/A,FALSE,"3.BS";#N/A,#N/A,FALSE,"4.PER PL";#N/A,#N/A,FALSE,"5.INVESTMENT";#N/A,#N/A,FALSE,"6.공문";#N/A,#N/A,FALSE,"7.netinvest"}</definedName>
    <definedName name="건1">#REF!</definedName>
    <definedName name="건10">#REF!</definedName>
    <definedName name="건11">#REF!</definedName>
    <definedName name="건12">#REF!</definedName>
    <definedName name="건2">#REF!</definedName>
    <definedName name="건3">#REF!</definedName>
    <definedName name="건4">#REF!</definedName>
    <definedName name="건5">#REF!</definedName>
    <definedName name="건6">#REF!</definedName>
    <definedName name="건7">#REF!</definedName>
    <definedName name="건8">#REF!</definedName>
    <definedName name="건9">#REF!</definedName>
    <definedName name="건강10월">#REF!</definedName>
    <definedName name="건강11월">#REF!</definedName>
    <definedName name="건강12월">#REF!</definedName>
    <definedName name="건강3월">#REF!</definedName>
    <definedName name="건강4월">#REF!</definedName>
    <definedName name="건강5월">#REF!</definedName>
    <definedName name="건강6월">#REF!</definedName>
    <definedName name="건강7월">#REF!</definedName>
    <definedName name="건강8월">#REF!</definedName>
    <definedName name="건강9월">#REF!</definedName>
    <definedName name="건물">#REF!</definedName>
    <definedName name="건물2">#REF!</definedName>
    <definedName name="건설팀" hidden="1">{#N/A,#N/A,TRUE,"Y생산";#N/A,#N/A,TRUE,"Y판매";#N/A,#N/A,TRUE,"Y총물량";#N/A,#N/A,TRUE,"Y능력";#N/A,#N/A,TRUE,"YKD"}</definedName>
    <definedName name="건설팀_1" hidden="1">{#N/A,#N/A,TRUE,"Y생산";#N/A,#N/A,TRUE,"Y판매";#N/A,#N/A,TRUE,"Y총물량";#N/A,#N/A,TRUE,"Y능력";#N/A,#N/A,TRUE,"YKD"}</definedName>
    <definedName name="건열" hidden="1">{#N/A,#N/A,TRUE,"Y생산";#N/A,#N/A,TRUE,"Y판매";#N/A,#N/A,TRUE,"Y총물량";#N/A,#N/A,TRUE,"Y능력";#N/A,#N/A,TRUE,"YKD"}</definedName>
    <definedName name="검사">#REF!</definedName>
    <definedName name="검사대기">#REF!</definedName>
    <definedName name="검사취소">#REF!</definedName>
    <definedName name="검증순서">#REF!</definedName>
    <definedName name="검토중Q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견적list3" hidden="1">{#N/A,#N/A,FALSE,"단축1";#N/A,#N/A,FALSE,"단축2";#N/A,#N/A,FALSE,"단축3";#N/A,#N/A,FALSE,"장축";#N/A,#N/A,FALSE,"4WD"}</definedName>
    <definedName name="결론">#REF!</definedName>
    <definedName name="결손금">#REF!</definedName>
    <definedName name="경로" hidden="1">{#N/A,#N/A,TRUE,"Y생산";#N/A,#N/A,TRUE,"Y판매";#N/A,#N/A,TRUE,"Y총물량";#N/A,#N/A,TRUE,"Y능력";#N/A,#N/A,TRUE,"YKD"}</definedName>
    <definedName name="경비">#REF!</definedName>
    <definedName name="경비.본">#REF!</definedName>
    <definedName name="경비1" hidden="1">#REF!</definedName>
    <definedName name="경비2" hidden="1">#REF!</definedName>
    <definedName name="경비출납">#REF!</definedName>
    <definedName name="경영계획">#REF!</definedName>
    <definedName name="경영전망" hidden="1">0</definedName>
    <definedName name="경쟁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합금2과운연계획" hidden="1">{#N/A,#N/A,TRUE,"Y생산";#N/A,#N/A,TRUE,"Y판매";#N/A,#N/A,TRUE,"Y총물량";#N/A,#N/A,TRUE,"Y능력";#N/A,#N/A,TRUE,"YKD"}</definedName>
    <definedName name="계">#REF!</definedName>
    <definedName name="계산" hidden="1">{#N/A,#N/A,FALSE,"1.CRITERIA";#N/A,#N/A,FALSE,"2.IS";#N/A,#N/A,FALSE,"3.BS";#N/A,#N/A,FALSE,"4.PER PL";#N/A,#N/A,FALSE,"5.INVESTMENT";#N/A,#N/A,FALSE,"6.공문";#N/A,#N/A,FALSE,"7.netinvest"}</definedName>
    <definedName name="계산서" hidden="1">{#N/A,#N/A,FALSE,"BS";#N/A,#N/A,FALSE,"PL";#N/A,#N/A,FALSE,"처분";#N/A,#N/A,FALSE,"현금";#N/A,#N/A,FALSE,"매출";#N/A,#N/A,FALSE,"원가";#N/A,#N/A,FALSE,"경영"}</definedName>
    <definedName name="계상산">#REF!</definedName>
    <definedName name="계속" hidden="1">{#N/A,#N/A,FALSE,"1.CRITERIA";#N/A,#N/A,FALSE,"2.IS";#N/A,#N/A,FALSE,"3.BS";#N/A,#N/A,FALSE,"4.PER PL";#N/A,#N/A,FALSE,"5.INVESTMENT";#N/A,#N/A,FALSE,"6.공문";#N/A,#N/A,FALSE,"7.netinvest"}</definedName>
    <definedName name="계승산">#REF!</definedName>
    <definedName name="계약91">#REF!</definedName>
    <definedName name="계전산">#REF!</definedName>
    <definedName name="계정과목">#REF!</definedName>
    <definedName name="계정과정행높이조절">#REF!,#REF!,#REF!,#REF!,#REF!,#REF!,#REF!,#REF!</definedName>
    <definedName name="계정종합표" hidden="1">{#N/A,#N/A,TRUE,"Y생산";#N/A,#N/A,TRUE,"Y판매";#N/A,#N/A,TRUE,"Y총물량";#N/A,#N/A,TRUE,"Y능력";#N/A,#N/A,TRUE,"YKD"}</definedName>
    <definedName name="계좌">#REF!</definedName>
    <definedName name="계획">#REF!</definedName>
    <definedName name="계획2">#REF!</definedName>
    <definedName name="고">#REF!</definedName>
    <definedName name="고1">#REF!</definedName>
    <definedName name="고10">#REF!</definedName>
    <definedName name="고11">#REF!</definedName>
    <definedName name="고12">#REF!</definedName>
    <definedName name="고2">#REF!</definedName>
    <definedName name="고3">#REF!</definedName>
    <definedName name="고4">#REF!</definedName>
    <definedName name="고5">#REF!</definedName>
    <definedName name="고6">#REF!</definedName>
    <definedName name="고7">#REF!</definedName>
    <definedName name="고8">#REF!</definedName>
    <definedName name="고9">#REF!</definedName>
    <definedName name="고용10월">#REF!</definedName>
    <definedName name="고용11월">#REF!</definedName>
    <definedName name="고용12월">#REF!</definedName>
    <definedName name="고용3월">#REF!</definedName>
    <definedName name="고용4월">#REF!</definedName>
    <definedName name="고용5월">#REF!</definedName>
    <definedName name="고용6월">#REF!</definedName>
    <definedName name="고용7월">#REF!</definedName>
    <definedName name="고용8월">#REF!</definedName>
    <definedName name="고용9월">#REF!</definedName>
    <definedName name="고정비">#REF!</definedName>
    <definedName name="고처분">#REF!</definedName>
    <definedName name="골라인쇄">#REF!</definedName>
    <definedName name="공급가">OFFSET(#REF!,0,0,COUNTA(#REF!)-1)</definedName>
    <definedName name="공기">#REF!</definedName>
    <definedName name="공무4" hidden="1">{#N/A,#N/A,FALSE,"채산3501.XLS";#N/A,#N/A,FALSE,"신조수A.XLS";#N/A,#N/A,FALSE,"신조수b.XLS";#N/A,#N/A,FALSE,"채산3502.XLS";#N/A,#N/A,FALSE,"신조원리.XLS";#N/A,#N/A,FALSE,"신조감가.XLS"}</definedName>
    <definedName name="공무팀4" hidden="1">{#N/A,#N/A,FALSE,"채산3501.XLS";#N/A,#N/A,FALSE,"신조수A.XLS";#N/A,#N/A,FALSE,"신조수b.XLS";#N/A,#N/A,FALSE,"채산3502.XLS";#N/A,#N/A,FALSE,"신조원리.XLS";#N/A,#N/A,FALSE,"신조감가.XLS"}</definedName>
    <definedName name="공문" hidden="1">#REF!</definedName>
    <definedName name="공수">#REF!</definedName>
    <definedName name="공식">#REF!</definedName>
    <definedName name="공실률">#REF!+(#REF!-#REF!)</definedName>
    <definedName name="공장별">#REF!</definedName>
    <definedName name="공정">#REF!</definedName>
    <definedName name="공조">#REF!</definedName>
    <definedName name="공종">#N/A</definedName>
    <definedName name="공종보기">#N/A</definedName>
    <definedName name="공종보기2">#N/A</definedName>
    <definedName name="공ㅌ오" hidden="1">{#N/A,#N/A,TRUE,"Y생산";#N/A,#N/A,TRUE,"Y판매";#N/A,#N/A,TRUE,"Y총물량";#N/A,#N/A,TRUE,"Y능력";#N/A,#N/A,TRUE,"YKD"}</definedName>
    <definedName name="공통2">#REF!</definedName>
    <definedName name="공통경비">#REF!</definedName>
    <definedName name="과목세목현황" hidden="1">{#N/A,#N/A,TRUE,"Y생산";#N/A,#N/A,TRUE,"Y판매";#N/A,#N/A,TRUE,"Y총물량";#N/A,#N/A,TRUE,"Y능력";#N/A,#N/A,TRUE,"YKD"}</definedName>
    <definedName name="과별분배">#REF!</definedName>
    <definedName name="과운영" hidden="1">{"'호선별현황(방식)'!$K$22:$P$22","'호선별현황(방식)'!$K$22:$P$22"}</definedName>
    <definedName name="관리" hidden="1">#REF!</definedName>
    <definedName name="관리07년">#REF!</definedName>
    <definedName name="管理番号ﾘｽﾄ">#REF!</definedName>
    <definedName name="관리비">#REF!</definedName>
    <definedName name="관리선4월" hidden="1">{#N/A,#N/A,FALSE,"채산3501.XLS";#N/A,#N/A,FALSE,"신조수A.XLS";#N/A,#N/A,FALSE,"신조수b.XLS";#N/A,#N/A,FALSE,"채산3502.XLS";#N/A,#N/A,FALSE,"신조원리.XLS";#N/A,#N/A,FALSE,"신조감가.XLS"}</definedName>
    <definedName name="관리지표2" hidden="1">{#N/A,#N/A,TRUE,"Y생산";#N/A,#N/A,TRUE,"Y판매";#N/A,#N/A,TRUE,"Y총물량";#N/A,#N/A,TRUE,"Y능력";#N/A,#N/A,TRUE,"YKD"}</definedName>
    <definedName name="관세">#REF!</definedName>
    <definedName name="광">#REF!</definedName>
    <definedName name="광명정산">#REF!</definedName>
    <definedName name="광주9월1">#REF!</definedName>
    <definedName name="교체">#REF!</definedName>
    <definedName name="교체1">#REF!</definedName>
    <definedName name="교체2">#REF!</definedName>
    <definedName name="교체4">#REF!</definedName>
    <definedName name="교환2001견적">#REF!</definedName>
    <definedName name="교환비교">#REF!</definedName>
    <definedName name="굑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구__매___사__용">#REF!</definedName>
    <definedName name="구매보고">#REF!</definedName>
    <definedName name="구매부품TOT" hidden="1">{#N/A,#N/A,FALSE,"Aging Summary";#N/A,#N/A,FALSE,"Ratio Analysis";#N/A,#N/A,FALSE,"Test 120 Day Accts";#N/A,#N/A,FALSE,"Tickmarks"}</definedName>
    <definedName name="구분">#REF!</definedName>
    <definedName name="구분1">#REF!</definedName>
    <definedName name="구분2">#REF!</definedName>
    <definedName name="구축물">#REF!</definedName>
    <definedName name="구축물2">#REF!</definedName>
    <definedName name="구축본부" hidden="1">{#N/A,#N/A,FALSE,"3가";#N/A,#N/A,FALSE,"3나";#N/A,#N/A,FALSE,"3다"}</definedName>
    <definedName name="구칠건가">#REF!</definedName>
    <definedName name="구칠금형">#REF!</definedName>
    <definedName name="구ㅏㅇ">#REF!</definedName>
    <definedName name="국_내_매_출">#REF!</definedName>
    <definedName name="국1">#REF!</definedName>
    <definedName name="국10">#REF!</definedName>
    <definedName name="국11">#REF!</definedName>
    <definedName name="국12">#REF!</definedName>
    <definedName name="국2">#REF!</definedName>
    <definedName name="국3">#REF!</definedName>
    <definedName name="국4">#REF!</definedName>
    <definedName name="국5">#REF!</definedName>
    <definedName name="국6">#REF!</definedName>
    <definedName name="국7">#REF!</definedName>
    <definedName name="국8">#REF!</definedName>
    <definedName name="국9">#REF!</definedName>
    <definedName name="국가">#REF!</definedName>
    <definedName name="국가명">#REF!</definedName>
    <definedName name="국내">#REF!</definedName>
    <definedName name="국내2">#REF!</definedName>
    <definedName name="국내abs">#REF!</definedName>
    <definedName name="국내판권합계">#REF!</definedName>
    <definedName name="국문2" hidden="1">{#N/A,#N/A,FALSE,"BS";#N/A,#N/A,FALSE,"PL";#N/A,#N/A,FALSE,"처분";#N/A,#N/A,FALSE,"현금";#N/A,#N/A,FALSE,"매출";#N/A,#N/A,FALSE,"원가";#N/A,#N/A,FALSE,"경영"}</definedName>
    <definedName name="국문3" hidden="1">{#N/A,#N/A,FALSE,"BS";#N/A,#N/A,FALSE,"PL";#N/A,#N/A,FALSE,"A";#N/A,#N/A,FALSE,"B";#N/A,#N/A,FALSE,"B1";#N/A,#N/A,FALSE,"C";#N/A,#N/A,FALSE,"C1";#N/A,#N/A,FALSE,"C2";#N/A,#N/A,FALSE,"D";#N/A,#N/A,FALSE,"E";#N/A,#N/A,FALSE,"F";#N/A,#N/A,FALSE,"AA";#N/A,#N/A,FALSE,"BB";#N/A,#N/A,FALSE,"CC";#N/A,#N/A,FALSE,"DD";#N/A,#N/A,FALSE,"EE";#N/A,#N/A,FALSE,"FF";#N/A,#N/A,FALSE,"PL10";#N/A,#N/A,FALSE,"PL20";#N/A,#N/A,FALSE,"PL30"}</definedName>
    <definedName name="국민10월">#REF!</definedName>
    <definedName name="국민11월">#REF!</definedName>
    <definedName name="국민12월">#REF!</definedName>
    <definedName name="국민3월">#REF!</definedName>
    <definedName name="국민4월">#REF!</definedName>
    <definedName name="국민5월">#REF!</definedName>
    <definedName name="국민6월">#REF!</definedName>
    <definedName name="국민7월">#REF!</definedName>
    <definedName name="국민8월">#REF!</definedName>
    <definedName name="국민9월">#REF!</definedName>
    <definedName name="국산화1" hidden="1">#REF!</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군">#REF!</definedName>
    <definedName name="군매출">#REF!</definedName>
    <definedName name="군바지">#REF!</definedName>
    <definedName name="군이자">#REF!</definedName>
    <definedName name="군인원">#REF!</definedName>
    <definedName name="군포감가">#REF!</definedName>
    <definedName name="군포매출">#REF!</definedName>
    <definedName name="군포배부">#REF!</definedName>
    <definedName name="군포부품이자">#REF!</definedName>
    <definedName name="군포인원">#REF!</definedName>
    <definedName name="권">#N/A</definedName>
    <definedName name="권종원">#N/A</definedName>
    <definedName name="귀속">#REF!</definedName>
    <definedName name="귀속2">#REF!</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것">#REF!</definedName>
    <definedName name="그냥">#REF!</definedName>
    <definedName name="그대로">#REF!</definedName>
    <definedName name="그림선이">#REF!</definedName>
    <definedName name="그림참고">#REF!</definedName>
    <definedName name="그사람" hidden="1">{#N/A,#N/A,FALSE,"1.CRITERIA";#N/A,#N/A,FALSE,"2.IS";#N/A,#N/A,FALSE,"3.BS";#N/A,#N/A,FALSE,"4.PER PL";#N/A,#N/A,FALSE,"5.INVESTMENT";#N/A,#N/A,FALSE,"6.공문";#N/A,#N/A,FALSE,"7.netinvest"}</definedName>
    <definedName name="극본료합계">#REF!</definedName>
    <definedName name="근거2" hidden="1">{#N/A,#N/A,FALSE,"단축1";#N/A,#N/A,FALSE,"단축2";#N/A,#N/A,FALSE,"단축3";#N/A,#N/A,FALSE,"장축";#N/A,#N/A,FALSE,"4WD"}</definedName>
    <definedName name="근무표">#REF!</definedName>
    <definedName name="근본">#REF!</definedName>
    <definedName name="근태현황_98본사_중원_9월__List">#REF!</definedName>
    <definedName name="금리1">#REF!</definedName>
    <definedName name="금액">#N/A</definedName>
    <definedName name="금월" hidden="1">{#N/A,#N/A,TRUE,"Y생산";#N/A,#N/A,TRUE,"Y판매";#N/A,#N/A,TRUE,"Y총물량";#N/A,#N/A,TRUE,"Y능력";#N/A,#N/A,TRUE,"YKD"}</definedName>
    <definedName name="금월요금1">ROUND(사용량1-사용량1*(전월일수-#REF!+1)/전월일수,0)*사용요금11</definedName>
    <definedName name="금월요금2">ROUND(사용량2-사용량2*(전월일수-#REF!+1)/전월일수,0)*사용요금21</definedName>
    <definedName name="금월요금3">#N/A</definedName>
    <definedName name="금융기관">#REF!</definedName>
    <definedName name="금형" hidden="1">{#N/A,#N/A,FALSE,"단축1";#N/A,#N/A,FALSE,"단축2";#N/A,#N/A,FALSE,"단축3";#N/A,#N/A,FALSE,"장축";#N/A,#N/A,FALSE,"4WD"}</definedName>
    <definedName name="금형편성표" hidden="1">{#N/A,#N/A,FALSE,"단축1";#N/A,#N/A,FALSE,"단축2";#N/A,#N/A,FALSE,"단축3";#N/A,#N/A,FALSE,"장축";#N/A,#N/A,FALSE,"4WD"}</definedName>
    <definedName name="금호기획">#REF!</definedName>
    <definedName name="금호기획량">#REF!</definedName>
    <definedName name="금호요척량">#REF!</definedName>
    <definedName name="금호원불">#REF!</definedName>
    <definedName name="금호정품입고">#REF!</definedName>
    <definedName name="금호취불">#REF!</definedName>
    <definedName name="급1">#REF!</definedName>
    <definedName name="급10">#REF!</definedName>
    <definedName name="급11">#REF!</definedName>
    <definedName name="급12">#REF!</definedName>
    <definedName name="급2">#REF!</definedName>
    <definedName name="급3">#REF!</definedName>
    <definedName name="급4">#REF!</definedName>
    <definedName name="급5">#REF!</definedName>
    <definedName name="급6">#REF!</definedName>
    <definedName name="급7">#REF!</definedName>
    <definedName name="급8">#REF!</definedName>
    <definedName name="급9">#REF!</definedName>
    <definedName name="급료.본">#REF!</definedName>
    <definedName name="급여" hidden="1">#REF!</definedName>
    <definedName name="급여10월">#REF!</definedName>
    <definedName name="급여11월">#REF!</definedName>
    <definedName name="급여12월">#REF!</definedName>
    <definedName name="급여2">#REF!</definedName>
    <definedName name="급여3월">#REF!</definedName>
    <definedName name="급여4월">#REF!</definedName>
    <definedName name="급여5월">#REF!</definedName>
    <definedName name="급여6월">#REF!</definedName>
    <definedName name="급여7월">#REF!</definedName>
    <definedName name="급여8월">#REF!</definedName>
    <definedName name="급여9월">#REF!</definedName>
    <definedName name="기" hidden="1">{#N/A,#N/A,FALSE,"1.CRITERIA";#N/A,#N/A,FALSE,"2.IS";#N/A,#N/A,FALSE,"3.BS";#N/A,#N/A,FALSE,"4.PER PL";#N/A,#N/A,FALSE,"5.INVESTMENT";#N/A,#N/A,FALSE,"6.공문";#N/A,#N/A,FALSE,"7.netinvest"}</definedName>
    <definedName name="기1">#REF!</definedName>
    <definedName name="기10">#REF!</definedName>
    <definedName name="기11">#REF!</definedName>
    <definedName name="기12">#REF!</definedName>
    <definedName name="기2">#REF!</definedName>
    <definedName name="기3">#REF!</definedName>
    <definedName name="기4">#REF!</definedName>
    <definedName name="기5">#REF!</definedName>
    <definedName name="기6">#REF!</definedName>
    <definedName name="기7">#REF!</definedName>
    <definedName name="기8">#REF!</definedName>
    <definedName name="기9">#REF!</definedName>
    <definedName name="기간">OFFSET(#REF!,0,0,COUNTA(#REF!)-1)</definedName>
    <definedName name="기계" hidden="1">#REF!</definedName>
    <definedName name="기계업무3">#REF!</definedName>
    <definedName name="기계장치" hidden="1">#N/A</definedName>
    <definedName name="기계장치2">#REF!</definedName>
    <definedName name="기구조직">#REF!</definedName>
    <definedName name="기구조직도">#REF!</definedName>
    <definedName name="기남이가보냄">#REF!</definedName>
    <definedName name="기말">#REF!</definedName>
    <definedName name="기본요금1">VLOOKUP(#REF!,요금,2)</definedName>
    <definedName name="기본요금2">VLOOKUP(#REF!,요금,2)</definedName>
    <definedName name="기본운영계획1" hidden="1">{#N/A,#N/A,FALSE,"채산3501.XLS";#N/A,#N/A,FALSE,"신조수A.XLS";#N/A,#N/A,FALSE,"신조수b.XLS";#N/A,#N/A,FALSE,"채산3502.XLS";#N/A,#N/A,FALSE,"신조원리.XLS";#N/A,#N/A,FALSE,"신조감가.XLS"}</definedName>
    <definedName name="기부금">#REF!</definedName>
    <definedName name="기술개발">#REF!</definedName>
    <definedName name="기술관리부" hidden="1">{"'호선별현황(방식)'!$K$22:$P$22","'호선별현황(방식)'!$K$22:$P$22"}</definedName>
    <definedName name="기아"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안">#REF!</definedName>
    <definedName name="기안1">#REF!</definedName>
    <definedName name="기안2">#REF!</definedName>
    <definedName name="기안3">#REF!</definedName>
    <definedName name="기안갑">#REF!</definedName>
    <definedName name="기안갑1">#N/A</definedName>
    <definedName name="기안용지">#REF!</definedName>
    <definedName name="기안용지2">#REF!</definedName>
    <definedName name="기안을">#REF!</definedName>
    <definedName name="기안을1">#N/A</definedName>
    <definedName name="기어2" hidden="1">{#N/A,#N/A,FALSE,"단축1";#N/A,#N/A,FALSE,"단축2";#N/A,#N/A,FALSE,"단축3";#N/A,#N/A,FALSE,"장축";#N/A,#N/A,FALSE,"4WD"}</definedName>
    <definedName name="기업자유_5103">#REF!</definedName>
    <definedName name="기존_대출">#REF!</definedName>
    <definedName name="기존_보증금">#REF!</definedName>
    <definedName name="기준">#REF!</definedName>
    <definedName name="기준보증금률">#REF!</definedName>
    <definedName name="기준분석" hidden="1">{"'호선별현황(방식)'!$K$22:$P$22","'호선별현황(방식)'!$K$22:$P$22"}</definedName>
    <definedName name="기준표">#REF!</definedName>
    <definedName name="기타10월">#REF!</definedName>
    <definedName name="기타11월">#REF!</definedName>
    <definedName name="기타12월">#REF!</definedName>
    <definedName name="기타3월">#REF!</definedName>
    <definedName name="기타4월">#REF!</definedName>
    <definedName name="기타5월">#REF!</definedName>
    <definedName name="기타6월">#REF!</definedName>
    <definedName name="기타7월">#REF!</definedName>
    <definedName name="기타8월">#REF!</definedName>
    <definedName name="기타9월">#REF!</definedName>
    <definedName name="기타부채">#REF!</definedName>
    <definedName name="기타합계">#REF!</definedName>
    <definedName name="기표현황">#REF!</definedName>
    <definedName name="기획1">#REF!</definedName>
    <definedName name="기획2">#REF!</definedName>
    <definedName name="기획량">#REF!,#REF!,#REF!,#REF!,#REF!,#REF!,#REF!,#REF!,#REF!,#REF!,#REF!,#REF!,#REF!,#REF!,#REF!</definedName>
    <definedName name="기획료합계">#REF!</definedName>
    <definedName name="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 hidden="1">{#N/A,#N/A,FALSE,"Aging Summary";#N/A,#N/A,FALSE,"Ratio Analysis";#N/A,#N/A,FALSE,"Test 120 Day Accts";#N/A,#N/A,FALSE,"Tickmarks"}</definedName>
    <definedName name="김두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세일">#N/A</definedName>
    <definedName name="김영우" hidden="1">#N/A</definedName>
    <definedName name="김일">#N/A</definedName>
    <definedName name="김정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희선" hidden="1">#N/A</definedName>
    <definedName name="끝">#REF!</definedName>
    <definedName name="ㄳㄱ" hidden="1">{#N/A,#N/A,FALSE,"Aging Summary";#N/A,#N/A,FALSE,"Ratio Analysis";#N/A,#N/A,FALSE,"Test 120 Day Accts";#N/A,#N/A,FALSE,"Tickmarks"}</definedName>
    <definedName name="ㄴ">#REF!</definedName>
    <definedName name="ㄴ2">#REF!</definedName>
    <definedName name="ㄴㄴ">#REF!</definedName>
    <definedName name="ㄴㄴㄴ">#REF!</definedName>
    <definedName name="ㄴㄴㄴ_1" hidden="1">{#N/A,#N/A,TRUE,"대 차 대 조 표"}</definedName>
    <definedName name="ㄴㄴㄴㄴ" hidden="1">{#N/A,#N/A,FALSE,"단축1";#N/A,#N/A,FALSE,"단축2";#N/A,#N/A,FALSE,"단축3";#N/A,#N/A,FALSE,"장축";#N/A,#N/A,FALSE,"4WD"}</definedName>
    <definedName name="ㄴㄹ">ROUND(사용량2*(ㅂㅈ-#REF!+1)/ㅂㅈ,0)*사용</definedName>
    <definedName name="ㄴㄹㅇ" hidden="1">{#N/A,#N/A,FALSE,"Aging Summary";#N/A,#N/A,FALSE,"Ratio Analysis";#N/A,#N/A,FALSE,"Test 120 Day Accts";#N/A,#N/A,FALSE,"Tickmarks"}</definedName>
    <definedName name="ㄴㄹㅇㄹㅇㄴ" hidden="1">{#N/A,#N/A,FALSE,"Aging Summary";#N/A,#N/A,FALSE,"Ratio Analysis";#N/A,#N/A,FALSE,"Test 120 Day Accts";#N/A,#N/A,FALSE,"Tickmarks"}</definedName>
    <definedName name="ㄴㅁㄴ">#REF!</definedName>
    <definedName name="ㄴㅁㅁㄴ" hidden="1">{#N/A,#N/A,FALSE,"표지";#N/A,#N/A,FALSE,"전제";#N/A,#N/A,FALSE,"손익-자 (2)";#N/A,#N/A,FALSE,"손익-자";#N/A,#N/A,FALSE,"손익-마 (2)";#N/A,#N/A,FALSE,"손익-마";#N/A,#N/A,FALSE,"총손최종"}</definedName>
    <definedName name="ㄴㅁㅇ" hidden="1">{#N/A,#N/A,FALSE,"BS";#N/A,#N/A,FALSE,"PL";#N/A,#N/A,FALSE,"A";#N/A,#N/A,FALSE,"B";#N/A,#N/A,FALSE,"B1";#N/A,#N/A,FALSE,"C";#N/A,#N/A,FALSE,"C1";#N/A,#N/A,FALSE,"C2";#N/A,#N/A,FALSE,"D";#N/A,#N/A,FALSE,"E";#N/A,#N/A,FALSE,"F";#N/A,#N/A,FALSE,"AA";#N/A,#N/A,FALSE,"BB";#N/A,#N/A,FALSE,"CC";#N/A,#N/A,FALSE,"DD";#N/A,#N/A,FALSE,"EE";#N/A,#N/A,FALSE,"FF";#N/A,#N/A,FALSE,"PL10";#N/A,#N/A,FALSE,"PL20";#N/A,#N/A,FALSE,"PL30"}</definedName>
    <definedName name="ㄴㅇ" hidden="1">{#N/A,#N/A,TRUE,"Y생산";#N/A,#N/A,TRUE,"Y판매";#N/A,#N/A,TRUE,"Y총물량";#N/A,#N/A,TRUE,"Y능력";#N/A,#N/A,TRUE,"YKD"}</definedName>
    <definedName name="ㄴㅇ_1" hidden="1">{#N/A,#N/A,TRUE,"Y생산";#N/A,#N/A,TRUE,"Y판매";#N/A,#N/A,TRUE,"Y총물량";#N/A,#N/A,TRUE,"Y능력";#N/A,#N/A,TRUE,"YKD"}</definedName>
    <definedName name="ㄴㅇㄴ">#REF!</definedName>
    <definedName name="ㄴㅇㄴㅇ">#REF!</definedName>
    <definedName name="ㄴㅇㄴㅇㄴ">#REF!</definedName>
    <definedName name="ㄴㅇㄴㅇㄴㅇㄴ">#REF!</definedName>
    <definedName name="ㄴㅇㄴㅇㄴㅇㄴㅇ">#REF!</definedName>
    <definedName name="ㄴㅇㄴㅇㄴㅇㄴㅇㄴ">#REF!</definedName>
    <definedName name="ㄴㅇㄴㅇㄴㅇㄴㅇㄴㅇ">#REF!</definedName>
    <definedName name="ㄴㅇㄴㅇㄴㅇㄴㅇㄴㅇㄴㅇ">#REF!</definedName>
    <definedName name="ㄴㅇㄴㅊㄷ">#REF!</definedName>
    <definedName name="ㄴㅇㄹ" hidden="1">{#N/A,#N/A,FALSE,"3가";#N/A,#N/A,FALSE,"3나";#N/A,#N/A,FALSE,"3다"}</definedName>
    <definedName name="ㄴㅇㄹㄴㅇㄹ" hidden="1">{#N/A,#N/A,TRUE,"Y생산";#N/A,#N/A,TRUE,"Y판매";#N/A,#N/A,TRUE,"Y총물량";#N/A,#N/A,TRUE,"Y능력";#N/A,#N/A,TRUE,"YKD"}</definedName>
    <definedName name="ㄴㅇㄹㄴㅇㄹ_1" hidden="1">{#N/A,#N/A,TRUE,"Y생산";#N/A,#N/A,TRUE,"Y판매";#N/A,#N/A,TRUE,"Y총물량";#N/A,#N/A,TRUE,"Y능력";#N/A,#N/A,TRUE,"YKD"}</definedName>
    <definedName name="ㄴㅇㄹㄴㅇㄹㄴㅇㄹ" hidden="1">{#N/A,#N/A,TRUE,"Y생산";#N/A,#N/A,TRUE,"Y판매";#N/A,#N/A,TRUE,"Y총물량";#N/A,#N/A,TRUE,"Y능력";#N/A,#N/A,TRUE,"YKD"}</definedName>
    <definedName name="ㄴㅇㄹㄴㅇㄹㄴㅇㄹ_1" hidden="1">{#N/A,#N/A,TRUE,"Y생산";#N/A,#N/A,TRUE,"Y판매";#N/A,#N/A,TRUE,"Y총물량";#N/A,#N/A,TRUE,"Y능력";#N/A,#N/A,TRUE,"YKD"}</definedName>
    <definedName name="ㄴㅇㄻㄴㄹㅇㅁㄴㅇㄻㄴㅇㄻㅇㄴㄻㅇㄴㄻㄴㅇㄻ" hidden="1">{#N/A,#N/A,FALSE,"BS";#N/A,#N/A,FALSE,"PL";#N/A,#N/A,FALSE,"처분";#N/A,#N/A,FALSE,"현금";#N/A,#N/A,FALSE,"매출";#N/A,#N/A,FALSE,"원가";#N/A,#N/A,FALSE,"경영"}</definedName>
    <definedName name="ㄴㅇㅁㄴ">#REF!</definedName>
    <definedName name="ㄴㅇㅇㄴㅇㄴㅇㄴㅇㄴ">#REF!</definedName>
    <definedName name="ㄴㅈㅈㅈㅈ">#REF!</definedName>
    <definedName name="나">#REF!</definedName>
    <definedName name="나나" hidden="1">{#N/A,#N/A,FALSE,"표지";#N/A,#N/A,FALSE,"전제";#N/A,#N/A,FALSE,"손익-자 (2)";#N/A,#N/A,FALSE,"손익-자";#N/A,#N/A,FALSE,"손익-마 (2)";#N/A,#N/A,FALSE,"손익-마";#N/A,#N/A,FALSE,"총손최종"}</definedName>
    <definedName name="나다라" hidden="1">{#N/A,#N/A,FALSE,"1.CRITERIA";#N/A,#N/A,FALSE,"2.IS";#N/A,#N/A,FALSE,"3.BS";#N/A,#N/A,FALSE,"4.PER PL";#N/A,#N/A,FALSE,"5.INVESTMENT";#N/A,#N/A,FALSE,"6.공문";#N/A,#N/A,FALSE,"7.netinvest"}</definedName>
    <definedName name="나라">#REF!</definedName>
    <definedName name="나영이">#REF!</definedName>
    <definedName name="낙_관">#REF!</definedName>
    <definedName name="날짜">#REF!</definedName>
    <definedName name="날짜2">#REF!</definedName>
    <definedName name="남미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남석">#REF!</definedName>
    <definedName name="남양">#REF!</definedName>
    <definedName name="남채">#REF!</definedName>
    <definedName name="납품보고">#REF!</definedName>
    <definedName name="내" hidden="1">{#N/A,#N/A,FALSE,"1.CRITERIA";#N/A,#N/A,FALSE,"2.IS";#N/A,#N/A,FALSE,"3.BS";#N/A,#N/A,FALSE,"4.PER PL";#N/A,#N/A,FALSE,"5.INVESTMENT";#N/A,#N/A,FALSE,"6.공문";#N/A,#N/A,FALSE,"7.netinvest"}</definedName>
    <definedName name="내영.." hidden="1">{#N/A,#N/A,TRUE,"Y생산";#N/A,#N/A,TRUE,"Y판매";#N/A,#N/A,TRUE,"Y총물량";#N/A,#N/A,TRUE,"Y능력";#N/A,#N/A,TRUE,"YKD"}</definedName>
    <definedName name="내영.._1" hidden="1">{#N/A,#N/A,TRUE,"Y생산";#N/A,#N/A,TRUE,"Y판매";#N/A,#N/A,TRUE,"Y총물량";#N/A,#N/A,TRUE,"Y능력";#N/A,#N/A,TRUE,"YKD"}</definedName>
    <definedName name="내용" hidden="1">{#N/A,#N/A,TRUE,"Y생산";#N/A,#N/A,TRUE,"Y판매";#N/A,#N/A,TRUE,"Y총물량";#N/A,#N/A,TRUE,"Y능력";#N/A,#N/A,TRUE,"YKD"}</definedName>
    <definedName name="내용_1" hidden="1">{#N/A,#N/A,TRUE,"Y생산";#N/A,#N/A,TRUE,"Y판매";#N/A,#N/A,TRUE,"Y총물량";#N/A,#N/A,TRUE,"Y능력";#N/A,#N/A,TRUE,"YKD"}</definedName>
    <definedName name="내용23">#REF!</definedName>
    <definedName name="내용연수">#REF!</definedName>
    <definedName name="내용연수2">#REF!</definedName>
    <definedName name="너"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년간임료상승률">#REF!</definedName>
    <definedName name="년도">#REF!</definedName>
    <definedName name="년도__실적추정은_건설이자_미포">#REF!</definedName>
    <definedName name="년도별예산추정">BlankMacro1</definedName>
    <definedName name="년도실적추정">#REF!</definedName>
    <definedName name="노" hidden="1">{#N/A,#N/A,FALSE,"1.CRITERIA";#N/A,#N/A,FALSE,"2.IS";#N/A,#N/A,FALSE,"3.BS";#N/A,#N/A,FALSE,"4.PER PL";#N/A,#N/A,FALSE,"5.INVESTMENT";#N/A,#N/A,FALSE,"6.공문";#N/A,#N/A,FALSE,"7.netinvest"}</definedName>
    <definedName name="노무비계산">#REF!</definedName>
    <definedName name="누계" hidden="1">{#N/A,#N/A,FALSE,"채산3501.XLS";#N/A,#N/A,FALSE,"신조수A.XLS";#N/A,#N/A,FALSE,"신조수b.XLS";#N/A,#N/A,FALSE,"채산3502.XLS";#N/A,#N/A,FALSE,"신조원리.XLS";#N/A,#N/A,FALSE,"신조감가.XLS"}</definedName>
    <definedName name="닝잉" hidden="1">{#N/A,#N/A,TRUE,"Y생산";#N/A,#N/A,TRUE,"Y판매";#N/A,#N/A,TRUE,"Y총물량";#N/A,#N/A,TRUE,"Y능력";#N/A,#N/A,TRUE,"YKD"}</definedName>
    <definedName name="닣" hidden="1">#REF!</definedName>
    <definedName name="ㄷ">#REF!</definedName>
    <definedName name="ㄷ22">#REF!</definedName>
    <definedName name="ㄷ24">#REF!</definedName>
    <definedName name="ㄷㄳ" hidden="1">{#N/A,#N/A,FALSE,"단축1";#N/A,#N/A,FALSE,"단축2";#N/A,#N/A,FALSE,"단축3";#N/A,#N/A,FALSE,"장축";#N/A,#N/A,FALSE,"4WD"}</definedName>
    <definedName name="ㄷㄴㄷ">#REF!</definedName>
    <definedName name="ㄷㄷ"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ㄷㄷㄷ">#REF!</definedName>
    <definedName name="ㄷㄷㄷㄷeeee">#REF!</definedName>
    <definedName name="ㄷㄷㄷㄷㄷㄷ">#REF!</definedName>
    <definedName name="ㄷㅂㅈㄷ" hidden="1">#REF!</definedName>
    <definedName name="ㄷㅇ">#REF!</definedName>
    <definedName name="ㄷㅇ_1" hidden="1">{#N/A,#N/A,TRUE,"Y생산";#N/A,#N/A,TRUE,"Y판매";#N/A,#N/A,TRUE,"Y총물량";#N/A,#N/A,TRUE,"Y능력";#N/A,#N/A,TRUE,"YKD"}</definedName>
    <definedName name="ㄷㅇㅇ" hidden="1">#REF!</definedName>
    <definedName name="ㄷ야ㅗㅔㅐㄹㅈ대ㅈㄷㅈㄷㄱ" hidden="1">#REF!</definedName>
    <definedName name="ㄷㅈ" hidden="1">#REF!</definedName>
    <definedName name="ㄷㅈㄹ" hidden="1">{#N/A,#N/A,FALSE,"BS";#N/A,#N/A,FALSE,"PL";#N/A,#N/A,FALSE,"처분";#N/A,#N/A,FALSE,"현금";#N/A,#N/A,FALSE,"매출";#N/A,#N/A,FALSE,"원가";#N/A,#N/A,FALSE,"경영"}</definedName>
    <definedName name="ㄷㅎㄹㄴㄹㅇㅎㅇㅁㄴㅁㅎ" hidden="1">{#N/A,#N/A,FALSE,"Aging Summary";#N/A,#N/A,FALSE,"Ratio Analysis";#N/A,#N/A,FALSE,"Test 120 Day Accts";#N/A,#N/A,FALSE,"Tickmarks"}</definedName>
    <definedName name="다">#REF!</definedName>
    <definedName name="다른" hidden="1">#REF!</definedName>
    <definedName name="다바" hidden="1">{#N/A,#N/A,FALSE,"1.CRITERIA";#N/A,#N/A,FALSE,"2.IS";#N/A,#N/A,FALSE,"3.BS";#N/A,#N/A,FALSE,"4.PER PL";#N/A,#N/A,FALSE,"5.INVESTMENT";#N/A,#N/A,FALSE,"6.공문";#N/A,#N/A,FALSE,"7.netinvest"}</definedName>
    <definedName name="다짐">#REF!</definedName>
    <definedName name="단가">#REF!</definedName>
    <definedName name="단가1">#REF!</definedName>
    <definedName name="단가2">#REF!</definedName>
    <definedName name="단가기준" hidden="1">{#N/A,#N/A,TRUE,"Y생산";#N/A,#N/A,TRUE,"Y판매";#N/A,#N/A,TRUE,"Y총물량";#N/A,#N/A,TRUE,"Y능력";#N/A,#N/A,TRUE,"YKD"}</definedName>
    <definedName name="단가기준_1" hidden="1">{#N/A,#N/A,TRUE,"Y생산";#N/A,#N/A,TRUE,"Y판매";#N/A,#N/A,TRUE,"Y총물량";#N/A,#N/A,TRUE,"Y능력";#N/A,#N/A,TRUE,"YKD"}</definedName>
    <definedName name="단가표">#REF!</definedName>
    <definedName name="단기" hidden="1">{#N/A,#N/A,TRUE,"Y생산";#N/A,#N/A,TRUE,"Y판매";#N/A,#N/A,TRUE,"Y총물량";#N/A,#N/A,TRUE,"Y능력";#N/A,#N/A,TRUE,"YKD"}</definedName>
    <definedName name="단기_1" hidden="1">{#N/A,#N/A,TRUE,"Y생산";#N/A,#N/A,TRUE,"Y판매";#N/A,#N/A,TRUE,"Y총물량";#N/A,#N/A,TRUE,"Y능력";#N/A,#N/A,TRUE,"YKD"}</definedName>
    <definedName name="단기대여금">#REF!</definedName>
    <definedName name="단기차입금" hidden="1">{#N/A,#N/A,FALSE,"Aging Summary";#N/A,#N/A,FALSE,"Ratio Analysis";#N/A,#N/A,FALSE,"Test 120 Day Accts";#N/A,#N/A,FALSE,"Tickmarks"}</definedName>
    <definedName name="短期借入金" hidden="1">{"'買掛金'!$J$6"}</definedName>
    <definedName name="단순">#REF!</definedName>
    <definedName name="단순라인업">#REF!</definedName>
    <definedName name="단순트럭">#REF!</definedName>
    <definedName name="단위">#REF!</definedName>
    <definedName name="單位_百萬원">#REF!</definedName>
    <definedName name="단위조정_백만">#REF!</definedName>
    <definedName name="單位阡원_阡￥">#REF!</definedName>
    <definedName name="단조편성표" hidden="1">{#N/A,#N/A,FALSE,"단축1";#N/A,#N/A,FALSE,"단축2";#N/A,#N/A,FALSE,"단축3";#N/A,#N/A,FALSE,"장축";#N/A,#N/A,FALSE,"4WD"}</definedName>
    <definedName name="단충">#REF!</definedName>
    <definedName name="달러환율">#REF!</definedName>
    <definedName name="달력">#REF!</definedName>
    <definedName name="달력1">#REF!</definedName>
    <definedName name="담보">#REF!</definedName>
    <definedName name="당" hidden="1">{#N/A,#N/A,FALSE,"BS";#N/A,#N/A,FALSE,"PL";#N/A,#N/A,FALSE,"처분";#N/A,#N/A,FALSE,"현금";#N/A,#N/A,FALSE,"매출";#N/A,#N/A,FALSE,"원가";#N/A,#N/A,FALSE,"경영"}</definedName>
    <definedName name="당기순이익">#REF!</definedName>
    <definedName name="당좌예금_5102">#REF!</definedName>
    <definedName name="당초계획" hidden="1">#REF!</definedName>
    <definedName name="대">#REF!</definedName>
    <definedName name="대구" hidden="1">{#N/A,#N/A,TRUE,"대 차 대 조 표"}</definedName>
    <definedName name="대구_1" hidden="1">{#N/A,#N/A,TRUE,"대 차 대 조 표"}</definedName>
    <definedName name="대방총괄" hidden="1">{#N/A,#N/A,FALSE,"단축1";#N/A,#N/A,FALSE,"단축2";#N/A,#N/A,FALSE,"단축3";#N/A,#N/A,FALSE,"장축";#N/A,#N/A,FALSE,"4WD"}</definedName>
    <definedName name="대변">#REF!</definedName>
    <definedName name="대본합계">#REF!</definedName>
    <definedName name="대손">#REF!</definedName>
    <definedName name="대우르망LPG">#REF!</definedName>
    <definedName name="대우프린스18LPG">#REF!</definedName>
    <definedName name="대우프린스20LPG">#REF!</definedName>
    <definedName name="대조립부" hidden="1">{"'호선별현황(방식)'!$K$22:$P$22","'호선별현황(방식)'!$K$22:$P$22"}</definedName>
    <definedName name="대주건">#N/A</definedName>
    <definedName name="대차">#REF!</definedName>
    <definedName name="대차12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대차123_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대차대조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대체거래">#REF!</definedName>
    <definedName name="대포">#REF!</definedName>
    <definedName name="대표자명_성명">#REF!</definedName>
    <definedName name="대한민국" hidden="1">{#N/A,#N/A,FALSE,"채산3501.XLS";#N/A,#N/A,FALSE,"신조수A.XLS";#N/A,#N/A,FALSE,"신조수b.XLS";#N/A,#N/A,FALSE,"채산3502.XLS";#N/A,#N/A,FALSE,"신조원리.XLS";#N/A,#N/A,FALSE,"신조감가.XLS"}</definedName>
    <definedName name="대회">#REF!</definedName>
    <definedName name="대흥" hidden="1">{#N/A,#N/A,TRUE,"대 차 대 조 표"}</definedName>
    <definedName name="대흥_1" hidden="1">{#N/A,#N/A,TRUE,"대 차 대 조 표"}</definedName>
    <definedName name="댜댜" hidden="1">#N/A</definedName>
    <definedName name="데이터확인">#REF!</definedName>
    <definedName name="도" hidden="1">{#N/A,#N/A,FALSE,"1.CRITERIA";#N/A,#N/A,FALSE,"2.IS";#N/A,#N/A,FALSE,"3.BS";#N/A,#N/A,FALSE,"4.PER PL";#N/A,#N/A,FALSE,"5.INVESTMENT";#N/A,#N/A,FALSE,"6.공문";#N/A,#N/A,FALSE,"7.netinvest"}</definedName>
    <definedName name="도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장부" hidden="1">{"'호선별현황(방식)'!$K$22:$P$22","'호선별현황(방식)'!$K$22:$P$22"}</definedName>
    <definedName name="돋">#REF!</definedName>
    <definedName name="돌아버려" hidden="1">{"'Sheet1'!$A$1:$H$36"}</definedName>
    <definedName name="동남">#REF!</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서별2">#REF!</definedName>
    <definedName name="동수">#REF!</definedName>
    <definedName name="동시녹음합계">#REF!</definedName>
    <definedName name="돠" hidden="1">{#N/A,#N/A,FALSE,"1.CRITERIA";#N/A,#N/A,FALSE,"2.IS";#N/A,#N/A,FALSE,"3.BS";#N/A,#N/A,FALSE,"4.PER PL";#N/A,#N/A,FALSE,"5.INVESTMENT";#N/A,#N/A,FALSE,"6.공문";#N/A,#N/A,FALSE,"7.netinvest"}</definedName>
    <definedName name="돼지" hidden="1">{#N/A,#N/A,TRUE,"대 차 대 조 표"}</definedName>
    <definedName name="돼지_1" hidden="1">{#N/A,#N/A,TRUE,"대 차 대 조 표"}</definedName>
    <definedName name="둘">#REF!</definedName>
    <definedName name="드라마명">#REF!</definedName>
    <definedName name="등록">#REF!</definedName>
    <definedName name="등록2">#REF!</definedName>
    <definedName name="디" hidden="1">{#N/A,#N/A,FALSE,"1.CRITERIA";#N/A,#N/A,FALSE,"2.IS";#N/A,#N/A,FALSE,"3.BS";#N/A,#N/A,FALSE,"4.PER PL";#N/A,#N/A,FALSE,"5.INVESTMENT";#N/A,#N/A,FALSE,"6.공문";#N/A,#N/A,FALSE,"7.netinvest"}</definedName>
    <definedName name="디젤1" hidden="1">{#N/A,#N/A,FALSE,"단축1";#N/A,#N/A,FALSE,"단축2";#N/A,#N/A,FALSE,"단축3";#N/A,#N/A,FALSE,"장축";#N/A,#N/A,FALSE,"4WD"}</definedName>
    <definedName name="또왜이래" hidden="1">{"'Sheet1'!$A$1:$H$36"}</definedName>
    <definedName name="ㄹ" hidden="1">{#N/A,#N/A,FALSE,"95FW"}</definedName>
    <definedName name="ㄹ277">#REF!</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ㄹ"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ㄹㄹㄷㄹ" hidden="1">{#N/A,#N/A,TRUE,"대 차 대 조 표"}</definedName>
    <definedName name="ㄹㄹㄷㄹ_1" hidden="1">{#N/A,#N/A,TRUE,"대 차 대 조 표"}</definedName>
    <definedName name="ㄹㄹㄹ"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ㄹㄹㄹ">#REF!</definedName>
    <definedName name="ㄹㄹㄹㄹㄹ" hidden="1">{#N/A,#N/A,FALSE,"BS";#N/A,#N/A,FALSE,"PL";#N/A,#N/A,FALSE,"처분";#N/A,#N/A,FALSE,"현금";#N/A,#N/A,FALSE,"매출";#N/A,#N/A,FALSE,"원가";#N/A,#N/A,FALSE,"경영"}</definedName>
    <definedName name="ㄹㄹㄹㄹㄹㄹ">#REF!</definedName>
    <definedName name="ㄹ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 hidden="1">{#N/A,#N/A,TRUE,"Y생산";#N/A,#N/A,TRUE,"Y판매";#N/A,#N/A,TRUE,"Y총물량";#N/A,#N/A,TRUE,"Y능력";#N/A,#N/A,TRUE,"YKD"}</definedName>
    <definedName name="ㄹㅇㄴㅁ">#REF!</definedName>
    <definedName name="ㄹㅇㄹㅇㄴㄻ"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히" hidden="1">{#N/A,#N/A,TRUE,"Y생산";#N/A,#N/A,TRUE,"Y판매";#N/A,#N/A,TRUE,"Y총물량";#N/A,#N/A,TRUE,"Y능력";#N/A,#N/A,TRUE,"YKD"}</definedName>
    <definedName name="라">#REF!</definedName>
    <definedName name="라아아" hidden="1">{#N/A,#N/A,FALSE,"1.CRITERIA";#N/A,#N/A,FALSE,"2.IS";#N/A,#N/A,FALSE,"3.BS";#N/A,#N/A,FALSE,"4.PER PL";#N/A,#N/A,FALSE,"5.INVESTMENT";#N/A,#N/A,FALSE,"6.공문";#N/A,#N/A,FALSE,"7.netinvest"}</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랴" hidden="1">{#N/A,#N/A,FALSE,"1.CRITERIA";#N/A,#N/A,FALSE,"2.IS";#N/A,#N/A,FALSE,"3.BS";#N/A,#N/A,FALSE,"4.PER PL";#N/A,#N/A,FALSE,"5.INVESTMENT";#N/A,#N/A,FALSE,"6.공문";#N/A,#N/A,FALSE,"7.netinvest"}</definedName>
    <definedName name="러시아26">#REF!</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레이젠">OFFSET(#REF!,0,0,COUNTA(#REF!)-1,1)</definedName>
    <definedName name="로" hidden="1">{#N/A,#N/A,FALSE,"1.CRITERIA";#N/A,#N/A,FALSE,"2.IS";#N/A,#N/A,FALSE,"3.BS";#N/A,#N/A,FALSE,"4.PER PL";#N/A,#N/A,FALSE,"5.INVESTMENT";#N/A,#N/A,FALSE,"6.공문";#N/A,#N/A,FALSE,"7.netinvest"}</definedName>
    <definedName name="롷ㄹ소" hidden="1">{#N/A,#N/A,FALSE,"업체선정";#N/A,#N/A,FALSE,"업체선정sheet";#N/A,#N/A,FALSE,"업체실태";#N/A,#N/A,FALSE,"업체실태(1)";#N/A,#N/A,FALSE,"종업원현황(2)";#N/A,#N/A,FALSE,"생산품목(3)";#N/A,#N/A,FALSE,"장비보유현황";#N/A,#N/A,FALSE,"차량및약도";#N/A,#N/A,FALSE,"금형LIST"}</definedName>
    <definedName name="루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류" hidden="1">{#N/A,#N/A,FALSE,"1.CRITERIA";#N/A,#N/A,FALSE,"2.IS";#N/A,#N/A,FALSE,"3.BS";#N/A,#N/A,FALSE,"4.PER PL";#N/A,#N/A,FALSE,"5.INVESTMENT";#N/A,#N/A,FALSE,"6.공문";#N/A,#N/A,FALSE,"7.netinvest"}</definedName>
    <definedName name="리" hidden="1">#REF!</definedName>
    <definedName name="리비" hidden="1">#REF!</definedName>
    <definedName name="리비아" hidden="1">#REF!</definedName>
    <definedName name="리비아아" hidden="1">#REF!</definedName>
    <definedName name="裏書譲渡手形" hidden="1">{"'買掛金'!$J$6"}</definedName>
    <definedName name="린다앤영">#REF!</definedName>
    <definedName name="ㄺ" hidden="1">{#N/A,#N/A,FALSE,"Aging Summary";#N/A,#N/A,FALSE,"Ratio Analysis";#N/A,#N/A,FALSE,"Test 120 Day Accts";#N/A,#N/A,FALSE,"Tickmarks"}</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ㄴㄻㅇㄹㅇㅁㄹ" hidden="1">{#N/A,#N/A,FALSE,"Aging Summary";#N/A,#N/A,FALSE,"Ratio Analysis";#N/A,#N/A,FALSE,"Test 120 Day Accts";#N/A,#N/A,FALSE,"Tickmarks"}</definedName>
    <definedName name="ㄿ">#N/A</definedName>
    <definedName name="ㅁ" hidden="1">{#N/A,#N/A,TRUE,"Y생산";#N/A,#N/A,TRUE,"Y판매";#N/A,#N/A,TRUE,"Y총물량";#N/A,#N/A,TRUE,"Y능력";#N/A,#N/A,TRUE,"YKD"}</definedName>
    <definedName name="ㅁ1">#REF!</definedName>
    <definedName name="ㅁ130">#REF!</definedName>
    <definedName name="ㅁ1430">#REF!</definedName>
    <definedName name="ㅁ169">#REF!</definedName>
    <definedName name="ㅁ2">#REF!</definedName>
    <definedName name="ㅁ35">#REF!</definedName>
    <definedName name="ㅁㄴ" hidden="1">{#N/A,#N/A,TRUE,"매출진척-1";#N/A,#N/A,TRUE,"매출진척-2";#N/A,#N/A,TRUE,"제품실적";#N/A,#N/A,TRUE,"RAC";#N/A,#N/A,TRUE,"PAC ";#N/A,#N/A,TRUE,"재고현황";#N/A,#N/A,TRUE,"공지사항"}</definedName>
    <definedName name="ㅁㄴㅁㄴㅁ" hidden="1">{#N/A,#N/A,FALSE,"95FW"}</definedName>
    <definedName name="ㅁㄴㅇ" hidden="1">{#N/A,#N/A,FALSE,"단축1";#N/A,#N/A,FALSE,"단축2";#N/A,#N/A,FALSE,"단축3";#N/A,#N/A,FALSE,"장축";#N/A,#N/A,FALSE,"4WD"}</definedName>
    <definedName name="ㅁㄴㅇㄹ">#REF!</definedName>
    <definedName name="ㅁㄴㅇㅁㄴㅇ" hidden="1">{#N/A,#N/A,TRUE,"Y생산";#N/A,#N/A,TRUE,"Y판매";#N/A,#N/A,TRUE,"Y총물량";#N/A,#N/A,TRUE,"Y능력";#N/A,#N/A,TRUE,"YKD"}</definedName>
    <definedName name="ㅁㄴㅇㅁㄴㅇ_1" hidden="1">{#N/A,#N/A,TRUE,"Y생산";#N/A,#N/A,TRUE,"Y판매";#N/A,#N/A,TRUE,"Y총물량";#N/A,#N/A,TRUE,"Y능력";#N/A,#N/A,TRUE,"YKD"}</definedName>
    <definedName name="ㅁㄴㅇㅁㄴㅇㅁ" hidden="1">{#N/A,#N/A,TRUE,"Y생산";#N/A,#N/A,TRUE,"Y판매";#N/A,#N/A,TRUE,"Y총물량";#N/A,#N/A,TRUE,"Y능력";#N/A,#N/A,TRUE,"YKD"}</definedName>
    <definedName name="ㅁㄴㅇㅁㄴㅇㅁ_1" hidden="1">{#N/A,#N/A,TRUE,"Y생산";#N/A,#N/A,TRUE,"Y판매";#N/A,#N/A,TRUE,"Y총물량";#N/A,#N/A,TRUE,"Y능력";#N/A,#N/A,TRUE,"YKD"}</definedName>
    <definedName name="ㅁㄴㅇㅈ">#REF!</definedName>
    <definedName name="ㅁㄴㅇㅈㄷ">#REF!</definedName>
    <definedName name="ㅁ나ㅣ어리마ㅗㅇ호미오히ㅏ몬이호" hidden="1">{#N/A,#N/A,FALSE,"Aging Summary";#N/A,#N/A,FALSE,"Ratio Analysis";#N/A,#N/A,FALSE,"Test 120 Day Accts";#N/A,#N/A,FALSE,"Tickmarks"}</definedName>
    <definedName name="ㅁㄷ" hidden="1">#REF!</definedName>
    <definedName name="ㅁㄹ">VLOOKUP(#REF!,요금,2)</definedName>
    <definedName name="ㅁㄹㄹㄹㄹ">VLOOKUP(#REF!,#REF!,2)</definedName>
    <definedName name="ㅁㄹㅇㅁㄴㅇㄹ">#N/A</definedName>
    <definedName name="ㅁㄹㅇㅁㄴㅇㄻㄴㅇㄹ">#N/A</definedName>
    <definedName name="ㅁㅁ"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ㅁㅁAA">#REF!</definedName>
    <definedName name="ㅁㅁㅁ" hidden="1">{#N/A,#N/A,FALSE,"BS";#N/A,#N/A,FALSE,"PL";#N/A,#N/A,FALSE,"A";#N/A,#N/A,FALSE,"B";#N/A,#N/A,FALSE,"B1";#N/A,#N/A,FALSE,"C";#N/A,#N/A,FALSE,"C1";#N/A,#N/A,FALSE,"C2";#N/A,#N/A,FALSE,"D";#N/A,#N/A,FALSE,"E";#N/A,#N/A,FALSE,"F";#N/A,#N/A,FALSE,"AA";#N/A,#N/A,FALSE,"BB";#N/A,#N/A,FALSE,"CC";#N/A,#N/A,FALSE,"DD";#N/A,#N/A,FALSE,"EE";#N/A,#N/A,FALSE,"FF";#N/A,#N/A,FALSE,"PL10";#N/A,#N/A,FALSE,"PL20";#N/A,#N/A,FALSE,"PL30"}</definedName>
    <definedName name="ㅁㅁㅁㄹㄹ">#REF!</definedName>
    <definedName name="ㅁㅁㅁㅁ" hidden="1">{#N/A,#N/A,FALSE,"Aging Summary";#N/A,#N/A,FALSE,"Ratio Analysis";#N/A,#N/A,FALSE,"Test 120 Day Accts";#N/A,#N/A,FALSE,"Tickmarks"}</definedName>
    <definedName name="ㅁㅁㅁㅁㅁ">#REF!</definedName>
    <definedName name="ㅁㅁㅁㅁㅁㅁ">#REF!</definedName>
    <definedName name="ㅁㅁㅁㅁㅁㅁㅁ">#REF!</definedName>
    <definedName name="ㅁㅁㅁㅁㅁㅁㅁㅁㅁㅁ" hidden="1">{#N/A,#N/A,FALSE,"단축1";#N/A,#N/A,FALSE,"단축2";#N/A,#N/A,FALSE,"단축3";#N/A,#N/A,FALSE,"장축";#N/A,#N/A,FALSE,"4WD"}</definedName>
    <definedName name="ㅁㅁㅁㅁㅁㅁㅁㅁㅁㅁㅁㅁㅁㅁ">#REF!</definedName>
    <definedName name="ㅁㅇ" hidden="1">{#N/A,#N/A,FALSE,"BS";#N/A,#N/A,FALSE,"PL";#N/A,#N/A,FALSE,"처분";#N/A,#N/A,FALSE,"현금";#N/A,#N/A,FALSE,"매출";#N/A,#N/A,FALSE,"원가";#N/A,#N/A,FALSE,"경영"}</definedName>
    <definedName name="ㅁㅇㄴ">#REF!</definedName>
    <definedName name="ㅁㅇㄴㄴ" hidden="1">{#N/A,#N/A,FALSE,"BS";#N/A,#N/A,FALSE,"PL";#N/A,#N/A,FALSE,"처분";#N/A,#N/A,FALSE,"현금";#N/A,#N/A,FALSE,"매출";#N/A,#N/A,FALSE,"원가";#N/A,#N/A,FALSE,"경영"}</definedName>
    <definedName name="ㅁㅇㄴㅁㄴㅇ" hidden="1">{#N/A,#N/A,FALSE,"BS";#N/A,#N/A,FALSE,"PL";#N/A,#N/A,FALSE,"처분";#N/A,#N/A,FALSE,"현금";#N/A,#N/A,FALSE,"매출";#N/A,#N/A,FALSE,"원가";#N/A,#N/A,FALSE,"경영"}</definedName>
    <definedName name="ㅁㅇㄹ" hidden="1">{#N/A,#N/A,FALSE,"Aging Summary";#N/A,#N/A,FALSE,"Ratio Analysis";#N/A,#N/A,FALSE,"Test 120 Day Accts";#N/A,#N/A,FALSE,"Tickmarks"}</definedName>
    <definedName name="ㅁㅇㅁㅇㅁㄴㅇㅁㄴㅇㅁㄴ" hidden="1">{#N/A,#N/A,FALSE,"95FW"}</definedName>
    <definedName name="ㅁ어">#REF!</definedName>
    <definedName name="마">#REF!</definedName>
    <definedName name="마마"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미ㅣㅏㅓ"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마아" hidden="1">{#N/A,#N/A,FALSE,"1.CRITERIA";#N/A,#N/A,FALSE,"2.IS";#N/A,#N/A,FALSE,"3.BS";#N/A,#N/A,FALSE,"4.PER PL";#N/A,#N/A,FALSE,"5.INVESTMENT";#N/A,#N/A,FALSE,"6.공문";#N/A,#N/A,FALSE,"7.netinvest"}</definedName>
    <definedName name="만">#REF!</definedName>
    <definedName name="만기보장수익율">#REF!</definedName>
    <definedName name="만약">#REF!</definedName>
    <definedName name="매" hidden="1">{#N/A,#N/A,FALSE,"1.CRITERIA";#N/A,#N/A,FALSE,"2.IS";#N/A,#N/A,FALSE,"3.BS";#N/A,#N/A,FALSE,"4.PER PL";#N/A,#N/A,FALSE,"5.INVESTMENT";#N/A,#N/A,FALSE,"6.공문";#N/A,#N/A,FALSE,"7.netinvest"}</definedName>
    <definedName name="매1">#REF!</definedName>
    <definedName name="매10">#REF!</definedName>
    <definedName name="매11">#REF!</definedName>
    <definedName name="매12">#REF!</definedName>
    <definedName name="매2">#REF!</definedName>
    <definedName name="매3">#REF!</definedName>
    <definedName name="매4">#REF!</definedName>
    <definedName name="매5">#REF!</definedName>
    <definedName name="매6">#REF!</definedName>
    <definedName name="매7">#REF!</definedName>
    <definedName name="매8">#REF!</definedName>
    <definedName name="매9">#REF!</definedName>
    <definedName name="買掛金" hidden="1">{"'買掛金'!$J$6"}</definedName>
    <definedName name="매수">#REF!</definedName>
    <definedName name="매수2">#REF!</definedName>
    <definedName name="매입채무">#REF!</definedName>
    <definedName name="매축액2" hidden="1">{#N/A,#N/A,FALSE,"1.CRITERIA";#N/A,#N/A,FALSE,"2.IS";#N/A,#N/A,FALSE,"3.BS";#N/A,#N/A,FALSE,"4.PER PL";#N/A,#N/A,FALSE,"5.INVESTMENT";#N/A,#N/A,FALSE,"6.공문";#N/A,#N/A,FALSE,"7.netinvest"}</definedName>
    <definedName name="매출">#REF!</definedName>
    <definedName name="매출.본">#REF!</definedName>
    <definedName name="매출10월">#REF!</definedName>
    <definedName name="매출11월">#REF!</definedName>
    <definedName name="매출12월">#REF!</definedName>
    <definedName name="매출3월">#REF!</definedName>
    <definedName name="매출4월">#REF!</definedName>
    <definedName name="매출5월">#REF!</definedName>
    <definedName name="매출6월">#REF!</definedName>
    <definedName name="매출7월">#REF!</definedName>
    <definedName name="매출8월">#REF!</definedName>
    <definedName name="매출9월">#REF!</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toc" hidden="1">#REF!</definedName>
    <definedName name="매출금">#REF!</definedName>
    <definedName name="매출액" hidden="1">#REF!</definedName>
    <definedName name="매출액2" hidden="1">{#N/A,#N/A,FALSE,"1.CRITERIA";#N/A,#N/A,FALSE,"2.IS";#N/A,#N/A,FALSE,"3.BS";#N/A,#N/A,FALSE,"4.PER PL";#N/A,#N/A,FALSE,"5.INVESTMENT";#N/A,#N/A,FALSE,"6.공문";#N/A,#N/A,FALSE,"7.netinvest"}</definedName>
    <definedName name="매출원가" hidden="1">{#N/A,#N/A,FALSE,"Aging Summary";#N/A,#N/A,FALSE,"Ratio Analysis";#N/A,#N/A,FALSE,"Test 120 Day Accts";#N/A,#N/A,FALSE,"Tickmarks"}</definedName>
    <definedName name="매출채권">#REF!</definedName>
    <definedName name="머머" hidden="1">{#N/A,#N/A,FALSE,"1.CRITERIA";#N/A,#N/A,FALSE,"2.IS";#N/A,#N/A,FALSE,"3.BS";#N/A,#N/A,FALSE,"4.PER PL";#N/A,#N/A,FALSE,"5.INVESTMENT";#N/A,#N/A,FALSE,"6.공문";#N/A,#N/A,FALSE,"7.netinvest"}</definedName>
    <definedName name="멍멍">#REF!</definedName>
    <definedName name="멍청이">#REF!</definedName>
    <definedName name="메뉴연결">#REF!</definedName>
    <definedName name="메뉴연결시작">#REF!</definedName>
    <definedName name="메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며" hidden="1">#REF!</definedName>
    <definedName name="며며" hidden="1">{#N/A,#N/A,FALSE,"1.CRITERIA";#N/A,#N/A,FALSE,"2.IS";#N/A,#N/A,FALSE,"3.BS";#N/A,#N/A,FALSE,"4.PER PL";#N/A,#N/A,FALSE,"5.INVESTMENT";#N/A,#N/A,FALSE,"6.공문";#N/A,#N/A,FALSE,"7.netinvest"}</definedName>
    <definedName name="면담">#REF!</definedName>
    <definedName name="면적표">#REF!</definedName>
    <definedName name="명세" hidden="1">{#N/A,#N/A,FALSE,"Aging Summary";#N/A,#N/A,FALSE,"Ratio Analysis";#N/A,#N/A,FALSE,"Test 120 Day Accts";#N/A,#N/A,FALSE,"Tickmarks"}</definedName>
    <definedName name="모">#REF!</definedName>
    <definedName name="모델명">#REF!</definedName>
    <definedName name="모리"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홓로">#REF!</definedName>
    <definedName name="목차1">#REF!</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3">#REF!</definedName>
    <definedName name="목차4">#REF!</definedName>
    <definedName name="목표">#N/A</definedName>
    <definedName name="몰라" hidden="1">#REF!</definedName>
    <definedName name="뫌" hidden="1">{#N/A,#N/A,FALSE,"1.CRITERIA";#N/A,#N/A,FALSE,"2.IS";#N/A,#N/A,FALSE,"3.BS";#N/A,#N/A,FALSE,"4.PER PL";#N/A,#N/A,FALSE,"5.INVESTMENT";#N/A,#N/A,FALSE,"6.공문";#N/A,#N/A,FALSE,"7.netinvest"}</definedName>
    <definedName name="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묘" hidden="1">#REF!</definedName>
    <definedName name="무무" hidden="1">{#N/A,#N/A,FALSE,"1.CRITERIA";#N/A,#N/A,FALSE,"2.IS";#N/A,#N/A,FALSE,"3.BS";#N/A,#N/A,FALSE,"4.PER PL";#N/A,#N/A,FALSE,"5.INVESTMENT";#N/A,#N/A,FALSE,"6.공문";#N/A,#N/A,FALSE,"7.netinvest"}</definedName>
    <definedName name="무형자산" hidden="1">{#N/A,#N/A,FALSE,"Aging Summary";#N/A,#N/A,FALSE,"Ratio Analysis";#N/A,#N/A,FALSE,"Test 120 Day Accts";#N/A,#N/A,FALSE,"Tickmarks"}</definedName>
    <definedName name="문기수" hidden="1">{"'호선별현황(방식)'!$K$22:$P$22","'호선별현황(방식)'!$K$22:$P$22"}</definedName>
    <definedName name="문제3" hidden="1">{#N/A,#N/A,FALSE,"단축1";#N/A,#N/A,FALSE,"단축2";#N/A,#N/A,FALSE,"단축3";#N/A,#N/A,FALSE,"장축";#N/A,#N/A,FALSE,"4WD"}</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가상승률">#REF!</definedName>
    <definedName name="물랴자" hidden="1">{#N/A,#N/A,TRUE,"Y생산";#N/A,#N/A,TRUE,"Y판매";#N/A,#N/A,TRUE,"Y총물량";#N/A,#N/A,TRUE,"Y능력";#N/A,#N/A,TRUE,"YKD"}</definedName>
    <definedName name="물랴자_1" hidden="1">{#N/A,#N/A,TRUE,"Y생산";#N/A,#N/A,TRUE,"Y판매";#N/A,#N/A,TRUE,"Y총물량";#N/A,#N/A,TRUE,"Y능력";#N/A,#N/A,TRUE,"YKD"}</definedName>
    <definedName name="물량수" hidden="1">{#N/A,#N/A,TRUE,"Y생산";#N/A,#N/A,TRUE,"Y판매";#N/A,#N/A,TRUE,"Y총물량";#N/A,#N/A,TRUE,"Y능력";#N/A,#N/A,TRUE,"YKD"}</definedName>
    <definedName name="물량수_1" hidden="1">{#N/A,#N/A,TRUE,"Y생산";#N/A,#N/A,TRUE,"Y판매";#N/A,#N/A,TRUE,"Y총물량";#N/A,#N/A,TRUE,"Y능력";#N/A,#N/A,TRUE,"YKD"}</definedName>
    <definedName name="물량수전ㅇ" hidden="1">{#N/A,#N/A,TRUE,"Y생산";#N/A,#N/A,TRUE,"Y판매";#N/A,#N/A,TRUE,"Y총물량";#N/A,#N/A,TRUE,"Y능력";#N/A,#N/A,TRUE,"YKD"}</definedName>
    <definedName name="물량수정" hidden="1">{#N/A,#N/A,TRUE,"Y생산";#N/A,#N/A,TRUE,"Y판매";#N/A,#N/A,TRUE,"Y총물량";#N/A,#N/A,TRUE,"Y능력";#N/A,#N/A,TRUE,"YKD"}</definedName>
    <definedName name="물량수정_1" hidden="1">{#N/A,#N/A,TRUE,"Y생산";#N/A,#N/A,TRUE,"Y판매";#N/A,#N/A,TRUE,"Y총물량";#N/A,#N/A,TRUE,"Y능력";#N/A,#N/A,TRUE,"YKD"}</definedName>
    <definedName name="물량수정1" hidden="1">{#N/A,#N/A,TRUE,"Y생산";#N/A,#N/A,TRUE,"Y판매";#N/A,#N/A,TRUE,"Y총물량";#N/A,#N/A,TRUE,"Y능력";#N/A,#N/A,TRUE,"YKD"}</definedName>
    <definedName name="물량수정1_1" hidden="1">{#N/A,#N/A,TRUE,"Y생산";#N/A,#N/A,TRUE,"Y판매";#N/A,#N/A,TRUE,"Y총물량";#N/A,#N/A,TRUE,"Y능력";#N/A,#N/A,TRUE,"YKD"}</definedName>
    <definedName name="물량수정2" hidden="1">{#N/A,#N/A,TRUE,"Y생산";#N/A,#N/A,TRUE,"Y판매";#N/A,#N/A,TRUE,"Y총물량";#N/A,#N/A,TRUE,"Y능력";#N/A,#N/A,TRUE,"YKD"}</definedName>
    <definedName name="물량수정2_1" hidden="1">{#N/A,#N/A,TRUE,"Y생산";#N/A,#N/A,TRUE,"Y판매";#N/A,#N/A,TRUE,"Y총물량";#N/A,#N/A,TRUE,"Y능력";#N/A,#N/A,TRUE,"YKD"}</definedName>
    <definedName name="물량정" hidden="1">{#N/A,#N/A,TRUE,"Y생산";#N/A,#N/A,TRUE,"Y판매";#N/A,#N/A,TRUE,"Y총물량";#N/A,#N/A,TRUE,"Y능력";#N/A,#N/A,TRUE,"YKD"}</definedName>
    <definedName name="물량정_1" hidden="1">{#N/A,#N/A,TRUE,"Y생산";#N/A,#N/A,TRUE,"Y판매";#N/A,#N/A,TRUE,"Y총물량";#N/A,#N/A,TRUE,"Y능력";#N/A,#N/A,TRUE,"YKD"}</definedName>
    <definedName name="물량조정" hidden="1">{#N/A,#N/A,TRUE,"Y생산";#N/A,#N/A,TRUE,"Y판매";#N/A,#N/A,TRUE,"Y총물량";#N/A,#N/A,TRUE,"Y능력";#N/A,#N/A,TRUE,"YKD"}</definedName>
    <definedName name="물량조정_1" hidden="1">{#N/A,#N/A,TRUE,"Y생산";#N/A,#N/A,TRUE,"Y판매";#N/A,#N/A,TRUE,"Y총물량";#N/A,#N/A,TRUE,"Y능력";#N/A,#N/A,TRUE,"YKD"}</definedName>
    <definedName name="물류"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물류혁신" hidden="1">{#N/A,#N/A,FALSE,"인원";#N/A,#N/A,FALSE,"비용2";#N/A,#N/A,FALSE,"비용1";#N/A,#N/A,FALSE,"비용";#N/A,#N/A,FALSE,"보증2";#N/A,#N/A,FALSE,"보증1";#N/A,#N/A,FALSE,"보증";#N/A,#N/A,FALSE,"손익1";#N/A,#N/A,FALSE,"손익";#N/A,#N/A,FALSE,"부서별매출";#N/A,#N/A,FALSE,"매출"}</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hidden="1">{#N/A,#N/A,TRUE,"Y생산";#N/A,#N/A,TRUE,"Y판매";#N/A,#N/A,TRUE,"Y총물량";#N/A,#N/A,TRUE,"Y능력";#N/A,#N/A,TRUE,"YKD"}</definedName>
    <definedName name="물수_1" hidden="1">{#N/A,#N/A,TRUE,"Y생산";#N/A,#N/A,TRUE,"Y판매";#N/A,#N/A,TRUE,"Y총물량";#N/A,#N/A,TRUE,"Y능력";#N/A,#N/A,TRUE,"YKD"}</definedName>
    <definedName name="뭐야.." hidden="1">{#N/A,#N/A,FALSE,"95FW"}</definedName>
    <definedName name="뭐지" hidden="1">{#N/A,#N/A,FALSE,"95FW"}</definedName>
    <definedName name="뮤뮤" hidden="1">{#N/A,#N/A,FALSE,"1.CRITERIA";#N/A,#N/A,FALSE,"2.IS";#N/A,#N/A,FALSE,"3.BS";#N/A,#N/A,FALSE,"4.PER PL";#N/A,#N/A,FALSE,"5.INVESTMENT";#N/A,#N/A,FALSE,"6.공문";#N/A,#N/A,FALSE,"7.netinvest"}</definedName>
    <definedName name="뮬소" hidden="1">{#N/A,#N/A,TRUE,"Y생산";#N/A,#N/A,TRUE,"Y판매";#N/A,#N/A,TRUE,"Y총물량";#N/A,#N/A,TRUE,"Y능력";#N/A,#N/A,TRUE,"YKD"}</definedName>
    <definedName name="뮬소_1" hidden="1">{#N/A,#N/A,TRUE,"Y생산";#N/A,#N/A,TRUE,"Y판매";#N/A,#N/A,TRUE,"Y총물량";#N/A,#N/A,TRUE,"Y능력";#N/A,#N/A,TRUE,"YKD"}</definedName>
    <definedName name="므" hidden="1">{#N/A,#N/A,TRUE,"일정"}</definedName>
    <definedName name="미" hidden="1">{#N/A,#N/A,TRUE,"일정"}</definedName>
    <definedName name="미라"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2" hidden="1">{#N/A,#N/A,FALSE,"표지";#N/A,#N/A,FALSE,"전제";#N/A,#N/A,FALSE,"손익-자 (2)";#N/A,#N/A,FALSE,"손익-자";#N/A,#N/A,FALSE,"손익-마 (2)";#N/A,#N/A,FALSE,"손익-마";#N/A,#N/A,FALSE,"총손최종"}</definedName>
    <definedName name="未払" hidden="1">{"'買掛金'!$J$6"}</definedName>
    <definedName name="未払金" hidden="1">{"'買掛金'!$J$6"}</definedName>
    <definedName name="미수금" hidden="1">{#N/A,#N/A,FALSE,"Aging Summary";#N/A,#N/A,FALSE,"Ratio Analysis";#N/A,#N/A,FALSE,"Test 120 Day Accts";#N/A,#N/A,FALSE,"Tickmarks"}</definedName>
    <definedName name="미수금2" hidden="1">#REF!</definedName>
    <definedName name="미수수익">#REF!</definedName>
    <definedName name="미술합계">#REF!</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오">#REF!</definedName>
    <definedName name="미적용401">#REF!,#REF!,#REF!,#REF!,#REF!,#REF!,#REF!,#REF!,#REF!,#REF!</definedName>
    <definedName name="미지"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미지급" hidden="1">#REF!</definedName>
    <definedName name="미지급금">#REF!</definedName>
    <definedName name="미지급비용">#REF!</definedName>
    <definedName name="미착자산">#N/A</definedName>
    <definedName name="미치겠네" hidden="1">{"'Sheet1'!$A$1:$H$36"}</definedName>
    <definedName name="미치겠당">#REF!</definedName>
    <definedName name="미화" hidden="1">{#N/A,#N/A,FALSE,"이력서&amp;자기소개서"}</definedName>
    <definedName name="미화_1" hidden="1">{#N/A,#N/A,FALSE,"이력서&amp;자기소개서"}</definedName>
    <definedName name="미화2" hidden="1">{#N/A,#N/A,FALSE,"이력서&amp;자기소개서"}</definedName>
    <definedName name="미화2_1" hidden="1">{#N/A,#N/A,FALSE,"이력서&amp;자기소개서"}</definedName>
    <definedName name="민감도" hidden="1">#REF!</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밋션별">#REF!</definedName>
    <definedName name="ㅂ" hidden="1">{#N/A,#N/A,TRUE,"Y생산";#N/A,#N/A,TRUE,"Y판매";#N/A,#N/A,TRUE,"Y총물량";#N/A,#N/A,TRUE,"Y능력";#N/A,#N/A,TRUE,"YKD"}</definedName>
    <definedName name="ㅂ1" hidden="1">{#N/A,#N/A,FALSE,"95FW"}</definedName>
    <definedName name="ㅂㄴ">#N/A</definedName>
    <definedName name="ㅂㄷ" hidden="1">{#N/A,#N/A,FALSE,"BS";#N/A,#N/A,FALSE,"PL";#N/A,#N/A,FALSE,"처분";#N/A,#N/A,FALSE,"현금";#N/A,#N/A,FALSE,"매출";#N/A,#N/A,FALSE,"원가";#N/A,#N/A,FALSE,"경영"}</definedName>
    <definedName name="ㅂㄷㄱ" hidden="1">{#N/A,#N/A,FALSE,"Aging Summary";#N/A,#N/A,FALSE,"Ratio Analysis";#N/A,#N/A,FALSE,"Test 120 Day Accts";#N/A,#N/A,FALSE,"Tickmarks"}</definedName>
    <definedName name="ㅂㄷㄷㄱ" hidden="1">{#N/A,#N/A,FALSE,"Aging Summary";#N/A,#N/A,FALSE,"Ratio Analysis";#N/A,#N/A,FALSE,"Test 120 Day Accts";#N/A,#N/A,FALSE,"Tickmarks"}</definedName>
    <definedName name="ㅂㅂ">#REF!</definedName>
    <definedName name="ㅂㅂ_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ㅂㅂㅂ" hidden="1">{#N/A,#N/A,FALSE,"Aging Summary";#N/A,#N/A,FALSE,"Ratio Analysis";#N/A,#N/A,FALSE,"Test 120 Day Accts";#N/A,#N/A,FALSE,"Tickmarks"}</definedName>
    <definedName name="ㅂㅂㅂㅂ" hidden="1">{#N/A,#N/A,FALSE,"채산3501.XLS";#N/A,#N/A,FALSE,"신조수A.XLS";#N/A,#N/A,FALSE,"신조수b.XLS";#N/A,#N/A,FALSE,"채산3502.XLS";#N/A,#N/A,FALSE,"신조원리.XLS";#N/A,#N/A,FALSE,"신조감가.XLS"}</definedName>
    <definedName name="ㅂㅂㅂㅂㅂㅂㅂㅂㅂ">#REF!</definedName>
    <definedName name="ㅂㅈ">#N/A</definedName>
    <definedName name="ㅂㅈㄱㄷㅈ" hidden="1">{#N/A,#N/A,FALSE,"Aging Summary";#N/A,#N/A,FALSE,"Ratio Analysis";#N/A,#N/A,FALSE,"Test 120 Day Accts";#N/A,#N/A,FALSE,"Tickmarks"}</definedName>
    <definedName name="ㅂㅈㄷ" hidden="1">{#N/A,#N/A,FALSE,"Aging Summary";#N/A,#N/A,FALSE,"Ratio Analysis";#N/A,#N/A,FALSE,"Test 120 Day Accts";#N/A,#N/A,FALSE,"Tickmarks"}</definedName>
    <definedName name="ㅂㅈㄷㄴ">#REF!</definedName>
    <definedName name="ㅂㅋ" hidden="1">#REF!</definedName>
    <definedName name="바">#REF!</definedName>
    <definedName name="바가"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hidden="1">{#N/A,#N/A,TRUE,"Y생산";#N/A,#N/A,TRUE,"Y판매";#N/A,#N/A,TRUE,"Y총물량";#N/A,#N/A,TRUE,"Y능력";#N/A,#N/A,TRUE,"YKD"}</definedName>
    <definedName name="바바라_1" hidden="1">{#N/A,#N/A,TRUE,"Y생산";#N/A,#N/A,TRUE,"Y판매";#N/A,#N/A,TRUE,"Y총물량";#N/A,#N/A,TRUE,"Y능력";#N/A,#N/A,TRUE,"YKD"}</definedName>
    <definedName name="바바바" hidden="1">{#N/A,#N/A,FALSE,"단축1";#N/A,#N/A,FALSE,"단축2";#N/A,#N/A,FALSE,"단축3";#N/A,#N/A,FALSE,"장축";#N/A,#N/A,FALSE,"4WD"}</definedName>
    <definedName name="바보">#REF!</definedName>
    <definedName name="바아"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hidden="1">{#N/A,#N/A,FALSE,"1.CRITERIA";#N/A,#N/A,FALSE,"2.IS";#N/A,#N/A,FALSE,"3.BS";#N/A,#N/A,FALSE,"4.PER PL";#N/A,#N/A,FALSE,"5.INVESTMENT";#N/A,#N/A,FALSE,"6.공문";#N/A,#N/A,FALSE,"7.netinvest"}</definedName>
    <definedName name="박_1"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박상">#REF!</definedName>
    <definedName name="박정" hidden="1">{#N/A,#N/A,TRUE,"일정"}</definedName>
    <definedName name="박준철">#REF!</definedName>
    <definedName name="박준철1">#REF!</definedName>
    <definedName name="반영" hidden="1">{#N/A,#N/A,TRUE,"일정"}</definedName>
    <definedName name="받을어음">#REF!</definedName>
    <definedName name="발">#REF!</definedName>
    <definedName name="방송사">#REF!</definedName>
    <definedName name="방영요일">#REF!</definedName>
    <definedName name="배" hidden="1">{#N/A,#N/A,FALSE,"1.CRITERIA";#N/A,#N/A,FALSE,"2.IS";#N/A,#N/A,FALSE,"3.BS";#N/A,#N/A,FALSE,"4.PER PL";#N/A,#N/A,FALSE,"5.INVESTMENT";#N/A,#N/A,FALSE,"6.공문";#N/A,#N/A,FALSE,"7.netinvest"}</definedName>
    <definedName name="배관명세" hidden="1">#REF!</definedName>
    <definedName name="배부기준">#REF!</definedName>
    <definedName name="배부액">#REF!</definedName>
    <definedName name="배부율">#REF!</definedName>
    <definedName name="배우자">#REF!</definedName>
    <definedName name="배우자2">#REF!</definedName>
    <definedName name="백">IF(INT(RIGHT(#REF!,3)/100)=0,"",CHOOSE(INT(RIGHT(#REF!,3)/100),"일","이","삼","사","오","육","칠","팔","구")&amp;"백")</definedName>
    <definedName name="백나영">#REF!</definedName>
    <definedName name="백만">IF(INT(RIGHT(#REF!,7)/1000000)=0,"",CHOOSE(INT(RIGHT(#REF!,7)/1000000),"일","이","삼","사","오","육","칠","팔","구")&amp;"백")</definedName>
    <definedName name="백만원">#REF!</definedName>
    <definedName name="백백만원">#REF!</definedName>
    <definedName name="버버" hidden="1">{#N/A,#N/A,FALSE,"1.CRITERIA";#N/A,#N/A,FALSE,"2.IS";#N/A,#N/A,FALSE,"3.BS";#N/A,#N/A,FALSE,"4.PER PL";#N/A,#N/A,FALSE,"5.INVESTMENT";#N/A,#N/A,FALSE,"6.공문";#N/A,#N/A,FALSE,"7.netinvest"}</definedName>
    <definedName name="범위">#REF!</definedName>
    <definedName name="범위1">#REF!</definedName>
    <definedName name="범위액"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범위액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법_인_명_상_호">#REF!</definedName>
    <definedName name="법인구분">#REF!</definedName>
    <definedName name="법인구분코드">#REF!</definedName>
    <definedName name="법인등록번호">#REF!</definedName>
    <definedName name="법인명_상호명">#REF!</definedName>
    <definedName name="법인세">#REF!</definedName>
    <definedName name="법인세비용" hidden="1">{#N/A,#N/A,FALSE,"BS";#N/A,#N/A,FALSE,"PL";#N/A,#N/A,FALSE,"처분";#N/A,#N/A,FALSE,"현금";#N/A,#N/A,FALSE,"매출";#N/A,#N/A,FALSE,"원가";#N/A,#N/A,FALSE,"경영"}</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베" hidden="1">{#N/A,#N/A,FALSE,"1.CRITERIA";#N/A,#N/A,FALSE,"2.IS";#N/A,#N/A,FALSE,"3.BS";#N/A,#N/A,FALSE,"4.PER PL";#N/A,#N/A,FALSE,"5.INVESTMENT";#N/A,#N/A,FALSE,"6.공문";#N/A,#N/A,FALSE,"7.netinvest"}</definedName>
    <definedName name="변경">#REF!</definedName>
    <definedName name="변경내역" hidden="1">{#N/A,#N/A,FALSE,"3가";#N/A,#N/A,FALSE,"3나";#N/A,#N/A,FALSE,"3다"}</definedName>
    <definedName name="변동">#REF!</definedName>
    <definedName name="변동비">#REF!</definedName>
    <definedName name="변동비인쇄영역">#REF!</definedName>
    <definedName name="변동연">#REF!</definedName>
    <definedName name="변동연료비">#REF!</definedName>
    <definedName name="변동율기준표">#REF!</definedName>
    <definedName name="변동제">#REF!</definedName>
    <definedName name="변동판">#REF!</definedName>
    <definedName name="변파유닛" hidden="1">{#N/A,#N/A,FALSE,"3가";#N/A,#N/A,FALSE,"3나";#N/A,#N/A,FALSE,"3다"}</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도합산">#REF!</definedName>
    <definedName name="별도합산세">#REF!</definedName>
    <definedName name="별도합산세율">#REF!</definedName>
    <definedName name="별정시급">#REF!</definedName>
    <definedName name="별지6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별지66_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 hidden="1">#REF!</definedName>
    <definedName name="보" hidden="1">{#N/A,#N/A,FALSE,"3가";#N/A,#N/A,FALSE,"3나";#N/A,#N/A,FALSE,"3다"}</definedName>
    <definedName name="보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고서2">#REF!</definedName>
    <definedName name="보관1">#REF!</definedName>
    <definedName name="보관2">#REF!</definedName>
    <definedName name="보너스">#REF!</definedName>
    <definedName name="보라차" hidden="1">{#N/A,#N/A,FALSE,"1.CRITERIA";#N/A,#N/A,FALSE,"2.IS";#N/A,#N/A,FALSE,"3.BS";#N/A,#N/A,FALSE,"4.PER PL";#N/A,#N/A,FALSE,"5.INVESTMENT";#N/A,#N/A,FALSE,"6.공문";#N/A,#N/A,FALSE,"7.netinvest"}</definedName>
    <definedName name="보보봅">#REF!</definedName>
    <definedName name="보봅" hidden="1">{#N/A,#N/A,FALSE,"Aging Summary";#N/A,#N/A,FALSE,"Ratio Analysis";#N/A,#N/A,FALSE,"Test 120 Day Accts";#N/A,#N/A,FALSE,"Tickmarks"}</definedName>
    <definedName name="보수사진">#REF!</definedName>
    <definedName name="보아리" hidden="1">{#N/A,#N/A,FALSE,"1.CRITERIA";#N/A,#N/A,FALSE,"2.IS";#N/A,#N/A,FALSE,"3.BS";#N/A,#N/A,FALSE,"4.PER PL";#N/A,#N/A,FALSE,"5.INVESTMENT";#N/A,#N/A,FALSE,"6.공문";#N/A,#N/A,FALSE,"7.netinvest"}</definedName>
    <definedName name="보안복">170000</definedName>
    <definedName name="보이"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조출연료합계">#REF!</definedName>
    <definedName name="보증금환급률">#REF!</definedName>
    <definedName name="보증기관">#REF!</definedName>
    <definedName name="보충" hidden="1">#REF!</definedName>
    <definedName name="보험">#REF!</definedName>
    <definedName name="보험2">#REF!</definedName>
    <definedName name="보험료" hidden="1">{#N/A,#N/A,FALSE,"Aging Summary";#N/A,#N/A,FALSE,"Ratio Analysis";#N/A,#N/A,FALSE,"Test 120 Day Accts";#N/A,#N/A,FALSE,"Tickmarks"}</definedName>
    <definedName name="보험료합계">#REF!</definedName>
    <definedName name="보험예산대비실적분석자료" hidden="1">{#N/A,#N/A,FALSE,"채산3501.XLS";#N/A,#N/A,FALSE,"신조수A.XLS";#N/A,#N/A,FALSE,"신조수b.XLS";#N/A,#N/A,FALSE,"채산3502.XLS";#N/A,#N/A,FALSE,"신조원리.XLS";#N/A,#N/A,FALSE,"신조감가.XLS"}</definedName>
    <definedName name="복귀">#REF!</definedName>
    <definedName name="복리후생비집계">#REF!</definedName>
    <definedName name="복사대상">#REF!</definedName>
    <definedName name="본사손익">#REF!</definedName>
    <definedName name="볼" hidden="1">{#N/A,#N/A,FALSE,"1.CRITERIA";#N/A,#N/A,FALSE,"2.IS";#N/A,#N/A,FALSE,"3.BS";#N/A,#N/A,FALSE,"4.PER PL";#N/A,#N/A,FALSE,"5.INVESTMENT";#N/A,#N/A,FALSE,"6.공문";#N/A,#N/A,FALSE,"7.netinvest"}</definedName>
    <definedName name="봄" hidden="1">{#N/A,#N/A,FALSE,"95FW"}</definedName>
    <definedName name="봉석">#REF!</definedName>
    <definedName name="봐" hidden="1">{#N/A,#N/A,FALSE,"1.CRITERIA";#N/A,#N/A,FALSE,"2.IS";#N/A,#N/A,FALSE,"3.BS";#N/A,#N/A,FALSE,"4.PER PL";#N/A,#N/A,FALSE,"5.INVESTMENT";#N/A,#N/A,FALSE,"6.공문";#N/A,#N/A,FALSE,"7.netinvest"}</definedName>
    <definedName name="부가">#REF!</definedName>
    <definedName name="부가세">1.1</definedName>
    <definedName name="부가세검토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부가세율표">#REF!</definedName>
    <definedName name="부녀">#REF!</definedName>
    <definedName name="부녀2">#REF!</definedName>
    <definedName name="부도어음">#REF!</definedName>
    <definedName name="부동산투자신탁6호">#REF!</definedName>
    <definedName name="부서">#REF!</definedName>
    <definedName name="부서코드다">#REF!</definedName>
    <definedName name="부속" hidden="1">#REF!</definedName>
    <definedName name="부양">#REF!</definedName>
    <definedName name="부양2">#REF!</definedName>
    <definedName name="부양가족">#REF!</definedName>
    <definedName name="부양가족2">#REF!</definedName>
    <definedName name="부채자본">#REF!</definedName>
    <definedName name="부천변경내역서">#REF!</definedName>
    <definedName name="부하s" hidden="1">#REF!</definedName>
    <definedName name="부하sa" hidden="1">#REF!</definedName>
    <definedName name="북부">#REF!</definedName>
    <definedName name="북채">#REF!</definedName>
    <definedName name="분" hidden="1">{#N/A,#N/A,FALSE,"단축1";#N/A,#N/A,FALSE,"단축2";#N/A,#N/A,FALSE,"단축3";#N/A,#N/A,FALSE,"장축";#N/A,#N/A,FALSE,"4WD"}</definedName>
    <definedName name="분개및수수료계상">#REF!</definedName>
    <definedName name="분기별" hidden="1">{#N/A,#N/A,TRUE,"Y생산";#N/A,#N/A,TRUE,"Y판매";#N/A,#N/A,TRUE,"Y총물량";#N/A,#N/A,TRUE,"Y능력";#N/A,#N/A,TRUE,"YKD"}</definedName>
    <definedName name="분기별_1" hidden="1">{#N/A,#N/A,TRUE,"Y생산";#N/A,#N/A,TRUE,"Y판매";#N/A,#N/A,TRUE,"Y총물량";#N/A,#N/A,TRUE,"Y능력";#N/A,#N/A,TRUE,"YKD"}</definedName>
    <definedName name="분리과세">#REF!</definedName>
    <definedName name="분리과세세율">#REF!</definedName>
    <definedName name="분리과세액">#REF!</definedName>
    <definedName name="분석" hidden="1">{"'호선별현황(방식)'!$K$22:$P$22","'호선별현황(방식)'!$K$22:$P$22"}</definedName>
    <definedName name="분석2002" hidden="1">{"'호선별현황(방식)'!$K$22:$P$22","'호선별현황(방식)'!$K$22:$P$22"}</definedName>
    <definedName name="분석용" hidden="1">{"'호선별현황(방식)'!$K$22:$P$22","'호선별현황(방식)'!$K$22:$P$22"}</definedName>
    <definedName name="분양가">#REF!</definedName>
    <definedName name="분양원가명세서" hidden="1">{#N/A,#N/A,FALSE,"BS";#N/A,#N/A,FALSE,"PL";#N/A,#N/A,FALSE,"처분";#N/A,#N/A,FALSE,"현금";#N/A,#N/A,FALSE,"매출";#N/A,#N/A,FALSE,"원가";#N/A,#N/A,FALSE,"경영"}</definedName>
    <definedName name="분양원가명세서1" hidden="1">{#N/A,#N/A,FALSE,"BS";#N/A,#N/A,FALSE,"PL";#N/A,#N/A,FALSE,"처분";#N/A,#N/A,FALSE,"현금";#N/A,#N/A,FALSE,"매출";#N/A,#N/A,FALSE,"원가";#N/A,#N/A,FALSE,"경영"}</definedName>
    <definedName name="불">#REF!</definedName>
    <definedName name="불량">#REF!</definedName>
    <definedName name="불합격">#REF!</definedName>
    <definedName name="브레이크">#REF!</definedName>
    <definedName name="비" hidden="1">{#N/A,#N/A,FALSE,"1.CRITERIA";#N/A,#N/A,FALSE,"2.IS";#N/A,#N/A,FALSE,"3.BS";#N/A,#N/A,FALSE,"4.PER PL";#N/A,#N/A,FALSE,"5.INVESTMENT";#N/A,#N/A,FALSE,"6.공문";#N/A,#N/A,FALSE,"7.netinvest"}</definedName>
    <definedName name="비고">#REF!</definedName>
    <definedName name="비과세">#REF!</definedName>
    <definedName name="비과세2">#REF!</definedName>
    <definedName name="비교">#REF!</definedName>
    <definedName name="비교A">#REF!</definedName>
    <definedName name="비교분">#REF!</definedName>
    <definedName name="비교표2" hidden="1">#REF!</definedName>
    <definedName name="비상장주식" hidden="1">#N/A</definedName>
    <definedName name="비용거래">#REF!</definedName>
    <definedName name="비용배분">#REF!</definedName>
    <definedName name="비품">#REF!</definedName>
    <definedName name="비품상각">#REF!</definedName>
    <definedName name="비호선율" hidden="1">{"'호선별현황(방식)'!$K$22:$P$22","'호선별현황(방식)'!$K$22:$P$22"}</definedName>
    <definedName name="빌딩명">#REF!</definedName>
    <definedName name="빌딩이름">#REF!</definedName>
    <definedName name="빙수" hidden="1">{#N/A,#N/A,FALSE,"1.CRITERIA";#N/A,#N/A,FALSE,"2.IS";#N/A,#N/A,FALSE,"3.BS";#N/A,#N/A,FALSE,"4.PER PL";#N/A,#N/A,FALSE,"5.INVESTMENT";#N/A,#N/A,FALSE,"6.공문";#N/A,#N/A,FALSE,"7.netinvest"}</definedName>
    <definedName name="빨리행" hidden="1">{"'호선별현황(방식)'!$K$22:$P$22","'호선별현황(방식)'!$K$22:$P$22"}</definedName>
    <definedName name="ㅅ" hidden="1">{#N/A,#N/A,TRUE,"Y생산";#N/A,#N/A,TRUE,"Y판매";#N/A,#N/A,TRUE,"Y총물량";#N/A,#N/A,TRUE,"Y능력";#N/A,#N/A,TRUE,"YKD"}</definedName>
    <definedName name="ㅅ7ㅓㅛㅗㅓ로ㅓ"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ㅅㄹ녀ㅛㅅ누ㅛㅅㄴ구ㅛㅅㄱ누" hidden="1">{#N/A,#N/A,TRUE,"일정"}</definedName>
    <definedName name="ㅅㅅ">#REF!</definedName>
    <definedName name="ㅅㅅㅅ" hidden="1">{#N/A,#N/A,TRUE,"일정"}</definedName>
    <definedName name="사">#REF!</definedName>
    <definedName name="사1">#REF!</definedName>
    <definedName name="사10">#REF!</definedName>
    <definedName name="사11">#REF!</definedName>
    <definedName name="사12">#REF!</definedName>
    <definedName name="사2">#REF!</definedName>
    <definedName name="사3">#REF!</definedName>
    <definedName name="사4">#REF!</definedName>
    <definedName name="사5">#REF!</definedName>
    <definedName name="사6">#REF!</definedName>
    <definedName name="사7">#REF!</definedName>
    <definedName name="사8">#REF!</definedName>
    <definedName name="사9">#REF!</definedName>
    <definedName name="사고뭉치" hidden="1">{#N/A,#N/A,FALSE,"96 3월물량표";#N/A,#N/A,FALSE,"96 4월물량표";#N/A,#N/A,FALSE,"96 5월물량표"}</definedName>
    <definedName name="사람"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사랑" hidden="1">{"'Sheet1'!$A$1:$H$36"}</definedName>
    <definedName name="사랑_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사번">#REF!</definedName>
    <definedName name="사업" hidden="1">{#N/A,#N/A,FALSE,"SILO현황";#N/A,#N/A,FALSE,"타업체";#N/A,#N/A,FALSE,"생산능력"}</definedName>
    <definedName name="사업10월">#REF!</definedName>
    <definedName name="사업11월">#REF!</definedName>
    <definedName name="사업12월">#REF!</definedName>
    <definedName name="사업3월">#REF!</definedName>
    <definedName name="사업4월">#REF!</definedName>
    <definedName name="사업5월">#REF!</definedName>
    <definedName name="사업6월">#REF!</definedName>
    <definedName name="사업7월">#REF!</definedName>
    <definedName name="사업8월">#REF!</definedName>
    <definedName name="사업9월">#REF!</definedName>
    <definedName name="사업별">#REF!</definedName>
    <definedName name="사업부양식2" hidden="1">#REF!</definedName>
    <definedName name="사업자등록번호">#REF!</definedName>
    <definedName name="사업투자">#REF!</definedName>
    <definedName name="사업투자1">#REF!</definedName>
    <definedName name="사용">#N/A</definedName>
    <definedName name="사용량">#REF!</definedName>
    <definedName name="사용량1">#REF!</definedName>
    <definedName name="사용량2">#REF!</definedName>
    <definedName name="사용료"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사용요금10">#N/A</definedName>
    <definedName name="사용요금11">#N/A</definedName>
    <definedName name="사용요금20">#N/A</definedName>
    <definedName name="사용요금21">#N/A</definedName>
    <definedName name="사원">#REF!</definedName>
    <definedName name="사원미지급" hidden="1">{#N/A,#N/A,FALSE,"1.CRITERIA";#N/A,#N/A,FALSE,"2.IS";#N/A,#N/A,FALSE,"3.BS";#N/A,#N/A,FALSE,"4.PER PL";#N/A,#N/A,FALSE,"5.INVESTMENT";#N/A,#N/A,FALSE,"6.공문";#N/A,#N/A,FALSE,"7.netinvest"}</definedName>
    <definedName name="사월이">#REF!</definedName>
    <definedName name="사월일">#REF!</definedName>
    <definedName name="사이버">#REF!</definedName>
    <definedName name="사진" hidden="1">{#N/A,#N/A,FALSE,"단축1";#N/A,#N/A,FALSE,"단축2";#N/A,#N/A,FALSE,"단축3";#N/A,#N/A,FALSE,"장축";#N/A,#N/A,FALSE,"4WD"}</definedName>
    <definedName name="사진1" hidden="1">{#N/A,#N/A,FALSE,"단축1";#N/A,#N/A,FALSE,"단축2";#N/A,#N/A,FALSE,"단축3";#N/A,#N/A,FALSE,"장축";#N/A,#N/A,FALSE,"4WD"}</definedName>
    <definedName name="사채">#REF!</definedName>
    <definedName name="산1">#REF!</definedName>
    <definedName name="산10">#REF!</definedName>
    <definedName name="산11">#REF!</definedName>
    <definedName name="산12">#REF!</definedName>
    <definedName name="산2">#REF!</definedName>
    <definedName name="산3">#REF!</definedName>
    <definedName name="산4">#REF!</definedName>
    <definedName name="산5">#REF!</definedName>
    <definedName name="산6">#REF!</definedName>
    <definedName name="산7">#REF!</definedName>
    <definedName name="산8">#REF!</definedName>
    <definedName name="산9">#REF!</definedName>
    <definedName name="산재">#REF!</definedName>
    <definedName name="산재10월">#REF!</definedName>
    <definedName name="산재11월">#REF!</definedName>
    <definedName name="산재12월">#REF!</definedName>
    <definedName name="산재3월">#REF!</definedName>
    <definedName name="산재4월">#REF!</definedName>
    <definedName name="산재5월">#REF!</definedName>
    <definedName name="산재6월">#REF!</definedName>
    <definedName name="산재7월">#REF!</definedName>
    <definedName name="산재8월">#REF!</definedName>
    <definedName name="산재9월">#REF!</definedName>
    <definedName name="삼">#REF!</definedName>
    <definedName name="삼성" hidden="1">{#N/A,#N/A,FALSE,"정공"}</definedName>
    <definedName name="삼호중" hidden="1">{"'호선별현황(방식)'!$K$22:$P$22","'호선별현황(방식)'!$K$22:$P$22"}</definedName>
    <definedName name="상가매매0115">#REF!</definedName>
    <definedName name="상가임대0115">#REF!</definedName>
    <definedName name="상각"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상각_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상각비">#REF!</definedName>
    <definedName name="상농">OFFSET(#REF!,0,0,COUNTA(#REF!)-1,1)</definedName>
    <definedName name="상농2">OFFSET(#REF!,0,0,COUNTA(#REF!)-1,1)</definedName>
    <definedName name="상비1">#REF!</definedName>
    <definedName name="상비2">#REF!</definedName>
    <definedName name="상설월별시트2" hidden="1">{#N/A,#N/A,FALSE,"95FW"}</definedName>
    <definedName name="상여">#REF!</definedName>
    <definedName name="상여2">#REF!</definedName>
    <definedName name="상여율">#REF!</definedName>
    <definedName name="상품" hidden="1">#REF!</definedName>
    <definedName name="상품1월">#REF!</definedName>
    <definedName name="상품시화">#REF!</definedName>
    <definedName name="새" hidden="1">{#N/A,#N/A,FALSE,"Aging Summary";#N/A,#N/A,FALSE,"Ratio Analysis";#N/A,#N/A,FALSE,"Test 120 Day Accts";#N/A,#N/A,FALSE,"Tickmarks"}</definedName>
    <definedName name="새로부분">#REF!</definedName>
    <definedName name="새이름" hidden="1">{"'호선별현황(방식)'!$K$22:$P$22","'호선별현황(방식)'!$K$22:$P$22"}</definedName>
    <definedName name="새천년" hidden="1">{#N/A,#N/A,TRUE,"Y생산";#N/A,#N/A,TRUE,"Y판매";#N/A,#N/A,TRUE,"Y총물량";#N/A,#N/A,TRUE,"Y능력";#N/A,#N/A,TRUE,"YKD"}</definedName>
    <definedName name="색상현황" hidden="1">#REF!</definedName>
    <definedName name="색인">#REF!</definedName>
    <definedName name="생">#REF!</definedName>
    <definedName name="생산">#REF!</definedName>
    <definedName name="생산TON" hidden="1">{#N/A,#N/A,TRUE,"Y생산";#N/A,#N/A,TRUE,"Y판매";#N/A,#N/A,TRUE,"Y총물량";#N/A,#N/A,TRUE,"Y능력";#N/A,#N/A,TRUE,"YKD"}</definedName>
    <definedName name="생산관리팀절감세부계획">#REF!</definedName>
    <definedName name="생산능력">#REF!</definedName>
    <definedName name="생산시급">#REF!</definedName>
    <definedName name="생산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조향" hidden="1">#REF!</definedName>
    <definedName name="생산준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특장2" hidden="1">{#N/A,#N/A,TRUE,"Y생산";#N/A,#N/A,TRUE,"Y판매";#N/A,#N/A,TRUE,"Y총물량";#N/A,#N/A,TRUE,"Y능력";#N/A,#N/A,TRUE,"YKD"}</definedName>
    <definedName name="생산합격" hidden="1">{#N/A,#N/A,TRUE,"Y생산";#N/A,#N/A,TRUE,"Y판매";#N/A,#N/A,TRUE,"Y총물량";#N/A,#N/A,TRUE,"Y능력";#N/A,#N/A,TRUE,"YKD"}</definedName>
    <definedName name="생산현황">#REF!</definedName>
    <definedName name="생산현황집계표">#REF!</definedName>
    <definedName name="생산현황집계표1">#REF!</definedName>
    <definedName name="생산현황집계표ELLE">#REF!</definedName>
    <definedName name="생산현황집계표RENO">#REF!</definedName>
    <definedName name="생산현황집계표SIS">#REF!</definedName>
    <definedName name="샤시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서비스임대" hidden="1">#REF!</definedName>
    <definedName name="서식파일명">#REF!</definedName>
    <definedName name="서식파일목록">#REF!</definedName>
    <definedName name="서영태" hidden="1">{#N/A,#N/A,TRUE,"Y생산";#N/A,#N/A,TRUE,"Y판매";#N/A,#N/A,TRUE,"Y총물량";#N/A,#N/A,TRUE,"Y능력";#N/A,#N/A,TRUE,"YKD"}</definedName>
    <definedName name="서영태_1" hidden="1">{#N/A,#N/A,TRUE,"Y생산";#N/A,#N/A,TRUE,"Y판매";#N/A,#N/A,TRUE,"Y총물량";#N/A,#N/A,TRUE,"Y능력";#N/A,#N/A,TRUE,"YKD"}</definedName>
    <definedName name="서이" hidden="1">{#N/A,#N/A,FALSE,"1.CRITERIA";#N/A,#N/A,FALSE,"2.IS";#N/A,#N/A,FALSE,"3.BS";#N/A,#N/A,FALSE,"4.PER PL";#N/A,#N/A,FALSE,"5.INVESTMENT";#N/A,#N/A,FALSE,"6.공문";#N/A,#N/A,FALSE,"7.netinvest"}</definedName>
    <definedName name="서초" hidden="1">{#N/A,#N/A,TRUE,"대 차 대 조 표"}</definedName>
    <definedName name="서초_1" hidden="1">{#N/A,#N/A,TRUE,"대 차 대 조 표"}</definedName>
    <definedName name="서초2" hidden="1">{#N/A,#N/A,TRUE,"대 차 대 조 표"}</definedName>
    <definedName name="서초2_1" hidden="1">{#N/A,#N/A,TRUE,"대 차 대 조 표"}</definedName>
    <definedName name="서초해동" hidden="1">{#N/A,#N/A,TRUE,"대 차 대 조 표"}</definedName>
    <definedName name="서초해동_1" hidden="1">{#N/A,#N/A,TRUE,"대 차 대 조 표"}</definedName>
    <definedName name="선급"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선급금">#REF!</definedName>
    <definedName name="선급법인세9">#REF!</definedName>
    <definedName name="선급비용">#REF!</definedName>
    <definedName name="선급이자" hidden="1">{"'Sheet1'!$A$1:$H$36"}</definedName>
    <definedName name="선급조"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선생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수금">#REF!</definedName>
    <definedName name="선체설계" hidden="1">{"'호선별현황(방식)'!$K$22:$P$22","'호선별현황(방식)'!$K$22:$P$22"}</definedName>
    <definedName name="선택">#REF!</definedName>
    <definedName name="선행시작팀">#REF!</definedName>
    <definedName name="설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성능시험2" hidden="1">{#N/A,#N/A,FALSE,"단축1";#N/A,#N/A,FALSE,"단축2";#N/A,#N/A,FALSE,"단축3";#N/A,#N/A,FALSE,"장축";#N/A,#N/A,FALSE,"4WD"}</definedName>
    <definedName name="성명">#REF!</definedName>
    <definedName name="성명2">#REF!</definedName>
    <definedName name="省市">#REF!</definedName>
    <definedName name="세금">#REF!</definedName>
    <definedName name="세금1">#REF!</definedName>
    <definedName name="세금유형">#REF!</definedName>
    <definedName name="세금종류">#REF!</definedName>
    <definedName name="세대">#REF!</definedName>
    <definedName name="세무서">#REF!</definedName>
    <definedName name="세무서표">#REF!</definedName>
    <definedName name="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#REF!</definedName>
    <definedName name="세부그림">#REF!</definedName>
    <definedName name="세부내역">#REF!</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세항목">#REF!</definedName>
    <definedName name="세율">#REF!</definedName>
    <definedName name="세일">#N/A</definedName>
    <definedName name="셀리카" hidden="1">#REF!</definedName>
    <definedName name="소갑">#REF!</definedName>
    <definedName name="소급">#REF!</definedName>
    <definedName name="소나타">#REF!</definedName>
    <definedName name="소득" hidden="1">#REF!</definedName>
    <definedName name="소득2">#REF!</definedName>
    <definedName name="소득구분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소득구분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소득금액">#REF!</definedName>
    <definedName name="소득세">#REF!</definedName>
    <definedName name="소득종류">#REF!</definedName>
    <definedName name="소솟">#REF!</definedName>
    <definedName name="소유자분_보증금">#REF!</definedName>
    <definedName name="소재검토">#REF!</definedName>
    <definedName name="소형4" hidden="1">#REF!</definedName>
    <definedName name="소형발인" hidden="1">#REF!</definedName>
    <definedName name="소화주철장판" hidden="1">{#N/A,#N/A,FALSE,"단축1";#N/A,#N/A,FALSE,"단축2";#N/A,#N/A,FALSE,"단축3";#N/A,#N/A,FALSE,"장축";#N/A,#N/A,FALSE,"4WD"}</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실" hidden="1">{#N/A,#N/A,FALSE,"1.CRITERIA";#N/A,#N/A,FALSE,"2.IS";#N/A,#N/A,FALSE,"3.BS";#N/A,#N/A,FALSE,"4.PER PL";#N/A,#N/A,FALSE,"5.INVESTMENT";#N/A,#N/A,FALSE,"6.공문";#N/A,#N/A,FALSE,"7.netinvest"}</definedName>
    <definedName name="손익계산서" hidden="1">#REF!</definedName>
    <definedName name="손익계산서조정_04_12" hidden="1">{#N/A,#N/A,FALSE,"1.CRITERIA";#N/A,#N/A,FALSE,"2.IS";#N/A,#N/A,FALSE,"3.BS";#N/A,#N/A,FALSE,"4.PER PL";#N/A,#N/A,FALSE,"5.INVESTMENT";#N/A,#N/A,FALSE,"6.공문";#N/A,#N/A,FALSE,"7.netinvest"}</definedName>
    <definedName name="손익분석">#N/A</definedName>
    <definedName name="솔" hidden="1">{#N/A,#N/A,TRUE,"대 차 대 조 표"}</definedName>
    <definedName name="솔_1" hidden="1">{#N/A,#N/A,TRUE,"대 차 대 조 표"}</definedName>
    <definedName name="송" hidden="1">{#N/A,#N/A,TRUE,"Y생산";#N/A,#N/A,TRUE,"Y판매";#N/A,#N/A,TRUE,"Y총물량";#N/A,#N/A,TRUE,"Y능력";#N/A,#N/A,TRUE,"YKD"}</definedName>
    <definedName name="송창기" hidden="1">{#N/A,#N/A,TRUE,"Y생산";#N/A,#N/A,TRUE,"Y판매";#N/A,#N/A,TRUE,"Y총물량";#N/A,#N/A,TRUE,"Y능력";#N/A,#N/A,TRUE,"YKD"}</definedName>
    <definedName name="수_______출">#REF!</definedName>
    <definedName name="수광비실적" hidden="1">#REF!</definedName>
    <definedName name="수금">#REF!</definedName>
    <definedName name="수금분석">#REF!</definedName>
    <definedName name="수급추이" hidden="1">{"'7-2지역별'!$A$1:$R$44"}</definedName>
    <definedName name="수도" hidden="1">#REF!</definedName>
    <definedName name="수불">#REF!</definedName>
    <definedName name="수선비세부" hidden="1">#REF!</definedName>
    <definedName name="수수" hidden="1">{#N/A,#N/A,FALSE,"95FW"}</definedName>
    <definedName name="수수료계상">#REF!</definedName>
    <definedName name="수수료정산" hidden="1">{#N/A,#N/A,FALSE,"95FW"}</definedName>
    <definedName name="수익·비용" hidden="1">{#N/A,#N/A,FALSE,"BS";#N/A,#N/A,FALSE,"PL";#N/A,#N/A,FALSE,"A";#N/A,#N/A,FALSE,"B";#N/A,#N/A,FALSE,"B1";#N/A,#N/A,FALSE,"C";#N/A,#N/A,FALSE,"C1";#N/A,#N/A,FALSE,"C2";#N/A,#N/A,FALSE,"D";#N/A,#N/A,FALSE,"E";#N/A,#N/A,FALSE,"F";#N/A,#N/A,FALSE,"AA";#N/A,#N/A,FALSE,"BB";#N/A,#N/A,FALSE,"CC";#N/A,#N/A,FALSE,"DD";#N/A,#N/A,FALSE,"EE";#N/A,#N/A,FALSE,"FF";#N/A,#N/A,FALSE,"PL10";#N/A,#N/A,FALSE,"PL20";#N/A,#N/A,FALSE,"PL30"}</definedName>
    <definedName name="수익4속" hidden="1">{#N/A,#N/A,FALSE,"단축1";#N/A,#N/A,FALSE,"단축2";#N/A,#N/A,FALSE,"단축3";#N/A,#N/A,FALSE,"장축";#N/A,#N/A,FALSE,"4WD"}</definedName>
    <definedName name="수입3" hidden="1">{"'7-2지역별'!$A$1:$R$44"}</definedName>
    <definedName name="수입보증금">#REF!</definedName>
    <definedName name="수정2" hidden="1">{#N/A,#N/A,FALSE,"신규dep";#N/A,#N/A,FALSE,"신규dep-금형상각후";#N/A,#N/A,FALSE,"신규dep-연구비상각후";#N/A,#N/A,FALSE,"신규dep-기계,공구상각후"}</definedName>
    <definedName name="수정물량" hidden="1">{#N/A,#N/A,TRUE,"Y생산";#N/A,#N/A,TRUE,"Y판매";#N/A,#N/A,TRUE,"Y총물량";#N/A,#N/A,TRUE,"Y능력";#N/A,#N/A,TRUE,"YKD"}</definedName>
    <definedName name="수정물량_1" hidden="1">{#N/A,#N/A,TRUE,"Y생산";#N/A,#N/A,TRUE,"Y판매";#N/A,#N/A,TRUE,"Y총물량";#N/A,#N/A,TRUE,"Y능력";#N/A,#N/A,TRUE,"YKD"}</definedName>
    <definedName name="수정사항" hidden="1">#REF!</definedName>
    <definedName name="수정사항1" hidden="1">{#N/A,#N/A,FALSE,"BS";#N/A,#N/A,FALSE,"PL";#N/A,#N/A,FALSE,"처분";#N/A,#N/A,FALSE,"현금";#N/A,#N/A,FALSE,"매출";#N/A,#N/A,FALSE,"원가";#N/A,#N/A,FALSE,"경영"}</definedName>
    <definedName name="수정사항집계표" hidden="1">#REF!</definedName>
    <definedName name="수주" hidden="1">{#N/A,#N/A,FALSE,"기안지";#N/A,#N/A,FALSE,"통신지"}</definedName>
    <definedName name="수출">#REF!</definedName>
    <definedName name="수출2">#REF!</definedName>
    <definedName name="수출순위" hidden="1">{"'7-2지역별'!$A$1:$R$44"}</definedName>
    <definedName name="수퍼살롱LPG">#REF!</definedName>
    <definedName name="순서" hidden="1">{#N/A,#N/A,FALSE,"1.CRITERIA";#N/A,#N/A,FALSE,"2.IS";#N/A,#N/A,FALSE,"3.BS";#N/A,#N/A,FALSE,"4.PER PL";#N/A,#N/A,FALSE,"5.INVESTMENT";#N/A,#N/A,FALSE,"6.공문";#N/A,#N/A,FALSE,"7.netinvest"}</definedName>
    <definedName name="스탭료합계">#REF!</definedName>
    <definedName name="슬래그">#REF!</definedName>
    <definedName name="슬래그파우더"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승계_대출">#REF!</definedName>
    <definedName name="승용2">#REF!</definedName>
    <definedName name="시">#REF!</definedName>
    <definedName name="시간" hidden="1">{#N/A,#N/A,TRUE,"Y생산";#N/A,#N/A,TRUE,"Y판매";#N/A,#N/A,TRUE,"Y총물량";#N/A,#N/A,TRUE,"Y능력";#N/A,#N/A,TRUE,"YKD"}</definedName>
    <definedName name="시급">#REF!</definedName>
    <definedName name="시나리오">#REF!</definedName>
    <definedName name="시느">#REF!</definedName>
    <definedName name="시럽680">#REF!</definedName>
    <definedName name="시매출">#REF!</definedName>
    <definedName name="시산">#REF!</definedName>
    <definedName name="시설투자">#N/A</definedName>
    <definedName name="시이자">#REF!</definedName>
    <definedName name="시인원">#REF!</definedName>
    <definedName name="시화감가">#REF!</definedName>
    <definedName name="시화매출">#REF!</definedName>
    <definedName name="시화배부">#REF!</definedName>
    <definedName name="시화인원">#REF!</definedName>
    <definedName name="시화재료">#REF!</definedName>
    <definedName name="시화제품제고">#REF!</definedName>
    <definedName name="식대2">#REF!</definedName>
    <definedName name="신AT종합" hidden="1">{#N/A,#N/A,FALSE,"단축1";#N/A,#N/A,FALSE,"단축2";#N/A,#N/A,FALSE,"단축3";#N/A,#N/A,FALSE,"장축";#N/A,#N/A,FALSE,"4WD"}</definedName>
    <definedName name="신고구분">#REF!</definedName>
    <definedName name="신고구분목록">#REF!</definedName>
    <definedName name="신규_대출">#REF!</definedName>
    <definedName name="신사번">#REF!</definedName>
    <definedName name="신상">#REF!</definedName>
    <definedName name="신설통계" hidden="1">{#N/A,#N/A,FALSE,"3가";#N/A,#N/A,FALSE,"3나";#N/A,#N/A,FALSE,"3다"}</definedName>
    <definedName name="신세대종합"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우단가표">#REF!</definedName>
    <definedName name="신한은행_1" hidden="1">{#N/A,#N/A,FALSE,"Aging Summary";#N/A,#N/A,FALSE,"Ratio Analysis";#N/A,#N/A,FALSE,"Test 120 Day Accts";#N/A,#N/A,FALSE,"Tickmarks"}</definedName>
    <definedName name="신한은행_2" hidden="1">{#N/A,#N/A,FALSE,"Aging Summary";#N/A,#N/A,FALSE,"Ratio Analysis";#N/A,#N/A,FALSE,"Test 120 Day Accts";#N/A,#N/A,FALSE,"Tickmarks"}</definedName>
    <definedName name="신한은행수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효성" hidden="1">{"'호선별현황(방식)'!$K$22:$P$22","'호선별현황(방식)'!$K$22:$P$22"}</definedName>
    <definedName name="실수요">#REF!</definedName>
    <definedName name="실시" hidden="1">{#N/A,#N/A,FALSE,"단축1";#N/A,#N/A,FALSE,"단축2";#N/A,#N/A,FALSE,"단축3";#N/A,#N/A,FALSE,"장축";#N/A,#N/A,FALSE,"4WD"}</definedName>
    <definedName name="실적">#REF!</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#REF!</definedName>
    <definedName name="실제급여" hidden="1">{#N/A,#N/A,TRUE,"대 차 대 조 표"}</definedName>
    <definedName name="실제급여_1" hidden="1">{#N/A,#N/A,TRUE,"대 차 대 조 표"}</definedName>
    <definedName name="실제매출전체">#REF!</definedName>
    <definedName name="실제수익회당">#REF!</definedName>
    <definedName name="실초출">#REF!</definedName>
    <definedName name="실행">#N/A</definedName>
    <definedName name="심양신세게">#REF!</definedName>
    <definedName name="십">IF(INT(RIGHT(#REF!,2)/10)=0,"",CHOOSE(INT(RIGHT(#REF!,2)/10),"일","이","삼","사","오","육","칠","팔","구")&amp;"십")</definedName>
    <definedName name="십만">IF(INT(RIGHT(#REF!,6)/100000)=0,"",CHOOSE(INT(RIGHT(#REF!,6)/100000),"일","이","삼","사","오","육","칠","팔","구")&amp;"십")</definedName>
    <definedName name="십이월">#REF!</definedName>
    <definedName name="씨엔에이치" hidden="1">{#N/A,#N/A,TRUE,"대 차 대 조 표"}</definedName>
    <definedName name="씨엔에이치_1" hidden="1">{#N/A,#N/A,TRUE,"대 차 대 조 표"}</definedName>
    <definedName name="씨티">#REF!</definedName>
    <definedName name="ㅇ" hidden="1">{#N/A,#N/A,FALSE,"Aging Summary";#N/A,#N/A,FALSE,"Ratio Analysis";#N/A,#N/A,FALSE,"Test 120 Day Accts";#N/A,#N/A,FALSE,"Tickmarks"}</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ㄴㄹㅇㅇㅇㅇㅇㅇㅇㅇㅇㅇㅇ">#REF!</definedName>
    <definedName name="ㅇㄴㄻㄴㅇㄹ" hidden="1">{#N/A,#N/A,TRUE,"Y생산";#N/A,#N/A,TRUE,"Y판매";#N/A,#N/A,TRUE,"Y총물량";#N/A,#N/A,TRUE,"Y능력";#N/A,#N/A,TRUE,"YKD"}</definedName>
    <definedName name="ㅇㄴㄻㄴㅇㄹ_1" hidden="1">{#N/A,#N/A,TRUE,"Y생산";#N/A,#N/A,TRUE,"Y판매";#N/A,#N/A,TRUE,"Y총물량";#N/A,#N/A,TRUE,"Y능력";#N/A,#N/A,TRUE,"YKD"}</definedName>
    <definedName name="ㅇㄴㅇㄹㄴㅇ" hidden="1">{#N/A,#N/A,TRUE,"Y생산";#N/A,#N/A,TRUE,"Y판매";#N/A,#N/A,TRUE,"Y총물량";#N/A,#N/A,TRUE,"Y능력";#N/A,#N/A,TRUE,"YKD"}</definedName>
    <definedName name="ㅇㄴㅇㄹㄴㅇ_1" hidden="1">{#N/A,#N/A,TRUE,"Y생산";#N/A,#N/A,TRUE,"Y판매";#N/A,#N/A,TRUE,"Y총물량";#N/A,#N/A,TRUE,"Y능력";#N/A,#N/A,TRUE,"YKD"}</definedName>
    <definedName name="ㅇ니라먼" hidden="1">{#N/A,#N/A,FALSE,"BS";#N/A,#N/A,FALSE,"PL";#N/A,#N/A,FALSE,"처분";#N/A,#N/A,FALSE,"현금";#N/A,#N/A,FALSE,"매출";#N/A,#N/A,FALSE,"원가";#N/A,#N/A,FALSE,"경영"}</definedName>
    <definedName name="ㅇㄷㄴ" hidden="1">{#N/A,#N/A,FALSE,"Aging Summary";#N/A,#N/A,FALSE,"Ratio Analysis";#N/A,#N/A,FALSE,"Test 120 Day Accts";#N/A,#N/A,FALSE,"Tickmarks"}</definedName>
    <definedName name="ㅇㄹ" hidden="1">{#N/A,#N/A,FALSE,"BS";#N/A,#N/A,FALSE,"PL";#N/A,#N/A,FALSE,"처분";#N/A,#N/A,FALSE,"현금";#N/A,#N/A,FALSE,"매출";#N/A,#N/A,FALSE,"원가";#N/A,#N/A,FALSE,"경영"}</definedName>
    <definedName name="ㅇㄹㄴㄷㄱㅈ" hidden="1">#REF!</definedName>
    <definedName name="ㅇㄹㄴㅇㄹ" hidden="1">{#N/A,#N/A,TRUE,"Y생산";#N/A,#N/A,TRUE,"Y판매";#N/A,#N/A,TRUE,"Y총물량";#N/A,#N/A,TRUE,"Y능력";#N/A,#N/A,TRUE,"YKD"}</definedName>
    <definedName name="ㅇㄹㄴㅇㄹ_1" hidden="1">{#N/A,#N/A,TRUE,"Y생산";#N/A,#N/A,TRUE,"Y판매";#N/A,#N/A,TRUE,"Y총물량";#N/A,#N/A,TRUE,"Y능력";#N/A,#N/A,TRUE,"YKD"}</definedName>
    <definedName name="ㅇㄹㅀㅎ" hidden="1">{#N/A,#N/A,FALSE,"Aging Summary";#N/A,#N/A,FALSE,"Ratio Analysis";#N/A,#N/A,FALSE,"Test 120 Day Accts";#N/A,#N/A,FALSE,"Tickmarks"}</definedName>
    <definedName name="ㅇㄹㅇ" hidden="1">{#N/A,#N/A,FALSE,"3가";#N/A,#N/A,FALSE,"3나";#N/A,#N/A,FALSE,"3다"}</definedName>
    <definedName name="ㅇㄹㅇㄴ" hidden="1">{#N/A,#N/A,FALSE,"3가";#N/A,#N/A,FALSE,"3나";#N/A,#N/A,FALSE,"3다"}</definedName>
    <definedName name="ㅇㄹㅇㄴㄹ" hidden="1">{#N/A,#N/A,TRUE,"Y생산";#N/A,#N/A,TRUE,"Y판매";#N/A,#N/A,TRUE,"Y총물량";#N/A,#N/A,TRUE,"Y능력";#N/A,#N/A,TRUE,"YKD"}</definedName>
    <definedName name="ㅇㄹㅇㄴㄹ_1" hidden="1">{#N/A,#N/A,TRUE,"Y생산";#N/A,#N/A,TRUE,"Y판매";#N/A,#N/A,TRUE,"Y총물량";#N/A,#N/A,TRUE,"Y능력";#N/A,#N/A,TRUE,"YKD"}</definedName>
    <definedName name="ㅇㄹㅇㄹ">#REF!</definedName>
    <definedName name="ㅇㄹㅇㄹ_1" hidden="1">{#N/A,#N/A,TRUE,"Y생산";#N/A,#N/A,TRUE,"Y판매";#N/A,#N/A,TRUE,"Y총물량";#N/A,#N/A,TRUE,"Y능력";#N/A,#N/A,TRUE,"YKD"}</definedName>
    <definedName name="ㅇㄹㅇㄹㅇㄹㅇㄹㅇㄹㅇㄹㅇㄹㅇㄹ" hidden="1">{#N/A,#N/A,FALSE,"이력서&amp;자기소개서"}</definedName>
    <definedName name="ㅇㄹㅇㅁㄴㅁ"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ㅇㄻㄴㅇㄻㄴ">#REF!</definedName>
    <definedName name="ㅇㄻㅇ" hidden="1">{#N/A,#N/A,FALSE,"업체선정";#N/A,#N/A,FALSE,"업체선정sheet";#N/A,#N/A,FALSE,"업체실태";#N/A,#N/A,FALSE,"업체실태(1)";#N/A,#N/A,FALSE,"종업원현황(2)";#N/A,#N/A,FALSE,"생산품목(3)";#N/A,#N/A,FALSE,"장비보유현황";#N/A,#N/A,FALSE,"차량및약도";#N/A,#N/A,FALSE,"금형LIST"}</definedName>
    <definedName name="ㅇㄻㅇㄹ" hidden="1">{#N/A,#N/A,FALSE,"Aging Summary";#N/A,#N/A,FALSE,"Ratio Analysis";#N/A,#N/A,FALSE,"Test 120 Day Accts";#N/A,#N/A,FALSE,"Tickmarks"}</definedName>
    <definedName name="ㅇㅀㄴㅇ" hidden="1">{#N/A,#N/A,FALSE,"채산3501.XLS";#N/A,#N/A,FALSE,"신조수A.XLS";#N/A,#N/A,FALSE,"신조수b.XLS";#N/A,#N/A,FALSE,"채산3502.XLS";#N/A,#N/A,FALSE,"신조원리.XLS";#N/A,#N/A,FALSE,"신조감가.XLS"}</definedName>
    <definedName name="ㅇㅀㅇㅁㄹ" hidden="1">{#N/A,#N/A,FALSE,"3가";#N/A,#N/A,FALSE,"3나";#N/A,#N/A,FALSE,"3다"}</definedName>
    <definedName name="ㅇㅁㄻ" hidden="1">{#N/A,#N/A,FALSE,"Aging Summary";#N/A,#N/A,FALSE,"Ratio Analysis";#N/A,#N/A,FALSE,"Test 120 Day Accts";#N/A,#N/A,FALSE,"Tickmarks"}</definedName>
    <definedName name="ㅇㅁㄻㅇㄴㄹㅇㅁ" hidden="1">{#N/A,#N/A,FALSE,"Aging Summary";#N/A,#N/A,FALSE,"Ratio Analysis";#N/A,#N/A,FALSE,"Test 120 Day Accts";#N/A,#N/A,FALSE,"Tickmarks"}</definedName>
    <definedName name="ㅇㅁㄻㅇㄹ" hidden="1">{#N/A,#N/A,FALSE,"Aging Summary";#N/A,#N/A,FALSE,"Ratio Analysis";#N/A,#N/A,FALSE,"Test 120 Day Accts";#N/A,#N/A,FALSE,"Tickmarks"}</definedName>
    <definedName name="ㅇㅁㅇ">#REF!</definedName>
    <definedName name="ㅇㅇ">#REF!</definedName>
    <definedName name="ㅇㅇ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ㄴ">BlankMacro1</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ㄹㄹ" hidden="1">{#N/A,#N/A,FALSE,"표지";#N/A,#N/A,FALSE,"전제";#N/A,#N/A,FALSE,"손익-자 (2)";#N/A,#N/A,FALSE,"손익-자";#N/A,#N/A,FALSE,"손익-마 (2)";#N/A,#N/A,FALSE,"손익-마";#N/A,#N/A,FALSE,"총손최종"}</definedName>
    <definedName name="ㅇㅇㅁㄹ">#REF!</definedName>
    <definedName name="ㅇㅇㅇ">#REF!</definedName>
    <definedName name="ㅇㅇㅇㅇ">#REF!</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hidden="1">{#N/A,#N/A,TRUE,"대 차 대 조 표"}</definedName>
    <definedName name="ㅇㅇㅇㅇㅇㅇ">#REF!</definedName>
    <definedName name="ㅇㅇㅇㅇㅇㅇㅇㅇ" hidden="1">{#N/A,#N/A,FALSE,"표지";#N/A,#N/A,FALSE,"전제";#N/A,#N/A,FALSE,"손익-자 (2)";#N/A,#N/A,FALSE,"손익-자";#N/A,#N/A,FALSE,"손익-마 (2)";#N/A,#N/A,FALSE,"손익-마";#N/A,#N/A,FALSE,"총손최종"}</definedName>
    <definedName name="ㅇㅇㅇㅇㅇㅇㅇㅇㅇㅇㅇ" hidden="1">{#N/A,#N/A,TRUE,"Y생산";#N/A,#N/A,TRUE,"Y판매";#N/A,#N/A,TRUE,"Y총물량";#N/A,#N/A,TRUE,"Y능력";#N/A,#N/A,TRUE,"YKD"}</definedName>
    <definedName name="ㅇㅇㅇㅇㅇㅇㅇㅇㅇㅇㅇ_1" hidden="1">{#N/A,#N/A,TRUE,"Y생산";#N/A,#N/A,TRUE,"Y판매";#N/A,#N/A,TRUE,"Y총물량";#N/A,#N/A,TRUE,"Y능력";#N/A,#N/A,TRUE,"YKD"}</definedName>
    <definedName name="ㅇㅇㅇㅇㅇㅇㅇㅇㅇㅇㅇㅇ">#REF!</definedName>
    <definedName name="ㅇㅇㅇㅇㅇㅇㅇㅇㅇㅇㅇㅇㅇㅇ">#REF!</definedName>
    <definedName name="ㅇㅇㅇㅇㅇㅇㅇㅇㅇㅇㅇㅇㅇㅇㅇㅇㅇㅇㅇ">#REF!</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ㅎ" hidden="1">{#N/A,#N/A,FALSE,"단축1";#N/A,#N/A,FALSE,"단축2";#N/A,#N/A,FALSE,"단축3";#N/A,#N/A,FALSE,"장축";#N/A,#N/A,FALSE,"4WD"}</definedName>
    <definedName name="ㅇ호">#REF!</definedName>
    <definedName name="아">#REF!</definedName>
    <definedName name="아름">#REF!</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아" hidden="1">{#N/A,#N/A,FALSE,"1.CRITERIA";#N/A,#N/A,FALSE,"2.IS";#N/A,#N/A,FALSE,"3.BS";#N/A,#N/A,FALSE,"4.PER PL";#N/A,#N/A,FALSE,"5.INVESTMENT";#N/A,#N/A,FALSE,"6.공문";#N/A,#N/A,FALSE,"7.netinvest"}</definedName>
    <definedName name="아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이" hidden="1">{#N/A,#N/A,FALSE,"1.CRITERIA";#N/A,#N/A,FALSE,"2.IS";#N/A,#N/A,FALSE,"3.BS";#N/A,#N/A,FALSE,"4.PER PL";#N/A,#N/A,FALSE,"5.INVESTMENT";#N/A,#N/A,FALSE,"6.공문";#N/A,#N/A,FALSE,"7.netinvest"}</definedName>
    <definedName name="아이템">OFFSET(#REF!,0,0,COUNTA(#REF!)-1)</definedName>
    <definedName name="아프">#REF!</definedName>
    <definedName name="아ㅏㅏ" hidden="1">#REF!</definedName>
    <definedName name="안">#REF!</definedName>
    <definedName name="안건종합">#REF!</definedName>
    <definedName name="안녕하세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우준" hidden="1">{#N/A,#N/A,FALSE,"채산3501.XLS";#N/A,#N/A,FALSE,"신조수A.XLS";#N/A,#N/A,FALSE,"신조수b.XLS";#N/A,#N/A,FALSE,"채산3502.XLS";#N/A,#N/A,FALSE,"신조원리.XLS";#N/A,#N/A,FALSE,"신조감가.XLS"}</definedName>
    <definedName name="안재용">#REF!</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알">#REF!</definedName>
    <definedName name="알제리">#REF!</definedName>
    <definedName name="암류허가신청">#N/A</definedName>
    <definedName name="암사" hidden="1">{#N/A,#N/A,TRUE,"대 차 대 조 표"}</definedName>
    <definedName name="암사_1" hidden="1">{#N/A,#N/A,TRUE,"대 차 대 조 표"}</definedName>
    <definedName name="앙" hidden="1">{#N/A,#N/A,FALSE,"BS";#N/A,#N/A,FALSE,"PL";#N/A,#N/A,FALSE,"처분";#N/A,#N/A,FALSE,"현금";#N/A,#N/A,FALSE,"매출";#N/A,#N/A,FALSE,"원가";#N/A,#N/A,FALSE,"경영"}</definedName>
    <definedName name="앙_1" hidden="1">{#N/A,#N/A,FALSE,"BS";#N/A,#N/A,FALSE,"PL";#N/A,#N/A,FALSE,"처분";#N/A,#N/A,FALSE,"현금";#N/A,#N/A,FALSE,"매출";#N/A,#N/A,FALSE,"원가";#N/A,#N/A,FALSE,"경영"}</definedName>
    <definedName name="야간근로">#REF!</definedName>
    <definedName name="야간연장">#REF!</definedName>
    <definedName name="야간휴일">#REF!</definedName>
    <definedName name="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승">#REF!</definedName>
    <definedName name="양승화">#REF!</definedName>
    <definedName name="어떡해" hidden="1">{"'Sheet1'!$A$1:$H$36"}</definedName>
    <definedName name="어떻하지" hidden="1">#REF!</definedName>
    <definedName name="어떻화라고" hidden="1">{"'호선별현황(방식)'!$K$22:$P$22","'호선별현황(방식)'!$K$22:$P$22"}</definedName>
    <definedName name="어어" hidden="1">{#N/A,#N/A,FALSE,"1.CRITERIA";#N/A,#N/A,FALSE,"2.IS";#N/A,#N/A,FALSE,"3.BS";#N/A,#N/A,FALSE,"4.PER PL";#N/A,#N/A,FALSE,"5.INVESTMENT";#N/A,#N/A,FALSE,"6.공문";#N/A,#N/A,FALSE,"7.netinvest"}</definedName>
    <definedName name="어음수금율_120">#REF!</definedName>
    <definedName name="어음수금율_150">#REF!</definedName>
    <definedName name="어음수금율_180">#REF!</definedName>
    <definedName name="어음수금율_30">#REF!</definedName>
    <definedName name="어음수금율_60">#REF!</definedName>
    <definedName name="어음수금율_90">#REF!</definedName>
    <definedName name="어쩌구">#REF!</definedName>
    <definedName name="어쩌라고">#REF!</definedName>
    <definedName name="어ㅏ얼ㅇㄹ">#REF!</definedName>
    <definedName name="억">IF(INT(RIGHT(#REF!,9)/100000000)=0,"",CHOOSE(INT(RIGHT(#REF!,9)/100000000),"일","이","삼","사","오","육","칠","팔","구")&amp;"억")</definedName>
    <definedName name="업무">#REF!</definedName>
    <definedName name="업무_1" hidden="1">{#N/A,#N/A,TRUE,"대 차 대 조 표"}</definedName>
    <definedName name="업무2">#REF!</definedName>
    <definedName name="업무계획" hidden="1">{"'호선별현황(방식)'!$K$22:$P$22","'호선별현황(방식)'!$K$22:$P$22"}</definedName>
    <definedName name="업무계획표" hidden="1">{#N/A,#N/A,TRUE,"대 차 대 조 표"}</definedName>
    <definedName name="업무계획표_1" hidden="1">{#N/A,#N/A,TRUE,"대 차 대 조 표"}</definedName>
    <definedName name="업무계획표01" hidden="1">{#N/A,#N/A,TRUE,"대 차 대 조 표"}</definedName>
    <definedName name="업무계획표01_1" hidden="1">{#N/A,#N/A,TRUE,"대 차 대 조 표"}</definedName>
    <definedName name="업무시행">#REF!</definedName>
    <definedName name="업무실적1">#REF!</definedName>
    <definedName name="업무연락안양식_209_List">#REF!</definedName>
    <definedName name="업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소월별사용량">#N/A</definedName>
    <definedName name="엉댜ㄷㅈ">#REF!</definedName>
    <definedName name="엉댜ㄷㅈ1">#N/A</definedName>
    <definedName name="에너지비용산출근거">BlankMacro1</definedName>
    <definedName name="에누리.본">#REF!</definedName>
    <definedName name="에스페로16LPG">#REF!</definedName>
    <definedName name="에이" hidden="1">{#N/A,#N/A,TRUE,"Y생산";#N/A,#N/A,TRUE,"Y판매";#N/A,#N/A,TRUE,"Y총물량";#N/A,#N/A,TRUE,"Y능력";#N/A,#N/A,TRUE,"YKD"}</definedName>
    <definedName name="엘지">OFFSET(#REF!,0,0,COUNTA(#REF!)-1,1)</definedName>
    <definedName name="여유분">#REF!</definedName>
    <definedName name="여이" hidden="1">{#N/A,#N/A,FALSE,"1.CRITERIA";#N/A,#N/A,FALSE,"2.IS";#N/A,#N/A,FALSE,"3.BS";#N/A,#N/A,FALSE,"4.PER PL";#N/A,#N/A,FALSE,"5.INVESTMENT";#N/A,#N/A,FALSE,"6.공문";#N/A,#N/A,FALSE,"7.netinvest"}</definedName>
    <definedName name="역률요금1">IF(#REF!="저압",0,ROUND(IF(#REF!&gt;0.95,0.05,#REF!-0.9)*기본요금1*MAX(피크치1,#REF!,#REF!*0.3),0))</definedName>
    <definedName name="역삼동각지">#REF!</definedName>
    <definedName name="역삼빵">#REF!</definedName>
    <definedName name="역삼정산">#REF!</definedName>
    <definedName name="연">#REF!</definedName>
    <definedName name="연구" hidden="1">{#N/A,#N/A,FALSE,"3가";#N/A,#N/A,FALSE,"3나";#N/A,#N/A,FALSE,"3다"}</definedName>
    <definedName name="연구개발비">#REF!</definedName>
    <definedName name="연구비">#REF!</definedName>
    <definedName name="연면적_GFA">#REF!</definedName>
    <definedName name="연봉">#REF!</definedName>
    <definedName name="연봉1">#REF!</definedName>
    <definedName name="연봉2">#REF!</definedName>
    <definedName name="연봉3">#REF!</definedName>
    <definedName name="연습">#REF!</definedName>
    <definedName name="연월차">#REF!</definedName>
    <definedName name="연율">#REF!</definedName>
    <definedName name="연장">#REF!</definedName>
    <definedName name="연장추가">#REF!</definedName>
    <definedName name="연제판">#REF!</definedName>
    <definedName name="연직고">#REF!</definedName>
    <definedName name="연직변">#REF!</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hidden="1">{#N/A,#N/A,FALSE,"단축1";#N/A,#N/A,FALSE,"단축2";#N/A,#N/A,FALSE,"단축3";#N/A,#N/A,FALSE,"장축";#N/A,#N/A,FALSE,"4WD"}</definedName>
    <definedName name="영">#REF!</definedName>
    <definedName name="영비">#REF!</definedName>
    <definedName name="영수">#REF!</definedName>
    <definedName name="영업" hidden="1">#REF!</definedName>
    <definedName name="영업권" hidden="1">{#N/A,#N/A,FALSE,"BS";#N/A,#N/A,FALSE,"PL";#N/A,#N/A,FALSE,"처분";#N/A,#N/A,FALSE,"현금";#N/A,#N/A,FALSE,"매출";#N/A,#N/A,FALSE,"원가";#N/A,#N/A,FALSE,"경영"}</definedName>
    <definedName name="영업권1" hidden="1">{#N/A,#N/A,FALSE,"BS";#N/A,#N/A,FALSE,"PL";#N/A,#N/A,FALSE,"처분";#N/A,#N/A,FALSE,"현금";#N/A,#N/A,FALSE,"매출";#N/A,#N/A,FALSE,"원가";#N/A,#N/A,FALSE,"경영"}</definedName>
    <definedName name="영업본" hidden="1">{#N/A,#N/A,FALSE,"표지";#N/A,#N/A,FALSE,"전제";#N/A,#N/A,FALSE,"손익-자 (2)";#N/A,#N/A,FALSE,"손익-자";#N/A,#N/A,FALSE,"손익-마 (2)";#N/A,#N/A,FALSE,"손익-마";#N/A,#N/A,FALSE,"총손최종"}</definedName>
    <definedName name="영업부예산">#REF!</definedName>
    <definedName name="영업수"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비용" hidden="1">{#N/A,#N/A,FALSE,"Aging Summary";#N/A,#N/A,FALSE,"Ratio Analysis";#N/A,#N/A,FALSE,"Test 120 Day Accts";#N/A,#N/A,FALSE,"Tickmarks"}</definedName>
    <definedName name="영업외수익" hidden="1">{#N/A,#N/A,FALSE,"1.CRITERIA";#N/A,#N/A,FALSE,"2.IS";#N/A,#N/A,FALSE,"3.BS";#N/A,#N/A,FALSE,"4.PER PL";#N/A,#N/A,FALSE,"5.INVESTMENT";#N/A,#N/A,FALSE,"6.공문";#N/A,#N/A,FALSE,"7.netinvest"}</definedName>
    <definedName name="영역">#REF!</definedName>
    <definedName name="영역1">#REF!</definedName>
    <definedName name="영외수">#REF!</definedName>
    <definedName name="예">#REF!</definedName>
    <definedName name="預り保証金" hidden="1">{"'買掛金'!$J$6"}</definedName>
    <definedName name="예금" hidden="1">{#N/A,#N/A,FALSE,"1.CRITERIA";#N/A,#N/A,FALSE,"2.IS";#N/A,#N/A,FALSE,"3.BS";#N/A,#N/A,FALSE,"4.PER PL";#N/A,#N/A,FALSE,"5.INVESTMENT";#N/A,#N/A,FALSE,"6.공문";#N/A,#N/A,FALSE,"7.netinvest"}</definedName>
    <definedName name="예비분석">#REF!</definedName>
    <definedName name="예비비합계">#REF!</definedName>
    <definedName name="예산" hidden="1">{#N/A,#N/A,FALSE,"단축1";#N/A,#N/A,FALSE,"단축2";#N/A,#N/A,FALSE,"단축3";#N/A,#N/A,FALSE,"장축";#N/A,#N/A,FALSE,"4WD"}</definedName>
    <definedName name="예산1기_시작년도">#REF!</definedName>
    <definedName name="예산1기_시작월일">#REF!</definedName>
    <definedName name="예산1기_종료월일">#REF!</definedName>
    <definedName name="예산2기_시작년도">#REF!</definedName>
    <definedName name="예산2기_시작월일">#REF!</definedName>
    <definedName name="예산2기_종료월일">#REF!</definedName>
    <definedName name="예산기수1">#REF!</definedName>
    <definedName name="예산기수2">#REF!</definedName>
    <definedName name="예산총괄시트설ONLY">#REF!</definedName>
    <definedName name="예상매출전체">#REF!</definedName>
    <definedName name="예상매출회당">#REF!</definedName>
    <definedName name="예상실적">#REF!</definedName>
    <definedName name="예수금">#REF!</definedName>
    <definedName name="예정량1">#REF!</definedName>
    <definedName name="예정량2">#REF!</definedName>
    <definedName name="예정일1">#REF!</definedName>
    <definedName name="예정일2">#REF!</definedName>
    <definedName name="오">#REF!</definedName>
    <definedName name="오늘" hidden="1">{#N/A,#N/A,TRUE,"Y생산";#N/A,#N/A,TRUE,"Y판매";#N/A,#N/A,TRUE,"Y총물량";#N/A,#N/A,TRUE,"Y능력";#N/A,#N/A,TRUE,"YKD"}</definedName>
    <definedName name="오릉">#REF!</definedName>
    <definedName name="오성협" hidden="1">{#N/A,#N/A,TRUE,"Y생산";#N/A,#N/A,TRUE,"Y판매";#N/A,#N/A,TRUE,"Y총물량";#N/A,#N/A,TRUE,"Y능력";#N/A,#N/A,TRUE,"YKD"}</definedName>
    <definedName name="오케이" hidden="1">{#N/A,#N/A,FALSE,"단축1";#N/A,#N/A,FALSE,"단축2";#N/A,#N/A,FALSE,"단축3";#N/A,#N/A,FALSE,"장축";#N/A,#N/A,FALSE,"4WD"}</definedName>
    <definedName name="오ㅑ">#REF!</definedName>
    <definedName name="옹홍ㅇㄹㅇㅇ">#REF!</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차물류비" hidden="1">{#N/A,#N/A,FALSE,"인원";#N/A,#N/A,FALSE,"비용2";#N/A,#N/A,FALSE,"비용1";#N/A,#N/A,FALSE,"비용";#N/A,#N/A,FALSE,"보증2";#N/A,#N/A,FALSE,"보증1";#N/A,#N/A,FALSE,"보증";#N/A,#N/A,FALSE,"손익1";#N/A,#N/A,FALSE,"손익";#N/A,#N/A,FALSE,"부서별매출";#N/A,#N/A,FALSE,"매출"}</definedName>
    <definedName name="완성차불만">#REF!</definedName>
    <definedName name="왈왈">#REF!</definedName>
    <definedName name="왜이러냐" hidden="1">{"'Sheet1'!$A$1:$H$36"}</definedName>
    <definedName name="외국인급여">#REF!</definedName>
    <definedName name="외상" hidden="1">{#N/A,#N/A,FALSE,"Aging Summary";#N/A,#N/A,FALSE,"Ratio Analysis";#N/A,#N/A,FALSE,"Test 120 Day Accts";#N/A,#N/A,FALSE,"Tickmarks"}</definedName>
    <definedName name="외상매입">#REF!</definedName>
    <definedName name="외상매입금">#REF!</definedName>
    <definedName name="외상매출금">#REF!</definedName>
    <definedName name="외예금" hidden="1">{#N/A,#N/A,FALSE,"1.CRITERIA";#N/A,#N/A,FALSE,"2.IS";#N/A,#N/A,FALSE,"3.BS";#N/A,#N/A,FALSE,"4.PER PL";#N/A,#N/A,FALSE,"5.INVESTMENT";#N/A,#N/A,FALSE,"6.공문";#N/A,#N/A,FALSE,"7.netinvest"}</definedName>
    <definedName name="외자비" hidden="1">#REF!</definedName>
    <definedName name="외주">#N/A</definedName>
    <definedName name="외주계획" hidden="1">{#N/A,#N/A,TRUE,"Y생산";#N/A,#N/A,TRUE,"Y판매";#N/A,#N/A,TRUE,"Y총물량";#N/A,#N/A,TRUE,"Y능력";#N/A,#N/A,TRUE,"YKD"}</definedName>
    <definedName name="외주단가">#REF!</definedName>
    <definedName name="외주인상">#REF!</definedName>
    <definedName name="외화"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화외상" hidden="1">{#N/A,#N/A,FALSE,"Aging Summary";#N/A,#N/A,FALSE,"Ratio Analysis";#N/A,#N/A,FALSE,"Test 120 Day Accts";#N/A,#N/A,FALSE,"Tickmarks"}</definedName>
    <definedName name="외화외상매입금" hidden="1">{#N/A,#N/A,FALSE,"Aging Summary";#N/A,#N/A,FALSE,"Ratio Analysis";#N/A,#N/A,FALSE,"Test 120 Day Accts";#N/A,#N/A,FALSE,"Tickmarks"}</definedName>
    <definedName name="외화평가">#REF!</definedName>
    <definedName name="외화환산" hidden="1">{#N/A,#N/A,FALSE,"Aging Summary";#N/A,#N/A,FALSE,"Ratio Analysis";#N/A,#N/A,FALSE,"Test 120 Day Accts";#N/A,#N/A,FALSE,"Tickmarks"}</definedName>
    <definedName name="외환산"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외환산조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외환차손ADJ"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요" hidden="1">{#N/A,#N/A,FALSE,"1.CRITERIA";#N/A,#N/A,FALSE,"2.IS";#N/A,#N/A,FALSE,"3.BS";#N/A,#N/A,FALSE,"4.PER PL";#N/A,#N/A,FALSE,"5.INVESTMENT";#N/A,#N/A,FALSE,"6.공문";#N/A,#N/A,FALSE,"7.netinvest"}</definedName>
    <definedName name="요건_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금">#REF!</definedName>
    <definedName name="요약1" hidden="1">{"'호선별현황(방식)'!$K$22:$P$22","'호선별현황(방식)'!$K$22:$P$22"}</definedName>
    <definedName name="요율표">#REF!</definedName>
    <definedName name="요인별2" hidden="1">#REF!</definedName>
    <definedName name="요일">#REF!</definedName>
    <definedName name="요척량">#REF!,#REF!,#REF!,#REF!,#REF!,#REF!,#REF!,#REF!,#REF!,#REF!,#REF!,#REF!,#REF!,#REF!,#REF!</definedName>
    <definedName name="용도차" hidden="1">{#N/A,#N/A,FALSE,"단축1";#N/A,#N/A,FALSE,"단축2";#N/A,#N/A,FALSE,"단축3";#N/A,#N/A,FALSE,"장축";#N/A,#N/A,FALSE,"4WD"}</definedName>
    <definedName name="용역">#REF!</definedName>
    <definedName name="용품" hidden="1">{#N/A,#N/A,FALSE,"95FW"}</definedName>
    <definedName name="용품스케쥴" hidden="1">{#N/A,#N/A,FALSE,"95FW"}</definedName>
    <definedName name="우라" hidden="1">{"'Sheet1'!$A$1:$D$15"}</definedName>
    <definedName name="우리" hidden="1">{#N/A,#N/A,FALSE,"인원";#N/A,#N/A,FALSE,"비용2";#N/A,#N/A,FALSE,"비용1";#N/A,#N/A,FALSE,"비용";#N/A,#N/A,FALSE,"보증2";#N/A,#N/A,FALSE,"보증1";#N/A,#N/A,FALSE,"보증";#N/A,#N/A,FALSE,"손익1";#N/A,#N/A,FALSE,"손익";#N/A,#N/A,FALSE,"부서별매출";#N/A,#N/A,FALSE,"매출"}</definedName>
    <definedName name="우리나라" hidden="1">{#N/A,#N/A,TRUE,"Y생산";#N/A,#N/A,TRUE,"Y판매";#N/A,#N/A,TRUE,"Y총물량";#N/A,#N/A,TRUE,"Y능력";#N/A,#N/A,TRUE,"YKD"}</definedName>
    <definedName name="우리별은">#REF!</definedName>
    <definedName name="우오수공" hidden="1">{#N/A,#N/A,FALSE,"기안지";#N/A,#N/A,FALSE,"통신지"}</definedName>
    <definedName name="우진기타불량">#REF!</definedName>
    <definedName name="우진기획">#REF!</definedName>
    <definedName name="우진기획량">#REF!</definedName>
    <definedName name="우진요척량">#REF!</definedName>
    <definedName name="우진원불">#REF!</definedName>
    <definedName name="우진정품입고">#REF!</definedName>
    <definedName name="우진취불">#REF!</definedName>
    <definedName name="운반비">#REF!</definedName>
    <definedName name="운송">#REF!</definedName>
    <definedName name="운송ㅁ">#REF!</definedName>
    <definedName name="운송명세">#REF!</definedName>
    <definedName name="운영계획" hidden="1">{#N/A,#N/A,FALSE,"SILO현황";#N/A,#N/A,FALSE,"타업체";#N/A,#N/A,FALSE,"생산능력"}</definedName>
    <definedName name="운영비">20690</definedName>
    <definedName name="운영팀2" hidden="1">{#N/A,#N/A,TRUE,"Y생산";#N/A,#N/A,TRUE,"Y판매";#N/A,#N/A,TRUE,"Y총물량";#N/A,#N/A,TRUE,"Y능력";#N/A,#N/A,TRUE,"YKD"}</definedName>
    <definedName name="운영팀2_1" hidden="1">{#N/A,#N/A,TRUE,"Y생산";#N/A,#N/A,TRUE,"Y판매";#N/A,#N/A,TRUE,"Y총물량";#N/A,#N/A,TRUE,"Y능력";#N/A,#N/A,TRUE,"YKD"}</definedName>
    <definedName name="원" hidden="1">{#N/A,#N/A,TRUE,"Y생산";#N/A,#N/A,TRUE,"Y판매";#N/A,#N/A,TRUE,"Y총물량";#N/A,#N/A,TRUE,"Y능력";#N/A,#N/A,TRUE,"YKD"}</definedName>
    <definedName name="원가" hidden="1">{#N/A,#N/A,FALSE,"1.CRITERIA";#N/A,#N/A,FALSE,"2.IS";#N/A,#N/A,FALSE,"3.BS";#N/A,#N/A,FALSE,"4.PER PL";#N/A,#N/A,FALSE,"5.INVESTMENT";#N/A,#N/A,FALSE,"6.공문";#N/A,#N/A,FALSE,"7.netinvest"}</definedName>
    <definedName name="원가개선">#REF!</definedName>
    <definedName name="원가분석" hidden="1">{#N/A,#N/A,FALSE,"1.CRITERIA";#N/A,#N/A,FALSE,"2.IS";#N/A,#N/A,FALSE,"3.BS";#N/A,#N/A,FALSE,"4.PER PL";#N/A,#N/A,FALSE,"5.INVESTMENT";#N/A,#N/A,FALSE,"6.공문";#N/A,#N/A,FALSE,"7.netinvest"}</definedName>
    <definedName name="원단" hidden="1">{#N/A,#N/A,TRUE,"Y생산";#N/A,#N/A,TRUE,"Y판매";#N/A,#N/A,TRUE,"Y총물량";#N/A,#N/A,TRUE,"Y능력";#N/A,#N/A,TRUE,"YKD"}</definedName>
    <definedName name="원단위">#REF!</definedName>
    <definedName name="원본">#REF!</definedName>
    <definedName name="원본2" hidden="1">#REF!</definedName>
    <definedName name="원우">OFFSET(#REF!,0,0,COUNTA(#REF!)-1,1)</definedName>
    <definedName name="원재료장성">#REF!</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_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#REF!</definedName>
    <definedName name="월례" hidden="1">{"'호선별현황(방식)'!$K$22:$P$22","'호선별현황(방식)'!$K$22:$P$22"}</definedName>
    <definedName name="월말"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#REF!</definedName>
    <definedName name="월별보전비">#REF!</definedName>
    <definedName name="월별분배">#REF!</definedName>
    <definedName name="월별영업">#REF!</definedName>
    <definedName name="월별영업비용" hidden="1">{#N/A,#N/A,FALSE,"1.CRITERIA";#N/A,#N/A,FALSE,"2.IS";#N/A,#N/A,FALSE,"3.BS";#N/A,#N/A,FALSE,"4.PER PL";#N/A,#N/A,FALSE,"5.INVESTMENT";#N/A,#N/A,FALSE,"6.공문";#N/A,#N/A,FALSE,"7.netinvest"}</definedName>
    <definedName name="월별출고계획" hidden="1">{#N/A,#N/A,FALSE,"95FW"}</definedName>
    <definedName name="월시간">#REF!</definedName>
    <definedName name="위치">#REF!</definedName>
    <definedName name="유가" hidden="1">{#N/A,#N/A,FALSE,"BS";#N/A,#N/A,FALSE,"PL";#N/A,#N/A,FALSE,"처분";#N/A,#N/A,FALSE,"현금";#N/A,#N/A,FALSE,"매출";#N/A,#N/A,FALSE,"원가";#N/A,#N/A,FALSE,"경영"}</definedName>
    <definedName name="유가증권" hidden="1">{#N/A,#N/A,FALSE,"Aging Summary";#N/A,#N/A,FALSE,"Ratio Analysis";#N/A,#N/A,FALSE,"Test 120 Day Accts";#N/A,#N/A,FALSE,"Tickmarks"}</definedName>
    <definedName name="유가증권평가test" hidden="1">{#N/A,#N/A,FALSE,"Aging Summary";#N/A,#N/A,FALSE,"Ratio Analysis";#N/A,#N/A,FALSE,"Test 120 Day Accts";#N/A,#N/A,FALSE,"Tickmarks"}</definedName>
    <definedName name="유니트" hidden="1">{#N/A,#N/A,FALSE,"3가";#N/A,#N/A,FALSE,"3나";#N/A,#N/A,FALSE,"3다"}</definedName>
    <definedName name="유동성사채">#REF!</definedName>
    <definedName name="유동성장기부채">#REF!</definedName>
    <definedName name="유럽">#REF!</definedName>
    <definedName name="유로환율">#REF!</definedName>
    <definedName name="유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이" hidden="1">{#N/A,#N/A,FALSE,"1.CRITERIA";#N/A,#N/A,FALSE,"2.IS";#N/A,#N/A,FALSE,"3.BS";#N/A,#N/A,FALSE,"4.PER PL";#N/A,#N/A,FALSE,"5.INVESTMENT";#N/A,#N/A,FALSE,"6.공문";#N/A,#N/A,FALSE,"7.netinvest"}</definedName>
    <definedName name="유진종합">#REF!</definedName>
    <definedName name="유통">#REF!</definedName>
    <definedName name="유형근" hidden="1">"AS2DocumentEdit"</definedName>
    <definedName name="유형자산">#REF!</definedName>
    <definedName name="유형자산tot" hidden="1">{#N/A,#N/A,FALSE,"Aging Summary";#N/A,#N/A,FALSE,"Ratio Analysis";#N/A,#N/A,FALSE,"Test 120 Day Accts";#N/A,#N/A,FALSE,"Tickmarks"}</definedName>
    <definedName name="유홍상" hidden="1">#N/A</definedName>
    <definedName name="육">#REF!</definedName>
    <definedName name="윤" hidden="1">#REF!</definedName>
    <definedName name="윤ㅁ" hidden="1">#N/A</definedName>
    <definedName name="윤종현윤종현">#REF!</definedName>
    <definedName name="은행_data">#REF!</definedName>
    <definedName name="은행명">#REF!</definedName>
    <definedName name="음악합계">#REF!</definedName>
    <definedName name="의결권" hidden="1">#REF!</definedName>
    <definedName name="의뢰">#REF!</definedName>
    <definedName name="의류">#REF!</definedName>
    <definedName name="의장">#REF!</definedName>
    <definedName name="이">#REF!</definedName>
    <definedName name="이고수">#N/A</definedName>
    <definedName name="이동" hidden="1">{#N/A,#N/A,FALSE,"채산3501.XLS";#N/A,#N/A,FALSE,"신조수A.XLS";#N/A,#N/A,FALSE,"신조수b.XLS";#N/A,#N/A,FALSE,"채산3502.XLS";#N/A,#N/A,FALSE,"신조원리.XLS";#N/A,#N/A,FALSE,"신조감가.XLS"}</definedName>
    <definedName name="이런" hidden="1">#N/A</definedName>
    <definedName name="이론량1">#REF!</definedName>
    <definedName name="이론량2">#REF!</definedName>
    <definedName name="이론초출">#REF!</definedName>
    <definedName name="이름" hidden="1">{#N/A,#N/A,TRUE,"Y생산";#N/A,#N/A,TRUE,"Y판매";#N/A,#N/A,TRUE,"Y총물량";#N/A,#N/A,TRUE,"Y능력";#N/A,#N/A,TRUE,"YKD"}</definedName>
    <definedName name="이름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이름모야" hidden="1">{#N/A,#N/A,FALSE,"95FW"}</definedName>
    <definedName name="이름이">#REF!</definedName>
    <definedName name="이름충돌\" hidden="1">{#N/A,#N/A,TRUE,"Y생산";#N/A,#N/A,TRUE,"Y판매";#N/A,#N/A,TRUE,"Y총물량";#N/A,#N/A,TRUE,"Y능력";#N/A,#N/A,TRUE,"YKD"}</definedName>
    <definedName name="이매출">#REF!</definedName>
    <definedName name="이법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쁘니"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이쁘니_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이상">#REF!</definedName>
    <definedName name="이승훈" hidden="1">#N/A</definedName>
    <definedName name="이연자산">#REF!</definedName>
    <definedName name="이이" hidden="1">{#N/A,#N/A,TRUE,"Y생산";#N/A,#N/A,TRUE,"Y판매";#N/A,#N/A,TRUE,"Y총물량";#N/A,#N/A,TRUE,"Y능력";#N/A,#N/A,TRUE,"YKD"}</definedName>
    <definedName name="이이_1" hidden="1">{#N/A,#N/A,TRUE,"Y생산";#N/A,#N/A,TRUE,"Y판매";#N/A,#N/A,TRUE,"Y총물량";#N/A,#N/A,TRUE,"Y능력";#N/A,#N/A,TRUE,"YKD"}</definedName>
    <definedName name="이이름">#REF!</definedName>
    <definedName name="이이자">#REF!</definedName>
    <definedName name="이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이익잉영금">#REF!</definedName>
    <definedName name="이인원">#REF!</definedName>
    <definedName name="이자비용">#REF!</definedName>
    <definedName name="이종화">#REF!</definedName>
    <definedName name="이천일년">#REF!</definedName>
    <definedName name="이철호" hidden="1">{#N/A,#N/A,FALSE,"Aging Summary";#N/A,#N/A,FALSE,"Ratio Analysis";#N/A,#N/A,FALSE,"Test 120 Day Accts";#N/A,#N/A,FALSE,"Tickmarks"}</definedName>
    <definedName name="이호">#REF!</definedName>
    <definedName name="이화감가">#REF!</definedName>
    <definedName name="이화매출">#REF!</definedName>
    <definedName name="이화인원">#REF!</definedName>
    <definedName name="익산">#REF!</definedName>
    <definedName name="익월업무계획">#REF!</definedName>
    <definedName name="인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인건비">#REF!</definedName>
    <definedName name="인건비현황" hidden="1">{#N/A,#N/A,FALSE,"BS";#N/A,#N/A,FALSE,"PL";#N/A,#N/A,FALSE,"처분";#N/A,#N/A,FALSE,"현금";#N/A,#N/A,FALSE,"매출";#N/A,#N/A,FALSE,"원가";#N/A,#N/A,FALSE,"경영"}</definedName>
    <definedName name="인사">BlankMacro1</definedName>
    <definedName name="인상률안분">#REF!</definedName>
    <definedName name="인쇄01">#REF!</definedName>
    <definedName name="인쇄제목">#REF!</definedName>
    <definedName name="인원10월">#REF!</definedName>
    <definedName name="인원11월">#REF!</definedName>
    <definedName name="인원12월">#REF!</definedName>
    <definedName name="인원3월">#REF!</definedName>
    <definedName name="인원4월">#REF!</definedName>
    <definedName name="인원5월">#REF!</definedName>
    <definedName name="인원6월">#REF!</definedName>
    <definedName name="인원7월">#REF!</definedName>
    <definedName name="인원8월">#REF!</definedName>
    <definedName name="인원9월">#REF!</definedName>
    <definedName name="인원세부" hidden="1">{#N/A,#N/A,TRUE,"Y생산";#N/A,#N/A,TRUE,"Y판매";#N/A,#N/A,TRUE,"Y총물량";#N/A,#N/A,TRUE,"Y능력";#N/A,#N/A,TRUE,"YKD"}</definedName>
    <definedName name="인정"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인테리어팀" hidden="1">{#N/A,#N/A,TRUE,"Y생산";#N/A,#N/A,TRUE,"Y판매";#N/A,#N/A,TRUE,"Y총물량";#N/A,#N/A,TRUE,"Y능력";#N/A,#N/A,TRUE,"YKD"}</definedName>
    <definedName name="인테리어팀_1" hidden="1">{#N/A,#N/A,TRUE,"Y생산";#N/A,#N/A,TRUE,"Y판매";#N/A,#N/A,TRUE,"Y총물량";#N/A,#N/A,TRUE,"Y능력";#N/A,#N/A,TRUE,"YKD"}</definedName>
    <definedName name="일">#REF!</definedName>
    <definedName name="일동" hidden="1">{#N/A,#N/A,TRUE,"Y생산";#N/A,#N/A,TRUE,"Y판매";#N/A,#N/A,TRUE,"Y총물량";#N/A,#N/A,TRUE,"Y능력";#N/A,#N/A,TRUE,"YKD"}</definedName>
    <definedName name="일등국민">#REF!</definedName>
    <definedName name="一般管理" hidden="1">{"'買掛金'!$J$6"}</definedName>
    <definedName name="일반시급">#REF!</definedName>
    <definedName name="일산100">#REF!</definedName>
    <definedName name="일상보고">#REF!</definedName>
    <definedName name="일용직여" hidden="1">#REF!</definedName>
    <definedName name="일월급여">#REF!</definedName>
    <definedName name="일자">"Edit Box 13"</definedName>
    <definedName name="일정" hidden="1">{#N/A,#N/A,TRUE,"Y생산";#N/A,#N/A,TRUE,"Y판매";#N/A,#N/A,TRUE,"Y총물량";#N/A,#N/A,TRUE,"Y능력";#N/A,#N/A,TRUE,"YKD"}</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금인상">#REF!</definedName>
    <definedName name="임대07년">#REF!</definedName>
    <definedName name="임대07년1">#REF!</definedName>
    <definedName name="임대08년">#REF!</definedName>
    <definedName name="임대09년">#REF!</definedName>
    <definedName name="임ㅅ1" hidden="1">0</definedName>
    <definedName name="임시">#REF!</definedName>
    <definedName name="임원회의">#REF!</definedName>
    <definedName name="임원회의20">#REF!</definedName>
    <definedName name="임차보증금">#REF!</definedName>
    <definedName name="입고1">#REF!</definedName>
    <definedName name="입고2">#REF!</definedName>
    <definedName name="입고3">#REF!</definedName>
    <definedName name="입고4">#REF!</definedName>
    <definedName name="입고5">#REF!</definedName>
    <definedName name="입사">#REF!</definedName>
    <definedName name="입사일">#REF!</definedName>
    <definedName name="잉여" hidden="1">{#N/A,#N/A,FALSE,"Aging Summary";#N/A,#N/A,FALSE,"Ratio Analysis";#N/A,#N/A,FALSE,"Test 120 Day Accts";#N/A,#N/A,FALSE,"Tickmarks"}</definedName>
    <definedName name="잉여금" hidden="1">{#N/A,#N/A,FALSE,"Aging Summary";#N/A,#N/A,FALSE,"Ratio Analysis";#N/A,#N/A,FALSE,"Test 120 Day Accts";#N/A,#N/A,FALSE,"Tickmarks"}</definedName>
    <definedName name="잉여금처분" hidden="1">{#N/A,#N/A,FALSE,"BS";#N/A,#N/A,FALSE,"PL";#N/A,#N/A,FALSE,"처분";#N/A,#N/A,FALSE,"현금";#N/A,#N/A,FALSE,"매출";#N/A,#N/A,FALSE,"원가";#N/A,#N/A,FALSE,"경영"}</definedName>
    <definedName name="ㅈ" hidden="1">{#N/A,#N/A,TRUE,"Y생산";#N/A,#N/A,TRUE,"Y판매";#N/A,#N/A,TRUE,"Y총물량";#N/A,#N/A,TRUE,"Y능력";#N/A,#N/A,TRUE,"YKD"}</definedName>
    <definedName name="ㅈ121">#REF!</definedName>
    <definedName name="ㅈ123">#REF!</definedName>
    <definedName name="ㅈ159">#REF!</definedName>
    <definedName name="ㅈ1591">#REF!</definedName>
    <definedName name="ㅈㄷㄱ" hidden="1">#REF!</definedName>
    <definedName name="ㅈㄷㄱㄱ" hidden="1">{#N/A,#N/A,FALSE,"Aging Summary";#N/A,#N/A,FALSE,"Ratio Analysis";#N/A,#N/A,FALSE,"Test 120 Day Accts";#N/A,#N/A,FALSE,"Tickmarks"}</definedName>
    <definedName name="ㅈㄷ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ㄷㅈㄷㄱㄷ" hidden="1">#REF!</definedName>
    <definedName name="ㅈㅈ" hidden="1">{#N/A,#N/A,FALSE,"전제";#N/A,#N/A,FALSE,"표지";#N/A,#N/A,FALSE,"6D16";#N/A,#N/A,FALSE,"6D22";#N/A,#N/A,FALSE,"6D22-T";#N/A,#N/A,FALSE,"Q-DEG";#N/A,#N/A,FALSE,"총손";#N/A,#N/A,FALSE,"대당";#N/A,#N/A,FALSE,"가공비"}</definedName>
    <definedName name="ㅈㅈㅈ"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ㅈㅈㅈㅈ" hidden="1">{"'Sheet1'!$A$1:$H$36"}</definedName>
    <definedName name="ㅈㅈㅈㅈㅈ">#REF!</definedName>
    <definedName name="ㅈㅈㅈㅈㅈㅈㅈ">#REF!</definedName>
    <definedName name="ㅈㅈㅈㅈㅈㅈㅈㅈ">#REF!</definedName>
    <definedName name="ㅈㅈㅈㅈㅈㅈㅈㅈㅈ">#REF!</definedName>
    <definedName name="자">#REF!</definedName>
    <definedName name="자금대구">#REF!</definedName>
    <definedName name="자금집행실적" hidden="1">{"'Sheet1'!$A$1:$H$36"}</definedName>
    <definedName name="자금청구현황대구">#REF!</definedName>
    <definedName name="자녀양육">#REF!</definedName>
    <definedName name="자동차투자" hidden="1">#REF!</definedName>
    <definedName name="자랑">#REF!</definedName>
    <definedName name="자료" hidden="1">{#N/A,#N/A,FALSE,"95FW"}</definedName>
    <definedName name="자료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매출">#REF!</definedName>
    <definedName name="자본" hidden="1">{#N/A,#N/A,FALSE,"Aging Summary";#N/A,#N/A,FALSE,"Ratio Analysis";#N/A,#N/A,FALSE,"Test 120 Day Accts";#N/A,#N/A,FALSE,"Tickmarks"}</definedName>
    <definedName name="자본금" hidden="1">{#N/A,#N/A,FALSE,"Aging Summary";#N/A,#N/A,FALSE,"Ratio Analysis";#N/A,#N/A,FALSE,"Test 120 Day Accts";#N/A,#N/A,FALSE,"Tickmarks"}</definedName>
    <definedName name="자본금과잉여금">#REF!</definedName>
    <definedName name="자본방" hidden="1">{#N/A,#N/A,FALSE,"Aging Summary";#N/A,#N/A,FALSE,"Ratio Analysis";#N/A,#N/A,FALSE,"Test 120 Day Accts";#N/A,#N/A,FALSE,"Tickmarks"}</definedName>
    <definedName name="자산">#REF!</definedName>
    <definedName name="자산_가치_상승률">#REF!</definedName>
    <definedName name="자산건전성">#REF!</definedName>
    <definedName name="자이자">#REF!</definedName>
    <definedName name="자인원">#REF!</definedName>
    <definedName name="자재기준" hidden="1">{#N/A,#N/A,TRUE,"Y생산";#N/A,#N/A,TRUE,"Y판매";#N/A,#N/A,TRUE,"Y총물량";#N/A,#N/A,TRUE,"Y능력";#N/A,#N/A,TRUE,"YKD"}</definedName>
    <definedName name="자체취소">#REF!</definedName>
    <definedName name="작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작성조서" hidden="1">{#N/A,#N/A,FALSE,"BS";#N/A,#N/A,FALSE,"PL";#N/A,#N/A,FALSE,"처분";#N/A,#N/A,FALSE,"현금";#N/A,#N/A,FALSE,"매출";#N/A,#N/A,FALSE,"원가";#N/A,#N/A,FALSE,"경영"}</definedName>
    <definedName name="작업"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작업경로">#REF!</definedName>
    <definedName name="작업복">35000</definedName>
    <definedName name="작업일수">#REF!</definedName>
    <definedName name="잔존만기">#REF!</definedName>
    <definedName name="雑費" hidden="1">{"'買掛金'!$J$6"}</definedName>
    <definedName name="잡손실"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잡이익분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장1">#REF!</definedName>
    <definedName name="장10">#REF!</definedName>
    <definedName name="장11">#REF!</definedName>
    <definedName name="장12">#REF!</definedName>
    <definedName name="장2">#REF!</definedName>
    <definedName name="장3">#REF!</definedName>
    <definedName name="장4">#REF!</definedName>
    <definedName name="장5">#REF!</definedName>
    <definedName name="장6">#REF!</definedName>
    <definedName name="장7">#REF!</definedName>
    <definedName name="장8">#REF!</definedName>
    <definedName name="장9">#REF!</definedName>
    <definedName name="장기" hidden="1">{#N/A,#N/A,TRUE,"Y생산";#N/A,#N/A,TRUE,"Y판매";#N/A,#N/A,TRUE,"Y총물량";#N/A,#N/A,TRUE,"Y능력";#N/A,#N/A,TRUE,"YKD"}</definedName>
    <definedName name="장기_1" hidden="1">{#N/A,#N/A,TRUE,"Y생산";#N/A,#N/A,TRUE,"Y판매";#N/A,#N/A,TRUE,"Y총물량";#N/A,#N/A,TRUE,"Y능력";#N/A,#N/A,TRUE,"YKD"}</definedName>
    <definedName name="장기선급비용">#REF!</definedName>
    <definedName name="장기차입">#REF!</definedName>
    <definedName name="장기투자.94.BB">#REF!</definedName>
    <definedName name="長島" hidden="1">{"'買掛金'!$J$6"}</definedName>
    <definedName name="장부가액">#REF!</definedName>
    <definedName name="장부가액합계">#REF!</definedName>
    <definedName name="장비" hidden="1">{#N/A,#N/A,FALSE,"표지";#N/A,#N/A,FALSE,"을지1";#N/A,#N/A,FALSE,"일정1";#N/A,#N/A,FALSE,"일정2";#N/A,#N/A,FALSE,"11T-C";#N/A,#N/A,FALSE,"15T-D";#N/A,#N/A,FALSE,"판매현황";#N/A,#N/A,FALSE,"업무 FLOW"}</definedName>
    <definedName name="장비합계">#REF!</definedName>
    <definedName name="장선비용">#REF!</definedName>
    <definedName name="장성_2010">#REF!</definedName>
    <definedName name="장소사용료합계">#REF!</definedName>
    <definedName name="장애인10월">#REF!</definedName>
    <definedName name="장애인11월">#REF!</definedName>
    <definedName name="장애인12월">#REF!</definedName>
    <definedName name="장애인3월">#REF!</definedName>
    <definedName name="장애인4월">#REF!</definedName>
    <definedName name="장애인5월">#REF!</definedName>
    <definedName name="장애인6월">#REF!</definedName>
    <definedName name="장애인7월">#REF!</definedName>
    <definedName name="장애인8월">#REF!</definedName>
    <definedName name="장애인9월">#REF!</definedName>
    <definedName name="재고"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1">#REF!</definedName>
    <definedName name="재고2">#REF!</definedName>
    <definedName name="재고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무" hidden="1">#REF!</definedName>
    <definedName name="재무제표"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재무제표_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장품">#REF!</definedName>
    <definedName name="저쩌구">#REF!</definedName>
    <definedName name="적용전체">#REF!</definedName>
    <definedName name="적용현황">#REF!</definedName>
    <definedName name="전기">#N/A</definedName>
    <definedName name="전년" hidden="1">#REF!</definedName>
    <definedName name="전산장비" hidden="1">{"'Sheet1'!$A$1:$H$36"}</definedName>
    <definedName name="전신전화">#REF!</definedName>
    <definedName name="전월요금1">ROUND(사용량1*(전월일수-#REF!+1)/전월일수,0)*사용요금10</definedName>
    <definedName name="전월요금2">ROUND(사용량2*(전월일수-#REF!+1)/전월일수,0)*사용요금20</definedName>
    <definedName name="전월일수">#N/A</definedName>
    <definedName name="전입액">#REF!</definedName>
    <definedName name="전장">#REF!</definedName>
    <definedName name="전장su">#REF!</definedName>
    <definedName name="전제2" hidden="1">#REF!</definedName>
    <definedName name="전차종" hidden="1">{#N/A,#N/A,FALSE,"표지";#N/A,#N/A,FALSE,"전제";#N/A,#N/A,FALSE,"대당";#N/A,#N/A,FALSE,"가공비";#N/A,#N/A,FALSE,"재료비";#N/A,#N/A,FALSE,"손익"}</definedName>
    <definedName name="전체24">#REF!</definedName>
    <definedName name="전체예산">#REF!</definedName>
    <definedName name="전체제작회수">#REF!</definedName>
    <definedName name="전표">#REF!</definedName>
    <definedName name="전표입력">#REF!</definedName>
    <definedName name="절감">#REF!</definedName>
    <definedName name="絶費" hidden="1">{"'買掛金'!$J$6"}</definedName>
    <definedName name="점소">#N/A</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집계">#REF!</definedName>
    <definedName name="정" hidden="1">{#N/A,#N/A,FALSE,"Aging Summary";#N/A,#N/A,FALSE,"Ratio Analysis";#N/A,#N/A,FALSE,"Test 120 Day Accts";#N/A,#N/A,FALSE,"Tickmarks"}</definedName>
    <definedName name="정렬분">#REF!</definedName>
    <definedName name="정리" hidden="1">{#N/A,#N/A,TRUE,"대 차 대 조 표"}</definedName>
    <definedName name="정리_1" hidden="1">{#N/A,#N/A,TRUE,"대 차 대 조 표"}</definedName>
    <definedName name="정비대수" hidden="1">{#N/A,#N/A,FALSE,"인원";#N/A,#N/A,FALSE,"비용2";#N/A,#N/A,FALSE,"비용1";#N/A,#N/A,FALSE,"비용";#N/A,#N/A,FALSE,"보증2";#N/A,#N/A,FALSE,"보증1";#N/A,#N/A,FALSE,"보증";#N/A,#N/A,FALSE,"손익1";#N/A,#N/A,FALSE,"손익";#N/A,#N/A,FALSE,"부서별매출";#N/A,#N/A,FALSE,"매출"}</definedName>
    <definedName name="정산표" hidden="1">{#N/A,#N/A,FALSE,"Aging Summary";#N/A,#N/A,FALSE,"Ratio Analysis";#N/A,#N/A,FALSE,"Test 120 Day Accts";#N/A,#N/A,FALSE,"Tickmarks"}</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우성" hidden="1">{#N/A,#N/A,FALSE,"단축1";#N/A,#N/A,FALSE,"단축2";#N/A,#N/A,FALSE,"단축3";#N/A,#N/A,FALSE,"장축";#N/A,#N/A,FALSE,"4WD"}</definedName>
    <definedName name="정징" hidden="1">{#N/A,#N/A,TRUE,"Y생산";#N/A,#N/A,TRUE,"Y판매";#N/A,#N/A,TRUE,"Y총물량";#N/A,#N/A,TRUE,"Y능력";#N/A,#N/A,TRUE,"YKD"}</definedName>
    <definedName name="정호">#REF!</definedName>
    <definedName name="제">#REF!</definedName>
    <definedName name="제1안" hidden="1">{#N/A,#N/A,TRUE,"매출진척-1";#N/A,#N/A,TRUE,"매출진척-2";#N/A,#N/A,TRUE,"제품실적";#N/A,#N/A,TRUE,"RAC";#N/A,#N/A,TRUE,"PAC ";#N/A,#N/A,TRUE,"재고현황";#N/A,#N/A,TRUE,"공지사항"}</definedName>
    <definedName name="제동" hidden="1">#REF!</definedName>
    <definedName name="제동부하" hidden="1">#REF!</definedName>
    <definedName name="제동생산" hidden="1">#REF!</definedName>
    <definedName name="제목">#REF!</definedName>
    <definedName name="제목1">#REF!</definedName>
    <definedName name="제목2">#REF!</definedName>
    <definedName name="제목3">#REF!</definedName>
    <definedName name="제목4">#REF!</definedName>
    <definedName name="제일기획">#REF!</definedName>
    <definedName name="제일기획량">#REF!</definedName>
    <definedName name="제일요척량">#REF!</definedName>
    <definedName name="제일원불">#REF!</definedName>
    <definedName name="제일정품입고">#REF!</definedName>
    <definedName name="제일취불">#REF!</definedName>
    <definedName name="제작납품합계">#REF!</definedName>
    <definedName name="제작사명">#REF!</definedName>
    <definedName name="제작운영비합계">#REF!</definedName>
    <definedName name="제작지원합계">#REF!</definedName>
    <definedName name="제조" hidden="1">{#N/A,#N/A,FALSE,"1.CRITERIA";#N/A,#N/A,FALSE,"2.IS";#N/A,#N/A,FALSE,"3.BS";#N/A,#N/A,FALSE,"4.PER PL";#N/A,#N/A,FALSE,"5.INVESTMENT";#N/A,#N/A,FALSE,"6.공문";#N/A,#N/A,FALSE,"7.netinvest"}</definedName>
    <definedName name="제조경비">#REF!</definedName>
    <definedName name="제주추가종합수정안" hidden="1">{#N/A,#N/A,FALSE,"3가";#N/A,#N/A,FALSE,"3나";#N/A,#N/A,FALSE,"3다"}</definedName>
    <definedName name="제출일">#REF!</definedName>
    <definedName name="제품명">#REF!</definedName>
    <definedName name="제품생산량">#REF!</definedName>
    <definedName name="제품시화">#REF!</definedName>
    <definedName name="조" hidden="1">{#N/A,#N/A,FALSE,"1.CRITERIA";#N/A,#N/A,FALSE,"2.IS";#N/A,#N/A,FALSE,"3.BS";#N/A,#N/A,FALSE,"4.PER PL";#N/A,#N/A,FALSE,"5.INVESTMENT";#N/A,#N/A,FALSE,"6.공문";#N/A,#N/A,FALSE,"7.netinvest"}</definedName>
    <definedName name="조건">#REF!</definedName>
    <definedName name="조건부">#REF!</definedName>
    <definedName name="조립" hidden="1">{#N/A,#N/A,FALSE,"단축1";#N/A,#N/A,FALSE,"단축2";#N/A,#N/A,FALSE,"단축3";#N/A,#N/A,FALSE,"장축";#N/A,#N/A,FALSE,"4WD"}</definedName>
    <definedName name="조명합계">#REF!</definedName>
    <definedName name="조정" hidden="1">#REF!</definedName>
    <definedName name="조정1">#REF!</definedName>
    <definedName name="조정2">#REF!</definedName>
    <definedName name="조치" hidden="1">{#N/A,#N/A,FALSE,"단축1";#N/A,#N/A,FALSE,"단축2";#N/A,#N/A,FALSE,"단축3";#N/A,#N/A,FALSE,"장축";#N/A,#N/A,FALSE,"4WD"}</definedName>
    <definedName name="조향">#REF!</definedName>
    <definedName name="조향생산" hidden="1">#REF!</definedName>
    <definedName name="조회서번호">#REF!</definedName>
    <definedName name="조회액">#REF!</definedName>
    <definedName name="조회주화면">#REF!</definedName>
    <definedName name="종원">#N/A</definedName>
    <definedName name="종합">#REF!</definedName>
    <definedName name="종합2">#REF!</definedName>
    <definedName name="종합추이">#REF!</definedName>
    <definedName name="종합표">#REF!</definedName>
    <definedName name="종합합산">#REF!</definedName>
    <definedName name="종합합산세">#REF!</definedName>
    <definedName name="종합합산세율">#REF!</definedName>
    <definedName name="주">WEEKNUM(#REF!)-WEEKNUM(DATE(YEAR(#REF!),MONTH(#REF!),1))+1-IF(WEEKDAY(DATE(YEAR(#REF!),MONTH(#REF!),1))&gt;2,1,0)</definedName>
    <definedName name="주민">#REF!</definedName>
    <definedName name="주민세">#REF!</definedName>
    <definedName name="주부" hidden="1">{#N/A,#N/A,FALSE,"업체선정";#N/A,#N/A,FALSE,"업체선정sheet";#N/A,#N/A,FALSE,"업체실태";#N/A,#N/A,FALSE,"업체실태(1)";#N/A,#N/A,FALSE,"종업원현황(2)";#N/A,#N/A,FALSE,"생산품목(3)";#N/A,#N/A,FALSE,"장비보유현황";#N/A,#N/A,FALSE,"차량및약도";#N/A,#N/A,FALSE,"금형LIST"}</definedName>
    <definedName name="주부사원">#REF!</definedName>
    <definedName name="주부신수익권증서_400">#REF!</definedName>
    <definedName name="주소">#REF!</definedName>
    <definedName name="주소범위">#REF!</definedName>
    <definedName name="주소범위2">#REF!</definedName>
    <definedName name="주요" hidden="1">{#N/A,#N/A,TRUE,"Y생산";#N/A,#N/A,TRUE,"Y판매";#N/A,#N/A,TRUE,"Y총물량";#N/A,#N/A,TRUE,"Y능력";#N/A,#N/A,TRUE,"YKD"}</definedName>
    <definedName name="주요계정차이내역1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주요업무1">#REF!</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진행현황">#REF!</definedName>
    <definedName name="주임종">#REF!</definedName>
    <definedName name="주재원" hidden="1">#REF!</definedName>
    <definedName name="주종단체">#REF!</definedName>
    <definedName name="주주" hidden="1">{#N/A,#N/A,FALSE,"Aging Summary";#N/A,#N/A,FALSE,"Ratio Analysis";#N/A,#N/A,FALSE,"Test 120 Day Accts";#N/A,#N/A,FALSE,"Tickmarks"}</definedName>
    <definedName name="주택매출">#REF!</definedName>
    <definedName name="주택원가">#REF!</definedName>
    <definedName name="주택최종">#REF!</definedName>
    <definedName name="준" hidden="1">{#N/A,#N/A,FALSE,"Aging Summary";#N/A,#N/A,FALSE,"Ratio Analysis";#N/A,#N/A,FALSE,"Test 120 Day Accts";#N/A,#N/A,FALSE,"Tickmarks"}</definedName>
    <definedName name="중">#REF!,#REF!,#REF!,#REF!,#REF!,#REF!,#REF!,#REF!,#REF!,#REF!</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hidden="1">{#N/A,#N/A,FALSE,"BS";#N/A,#N/A,FALSE,"PL";#N/A,#N/A,FALSE,"처분";#N/A,#N/A,FALSE,"현금";#N/A,#N/A,FALSE,"매출";#N/A,#N/A,FALSE,"원가";#N/A,#N/A,FALSE,"경영"}</definedName>
    <definedName name="중개수수료" hidden="1">{#N/A,#N/A,FALSE,"표지";#N/A,#N/A,FALSE,"전제";#N/A,#N/A,FALSE,"손익-자 (2)";#N/A,#N/A,FALSE,"손익-자";#N/A,#N/A,FALSE,"손익-마 (2)";#N/A,#N/A,FALSE,"손익-마";#N/A,#N/A,FALSE,"총손최종"}</definedName>
    <definedName name="중개수수료내역" hidden="1">{#N/A,#N/A,FALSE,"표지";#N/A,#N/A,FALSE,"전제";#N/A,#N/A,FALSE,"손익-자 (2)";#N/A,#N/A,FALSE,"손익-자";#N/A,#N/A,FALSE,"손익-마 (2)";#N/A,#N/A,FALSE,"손익-마";#N/A,#N/A,FALSE,"총손최종"}</definedName>
    <definedName name="중급회계" hidden="1">{#N/A,#N/A,FALSE,"BS";#N/A,#N/A,FALSE,"PL";#N/A,#N/A,FALSE,"A";#N/A,#N/A,FALSE,"B";#N/A,#N/A,FALSE,"B1";#N/A,#N/A,FALSE,"C";#N/A,#N/A,FALSE,"C1";#N/A,#N/A,FALSE,"C2";#N/A,#N/A,FALSE,"D";#N/A,#N/A,FALSE,"E";#N/A,#N/A,FALSE,"F";#N/A,#N/A,FALSE,"AA";#N/A,#N/A,FALSE,"BB";#N/A,#N/A,FALSE,"CC";#N/A,#N/A,FALSE,"DD";#N/A,#N/A,FALSE,"EE";#N/A,#N/A,FALSE,"FF";#N/A,#N/A,FALSE,"PL10";#N/A,#N/A,FALSE,"PL20";#N/A,#N/A,FALSE,"PL30"}</definedName>
    <definedName name="중기예산" hidden="1">{#N/A,#N/A,FALSE,"3가";#N/A,#N/A,FALSE,"3나";#N/A,#N/A,FALSE,"3다"}</definedName>
    <definedName name="중소기업">#REF!</definedName>
    <definedName name="중앙" hidden="1">#REF!</definedName>
    <definedName name="중점업무" hidden="1">{"'호선별현황(방식)'!$K$22:$P$22","'호선별현황(방식)'!$K$22:$P$22"}</definedName>
    <definedName name="중점업무계획" hidden="1">{"'호선별현황(방식)'!$K$22:$P$22","'호선별현황(방식)'!$K$22:$P$22"}</definedName>
    <definedName name="중점추진" hidden="1">{#N/A,#N/A,TRUE,"일정"}</definedName>
    <definedName name="중지">#REF!</definedName>
    <definedName name="중지1">#REF!</definedName>
    <definedName name="중지2">#REF!</definedName>
    <definedName name="중표지"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쥬2" hidden="1">{#N/A,#N/A,FALSE,"표지";#N/A,#N/A,FALSE,"전제";#N/A,#N/A,FALSE,"손익-자 (2)";#N/A,#N/A,FALSE,"손익-자";#N/A,#N/A,FALSE,"손익-마 (2)";#N/A,#N/A,FALSE,"손익-마";#N/A,#N/A,FALSE,"총손최종"}</definedName>
    <definedName name="즉조팀">#REF!</definedName>
    <definedName name="지급액">#REF!</definedName>
    <definedName name="지급어음">#REF!</definedName>
    <definedName name="지급이자외_△8">#REF!</definedName>
    <definedName name="지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支払" hidden="1">{"'買掛金'!$J$6"}</definedName>
    <definedName name="支払手形" hidden="1">{"'買掛金'!$J$6"}</definedName>
    <definedName name="지수지" hidden="1">{#N/A,#N/A,FALSE,"포장단가"}</definedName>
    <definedName name="지역">#REF!</definedName>
    <definedName name="지원동" hidden="1">{#N/A,#N/A,TRUE,"대 차 대 조 표"}</definedName>
    <definedName name="지원동_1" hidden="1">{#N/A,#N/A,TRUE,"대 차 대 조 표"}</definedName>
    <definedName name="지절1">#REF!</definedName>
    <definedName name="지절2">#REF!</definedName>
    <definedName name="지점_data">#REF!</definedName>
    <definedName name="지점명">#REF!</definedName>
    <definedName name="지종">#REF!</definedName>
    <definedName name="지태면" hidden="1">{#N/A,#N/A,TRUE,"Y생산";#N/A,#N/A,TRUE,"Y판매";#N/A,#N/A,TRUE,"Y총물량";#N/A,#N/A,TRUE,"Y능력";#N/A,#N/A,TRUE,"YKD"}</definedName>
    <definedName name="직위">#REF!</definedName>
    <definedName name="진" hidden="1">{#N/A,#N/A,FALSE,"3가";#N/A,#N/A,FALSE,"3나";#N/A,#N/A,FALSE,"3다"}</definedName>
    <definedName name="진성기획">#REF!</definedName>
    <definedName name="진성기획량">#REF!</definedName>
    <definedName name="진성요척량">#REF!</definedName>
    <definedName name="진성원불">#REF!</definedName>
    <definedName name="진성정품입고">#REF!</definedName>
    <definedName name="진성취불">#REF!</definedName>
    <definedName name="진지" hidden="1">{"'호선별현황(방식)'!$K$22:$P$22","'호선별현황(방식)'!$K$22:$P$22"}</definedName>
    <definedName name="진짜살림">#REF!</definedName>
    <definedName name="진짜현금작성조서" hidden="1">{#N/A,#N/A,FALSE,"BS";#N/A,#N/A,FALSE,"PL";#N/A,#N/A,FALSE,"처분";#N/A,#N/A,FALSE,"현금";#N/A,#N/A,FALSE,"매출";#N/A,#N/A,FALSE,"원가";#N/A,#N/A,FALSE,"경영"}</definedName>
    <definedName name="진행보고" hidden="1">{#N/A,#N/A,FALSE,"95FW"}</definedName>
    <definedName name="진행비합계">#REF!</definedName>
    <definedName name="집기">#REF!</definedName>
    <definedName name="집기2">#REF!</definedName>
    <definedName name="집기비품" hidden="1">#N/A</definedName>
    <definedName name="집기비품ㅈ">#REF!</definedName>
    <definedName name="집행실적200211" hidden="1">{"'Sheet1'!$A$1:$H$36"}</definedName>
    <definedName name="ㅉ" hidden="1">{#N/A,#N/A,TRUE,"Y생산";#N/A,#N/A,TRUE,"Y판매";#N/A,#N/A,TRUE,"Y총물량";#N/A,#N/A,TRUE,"Y능력";#N/A,#N/A,TRUE,"YKD"}</definedName>
    <definedName name="쨔" hidden="1">{#N/A,#N/A,FALSE,"95FW"}</definedName>
    <definedName name="ㅊ" hidden="1">{#N/A,#N/A,FALSE,"품의서";#N/A,#N/A,FALSE,"전제";#N/A,#N/A,FALSE,"총손";#N/A,#N/A,FALSE,"손익";#N/A,#N/A,FALSE,"대당";#N/A,#N/A,FALSE,"가공비";#N/A,#N/A,FALSE,"재료비";#N/A,#N/A,FALSE,"판비";#N/A,#N/A,FALSE,"가격"}</definedName>
    <definedName name="ㅊ160">#REF!</definedName>
    <definedName name="ㅊㅊ" hidden="1">{#N/A,#N/A,FALSE,"표지";#N/A,#N/A,FALSE,"을지1";#N/A,#N/A,FALSE,"일정1";#N/A,#N/A,FALSE,"일정2";#N/A,#N/A,FALSE,"11T-C";#N/A,#N/A,FALSE,"15T-D";#N/A,#N/A,FALSE,"판매현황";#N/A,#N/A,FALSE,"업무 FLOW"}</definedName>
    <definedName name="ㅊㅊㅊ" hidden="1">{#N/A,#N/A,FALSE,"표지";#N/A,#N/A,FALSE,"전제";#N/A,#N/A,FALSE,"손익-자 (2)";#N/A,#N/A,FALSE,"손익-자";#N/A,#N/A,FALSE,"손익-마 (2)";#N/A,#N/A,FALSE,"손익-마";#N/A,#N/A,FALSE,"총손최종"}</definedName>
    <definedName name="ㅊㅊㅊㅊㅊ" hidden="1">{#N/A,#N/A,FALSE,"표지";#N/A,#N/A,FALSE,"전제";#N/A,#N/A,FALSE,"손익-자 (2)";#N/A,#N/A,FALSE,"손익-자";#N/A,#N/A,FALSE,"손익-마 (2)";#N/A,#N/A,FALSE,"손익-마";#N/A,#N/A,FALSE,"총손최종"}</definedName>
    <definedName name="ㅊㅊㅊㅊㅊㅊㅊㅊㅊㅊㅊㅊㅊㅊㅊㅊㅊ">#REF!</definedName>
    <definedName name="ㅊㅌㅊㅊ">#REF!</definedName>
    <definedName name="ㅊㅍㅌㅍ"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차" hidden="1">{#N/A,#N/A,FALSE,"1.CRITERIA";#N/A,#N/A,FALSE,"2.IS";#N/A,#N/A,FALSE,"3.BS";#N/A,#N/A,FALSE,"4.PER PL";#N/A,#N/A,FALSE,"5.INVESTMENT";#N/A,#N/A,FALSE,"6.공문";#N/A,#N/A,FALSE,"7.netinvest"}</definedName>
    <definedName name="차량">#REF!</definedName>
    <definedName name="차량2">#REF!</definedName>
    <definedName name="차량운반구" hidden="1">#N/A</definedName>
    <definedName name="차량운반구2">#REF!</definedName>
    <definedName name="차량합계">#REF!</definedName>
    <definedName name="차변">#REF!</definedName>
    <definedName name="차이조정분" hidden="1">{"'Sheet1'!$A$1:$D$15"}</definedName>
    <definedName name="차입금" hidden="1">{#N/A,#N/A,FALSE,"채산3501.XLS";#N/A,#N/A,FALSE,"신조수A.XLS";#N/A,#N/A,FALSE,"신조수b.XLS";#N/A,#N/A,FALSE,"채산3502.XLS";#N/A,#N/A,FALSE,"신조원리.XLS";#N/A,#N/A,FALSE,"신조감가.XLS"}</definedName>
    <definedName name="差入保証金" hidden="1">{"'買掛金'!$J$6"}</definedName>
    <definedName name="차재영">#REF!</definedName>
    <definedName name="차종" hidden="1">{#N/A,#N/A,FALSE,"신규dep";#N/A,#N/A,FALSE,"신규dep-금형상각후";#N/A,#N/A,FALSE,"신규dep-연구비상각후";#N/A,#N/A,FALSE,"신규dep-기계,공구상각후"}</definedName>
    <definedName name="차종별" hidden="1">{#N/A,#N/A,TRUE,"Y생산";#N/A,#N/A,TRUE,"Y판매";#N/A,#N/A,TRUE,"Y총물량";#N/A,#N/A,TRUE,"Y능력";#N/A,#N/A,TRUE,"YKD"}</definedName>
    <definedName name="차체2">#REF!</definedName>
    <definedName name="차체공정">#REF!</definedName>
    <definedName name="차트범위">#REF!,#REF!,#REF!,#REF!,#REF!</definedName>
    <definedName name="참고1장" hidden="1">{#N/A,#N/A,FALSE,"단축1";#N/A,#N/A,FALSE,"단축2";#N/A,#N/A,FALSE,"단축3";#N/A,#N/A,FALSE,"장축";#N/A,#N/A,FALSE,"4WD"}</definedName>
    <definedName name="참고2" hidden="1">#REF!</definedName>
    <definedName name="참조">#REF!</definedName>
    <definedName name="참조1">#REF!</definedName>
    <definedName name="창고">#REF!</definedName>
    <definedName name="채권sort">#REF!</definedName>
    <definedName name="채권계정과목">#REF!</definedName>
    <definedName name="채권금액">#REF!</definedName>
    <definedName name="채권양수금" hidden="1">{"'호선별현황(방식)'!$K$22:$P$22","'호선별현황(방식)'!$K$22:$P$22"}</definedName>
    <definedName name="채권양수금11" hidden="1">{"'호선별현황(방식)'!$K$22:$P$22","'호선별현황(방식)'!$K$22:$P$22"}</definedName>
    <definedName name="채권양수금금1122">#N/A</definedName>
    <definedName name="채무sort">#REF!</definedName>
    <definedName name="채무계정과목">#REF!</definedName>
    <definedName name="채무금액">#REF!</definedName>
    <definedName name="채무제목">#REF!</definedName>
    <definedName name="처음">#N/A</definedName>
    <definedName name="처음2">#N/A</definedName>
    <definedName name="처음3">#N/A</definedName>
    <definedName name="처ㅗㅠ허" hidden="1">#REF!</definedName>
    <definedName name="천">IF(INT(RIGHT(#REF!,4)/1000)=0,"",CHOOSE(INT(RIGHT(#REF!,4)/1000),"일","이","삼","사","오","육","칠","팔","구")&amp;"천")</definedName>
    <definedName name="천만">IF(INT(RIGHT(#REF!,8)/10000000)=0,"",CHOOSE(INT(RIGHT(#REF!,8)/10000000),"일","이","삼","사","오","육","칠","팔","구")&amp;"천")</definedName>
    <definedName name="첨부0">#REF!</definedName>
    <definedName name="첨부1">#REF!</definedName>
    <definedName name="첨부2">#REF!</definedName>
    <definedName name="첨첨11">#REF!</definedName>
    <definedName name="청구서인쇄영역">#REF!</definedName>
    <definedName name="청소1">#REF!</definedName>
    <definedName name="체육관" hidden="1">{#N/A,#N/A,TRUE,"대 차 대 조 표"}</definedName>
    <definedName name="체육관_1" hidden="1">{#N/A,#N/A,TRUE,"대 차 대 조 표"}</definedName>
    <definedName name="초출량1">#REF!</definedName>
    <definedName name="초출량2">#REF!</definedName>
    <definedName name="총경비">#REF!</definedName>
    <definedName name="총괄" hidden="1">{#N/A,#N/A,TRUE,"1호 과표세액";#N/A,#N/A,TRUE,"6호 첨부(익)";#N/A,#N/A,TRUE,"6-3호 퇴충";#N/A,#N/A,TRUE,"PL";#N/A,#N/A,TRUE,"BS";#N/A,#N/A,TRUE,"RE";#N/A,#N/A,TRUE,"표지"}</definedName>
    <definedName name="총괄11" hidden="1">{#N/A,#N/A,FALSE,"3가";#N/A,#N/A,FALSE,"3나";#N/A,#N/A,FALSE,"3다"}</definedName>
    <definedName name="총괄2">#REF!</definedName>
    <definedName name="총괄표">#REF!</definedName>
    <definedName name="총괄표_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무팀총무팀" hidden="1">{#N/A,#N/A,TRUE,"Y생산";#N/A,#N/A,TRUE,"Y판매";#N/A,#N/A,TRUE,"Y총물량";#N/A,#N/A,TRUE,"Y능력";#N/A,#N/A,TRUE,"YKD"}</definedName>
    <definedName name="총시간">#REF!</definedName>
    <definedName name="총시간1">#REF!</definedName>
    <definedName name="총시간2">#REF!</definedName>
    <definedName name="총인">#REF!</definedName>
    <definedName name="총점">#REF!</definedName>
    <definedName name="총합">#REF!</definedName>
    <definedName name="촤" hidden="1">{#N/A,#N/A,FALSE,"1.CRITERIA";#N/A,#N/A,FALSE,"2.IS";#N/A,#N/A,FALSE,"3.BS";#N/A,#N/A,FALSE,"4.PER PL";#N/A,#N/A,FALSE,"5.INVESTMENT";#N/A,#N/A,FALSE,"6.공문";#N/A,#N/A,FALSE,"7.netinvest"}</definedName>
    <definedName name="촬영합계">#REF!</definedName>
    <definedName name="최영" hidden="1">{#N/A,#N/A,FALSE,"정공"}</definedName>
    <definedName name="최저한세">#REF!</definedName>
    <definedName name="최종" hidden="1">{#N/A,#N/A,FALSE,"표지";#N/A,#N/A,FALSE,"전제";#N/A,#N/A,FALSE,"손익-자 (2)";#N/A,#N/A,FALSE,"손익-자";#N/A,#N/A,FALSE,"손익-마 (2)";#N/A,#N/A,FALSE,"손익-마";#N/A,#N/A,FALSE,"총손최종"}</definedName>
    <definedName name="추계합계">#REF!</definedName>
    <definedName name="추정현황" hidden="1">{#N/A,#N/A,FALSE,"채산3501.XLS";#N/A,#N/A,FALSE,"신조수A.XLS";#N/A,#N/A,FALSE,"신조수b.XLS";#N/A,#N/A,FALSE,"채산3502.XLS";#N/A,#N/A,FALSE,"신조원리.XLS";#N/A,#N/A,FALSE,"신조감가.XLS"}</definedName>
    <definedName name="추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방안" hidden="1">{#N/A,#N/A,FALSE,"인원";#N/A,#N/A,FALSE,"비용2";#N/A,#N/A,FALSE,"비용1";#N/A,#N/A,FALSE,"비용";#N/A,#N/A,FALSE,"보증2";#N/A,#N/A,FALSE,"보증1";#N/A,#N/A,FALSE,"보증";#N/A,#N/A,FALSE,"손익1";#N/A,#N/A,FALSE,"손익";#N/A,#N/A,FALSE,"부서별매출";#N/A,#N/A,FALSE,"매출"}</definedName>
    <definedName name="축구장" hidden="1">{"'호선별현황(방식)'!$K$22:$P$22","'호선별현황(방식)'!$K$22:$P$22"}</definedName>
    <definedName name="출납">#REF!</definedName>
    <definedName name="출력">#REF!</definedName>
    <definedName name="출연료합계">#REF!</definedName>
    <definedName name="출장비합계">#REF!</definedName>
    <definedName name="출하">#REF!</definedName>
    <definedName name="충당금">#REF!</definedName>
    <definedName name="취득일">#REF!</definedName>
    <definedName name="취소">#REF!</definedName>
    <definedName name="층별">#REF!</definedName>
    <definedName name="층별임대">#REF!</definedName>
    <definedName name="층별효용">#REF!</definedName>
    <definedName name="층수">#REF!</definedName>
    <definedName name="칠">#REF!</definedName>
    <definedName name="ㅋ" hidden="1">{#N/A,#N/A,FALSE,"BS";#N/A,#N/A,FALSE,"PL";#N/A,#N/A,FALSE,"처분";#N/A,#N/A,FALSE,"현금";#N/A,#N/A,FALSE,"매출";#N/A,#N/A,FALSE,"원가";#N/A,#N/A,FALSE,"경영"}</definedName>
    <definedName name="ㅋㅋ" hidden="1">{#N/A,#N/A,TRUE,"Y생산";#N/A,#N/A,TRUE,"Y판매";#N/A,#N/A,TRUE,"Y총물량";#N/A,#N/A,TRUE,"Y능력";#N/A,#N/A,TRUE,"YKD"}</definedName>
    <definedName name="ㅋㅋㅋ"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ㅋㅋㅋㅋ" hidden="1">{#N/A,#N/A,FALSE,"Aging Summary";#N/A,#N/A,FALSE,"Ratio Analysis";#N/A,#N/A,FALSE,"Test 120 Day Accts";#N/A,#N/A,FALSE,"Tickmarks"}</definedName>
    <definedName name="ㅋㅋㅋㅋ_1" hidden="1">{#N/A,#N/A,TRUE,"대 차 대 조 표"}</definedName>
    <definedName name="ㅋㅋㅋㅋㅋ">#REF!</definedName>
    <definedName name="카러" hidden="1">{#N/A,#N/A,FALSE,"1.CRITERIA";#N/A,#N/A,FALSE,"2.IS";#N/A,#N/A,FALSE,"3.BS";#N/A,#N/A,FALSE,"4.PER PL";#N/A,#N/A,FALSE,"5.INVESTMENT";#N/A,#N/A,FALSE,"6.공문";#N/A,#N/A,FALSE,"7.netinvest"}</definedName>
    <definedName name="카메라" hidden="1">{#N/A,#N/A,FALSE,"단축1";#N/A,#N/A,FALSE,"단축2";#N/A,#N/A,FALSE,"단축3";#N/A,#N/A,FALSE,"장축";#N/A,#N/A,FALSE,"4WD"}</definedName>
    <definedName name="캐파" hidden="1">#REF!</definedName>
    <definedName name="커머" hidden="1">{#N/A,#N/A,FALSE,"1.CRITERIA";#N/A,#N/A,FALSE,"2.IS";#N/A,#N/A,FALSE,"3.BS";#N/A,#N/A,FALSE,"4.PER PL";#N/A,#N/A,FALSE,"5.INVESTMENT";#N/A,#N/A,FALSE,"6.공문";#N/A,#N/A,FALSE,"7.netinvest"}</definedName>
    <definedName name="커버">#N/A</definedName>
    <definedName name="컼커"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코스트센타">#REF!</definedName>
    <definedName name="콘도비용"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콩코드">#REF!</definedName>
    <definedName name="키" hidden="1">{#N/A,#N/A,FALSE,"1.CRITERIA";#N/A,#N/A,FALSE,"2.IS";#N/A,#N/A,FALSE,"3.BS";#N/A,#N/A,FALSE,"4.PER PL";#N/A,#N/A,FALSE,"5.INVESTMENT";#N/A,#N/A,FALSE,"6.공문";#N/A,#N/A,FALSE,"7.netinvest"}</definedName>
    <definedName name="ㅌ" hidden="1">{#N/A,#N/A,FALSE,"단축1";#N/A,#N/A,FALSE,"단축2";#N/A,#N/A,FALSE,"단축3";#N/A,#N/A,FALSE,"장축";#N/A,#N/A,FALSE,"4WD"}</definedName>
    <definedName name="ㅌㄴㅇ" hidden="1">{#N/A,#N/A,FALSE,"단축1";#N/A,#N/A,FALSE,"단축2";#N/A,#N/A,FALSE,"단축3";#N/A,#N/A,FALSE,"장축";#N/A,#N/A,FALSE,"4WD"}</definedName>
    <definedName name="ㅌㄹㅇㄴㄻㅇㄹ" hidden="1">{#N/A,#N/A,FALSE,"Aging Summary";#N/A,#N/A,FALSE,"Ratio Analysis";#N/A,#N/A,FALSE,"Test 120 Day Accts";#N/A,#N/A,FALSE,"Tickmarks"}</definedName>
    <definedName name="ㅌㅇㅍㅊㅍㅎ" hidden="1">{#N/A,#N/A,FALSE,"96 3월물량표";#N/A,#N/A,FALSE,"96 4월물량표";#N/A,#N/A,FALSE,"96 5월물량표"}</definedName>
    <definedName name="ㅌㅌㅌ" hidden="1">{#N/A,#N/A,TRUE,"일정"}</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계정">#REF!</definedName>
    <definedName name="타입평">#REF!</definedName>
    <definedName name="타타타" hidden="1">{"'Sheet1'!$A$1:$H$36"}</definedName>
    <definedName name="태산">#REF!</definedName>
    <definedName name="택시">#REF!</definedName>
    <definedName name="테넌트" hidden="1">{#N/A,#N/A,TRUE,"Y생산";#N/A,#N/A,TRUE,"Y판매";#N/A,#N/A,TRUE,"Y총물량";#N/A,#N/A,TRUE,"Y능력";#N/A,#N/A,TRUE,"YKD"}</definedName>
    <definedName name="테넌트_1" hidden="1">{#N/A,#N/A,TRUE,"Y생산";#N/A,#N/A,TRUE,"Y판매";#N/A,#N/A,TRUE,"Y총물량";#N/A,#N/A,TRUE,"Y능력";#N/A,#N/A,TRUE,"YKD"}</definedName>
    <definedName name="테넌트팀" hidden="1">{#N/A,#N/A,TRUE,"Y생산";#N/A,#N/A,TRUE,"Y판매";#N/A,#N/A,TRUE,"Y총물량";#N/A,#N/A,TRUE,"Y능력";#N/A,#N/A,TRUE,"YKD"}</definedName>
    <definedName name="테넌트팀_1" hidden="1">{#N/A,#N/A,TRUE,"Y생산";#N/A,#N/A,TRUE,"Y판매";#N/A,#N/A,TRUE,"Y총물량";#N/A,#N/A,TRUE,"Y능력";#N/A,#N/A,TRUE,"YKD"}</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량" hidden="1">{#N/A,#N/A,FALSE,"기안지";#N/A,#N/A,FALSE,"통신지"}</definedName>
    <definedName name="통제권">#REF!</definedName>
    <definedName name="통제범위">#REF!</definedName>
    <definedName name="통합본관" hidden="1">#REF!</definedName>
    <definedName name="퇴"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1">#REF!</definedName>
    <definedName name="퇴10">#REF!</definedName>
    <definedName name="퇴11">#REF!</definedName>
    <definedName name="퇴12">#REF!</definedName>
    <definedName name="퇴2">#REF!</definedName>
    <definedName name="퇴3">#REF!</definedName>
    <definedName name="퇴4">#REF!</definedName>
    <definedName name="퇴5">#REF!</definedName>
    <definedName name="퇴6">#REF!</definedName>
    <definedName name="퇴7">#REF!</definedName>
    <definedName name="퇴8">#REF!</definedName>
    <definedName name="퇴9">#REF!</definedName>
    <definedName name="퇴사">#REF!</definedName>
    <definedName name="퇴직">#REF!</definedName>
    <definedName name="퇴직10월">#REF!</definedName>
    <definedName name="퇴직11월">#REF!</definedName>
    <definedName name="퇴직12월">#REF!</definedName>
    <definedName name="퇴직3월">#REF!</definedName>
    <definedName name="퇴직4월">#REF!</definedName>
    <definedName name="퇴직5월">#REF!</definedName>
    <definedName name="퇴직6월">#REF!</definedName>
    <definedName name="퇴직7월">#REF!</definedName>
    <definedName name="퇴직8월">#REF!</definedName>
    <definedName name="퇴직9월">#REF!</definedName>
    <definedName name="퇴직보험">#REF!</definedName>
    <definedName name="퇴직보험료"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퇴충">#REF!</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 hidden="1">#REF!</definedName>
    <definedName name="투자" hidden="1">{#N/A,#N/A,FALSE,"단축1";#N/A,#N/A,FALSE,"단축2";#N/A,#N/A,FALSE,"단축3";#N/A,#N/A,FALSE,"장축";#N/A,#N/A,FALSE,"4WD"}</definedName>
    <definedName name="투자CONC.182억" hidden="1">{#N/A,#N/A,FALSE,"단축1";#N/A,#N/A,FALSE,"단축2";#N/A,#N/A,FALSE,"단축3";#N/A,#N/A,FALSE,"장축";#N/A,#N/A,FALSE,"4WD"}</definedName>
    <definedName name="투자부동산">#REF!</definedName>
    <definedName name="투자비">#REF!</definedName>
    <definedName name="투자비비교" hidden="1">{#N/A,#N/A,FALSE,"단축1";#N/A,#N/A,FALSE,"단축2";#N/A,#N/A,FALSE,"단축3";#N/A,#N/A,FALSE,"장축";#N/A,#N/A,FALSE,"4WD"}</definedName>
    <definedName name="투자자산">#REF!</definedName>
    <definedName name="투자자자본금">#REF!</definedName>
    <definedName name="투자지출CAS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트럭p">#REF!</definedName>
    <definedName name="트럭proj">#REF!</definedName>
    <definedName name="특선인원">#REF!</definedName>
    <definedName name="특정" hidden="1">{#N/A,#N/A,FALSE,"1.CRITERIA";#N/A,#N/A,FALSE,"2.IS";#N/A,#N/A,FALSE,"3.BS";#N/A,#N/A,FALSE,"4.PER PL";#N/A,#N/A,FALSE,"5.INVESTMENT";#N/A,#N/A,FALSE,"6.공문";#N/A,#N/A,FALSE,"7.netinvest"}</definedName>
    <definedName name="특정현금">#REF!</definedName>
    <definedName name="틀없애기">#REF!</definedName>
    <definedName name="팀별">#REF!</definedName>
    <definedName name="ㅍ" hidden="1">{#N/A,#N/A,FALSE,"표지";#N/A,#N/A,FALSE,"전제";#N/A,#N/A,FALSE,"대당";#N/A,#N/A,FALSE,"가공비";#N/A,#N/A,FALSE,"재료비";#N/A,#N/A,FALSE,"손익"}</definedName>
    <definedName name="ㅍ르ㅜ" hidden="1">{#N/A,#N/A,FALSE,"인원";#N/A,#N/A,FALSE,"비용2";#N/A,#N/A,FALSE,"비용1";#N/A,#N/A,FALSE,"비용";#N/A,#N/A,FALSE,"보증2";#N/A,#N/A,FALSE,"보증1";#N/A,#N/A,FALSE,"보증";#N/A,#N/A,FALSE,"손익1";#N/A,#N/A,FALSE,"손익";#N/A,#N/A,FALSE,"부서별매출";#N/A,#N/A,FALSE,"매출"}</definedName>
    <definedName name="ㅍㅍ" hidden="1">{#N/A,#N/A,FALSE,"단축1";#N/A,#N/A,FALSE,"단축2";#N/A,#N/A,FALSE,"단축3";#N/A,#N/A,FALSE,"장축";#N/A,#N/A,FALSE,"4WD"}</definedName>
    <definedName name="ㅍㅍㅍㅍㅍ">#REF!</definedName>
    <definedName name="ㅍㅍㅍㅍㅍㅍㅍㅍ">#REF!</definedName>
    <definedName name="ㅍㅍㅍㅍㅍㅍㅍㅍㅍㅍㅍㅍㅍㅍㅍㅍㅍㅍ">#REF!</definedName>
    <definedName name="ㅍㅍㅍㅍㅍㅍㅍㅍㅍㅍㅍㅍㅍㅍㅍㅍㅍㅍㅍㅍㅍㅍㅍㅍㅍㅍㅍ">#REF!</definedName>
    <definedName name="파"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판">#REF!</definedName>
    <definedName name="판고">#REF!</definedName>
    <definedName name="판관비" hidden="1">#REF!</definedName>
    <definedName name="판관비tot" hidden="1">{#N/A,#N/A,FALSE,"Aging Summary";#N/A,#N/A,FALSE,"Ratio Analysis";#N/A,#N/A,FALSE,"Test 120 Day Accts";#N/A,#N/A,FALSE,"Tickmarks"}</definedName>
    <definedName name="판넬조립부" hidden="1">{"'호선별현황(방식)'!$K$22:$P$22","'호선별현황(방식)'!$K$22:$P$22"}</definedName>
    <definedName name="판매량">#REF!</definedName>
    <definedName name="판매보증" hidden="1">{#N/A,#N/A,FALSE,"인원";#N/A,#N/A,FALSE,"비용2";#N/A,#N/A,FALSE,"비용1";#N/A,#N/A,FALSE,"비용";#N/A,#N/A,FALSE,"보증2";#N/A,#N/A,FALSE,"보증1";#N/A,#N/A,FALSE,"보증";#N/A,#N/A,FALSE,"손익1";#N/A,#N/A,FALSE,"손익";#N/A,#N/A,FALSE,"부서별매출";#N/A,#N/A,FALSE,"매출"}</definedName>
    <definedName name="판매비">#REF!</definedName>
    <definedName name="판매액">#REF!</definedName>
    <definedName name="판매출고단가">#REF!</definedName>
    <definedName name="판변">#REF!</definedName>
    <definedName name="판인">#REF!</definedName>
    <definedName name="판직고">#REF!</definedName>
    <definedName name="판직변">#REF!</definedName>
    <definedName name="판촉지원적립금" hidden="1">{#N/A,#N/A,TRUE,"매출진척-1";#N/A,#N/A,TRUE,"매출진척-2";#N/A,#N/A,TRUE,"제품실적";#N/A,#N/A,TRUE,"RAC";#N/A,#N/A,TRUE,"PAC ";#N/A,#N/A,TRUE,"재고현황";#N/A,#N/A,TRUE,"공지사항"}</definedName>
    <definedName name="퍄"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펜다" hidden="1">{#N/A,#N/A,TRUE,"일정"}</definedName>
    <definedName name="펴" hidden="1">{#N/A,#N/A,FALSE,"1.CRITERIA";#N/A,#N/A,FALSE,"2.IS";#N/A,#N/A,FALSE,"3.BS";#N/A,#N/A,FALSE,"4.PER PL";#N/A,#N/A,FALSE,"5.INVESTMENT";#N/A,#N/A,FALSE,"6.공문";#N/A,#N/A,FALSE,"7.netinvest"}</definedName>
    <definedName name="평">#REF!</definedName>
    <definedName name="평균">#REF!</definedName>
    <definedName name="평균값" hidden="1">{#N/A,#N/A,FALSE,"95FW"}</definedName>
    <definedName name="평균이자율" hidden="1">#REF!</definedName>
    <definedName name="평형구분">#REF!</definedName>
    <definedName name="폐기" hidden="1">#REF!</definedName>
    <definedName name="포" hidden="1">{#N/A,#N/A,FALSE,"1.CRITERIA";#N/A,#N/A,FALSE,"2.IS";#N/A,#N/A,FALSE,"3.BS";#N/A,#N/A,FALSE,"4.PER PL";#N/A,#N/A,FALSE,"5.INVESTMENT";#N/A,#N/A,FALSE,"6.공문";#N/A,#N/A,FALSE,"7.netinvest"}</definedName>
    <definedName name="포스코" hidden="1">{#N/A,#N/A,TRUE,"대 차 대 조 표"}</definedName>
    <definedName name="포스코_1" hidden="1">{#N/A,#N/A,TRUE,"대 차 대 조 표"}</definedName>
    <definedName name="표">#REF!</definedName>
    <definedName name="표지" hidden="1">{"'호선별현황(방식)'!$K$22:$P$22","'호선별현황(방식)'!$K$22:$P$22"}</definedName>
    <definedName name="표지_1" hidden="1">{#N/A,#N/A,FALSE,"동부"}</definedName>
    <definedName name="표지1">#REF!</definedName>
    <definedName name="푸하하하">#REF!</definedName>
    <definedName name="품">#REF!</definedName>
    <definedName name="품명">#REF!</definedName>
    <definedName name="품질생산합격" hidden="1">{#N/A,#N/A,TRUE,"Y생산";#N/A,#N/A,TRUE,"Y판매";#N/A,#N/A,TRUE,"Y총물량";#N/A,#N/A,TRUE,"Y능력";#N/A,#N/A,TRUE,"YKD"}</definedName>
    <definedName name="프레스"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프린트">#REF!</definedName>
    <definedName name="피크치">#REF!</definedName>
    <definedName name="피크치1">#N/A</definedName>
    <definedName name="피크치2">#N/A</definedName>
    <definedName name="ㅎ" hidden="1">{#N/A,#N/A,FALSE,"단축1";#N/A,#N/A,FALSE,"단축2";#N/A,#N/A,FALSE,"단축3";#N/A,#N/A,FALSE,"장축";#N/A,#N/A,FALSE,"4WD"}</definedName>
    <definedName name="ㅎ라" hidden="1">{#N/A,#N/A,TRUE,"Y생산";#N/A,#N/A,TRUE,"Y판매";#N/A,#N/A,TRUE,"Y총물량";#N/A,#N/A,TRUE,"Y능력";#N/A,#N/A,TRUE,"YKD"}</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ㅇ" hidden="1">{#N/A,#N/A,FALSE,"Aging Summary";#N/A,#N/A,FALSE,"Ratio Analysis";#N/A,#N/A,FALSE,"Test 120 Day Accts";#N/A,#N/A,FALSE,"Tickmarks"}</definedName>
    <definedName name="ㅎㅇㅁ" hidden="1">{#N/A,#N/A,FALSE,"95FW"}</definedName>
    <definedName name="ㅎㅎ"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ㅎㅎㅎ" hidden="1">{#N/A,#N/A,FALSE,"3가";#N/A,#N/A,FALSE,"3나";#N/A,#N/A,FALSE,"3다"}</definedName>
    <definedName name="ㅎㅎㅎㅎ">#REF!</definedName>
    <definedName name="ㅎㅎㅎㅎㅎㅎ">#REF!</definedName>
    <definedName name="하">#REF!</definedName>
    <definedName name="하수암거" hidden="1">{#N/A,#N/A,FALSE,"포장단가"}</definedName>
    <definedName name="하수암거2" hidden="1">{#N/A,#N/A,FALSE,"포장단가"}</definedName>
    <definedName name="하역" hidden="1">{#N/A,#N/A,FALSE,"채산3501.XLS";#N/A,#N/A,FALSE,"신조수A.XLS";#N/A,#N/A,FALSE,"신조수b.XLS";#N/A,#N/A,FALSE,"채산3502.XLS";#N/A,#N/A,FALSE,"신조원리.XLS";#N/A,#N/A,FALSE,"신조감가.XLS"}</definedName>
    <definedName name="하역2" hidden="1">{#N/A,#N/A,FALSE,"채산3501.XLS";#N/A,#N/A,FALSE,"신조수A.XLS";#N/A,#N/A,FALSE,"신조수b.XLS";#N/A,#N/A,FALSE,"채산3502.XLS";#N/A,#N/A,FALSE,"신조원리.XLS";#N/A,#N/A,FALSE,"신조감가.XLS"}</definedName>
    <definedName name="하역영업" hidden="1">{#N/A,#N/A,FALSE,"SILO현황";#N/A,#N/A,FALSE,"타업체";#N/A,#N/A,FALSE,"생산능력"}</definedName>
    <definedName name="하하">#REF!</definedName>
    <definedName name="하하1">#REF!</definedName>
    <definedName name="하하2">#REF!</definedName>
    <definedName name="하하3">#REF!</definedName>
    <definedName name="하하4">#REF!</definedName>
    <definedName name="학교" hidden="1">{"'호선별현황(방식)'!$K$22:$P$22","'호선별현황(방식)'!$K$22:$P$22"}</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솔">#REF!</definedName>
    <definedName name="한영사전" hidden="1">{#N/A,#N/A,TRUE,"Y생산";#N/A,#N/A,TRUE,"Y판매";#N/A,#N/A,TRUE,"Y총물량";#N/A,#N/A,TRUE,"Y능력";#N/A,#N/A,TRUE,"YKD"}</definedName>
    <definedName name="한영사전_1" hidden="1">{#N/A,#N/A,TRUE,"Y생산";#N/A,#N/A,TRUE,"Y판매";#N/A,#N/A,TRUE,"Y총물량";#N/A,#N/A,TRUE,"Y능력";#N/A,#N/A,TRUE,"YKD"}</definedName>
    <definedName name="할인">#REF!</definedName>
    <definedName name="항주은태">#REF!</definedName>
    <definedName name="항차">#REF!</definedName>
    <definedName name="解_任_">#REF!</definedName>
    <definedName name="해무11" hidden="1">{#N/A,#N/A,FALSE,"SILO현황";#N/A,#N/A,FALSE,"타업체";#N/A,#N/A,FALSE,"생산능력"}</definedName>
    <definedName name="해무팀" hidden="1">{#N/A,#N/A,FALSE,"채산3501.XLS";#N/A,#N/A,FALSE,"신조수A.XLS";#N/A,#N/A,FALSE,"신조수b.XLS";#N/A,#N/A,FALSE,"채산3502.XLS";#N/A,#N/A,FALSE,"신조원리.XLS";#N/A,#N/A,FALSE,"신조감가.XLS"}</definedName>
    <definedName name="해외생산1" hidden="1">{"'7-2지역별'!$A$1:$R$44"}</definedName>
    <definedName name="해외특수"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해외판권합계">#REF!</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햐" hidden="1">{#N/A,#N/A,FALSE,"1.CRITERIA";#N/A,#N/A,FALSE,"2.IS";#N/A,#N/A,FALSE,"3.BS";#N/A,#N/A,FALSE,"4.PER PL";#N/A,#N/A,FALSE,"5.INVESTMENT";#N/A,#N/A,FALSE,"6.공문";#N/A,#N/A,FALSE,"7.netinvest"}</definedName>
    <definedName name="향후계획1" hidden="1">{#N/A,#N/A,FALSE,"단축1";#N/A,#N/A,FALSE,"단축2";#N/A,#N/A,FALSE,"단축3";#N/A,#N/A,FALSE,"장축";#N/A,#N/A,FALSE,"4WD"}</definedName>
    <definedName name="허쇼ㅏ" hidden="1">{#N/A,#N/A,TRUE,"Y생산";#N/A,#N/A,TRUE,"Y판매";#N/A,#N/A,TRUE,"Y총물량";#N/A,#N/A,TRUE,"Y능력";#N/A,#N/A,TRUE,"YKD"}</definedName>
    <definedName name="허ㅇㄻㄹ" hidden="1">{#N/A,#N/A,TRUE,"Y생산";#N/A,#N/A,TRUE,"Y판매";#N/A,#N/A,TRUE,"Y총물량";#N/A,#N/A,TRUE,"Y능력";#N/A,#N/A,TRUE,"YKD"}</definedName>
    <definedName name="허ㅓ" hidden="1">{#N/A,#N/A,FALSE,"단축1";#N/A,#N/A,FALSE,"단축2";#N/A,#N/A,FALSE,"단축3";#N/A,#N/A,FALSE,"장축";#N/A,#N/A,FALSE,"4WD"}</definedName>
    <definedName name="혀" hidden="1">{#N/A,#N/A,FALSE,"1.CRITERIA";#N/A,#N/A,FALSE,"2.IS";#N/A,#N/A,FALSE,"3.BS";#N/A,#N/A,FALSE,"4.PER PL";#N/A,#N/A,FALSE,"5.INVESTMENT";#N/A,#N/A,FALSE,"6.공문";#N/A,#N/A,FALSE,"7.netinvest"}</definedName>
    <definedName name="현경">#REF!</definedName>
    <definedName name="현금" hidden="1">{#N/A,#N/A,FALSE,"Aging Summary";#N/A,#N/A,FALSE,"Ratio Analysis";#N/A,#N/A,FALSE,"Test 120 Day Accts";#N/A,#N/A,FALSE,"Tickmarks"}</definedName>
    <definedName name="현금거래_5300">#REF!</definedName>
    <definedName name="현금과예금">#REF!</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수금율">#REF!</definedName>
    <definedName name="현금출납장">#REF!</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표" hidden="1">{#N/A,#N/A,FALSE,"BS";#N/A,#N/A,FALSE,"PL";#N/A,#N/A,FALSE,"A";#N/A,#N/A,FALSE,"B";#N/A,#N/A,FALSE,"B1";#N/A,#N/A,FALSE,"C";#N/A,#N/A,FALSE,"C1";#N/A,#N/A,FALSE,"C2";#N/A,#N/A,FALSE,"D";#N/A,#N/A,FALSE,"E";#N/A,#N/A,FALSE,"F";#N/A,#N/A,FALSE,"AA";#N/A,#N/A,FALSE,"BB";#N/A,#N/A,FALSE,"CC";#N/A,#N/A,FALSE,"DD";#N/A,#N/A,FALSE,"EE";#N/A,#N/A,FALSE,"FF";#N/A,#N/A,FALSE,"PL10";#N/A,#N/A,FALSE,"PL20";#N/A,#N/A,FALSE,"PL30"}</definedName>
    <definedName name="현금흐름표04" hidden="1">{#N/A,#N/A,FALSE,"Aging Summary";#N/A,#N/A,FALSE,"Ratio Analysis";#N/A,#N/A,FALSE,"Test 120 Day Accts";#N/A,#N/A,FALSE,"Tickmarks"}</definedName>
    <definedName name="현금흐름표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대">#REF!</definedName>
    <definedName name="현대내자터미널">#REF!</definedName>
    <definedName name="現代綜合商事經由分">#REF!</definedName>
    <definedName name="현재" hidden="1">{"'Sheet1'!$A$1:$H$36"}</definedName>
    <definedName name="현재지출전체">#REF!</definedName>
    <definedName name="현호봉">#REF!</definedName>
    <definedName name="현황작성">#REF!</definedName>
    <definedName name="협전">#REF!</definedName>
    <definedName name="협조및조정사항" hidden="1">{"'호선별현황(방식)'!$K$22:$P$22","'호선별현황(방식)'!$K$22:$P$22"}</definedName>
    <definedName name="협조전">#REF!</definedName>
    <definedName name="호" hidden="1">#REF!</definedName>
    <definedName name="호남22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호별가격">#REF!</definedName>
    <definedName name="호별시가안분">#REF!</definedName>
    <definedName name="호봉표">#REF!</definedName>
    <definedName name="호봉표1">#REF!</definedName>
    <definedName name="호호">#REF!</definedName>
    <definedName name="호ㅓ쇼" hidden="1">{#N/A,#N/A,FALSE,"업체선정";#N/A,#N/A,FALSE,"업체선정sheet";#N/A,#N/A,FALSE,"업체실태";#N/A,#N/A,FALSE,"업체실태(1)";#N/A,#N/A,FALSE,"종업원현황(2)";#N/A,#N/A,FALSE,"생산품목(3)";#N/A,#N/A,FALSE,"장비보유현황";#N/A,#N/A,FALSE,"차량및약도";#N/A,#N/A,FALSE,"금형LIST"}</definedName>
    <definedName name="호ㅓㅏ" hidden="1">{#N/A,#N/A,FALSE,"96 3월물량표";#N/A,#N/A,FALSE,"96 4월물량표";#N/A,#N/A,FALSE,"96 5월물량표"}</definedName>
    <definedName name="호ㅗ">BlankMacro1</definedName>
    <definedName name="홍길동" hidden="1">{#N/A,#N/A,FALSE,"표지";#N/A,#N/A,FALSE,"전제";#N/A,#N/A,FALSE,"손익-자 (2)";#N/A,#N/A,FALSE,"손익-자";#N/A,#N/A,FALSE,"손익-마 (2)";#N/A,#N/A,FALSE,"손익-마";#N/A,#N/A,FALSE,"총손최종"}</definedName>
    <definedName name="홍보합계">#REF!</definedName>
    <definedName name="화">#REF!</definedName>
    <definedName name="확인" hidden="1">{#N/A,#N/A,FALSE,"인원";#N/A,#N/A,FALSE,"비용2";#N/A,#N/A,FALSE,"비용1";#N/A,#N/A,FALSE,"비용";#N/A,#N/A,FALSE,"보증2";#N/A,#N/A,FALSE,"보증1";#N/A,#N/A,FALSE,"보증";#N/A,#N/A,FALSE,"손익1";#N/A,#N/A,FALSE,"손익";#N/A,#N/A,FALSE,"부서별매출";#N/A,#N/A,FALSE,"매출"}</definedName>
    <definedName name="확정하여_보고할것.">#REF!</definedName>
    <definedName name="환산률">#REF!</definedName>
    <definedName name="환율">#REF!</definedName>
    <definedName name="환율표">#REF!</definedName>
    <definedName name="환차손" hidden="1">{#N/A,#N/A,FALSE,"Aging Summary";#N/A,#N/A,FALSE,"Ratio Analysis";#N/A,#N/A,FALSE,"Test 120 Day Accts";#N/A,#N/A,FALSE,"Tickmarks"}</definedName>
    <definedName name="환차손익수정" hidden="1">{#N/A,#N/A,FALSE,"Aging Summary";#N/A,#N/A,FALSE,"Ratio Analysis";#N/A,#N/A,FALSE,"Test 120 Day Accts";#N/A,#N/A,FALSE,"Tickmarks"}</definedName>
    <definedName name="환평가">#REF!</definedName>
    <definedName name="회당예산">#REF!</definedName>
    <definedName name="회사명">#REF!</definedName>
    <definedName name="회사이름">#REF!</definedName>
    <definedName name="회원권">#REF!</definedName>
    <definedName name="회장">BlankMacro1</definedName>
    <definedName name="효"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반작업합계">#REF!</definedName>
    <definedName name="휴" hidden="1">{#N/A,#N/A,FALSE,"1.CRITERIA";#N/A,#N/A,FALSE,"2.IS";#N/A,#N/A,FALSE,"3.BS";#N/A,#N/A,FALSE,"4.PER PL";#N/A,#N/A,FALSE,"5.INVESTMENT";#N/A,#N/A,FALSE,"6.공문";#N/A,#N/A,FALSE,"7.netinvest"}</definedName>
    <definedName name="휴일">#REF!</definedName>
    <definedName name="휴ㅗㅗㅛ" hidden="1">{#VALUE!,#N/A,FALSE,0;#N/A,#N/A,FALSE,0;#N/A,#N/A,FALSE,0;#N/A,#N/A,FALSE,0;#N/A,#N/A,FALSE,0;#N/A,#N/A,FALSE,0;#N/A,#N/A,FALSE,0;#N/A,#N/A,FALSE,0;#N/A,#N/A,FALSE,0}</definedName>
    <definedName name="흄관" hidden="1">{#N/A,#N/A,FALSE,"기안지";#N/A,#N/A,FALSE,"통신지"}</definedName>
    <definedName name="흐" hidden="1">{#N/A,#N/A,FALSE,"1.CRITERIA";#N/A,#N/A,FALSE,"2.IS";#N/A,#N/A,FALSE,"3.BS";#N/A,#N/A,FALSE,"4.PER PL";#N/A,#N/A,FALSE,"5.INVESTMENT";#N/A,#N/A,FALSE,"6.공문";#N/A,#N/A,FALSE,"7.netinvest"}</definedName>
    <definedName name="흐름">#REF!</definedName>
    <definedName name="흐흐">#REF!</definedName>
    <definedName name="희성">OFFSET(#REF!,0,0,COUNTA(#REF!)-1,1)</definedName>
    <definedName name="흵____R3_t">#REF!</definedName>
    <definedName name="히히">#REF!</definedName>
    <definedName name="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28">#REF!</definedName>
    <definedName name="ㅏㄴ알" hidden="1">{#N/A,#N/A,FALSE,"단축1";#N/A,#N/A,FALSE,"단축2";#N/A,#N/A,FALSE,"단축3";#N/A,#N/A,FALSE,"장축";#N/A,#N/A,FALSE,"4WD"}</definedName>
    <definedName name="ㅏ나앙"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_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앙"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앙_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ㅏ">#REF!</definedName>
    <definedName name="ㅏㅏㅏ">#REF!</definedName>
    <definedName name="ㅏㅐㅐ">#REF!</definedName>
    <definedName name="ㅏㅐㅐPri">#REF!</definedName>
    <definedName name="ㅏㅓ" hidden="1">{#N/A,#N/A,FALSE,"단축1";#N/A,#N/A,FALSE,"단축2";#N/A,#N/A,FALSE,"단축3";#N/A,#N/A,FALSE,"장축";#N/A,#N/A,FALSE,"4WD"}</definedName>
    <definedName name="ㅐ">#REF!</definedName>
    <definedName name="ㅐㅐ">#REF!</definedName>
    <definedName name="ㅐㅐㅐㅐㅐㅐㅐㅐㅐㅐㅐㅐㅐㅐㅐㅐㅐㅐㅐㅐㅐ">#REF!</definedName>
    <definedName name="ㅑ" hidden="1">{#N/A,#N/A,FALSE,"Aging Summary";#N/A,#N/A,FALSE,"Ratio Analysis";#N/A,#N/A,FALSE,"Test 120 Day Accts";#N/A,#N/A,FALSE,"Tickmarks"}</definedName>
    <definedName name="ㅑ303">#REF!</definedName>
    <definedName name="ㅑ37">#REF!</definedName>
    <definedName name="ㅑ85">#REF!</definedName>
    <definedName name="ㅑㅑㅑ">#REF!</definedName>
    <definedName name="ㅑㅕㅐ">#REF!</definedName>
    <definedName name="ㅓ" hidden="1">{#N/A,#N/A,TRUE,"Y생산";#N/A,#N/A,TRUE,"Y판매";#N/A,#N/A,TRUE,"Y총물량";#N/A,#N/A,TRUE,"Y능력";#N/A,#N/A,TRUE,"YKD"}</definedName>
    <definedName name="ㅓㄹ" hidden="1">{#N/A,#N/A,TRUE,"일정"}</definedName>
    <definedName name="ㅓㅏㅣㅑ" hidden="1">{#N/A,#N/A,FALSE,"Aging Summary";#N/A,#N/A,FALSE,"Ratio Analysis";#N/A,#N/A,FALSE,"Test 120 Day Accts";#N/A,#N/A,FALSE,"Tickmarks"}</definedName>
    <definedName name="ㅓㅓ">#REF!</definedName>
    <definedName name="ㅓㅓ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ㅓ">#REF!</definedName>
    <definedName name="ㅓㅕㅓ">#REF!</definedName>
    <definedName name="ㅓ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ㅓㅗㅓㅗ" hidden="1">#REF!</definedName>
    <definedName name="ㅓㅣㅏㅓㅣㅏ" hidden="1">{#N/A,#N/A,FALSE,"BS";#N/A,#N/A,FALSE,"PL";#N/A,#N/A,FALSE,"A";#N/A,#N/A,FALSE,"B";#N/A,#N/A,FALSE,"B1";#N/A,#N/A,FALSE,"C";#N/A,#N/A,FALSE,"C1";#N/A,#N/A,FALSE,"C2";#N/A,#N/A,FALSE,"D";#N/A,#N/A,FALSE,"E";#N/A,#N/A,FALSE,"F";#N/A,#N/A,FALSE,"AA";#N/A,#N/A,FALSE,"BB";#N/A,#N/A,FALSE,"CC";#N/A,#N/A,FALSE,"DD";#N/A,#N/A,FALSE,"EE";#N/A,#N/A,FALSE,"FF";#N/A,#N/A,FALSE,"PL10";#N/A,#N/A,FALSE,"PL20";#N/A,#N/A,FALSE,"PL30"}</definedName>
    <definedName name="ㅔ" hidden="1">{#N/A,#N/A,FALSE,"단축1";#N/A,#N/A,FALSE,"단축2";#N/A,#N/A,FALSE,"단축3";#N/A,#N/A,FALSE,"장축";#N/A,#N/A,FALSE,"4WD"}</definedName>
    <definedName name="ㅔ246">#REF!</definedName>
    <definedName name="ㅔ320">#REF!</definedName>
    <definedName name="ㅔ61">#REF!</definedName>
    <definedName name="ㅔㅔ">#REF!</definedName>
    <definedName name="ㅔㅔㅔㅔㅔㅔ">#REF!</definedName>
    <definedName name="ㅕ" hidden="1">{#N/A,#N/A,FALSE,"BS";#N/A,#N/A,FALSE,"PL";#N/A,#N/A,FALSE,"처분";#N/A,#N/A,FALSE,"현금";#N/A,#N/A,FALSE,"매출";#N/A,#N/A,FALSE,"원가";#N/A,#N/A,FALSE,"경영"}</definedName>
    <definedName name="ㅕㅕ" hidden="1">#REF!</definedName>
    <definedName name="ㅗ" hidden="1">{#N/A,#N/A,FALSE,"단축1";#N/A,#N/A,FALSE,"단축2";#N/A,#N/A,FALSE,"단축3";#N/A,#N/A,FALSE,"장축";#N/A,#N/A,FALSE,"4WD"}</definedName>
    <definedName name="ㅗㄱㄴㅇㅁ" hidden="1">{#N/A,#N/A,TRUE,"일정"}</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ㅇ">BlankMacro1</definedName>
    <definedName name="ㅗㅎ" hidden="1">{#N/A,#N/A,TRUE,"Y생산";#N/A,#N/A,TRUE,"Y판매";#N/A,#N/A,TRUE,"Y총물량";#N/A,#N/A,TRUE,"Y능력";#N/A,#N/A,TRUE,"YKD"}</definedName>
    <definedName name="ㅗㅎㅀ">#REF!</definedName>
    <definedName name="ㅗㅓㅛㅓㅕ">#REF!</definedName>
    <definedName name="ㅗㅗ" hidden="1">{#N/A,#N/A,FALSE,"단축1";#N/A,#N/A,FALSE,"단축2";#N/A,#N/A,FALSE,"단축3";#N/A,#N/A,FALSE,"장축";#N/A,#N/A,FALSE,"4WD"}</definedName>
    <definedName name="ㅗㅗㅗ">BlankMacro1</definedName>
    <definedName name="ㅗㅗㅗㅗ">#REF!</definedName>
    <definedName name="ㅛ" hidden="1">{#N/A,#N/A,FALSE,"단축1";#N/A,#N/A,FALSE,"단축2";#N/A,#N/A,FALSE,"단축3";#N/A,#N/A,FALSE,"장축";#N/A,#N/A,FALSE,"4WD"}</definedName>
    <definedName name="ㅛㄱ됴ㄱㄷ죠ㅅㄱ됴ㅅㄱㄷ죡ㄷ죠" hidden="1">{#N/A,#N/A,TRUE,"일정"}</definedName>
    <definedName name="ㅛㅑㅛㅕㅑ7" hidden="1">{#N/A,#N/A,FALSE,"96 3월물량표";#N/A,#N/A,FALSE,"96 4월물량표";#N/A,#N/A,FALSE,"96 5월물량표"}</definedName>
    <definedName name="ㅛㅓ">#REF!</definedName>
    <definedName name="ㅛㅛ">#REF!</definedName>
    <definedName name="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#REF!</definedName>
    <definedName name="ㅜㅛㅅㄱ누ㅛㅅㄱ누ㅛㅅㄴ구ㅛㅅㄱㄴ" hidden="1">{#N/A,#N/A,TRUE,"일정"}</definedName>
    <definedName name="ㅜㅜ">#REF!</definedName>
    <definedName name="ㅠ" hidden="1">{#N/A,#N/A,FALSE,"단축1";#N/A,#N/A,FALSE,"단축2";#N/A,#N/A,FALSE,"단축3";#N/A,#N/A,FALSE,"장축";#N/A,#N/A,FALSE,"4WD"}</definedName>
    <definedName name="ㅠ125">#REF!</definedName>
    <definedName name="ㅠ328">#REF!</definedName>
    <definedName name="ㅠ48">#REF!</definedName>
    <definedName name="ㅠㅠ">#REF!</definedName>
    <definedName name="ㅠㅠ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ㅠㅠㄹ">#REF!</definedName>
    <definedName name="ㅠㅠㅠㅠ">#REF!</definedName>
    <definedName name="ㅠㅠㅠㅠㅠㅠㅠㅠㅠㅠㅠㅠㅠ">#REF!</definedName>
    <definedName name="ㅡ">#REF!</definedName>
    <definedName name="ㅡㅡ">#REF!</definedName>
    <definedName name="ㅡㅡㅡㅡㅡㅡㅡㅡㅡ">#REF!</definedName>
    <definedName name="ㅣ" hidden="1">{#N/A,#N/A,FALSE,"Aging Summary";#N/A,#N/A,FALSE,"Ratio Analysis";#N/A,#N/A,FALSE,"Test 120 Day Accts";#N/A,#N/A,FALSE,"Tickmarks"}</definedName>
    <definedName name="ㅣ153">#REF!</definedName>
    <definedName name="ㅣ303">#REF!</definedName>
    <definedName name="ㅣ439">#REF!</definedName>
    <definedName name="ㅣ이">#N/A</definedName>
    <definedName name="ㅣㅏ" hidden="1">{#N/A,#N/A,FALSE,"단축1";#N/A,#N/A,FALSE,"단축2";#N/A,#N/A,FALSE,"단축3";#N/A,#N/A,FALSE,"장축";#N/A,#N/A,FALSE,"4WD"}</definedName>
    <definedName name="ㅣㅣ" hidden="1">{#N/A,#N/A,FALSE,"단축1";#N/A,#N/A,FALSE,"단축2";#N/A,#N/A,FALSE,"단축3";#N/A,#N/A,FALSE,"장축";#N/A,#N/A,FALSE,"4WD"}</definedName>
    <definedName name="ㅣㅣㅣ">#REF!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5364" i="1" l="1"/>
  <c r="D5364" i="1"/>
  <c r="L5364" i="1" s="1"/>
  <c r="H5363" i="1"/>
  <c r="D5363" i="1"/>
  <c r="L5363" i="1" s="1"/>
  <c r="H5362" i="1"/>
  <c r="D5362" i="1"/>
  <c r="L5362" i="1" s="1"/>
  <c r="H5361" i="1"/>
  <c r="D5361" i="1"/>
  <c r="L5361" i="1" s="1"/>
  <c r="H5360" i="1"/>
  <c r="D5360" i="1"/>
  <c r="L5360" i="1" s="1"/>
  <c r="H5359" i="1"/>
  <c r="D5359" i="1"/>
  <c r="L5359" i="1" s="1"/>
  <c r="H5358" i="1"/>
  <c r="D5358" i="1"/>
  <c r="L5358" i="1" s="1"/>
  <c r="H5357" i="1"/>
  <c r="D5357" i="1"/>
  <c r="L5357" i="1" s="1"/>
  <c r="H5356" i="1"/>
  <c r="D5356" i="1"/>
  <c r="L5356" i="1" s="1"/>
  <c r="H5355" i="1"/>
  <c r="D5355" i="1"/>
  <c r="L5355" i="1" s="1"/>
  <c r="H5354" i="1"/>
  <c r="D5354" i="1"/>
  <c r="L5354" i="1" s="1"/>
  <c r="H5353" i="1"/>
  <c r="D5353" i="1"/>
  <c r="L5353" i="1" s="1"/>
  <c r="H5352" i="1"/>
  <c r="D5352" i="1"/>
  <c r="L5352" i="1" s="1"/>
  <c r="H5351" i="1"/>
  <c r="D5351" i="1"/>
  <c r="L5351" i="1" s="1"/>
  <c r="H5350" i="1"/>
  <c r="D5350" i="1"/>
  <c r="L5350" i="1" s="1"/>
  <c r="H5349" i="1"/>
  <c r="D5349" i="1"/>
  <c r="L5349" i="1" s="1"/>
  <c r="H5348" i="1"/>
  <c r="D5348" i="1"/>
  <c r="L5348" i="1" s="1"/>
  <c r="H5347" i="1"/>
  <c r="D5347" i="1"/>
  <c r="L5347" i="1" s="1"/>
  <c r="H5346" i="1"/>
  <c r="D5346" i="1"/>
  <c r="L5346" i="1" s="1"/>
  <c r="H5345" i="1"/>
  <c r="D5345" i="1"/>
  <c r="L5345" i="1" s="1"/>
  <c r="H5344" i="1"/>
  <c r="D5344" i="1"/>
  <c r="L5344" i="1" s="1"/>
  <c r="H5343" i="1"/>
  <c r="D5343" i="1"/>
  <c r="L5343" i="1" s="1"/>
  <c r="H5342" i="1"/>
  <c r="D5342" i="1"/>
  <c r="L5342" i="1" s="1"/>
  <c r="H5341" i="1"/>
  <c r="D5341" i="1"/>
  <c r="L5341" i="1" s="1"/>
  <c r="H5340" i="1"/>
  <c r="D5340" i="1"/>
  <c r="L5340" i="1" s="1"/>
  <c r="H5339" i="1"/>
  <c r="D5339" i="1"/>
  <c r="L5339" i="1" s="1"/>
  <c r="H5338" i="1"/>
  <c r="D5338" i="1"/>
  <c r="L5338" i="1" s="1"/>
  <c r="H5337" i="1"/>
  <c r="D5337" i="1"/>
  <c r="L5337" i="1" s="1"/>
  <c r="H5336" i="1"/>
  <c r="D5336" i="1"/>
  <c r="L5336" i="1" s="1"/>
  <c r="H5335" i="1"/>
  <c r="D5335" i="1"/>
  <c r="L5335" i="1" s="1"/>
  <c r="H5334" i="1"/>
  <c r="D5334" i="1"/>
  <c r="L5334" i="1" s="1"/>
  <c r="H5333" i="1"/>
  <c r="D5333" i="1"/>
  <c r="L5333" i="1" s="1"/>
  <c r="H5332" i="1"/>
  <c r="D5332" i="1"/>
  <c r="L5332" i="1" s="1"/>
  <c r="H5331" i="1"/>
  <c r="D5331" i="1"/>
  <c r="L5331" i="1" s="1"/>
  <c r="H5330" i="1"/>
  <c r="D5330" i="1"/>
  <c r="L5330" i="1" s="1"/>
  <c r="H5329" i="1"/>
  <c r="D5329" i="1"/>
  <c r="L5329" i="1" s="1"/>
  <c r="H5328" i="1"/>
  <c r="D5328" i="1"/>
  <c r="L5328" i="1" s="1"/>
  <c r="H5327" i="1"/>
  <c r="D5327" i="1"/>
  <c r="L5327" i="1" s="1"/>
  <c r="H5326" i="1"/>
  <c r="D5326" i="1"/>
  <c r="L5326" i="1" s="1"/>
  <c r="H5325" i="1"/>
  <c r="D5325" i="1"/>
  <c r="L5325" i="1" s="1"/>
  <c r="H5324" i="1"/>
  <c r="D5324" i="1"/>
  <c r="L5324" i="1" s="1"/>
  <c r="H5323" i="1"/>
  <c r="D5323" i="1"/>
  <c r="L5323" i="1" s="1"/>
  <c r="H5322" i="1"/>
  <c r="D5322" i="1"/>
  <c r="L5322" i="1" s="1"/>
  <c r="H5321" i="1"/>
  <c r="D5321" i="1"/>
  <c r="L5321" i="1" s="1"/>
  <c r="H5320" i="1"/>
  <c r="D5320" i="1"/>
  <c r="L5320" i="1" s="1"/>
  <c r="H5319" i="1"/>
  <c r="D5319" i="1"/>
  <c r="L5319" i="1" s="1"/>
  <c r="H5318" i="1"/>
  <c r="D5318" i="1"/>
  <c r="L5318" i="1" s="1"/>
  <c r="H5317" i="1"/>
  <c r="D5317" i="1"/>
  <c r="L5317" i="1" s="1"/>
  <c r="H5316" i="1"/>
  <c r="D5316" i="1"/>
  <c r="L5316" i="1" s="1"/>
  <c r="H5315" i="1"/>
  <c r="D5315" i="1"/>
  <c r="L5315" i="1" s="1"/>
  <c r="H5314" i="1"/>
  <c r="D5314" i="1"/>
  <c r="L5314" i="1" s="1"/>
  <c r="H5313" i="1"/>
  <c r="D5313" i="1"/>
  <c r="L5313" i="1" s="1"/>
  <c r="H5312" i="1"/>
  <c r="D5312" i="1"/>
  <c r="L5312" i="1" s="1"/>
  <c r="H5311" i="1"/>
  <c r="D5311" i="1"/>
  <c r="L5311" i="1" s="1"/>
  <c r="H5310" i="1"/>
  <c r="D5310" i="1"/>
  <c r="L5310" i="1" s="1"/>
  <c r="H5309" i="1"/>
  <c r="D5309" i="1"/>
  <c r="L5309" i="1" s="1"/>
  <c r="H5308" i="1"/>
  <c r="D5308" i="1"/>
  <c r="L5308" i="1" s="1"/>
  <c r="H5307" i="1"/>
  <c r="D5307" i="1"/>
  <c r="L5307" i="1" s="1"/>
  <c r="H5306" i="1"/>
  <c r="D5306" i="1"/>
  <c r="L5306" i="1" s="1"/>
  <c r="H5305" i="1"/>
  <c r="D5305" i="1"/>
  <c r="L5305" i="1" s="1"/>
  <c r="H5304" i="1"/>
  <c r="D5304" i="1"/>
  <c r="L5304" i="1" s="1"/>
  <c r="H5303" i="1"/>
  <c r="D5303" i="1"/>
  <c r="L5303" i="1" s="1"/>
  <c r="H5302" i="1"/>
  <c r="D5302" i="1"/>
  <c r="L5302" i="1" s="1"/>
  <c r="H5301" i="1"/>
  <c r="D5301" i="1"/>
  <c r="L5301" i="1" s="1"/>
  <c r="H5300" i="1"/>
  <c r="D5300" i="1"/>
  <c r="L5300" i="1" s="1"/>
  <c r="H5299" i="1"/>
  <c r="D5299" i="1"/>
  <c r="L5299" i="1" s="1"/>
  <c r="D5298" i="1"/>
  <c r="E5298" i="1" s="1"/>
  <c r="D5297" i="1"/>
  <c r="E5297" i="1" s="1"/>
  <c r="D5296" i="1"/>
  <c r="E5296" i="1" s="1"/>
  <c r="D5295" i="1"/>
  <c r="E5295" i="1" s="1"/>
  <c r="D5294" i="1"/>
  <c r="E5294" i="1" s="1"/>
  <c r="D5293" i="1"/>
  <c r="E5293" i="1" s="1"/>
  <c r="D5292" i="1"/>
  <c r="E5292" i="1" s="1"/>
  <c r="D5291" i="1"/>
  <c r="E5291" i="1" s="1"/>
  <c r="D5290" i="1"/>
  <c r="E5290" i="1" s="1"/>
  <c r="D5289" i="1"/>
  <c r="E5289" i="1" s="1"/>
  <c r="D5288" i="1"/>
  <c r="E5288" i="1" s="1"/>
  <c r="D5287" i="1"/>
  <c r="E5287" i="1" s="1"/>
  <c r="D5286" i="1"/>
  <c r="E5286" i="1" s="1"/>
  <c r="D5285" i="1"/>
  <c r="E5285" i="1" s="1"/>
  <c r="D5284" i="1"/>
  <c r="E5284" i="1" s="1"/>
  <c r="D5283" i="1"/>
  <c r="E5283" i="1" s="1"/>
  <c r="D5282" i="1"/>
  <c r="E5282" i="1" s="1"/>
  <c r="D5281" i="1"/>
  <c r="E5281" i="1" s="1"/>
  <c r="D5280" i="1"/>
  <c r="E5280" i="1" s="1"/>
  <c r="D5279" i="1"/>
  <c r="E5279" i="1" s="1"/>
  <c r="D5278" i="1"/>
  <c r="E5278" i="1" s="1"/>
  <c r="D5277" i="1"/>
  <c r="E5277" i="1" s="1"/>
  <c r="D5276" i="1"/>
  <c r="E5276" i="1" s="1"/>
  <c r="D5275" i="1"/>
  <c r="E5275" i="1" s="1"/>
  <c r="D5274" i="1"/>
  <c r="E5274" i="1" s="1"/>
  <c r="D5273" i="1"/>
  <c r="E5273" i="1" s="1"/>
  <c r="D5272" i="1"/>
  <c r="E5272" i="1" s="1"/>
  <c r="D5271" i="1"/>
  <c r="E5271" i="1" s="1"/>
  <c r="D5270" i="1"/>
  <c r="E5270" i="1" s="1"/>
  <c r="D5269" i="1"/>
  <c r="E5269" i="1" s="1"/>
  <c r="D5268" i="1"/>
  <c r="E5268" i="1" s="1"/>
  <c r="D5267" i="1"/>
  <c r="E5267" i="1" s="1"/>
  <c r="D5266" i="1"/>
  <c r="E5266" i="1" s="1"/>
  <c r="D5265" i="1"/>
  <c r="E5265" i="1" s="1"/>
  <c r="D5264" i="1"/>
  <c r="E5264" i="1" s="1"/>
  <c r="D5263" i="1"/>
  <c r="E5263" i="1" s="1"/>
  <c r="D5262" i="1"/>
  <c r="E5262" i="1" s="1"/>
  <c r="D5261" i="1"/>
  <c r="E5261" i="1" s="1"/>
  <c r="D5260" i="1"/>
  <c r="E5260" i="1" s="1"/>
  <c r="D5259" i="1"/>
  <c r="E5259" i="1" s="1"/>
  <c r="D5258" i="1"/>
  <c r="E5258" i="1" s="1"/>
  <c r="D5257" i="1"/>
  <c r="E5257" i="1" s="1"/>
  <c r="D5256" i="1"/>
  <c r="E5256" i="1" s="1"/>
  <c r="D5255" i="1"/>
  <c r="E5255" i="1" s="1"/>
  <c r="D5254" i="1"/>
  <c r="E5254" i="1" s="1"/>
  <c r="D5253" i="1"/>
  <c r="E5253" i="1" s="1"/>
  <c r="D5252" i="1"/>
  <c r="E5252" i="1" s="1"/>
  <c r="D5251" i="1"/>
  <c r="E5251" i="1" s="1"/>
  <c r="D5250" i="1"/>
  <c r="E5250" i="1" s="1"/>
  <c r="D5249" i="1"/>
  <c r="E5249" i="1" s="1"/>
  <c r="D5248" i="1"/>
  <c r="E5248" i="1" s="1"/>
  <c r="D5247" i="1"/>
  <c r="E5247" i="1" s="1"/>
  <c r="D5246" i="1"/>
  <c r="E5246" i="1" s="1"/>
  <c r="D5245" i="1"/>
  <c r="E5245" i="1" s="1"/>
  <c r="D5244" i="1"/>
  <c r="E5244" i="1" s="1"/>
  <c r="D5243" i="1"/>
  <c r="E5243" i="1" s="1"/>
  <c r="D5242" i="1"/>
  <c r="E5242" i="1" s="1"/>
  <c r="D5241" i="1"/>
  <c r="E5241" i="1" s="1"/>
  <c r="D5240" i="1"/>
  <c r="E5240" i="1" s="1"/>
  <c r="D5239" i="1"/>
  <c r="E5239" i="1" s="1"/>
  <c r="D5238" i="1"/>
  <c r="E5238" i="1" s="1"/>
  <c r="D5237" i="1"/>
  <c r="E5237" i="1" s="1"/>
  <c r="D5236" i="1"/>
  <c r="E5236" i="1" s="1"/>
  <c r="D5235" i="1"/>
  <c r="E5235" i="1" s="1"/>
  <c r="D5234" i="1"/>
  <c r="E5234" i="1" s="1"/>
  <c r="D5233" i="1"/>
  <c r="E5233" i="1" s="1"/>
  <c r="D5232" i="1"/>
  <c r="E5232" i="1" s="1"/>
  <c r="D5231" i="1"/>
  <c r="E5231" i="1" s="1"/>
  <c r="D5230" i="1"/>
  <c r="E5230" i="1" s="1"/>
  <c r="D5229" i="1"/>
  <c r="E5229" i="1" s="1"/>
  <c r="D5228" i="1"/>
  <c r="E5228" i="1" s="1"/>
  <c r="D5227" i="1"/>
  <c r="E5227" i="1" s="1"/>
  <c r="D5226" i="1"/>
  <c r="E5226" i="1" s="1"/>
  <c r="D5225" i="1"/>
  <c r="E5225" i="1" s="1"/>
  <c r="D5224" i="1"/>
  <c r="E5224" i="1" s="1"/>
  <c r="D5223" i="1"/>
  <c r="E5223" i="1" s="1"/>
  <c r="D5222" i="1"/>
  <c r="E5222" i="1" s="1"/>
  <c r="D5221" i="1"/>
  <c r="E5221" i="1" s="1"/>
  <c r="D5220" i="1"/>
  <c r="E5220" i="1" s="1"/>
  <c r="D5219" i="1"/>
  <c r="E5219" i="1" s="1"/>
  <c r="D5218" i="1"/>
  <c r="E5218" i="1" s="1"/>
  <c r="D5217" i="1"/>
  <c r="E5217" i="1" s="1"/>
  <c r="D5216" i="1"/>
  <c r="E5216" i="1" s="1"/>
  <c r="D5215" i="1"/>
  <c r="E5215" i="1" s="1"/>
  <c r="D5214" i="1"/>
  <c r="E5214" i="1" s="1"/>
  <c r="D5213" i="1"/>
  <c r="E5213" i="1" s="1"/>
  <c r="D5212" i="1"/>
  <c r="E5212" i="1" s="1"/>
  <c r="D5211" i="1"/>
  <c r="E5211" i="1" s="1"/>
  <c r="E5210" i="1"/>
  <c r="E5209" i="1"/>
  <c r="E5208" i="1"/>
  <c r="E5207" i="1"/>
  <c r="E5206" i="1"/>
  <c r="E5205" i="1"/>
  <c r="E5204" i="1"/>
  <c r="E5203" i="1"/>
  <c r="E5202" i="1"/>
  <c r="E5201" i="1"/>
  <c r="E5200" i="1"/>
  <c r="E5199" i="1"/>
  <c r="E5198" i="1"/>
  <c r="E5197" i="1"/>
  <c r="E5196" i="1"/>
  <c r="E5195" i="1"/>
  <c r="E5194" i="1"/>
  <c r="E5193" i="1"/>
  <c r="E5192" i="1"/>
  <c r="E5191" i="1"/>
  <c r="E5190" i="1"/>
  <c r="E5189" i="1"/>
  <c r="E5188" i="1"/>
  <c r="E5187" i="1"/>
  <c r="E5186" i="1"/>
  <c r="E5185" i="1"/>
  <c r="E5184" i="1"/>
  <c r="E5183" i="1"/>
  <c r="E5182" i="1"/>
  <c r="E5181" i="1"/>
  <c r="E5180" i="1"/>
  <c r="E5179" i="1"/>
  <c r="E5178" i="1"/>
  <c r="E5177" i="1"/>
  <c r="E5176" i="1"/>
  <c r="E5175" i="1"/>
  <c r="E5174" i="1"/>
  <c r="E5173" i="1"/>
  <c r="E5172" i="1"/>
  <c r="E5171" i="1"/>
  <c r="E5170" i="1"/>
  <c r="E5169" i="1"/>
  <c r="E5168" i="1"/>
  <c r="E5167" i="1"/>
  <c r="E5166" i="1"/>
  <c r="E5165" i="1"/>
  <c r="E5164" i="1"/>
  <c r="E5163" i="1"/>
  <c r="E5162" i="1"/>
  <c r="E5161" i="1"/>
  <c r="E5160" i="1"/>
  <c r="E5159" i="1"/>
  <c r="E5158" i="1"/>
  <c r="E5157" i="1"/>
  <c r="E5156" i="1"/>
  <c r="E5155" i="1"/>
  <c r="E5154" i="1"/>
  <c r="E5153" i="1"/>
  <c r="E5152" i="1"/>
  <c r="E5151" i="1"/>
  <c r="E5150" i="1"/>
  <c r="E5149" i="1"/>
  <c r="E5148" i="1"/>
  <c r="E5147" i="1"/>
  <c r="E5146" i="1"/>
  <c r="E5145" i="1"/>
  <c r="E5144" i="1"/>
  <c r="E5143" i="1"/>
  <c r="E5142" i="1"/>
  <c r="E5141" i="1"/>
  <c r="E5140" i="1"/>
  <c r="E5139" i="1"/>
  <c r="E5138" i="1"/>
  <c r="E5137" i="1"/>
  <c r="E5136" i="1"/>
  <c r="E5135" i="1"/>
  <c r="E5134" i="1"/>
  <c r="E5133" i="1"/>
  <c r="E5132" i="1"/>
  <c r="E5131" i="1"/>
  <c r="E5130" i="1"/>
  <c r="E5129" i="1"/>
  <c r="E5128" i="1"/>
  <c r="E5127" i="1"/>
  <c r="E5126" i="1"/>
  <c r="E5125" i="1"/>
  <c r="E5124" i="1"/>
  <c r="E5123" i="1"/>
  <c r="E5122" i="1"/>
  <c r="E5121" i="1"/>
  <c r="E5120" i="1"/>
  <c r="E5119" i="1"/>
  <c r="E5118" i="1"/>
  <c r="E5117" i="1"/>
  <c r="E5116" i="1"/>
  <c r="E5115" i="1"/>
  <c r="E5114" i="1"/>
  <c r="E5113" i="1"/>
  <c r="E5112" i="1"/>
  <c r="E5111" i="1"/>
  <c r="E5110" i="1"/>
  <c r="E5109" i="1"/>
  <c r="E5108" i="1"/>
  <c r="E5107" i="1"/>
  <c r="E5106" i="1"/>
  <c r="E5105" i="1"/>
  <c r="E5104" i="1"/>
  <c r="E5103" i="1"/>
  <c r="E5102" i="1"/>
  <c r="E5101" i="1"/>
  <c r="E5100" i="1"/>
  <c r="E5099" i="1"/>
  <c r="E5098" i="1"/>
  <c r="E5097" i="1"/>
  <c r="E5096" i="1"/>
  <c r="E5095" i="1"/>
  <c r="E5094" i="1"/>
  <c r="E5093" i="1"/>
  <c r="E5092" i="1"/>
  <c r="E5091" i="1"/>
  <c r="E5090" i="1"/>
  <c r="E5089" i="1"/>
  <c r="E5088" i="1"/>
  <c r="E5087" i="1"/>
  <c r="E5086" i="1"/>
  <c r="E5085" i="1"/>
  <c r="E5084" i="1"/>
  <c r="E5083" i="1"/>
  <c r="E5082" i="1"/>
  <c r="E5081" i="1"/>
  <c r="E5080" i="1"/>
  <c r="E5079" i="1"/>
  <c r="E5078" i="1"/>
  <c r="E5077" i="1"/>
  <c r="E5076" i="1"/>
  <c r="E5075" i="1"/>
  <c r="E5074" i="1"/>
  <c r="E5073" i="1"/>
  <c r="E5072" i="1"/>
  <c r="E5071" i="1"/>
  <c r="E5070" i="1"/>
  <c r="E5069" i="1"/>
  <c r="E5068" i="1"/>
  <c r="E5067" i="1"/>
  <c r="E5066" i="1"/>
  <c r="E5065" i="1"/>
  <c r="E5064" i="1"/>
  <c r="E5063" i="1"/>
  <c r="E5062" i="1"/>
  <c r="E5061" i="1"/>
  <c r="E5060" i="1"/>
  <c r="E5059" i="1"/>
  <c r="E5058" i="1"/>
  <c r="E5057" i="1"/>
  <c r="E5056" i="1"/>
  <c r="E5055" i="1"/>
  <c r="E5054" i="1"/>
  <c r="E5053" i="1"/>
  <c r="E5052" i="1"/>
  <c r="E5051" i="1"/>
  <c r="E5050" i="1"/>
  <c r="E5049" i="1"/>
  <c r="E5048" i="1"/>
  <c r="E5047" i="1"/>
  <c r="E5046" i="1"/>
  <c r="E5045" i="1"/>
  <c r="E5044" i="1"/>
  <c r="E5043" i="1"/>
  <c r="E5042" i="1"/>
  <c r="E5041" i="1"/>
  <c r="E5040" i="1"/>
  <c r="E5039" i="1"/>
  <c r="E5038" i="1"/>
  <c r="E5037" i="1"/>
  <c r="E5036" i="1"/>
  <c r="E5035" i="1"/>
  <c r="E5034" i="1"/>
  <c r="E5033" i="1"/>
  <c r="E5032" i="1"/>
  <c r="E5031" i="1"/>
  <c r="E5030" i="1"/>
  <c r="E5029" i="1"/>
  <c r="E5028" i="1"/>
  <c r="E5027" i="1"/>
  <c r="E5026" i="1"/>
  <c r="E5025" i="1"/>
  <c r="E5024" i="1"/>
  <c r="E5023" i="1"/>
  <c r="E5022" i="1"/>
  <c r="E5021" i="1"/>
  <c r="E5020" i="1"/>
  <c r="E5019" i="1"/>
  <c r="E5018" i="1"/>
  <c r="E5017" i="1"/>
  <c r="E5016" i="1"/>
  <c r="E5015" i="1"/>
  <c r="E5014" i="1"/>
  <c r="E5013" i="1"/>
  <c r="E5012" i="1"/>
  <c r="E5011" i="1"/>
  <c r="E5010" i="1"/>
  <c r="E5009" i="1"/>
  <c r="E5008" i="1"/>
  <c r="E5007" i="1"/>
  <c r="E5006" i="1"/>
  <c r="E5005" i="1"/>
  <c r="E5004" i="1"/>
  <c r="E5003" i="1"/>
  <c r="E5002" i="1"/>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E5299" i="1" l="1"/>
  <c r="E5301" i="1"/>
  <c r="E5303" i="1"/>
  <c r="E5305" i="1"/>
  <c r="E5307" i="1"/>
  <c r="E5309" i="1"/>
  <c r="E5311" i="1"/>
  <c r="E5313" i="1"/>
  <c r="E5315" i="1"/>
  <c r="E5317" i="1"/>
  <c r="E5319" i="1"/>
  <c r="E5321" i="1"/>
  <c r="E5323" i="1"/>
  <c r="E5325" i="1"/>
  <c r="E5327" i="1"/>
  <c r="E5329" i="1"/>
  <c r="E5331" i="1"/>
  <c r="E5333" i="1"/>
  <c r="E5335" i="1"/>
  <c r="E5337" i="1"/>
  <c r="E5339" i="1"/>
  <c r="E5341" i="1"/>
  <c r="E5343" i="1"/>
  <c r="E5345" i="1"/>
  <c r="E5347" i="1"/>
  <c r="E5349" i="1"/>
  <c r="E5351" i="1"/>
  <c r="E5353" i="1"/>
  <c r="E5355" i="1"/>
  <c r="E5357" i="1"/>
  <c r="E5359" i="1"/>
  <c r="E5361" i="1"/>
  <c r="E5363" i="1"/>
  <c r="E5300" i="1"/>
  <c r="E5302" i="1"/>
  <c r="E5304" i="1"/>
  <c r="E5306" i="1"/>
  <c r="E5308" i="1"/>
  <c r="E5310" i="1"/>
  <c r="E5312" i="1"/>
  <c r="E5314" i="1"/>
  <c r="E5316" i="1"/>
  <c r="E5318" i="1"/>
  <c r="E5320" i="1"/>
  <c r="E5322" i="1"/>
  <c r="E5324" i="1"/>
  <c r="E5326" i="1"/>
  <c r="E5328" i="1"/>
  <c r="E5330" i="1"/>
  <c r="E5332" i="1"/>
  <c r="E5334" i="1"/>
  <c r="E5336" i="1"/>
  <c r="E5338" i="1"/>
  <c r="E5340" i="1"/>
  <c r="E5342" i="1"/>
  <c r="E5344" i="1"/>
  <c r="E5346" i="1"/>
  <c r="E5348" i="1"/>
  <c r="E5350" i="1"/>
  <c r="E5352" i="1"/>
  <c r="E5354" i="1"/>
  <c r="E5356" i="1"/>
  <c r="E5358" i="1"/>
  <c r="E5360" i="1"/>
  <c r="E5362" i="1"/>
  <c r="E5364" i="1"/>
</calcChain>
</file>

<file path=xl/sharedStrings.xml><?xml version="1.0" encoding="utf-8"?>
<sst xmlns="http://schemas.openxmlformats.org/spreadsheetml/2006/main" count="50743" uniqueCount="4192">
  <si>
    <t>Source</t>
  </si>
  <si>
    <t>P&amp;L Row</t>
  </si>
  <si>
    <t>P&amp;L Line Item</t>
  </si>
  <si>
    <t>Date</t>
  </si>
  <si>
    <t>Date2</t>
  </si>
  <si>
    <t>Document Number</t>
  </si>
  <si>
    <t>Name</t>
  </si>
  <si>
    <t>Amount</t>
  </si>
  <si>
    <t>Department: Name</t>
  </si>
  <si>
    <t>Account (GL)</t>
  </si>
  <si>
    <t>Memo</t>
  </si>
  <si>
    <t>Month</t>
  </si>
  <si>
    <t>GL Mapping</t>
  </si>
  <si>
    <t>Dept. Mapping</t>
  </si>
  <si>
    <t>Dept. Mapping for G&amp;A</t>
  </si>
  <si>
    <t>P&amp;L Mapping</t>
  </si>
  <si>
    <t>Korean Mapping</t>
  </si>
  <si>
    <t>NS Vendor Details</t>
  </si>
  <si>
    <t>Advertising</t>
  </si>
  <si>
    <t>VENDBILL7548</t>
  </si>
  <si>
    <t>Que Management, Inc</t>
  </si>
  <si>
    <t>E-commerce - US</t>
  </si>
  <si>
    <t>6280 - Selling, Marketing &amp; Advertising:6288 - Model</t>
  </si>
  <si>
    <t>Ecomm Photo Shoot - Model</t>
  </si>
  <si>
    <t>6288 - Model</t>
  </si>
  <si>
    <t>Ecommerce (US)</t>
  </si>
  <si>
    <t>Brand Marketing</t>
  </si>
  <si>
    <t>Model</t>
  </si>
  <si>
    <t>Professional Service</t>
  </si>
  <si>
    <t>VENDBILL7539</t>
  </si>
  <si>
    <t>Greenwald Doherty LLP</t>
  </si>
  <si>
    <t>Administration</t>
  </si>
  <si>
    <t>6380 - Legal &amp; Accounting</t>
  </si>
  <si>
    <t>Legal</t>
  </si>
  <si>
    <t>Other</t>
  </si>
  <si>
    <t>VENDBILL7623</t>
  </si>
  <si>
    <t>NYC Intercom Inc</t>
  </si>
  <si>
    <t>6400 - Utilities</t>
  </si>
  <si>
    <t>Brivo Subsciptions/Mobile Pass</t>
  </si>
  <si>
    <t>VENDBILL7392</t>
  </si>
  <si>
    <t>Antelope LLC</t>
  </si>
  <si>
    <t>December 2024 Electric</t>
  </si>
  <si>
    <t>VENDBILL7673</t>
  </si>
  <si>
    <t>Verizon</t>
  </si>
  <si>
    <t>Internet/Phone January 2025</t>
  </si>
  <si>
    <t>VENDBILL7516</t>
  </si>
  <si>
    <t>PapePR</t>
  </si>
  <si>
    <t>Marketing - Brand</t>
  </si>
  <si>
    <t>6200 - Contract &amp; Professional Services:6225 - Professional Services</t>
  </si>
  <si>
    <t>Public Relations 2025 January</t>
  </si>
  <si>
    <t>6225 - Professional Services</t>
  </si>
  <si>
    <t>VENDBILL7458</t>
  </si>
  <si>
    <t>Enom Solutions, Inc-DBA 3nom</t>
  </si>
  <si>
    <t>User Support January 2025</t>
  </si>
  <si>
    <t>Rent</t>
  </si>
  <si>
    <t>6320 - Building Rent</t>
  </si>
  <si>
    <t>Rent Payment NY Office - January 2025</t>
  </si>
  <si>
    <t>JE6106</t>
  </si>
  <si>
    <t>Accrue Greenwald Legal Fees - Dec</t>
  </si>
  <si>
    <t>JE6068</t>
  </si>
  <si>
    <t>6385 - Insurance</t>
  </si>
  <si>
    <t>JE6071</t>
  </si>
  <si>
    <t>Dec 2024 Electric</t>
  </si>
  <si>
    <t>JE6022</t>
  </si>
  <si>
    <t>6450 - Bank &amp; Other Fees</t>
  </si>
  <si>
    <t>12/18 $100 fee is ETC - Legal Action Fee</t>
  </si>
  <si>
    <t>VENDBILL7484</t>
  </si>
  <si>
    <t>ADP Payroll Services</t>
  </si>
  <si>
    <t>6300 - Payroll Service Fees</t>
  </si>
  <si>
    <t>ADP Payroll Fees 01.03.2025</t>
  </si>
  <si>
    <t>VENDBILL7485</t>
  </si>
  <si>
    <t>ADP Payroll Fees  01.03.2025</t>
  </si>
  <si>
    <t>VENDBILL7655</t>
  </si>
  <si>
    <t>Juno Choe</t>
  </si>
  <si>
    <t>6390 - Information Technology &amp; Software Expenses:6393 - Software</t>
  </si>
  <si>
    <t>Adobe Software monthly subscription service fee</t>
  </si>
  <si>
    <t>6393 - Software</t>
  </si>
  <si>
    <t>VENDBILL7656</t>
  </si>
  <si>
    <t>Robert  McKinney</t>
  </si>
  <si>
    <t>6340 - Miscellaneous Expense</t>
  </si>
  <si>
    <t>National Retail Federation Tradeshow</t>
  </si>
  <si>
    <t>Ecommerce</t>
  </si>
  <si>
    <t>D&amp;B Movin company information research</t>
  </si>
  <si>
    <t>T&amp;E</t>
  </si>
  <si>
    <t>6100 - Travel and Entertainment:6120 - Lodging</t>
  </si>
  <si>
    <t>NY Meetings - Warehouse Audit</t>
  </si>
  <si>
    <t>6120 - Lodging</t>
  </si>
  <si>
    <t>6100 - Travel and Entertainment:6125 - Transportation and Fuel</t>
  </si>
  <si>
    <t>Uber from warehouse for audit</t>
  </si>
  <si>
    <t>6125 - Transportation and Fuel</t>
  </si>
  <si>
    <t>Uber to warehouse for Audit</t>
  </si>
  <si>
    <t>6100 - Travel and Entertainment:6105 - Meals</t>
  </si>
  <si>
    <t>Frank's goodbye party with leaders</t>
  </si>
  <si>
    <t>6105 - Meals</t>
  </si>
  <si>
    <t>Luch with KY accounting firm field audit</t>
  </si>
  <si>
    <t>Luch with KY accounting firm field audit + Finance team staff</t>
  </si>
  <si>
    <t>Coffee for Office Coffee machine</t>
  </si>
  <si>
    <t>All STO Employees Luna new year lunch</t>
  </si>
  <si>
    <t>Luch with KY accounting firm, inventory audit</t>
  </si>
  <si>
    <t>VENDBILL7669</t>
  </si>
  <si>
    <t>VENDBILL7668</t>
  </si>
  <si>
    <t>Lisa  Resciniti</t>
  </si>
  <si>
    <t>Bank Fee</t>
  </si>
  <si>
    <t>QBO Software</t>
  </si>
  <si>
    <t>Design</t>
  </si>
  <si>
    <t>Backbone Software</t>
  </si>
  <si>
    <t>VENDBILL7477</t>
  </si>
  <si>
    <t>Federal Express</t>
  </si>
  <si>
    <t>Pre-Production &amp; Purchasing</t>
  </si>
  <si>
    <t>6375 - Freight Expenses</t>
  </si>
  <si>
    <t>NY to Customer</t>
  </si>
  <si>
    <t>Production</t>
  </si>
  <si>
    <t>Freight</t>
  </si>
  <si>
    <t>운반비</t>
  </si>
  <si>
    <t>CM142</t>
  </si>
  <si>
    <t>ESSA GRUP DIS TIC LTD STI</t>
  </si>
  <si>
    <t>Licensing</t>
  </si>
  <si>
    <t>Essa Jan 6 and 7 Payment ($33 each)</t>
  </si>
  <si>
    <t>VENDBILL7517</t>
  </si>
  <si>
    <t>OperationsInc, LLC</t>
  </si>
  <si>
    <t>2025 HR - Payroll Services 12/29-01/04/2025</t>
  </si>
  <si>
    <t>VENDBILL7518</t>
  </si>
  <si>
    <t>DHL Express - USA</t>
  </si>
  <si>
    <t>NY to Factory</t>
  </si>
  <si>
    <t>VENDBILL7528</t>
  </si>
  <si>
    <t>State Artist Management</t>
  </si>
  <si>
    <t>Ecomm Shoot - Tetiana 01/09/2025</t>
  </si>
  <si>
    <t>JE6117</t>
  </si>
  <si>
    <t>ACH Test Ecomm</t>
  </si>
  <si>
    <t>JE6118</t>
  </si>
  <si>
    <t>VENDBILL7529</t>
  </si>
  <si>
    <t>Go Gleem LLC</t>
  </si>
  <si>
    <t>Cleaning New Office</t>
  </si>
  <si>
    <t>JE6136</t>
  </si>
  <si>
    <t>Sample</t>
  </si>
  <si>
    <t>VENDBILL7593</t>
  </si>
  <si>
    <t>Porta Asiatica Enterprises Inc</t>
  </si>
  <si>
    <t>Wholesale - U.S.</t>
  </si>
  <si>
    <t>6350 - Product Development Costs:6363 - Development</t>
  </si>
  <si>
    <t>S26 -Samples - Development Cost</t>
  </si>
  <si>
    <t>6363 - Development</t>
  </si>
  <si>
    <t>Wholesale</t>
  </si>
  <si>
    <t>VENDBILL7596</t>
  </si>
  <si>
    <t>VENDBILL7595</t>
  </si>
  <si>
    <t>VENDBILL7594</t>
  </si>
  <si>
    <t>VENDBILL7590</t>
  </si>
  <si>
    <t>VENDBILL7633</t>
  </si>
  <si>
    <t>Frank Dell'Aquila</t>
  </si>
  <si>
    <t>PROTO MEETING LUNCH</t>
  </si>
  <si>
    <t>VENDBILL7567</t>
  </si>
  <si>
    <t>JE6102</t>
  </si>
  <si>
    <t>Payment to CC was Short Paid for Dec Statement</t>
  </si>
  <si>
    <t>VENDBILL7547</t>
  </si>
  <si>
    <t>VENDBILL7543</t>
  </si>
  <si>
    <t>Canon Financial Services, Inc.</t>
  </si>
  <si>
    <t>6410 - Lease Expense</t>
  </si>
  <si>
    <t>Copier Lease January 2025</t>
  </si>
  <si>
    <t>VENDBILL7632</t>
  </si>
  <si>
    <t>Yoon Choi</t>
  </si>
  <si>
    <t>Executive</t>
  </si>
  <si>
    <t>Chat GPT subscription</t>
  </si>
  <si>
    <t>Office supplies</t>
  </si>
  <si>
    <t>VENDBILL7542</t>
  </si>
  <si>
    <t>2025 HR - Payroll Services 01/05-01/11/2025</t>
  </si>
  <si>
    <t>Office to Grand Central (after 9 pm)</t>
  </si>
  <si>
    <t>Interview with candidate</t>
  </si>
  <si>
    <t>VENDBILL7550</t>
  </si>
  <si>
    <t>JE6143</t>
  </si>
  <si>
    <t>Account Analysis Fee - Bank Fee</t>
  </si>
  <si>
    <t>JE6144</t>
  </si>
  <si>
    <t>CC Balance from Short pay thru 9356 account</t>
  </si>
  <si>
    <t>VENDBILL7553</t>
  </si>
  <si>
    <t>Ecomm Shoot - Tetiana 01/16/2025</t>
  </si>
  <si>
    <t>VENDBILL7634</t>
  </si>
  <si>
    <t>Leila NA</t>
  </si>
  <si>
    <t>Year end audit prepare OT dinner - Leila &amp; Juno</t>
  </si>
  <si>
    <t>Cancelled Transaction</t>
  </si>
  <si>
    <t>Year end audit - Caitlin's NYS biz trip Hotel</t>
  </si>
  <si>
    <t>Year End Audit - Lisa's biz trip NYC Hotel</t>
  </si>
  <si>
    <t>VENDBILL7675</t>
  </si>
  <si>
    <t>ADP Payroll Fees 401K Portal 01.17.2025</t>
  </si>
  <si>
    <t>VENDBILL7555</t>
  </si>
  <si>
    <t>JE6149</t>
  </si>
  <si>
    <t>JP Morgan Fees - Charged to Holdings</t>
  </si>
  <si>
    <t>VENDBILL7565</t>
  </si>
  <si>
    <t>Women Management LLC</t>
  </si>
  <si>
    <t>Maranda Vanelli Model</t>
  </si>
  <si>
    <t>VENDBILL7574</t>
  </si>
  <si>
    <t>2025 HR - Payroll Services 01/12-01/18/2025</t>
  </si>
  <si>
    <t>VENDBILL7577</t>
  </si>
  <si>
    <t>Paula Pinto</t>
  </si>
  <si>
    <t>Warehouse Audit</t>
  </si>
  <si>
    <t>VENDBILL7568</t>
  </si>
  <si>
    <t>VENDBILL7569</t>
  </si>
  <si>
    <t>JE6159</t>
  </si>
  <si>
    <t>Google - Verify Bank</t>
  </si>
  <si>
    <t>VENDBILL7583</t>
  </si>
  <si>
    <t>Ecomm Shoot - Tetiana 01/23/2025</t>
  </si>
  <si>
    <t>VENDBILL7592</t>
  </si>
  <si>
    <t>VENDBILL7591</t>
  </si>
  <si>
    <t>VENDBILL7578</t>
  </si>
  <si>
    <t>VENDBILL7584</t>
  </si>
  <si>
    <t>ADP Payroll Fees 1.24.2025</t>
  </si>
  <si>
    <t>JE6183</t>
  </si>
  <si>
    <t>VENDBILL7612</t>
  </si>
  <si>
    <t>Ko &amp; Yun, LLP - Operations</t>
  </si>
  <si>
    <t>Monthly advisory service for January 2025-IP Holding</t>
  </si>
  <si>
    <t>VENDBILL7611</t>
  </si>
  <si>
    <t>Ko &amp; Yun, LLP - IP Holding</t>
  </si>
  <si>
    <t>VENDBILL7649</t>
  </si>
  <si>
    <t>Julissa Soto</t>
  </si>
  <si>
    <t>Monthly Spotify Subscription</t>
  </si>
  <si>
    <t>Monthly ChatGPT Subscription: Premium</t>
  </si>
  <si>
    <t>VENDBILL7635</t>
  </si>
  <si>
    <t>Pantone</t>
  </si>
  <si>
    <t>Annual Pantone Subscription</t>
  </si>
  <si>
    <t>VENDBILL7613</t>
  </si>
  <si>
    <t>Zabin Industries (Hong Kong) LTD.</t>
  </si>
  <si>
    <t>6350 - Product Development Costs:6352 - Fabric &amp; Materials</t>
  </si>
  <si>
    <t>Discontinued Trim</t>
  </si>
  <si>
    <t>6352 - Fabric &amp; Materials</t>
  </si>
  <si>
    <t>Office Supplies</t>
  </si>
  <si>
    <t>Roberta Kruminaite</t>
  </si>
  <si>
    <t>6370 - Samples</t>
  </si>
  <si>
    <t>Refernce Samples for FW26</t>
  </si>
  <si>
    <t>Groceries for Office</t>
  </si>
  <si>
    <t>VENDBILL7604</t>
  </si>
  <si>
    <t>VENDBILL7601</t>
  </si>
  <si>
    <t>2025 HR - Payroll Services 01/19-01/25/2025</t>
  </si>
  <si>
    <t>VENDBILL7607</t>
  </si>
  <si>
    <t>VENDBILL7616</t>
  </si>
  <si>
    <t>Ecomm Shoot - Ed Bayer 01/30/2025</t>
  </si>
  <si>
    <t>VENDBILL7608</t>
  </si>
  <si>
    <t>Ecomm Shoot - Tetiana 03/01/2025</t>
  </si>
  <si>
    <t>VENDBILL7631</t>
  </si>
  <si>
    <t>Google</t>
  </si>
  <si>
    <t>6280 - Selling, Marketing &amp; Advertising:6285 - SEM Brand Marketing</t>
  </si>
  <si>
    <t>SEM Spend - Brand Marketing</t>
  </si>
  <si>
    <t>6285 - SEM Brand Marketing</t>
  </si>
  <si>
    <t>SEM브랜드마케팅</t>
  </si>
  <si>
    <t>VENDBILL7758</t>
  </si>
  <si>
    <t>E-commerce - International</t>
  </si>
  <si>
    <t>Ecommerce (EU)</t>
  </si>
  <si>
    <t>VENDBILL7640</t>
  </si>
  <si>
    <t>GQ</t>
  </si>
  <si>
    <t>GQ Subscription</t>
  </si>
  <si>
    <t>Caroline  Seong</t>
  </si>
  <si>
    <t>ChatGPT Subscription</t>
  </si>
  <si>
    <t>Canva</t>
  </si>
  <si>
    <t>Canva Subscription</t>
  </si>
  <si>
    <t>VENDBILL7642</t>
  </si>
  <si>
    <t>Soul Artist Management</t>
  </si>
  <si>
    <t>S25 Model</t>
  </si>
  <si>
    <t>VENDBILL7641</t>
  </si>
  <si>
    <t>Lanny K.W. Inc.</t>
  </si>
  <si>
    <t>6350 - Product Development Costs:6360 - Model - Fitting</t>
  </si>
  <si>
    <t>Fitting Model - January 2025</t>
  </si>
  <si>
    <t>6360 - Model - Fitting</t>
  </si>
  <si>
    <t>VENDBILL7659</t>
  </si>
  <si>
    <t>The Wave IP Law Firm</t>
  </si>
  <si>
    <t>Trademark Legal Fees - January 2025</t>
  </si>
  <si>
    <t>SS25 Campaign - Stockings/Underwear/Accessories</t>
  </si>
  <si>
    <t>SS25 Campaign - Water/Tissue/Toilet Paper</t>
  </si>
  <si>
    <t>SS25 Campaign - Hotel Deposit Return</t>
  </si>
  <si>
    <t>Packing Tape</t>
  </si>
  <si>
    <t>VENDBILL7615</t>
  </si>
  <si>
    <t>Amazon Capital Services</t>
  </si>
  <si>
    <t>Office Supplies NY - January 2025</t>
  </si>
  <si>
    <t>VENDBILL7639</t>
  </si>
  <si>
    <t>wholesale -urban outfitters price tickets</t>
  </si>
  <si>
    <t>VENDBILL7662</t>
  </si>
  <si>
    <t>Theerapol Thammasitboon</t>
  </si>
  <si>
    <t>6240 - Product Photography</t>
  </si>
  <si>
    <t>Photography- S25</t>
  </si>
  <si>
    <t>Photography</t>
  </si>
  <si>
    <t>VENDBILL7620</t>
  </si>
  <si>
    <t>ADP Payroll Fees 01.31.2024</t>
  </si>
  <si>
    <t>VENDBILL7621</t>
  </si>
  <si>
    <t>ADP Payroll Fees 401K Portal 01.31.2024</t>
  </si>
  <si>
    <t>VENDBILL7661</t>
  </si>
  <si>
    <t>Melody  Huang</t>
  </si>
  <si>
    <t>Stylist SS25</t>
  </si>
  <si>
    <t>VENDBILL7618</t>
  </si>
  <si>
    <t>Benefit Resource, LLC</t>
  </si>
  <si>
    <t>Pre Tax Monthly Admin - January 2025</t>
  </si>
  <si>
    <t>SS25 Campaign</t>
  </si>
  <si>
    <t>SS25 Campaign Taxi</t>
  </si>
  <si>
    <t>E-Commerce Shoot Taxi</t>
  </si>
  <si>
    <t>Wholesale Client Coffee</t>
  </si>
  <si>
    <t>E-Commerce Shoot</t>
  </si>
  <si>
    <t>VENDBILL7643</t>
  </si>
  <si>
    <t>GFD Courier Corporation</t>
  </si>
  <si>
    <t>Courier for Marketing</t>
  </si>
  <si>
    <t>VENDBILL7625</t>
  </si>
  <si>
    <t>VENDBILL7624</t>
  </si>
  <si>
    <t>JE6192</t>
  </si>
  <si>
    <t>7140 - Amortization Exp - ROU Asset</t>
  </si>
  <si>
    <t>Depreciation &amp; Amortization</t>
  </si>
  <si>
    <t>JE6219</t>
  </si>
  <si>
    <t>7100 - Amortization:7130 - License Agreements &amp; Other Intangibles</t>
  </si>
  <si>
    <t>Record monthly amortization of trademark legal fees</t>
  </si>
  <si>
    <t>7130 - License Agreements &amp; Other Intangibles</t>
  </si>
  <si>
    <t>JE6178</t>
  </si>
  <si>
    <t>Cloud Service Renewal - Sandbox 11.2024-06.2025</t>
  </si>
  <si>
    <t>JE6170</t>
  </si>
  <si>
    <t>Cloud Service Renewal - NetSuite Jan 2025</t>
  </si>
  <si>
    <t>JE6168</t>
  </si>
  <si>
    <t>ApparelMagic Annual Contract 2024 - 2025 Service - 1 Month @ 2,721.88</t>
  </si>
  <si>
    <t>JE6167</t>
  </si>
  <si>
    <t>Zoom Year subscription - Jan</t>
  </si>
  <si>
    <t>JE6166</t>
  </si>
  <si>
    <t>Avalara service fee 04/20/24-04/19/2025 Jan</t>
  </si>
  <si>
    <t>JE6165</t>
  </si>
  <si>
    <t>Fohr 2024 - 04/03/2024-04/03/2025 Jan</t>
  </si>
  <si>
    <t>JE6172</t>
  </si>
  <si>
    <t>Drop Box for AM July 2024 - June 2025</t>
  </si>
  <si>
    <t>JE6171</t>
  </si>
  <si>
    <t>Avalara managed returns 07/2024-04/2025 Jan</t>
  </si>
  <si>
    <t>JE6262</t>
  </si>
  <si>
    <t>JE6206</t>
  </si>
  <si>
    <t>Other fees</t>
  </si>
  <si>
    <t>JE6179</t>
  </si>
  <si>
    <t>GOSfilms LLC - SS25 25% Deposit &amp; Additional Images</t>
  </si>
  <si>
    <t>JE6174</t>
  </si>
  <si>
    <t>GOSfilms LLC - FW24</t>
  </si>
  <si>
    <t>JE6234</t>
  </si>
  <si>
    <t>6280 - Selling, Marketing &amp; Advertising:6289 - Seeding / Product Placement</t>
  </si>
  <si>
    <t>AM Marketing Jan 2025- COGS</t>
  </si>
  <si>
    <t>6289 - Seeding / Product Placement</t>
  </si>
  <si>
    <t>Seeding</t>
  </si>
  <si>
    <t>JE6177</t>
  </si>
  <si>
    <t>6280 - Selling, Marketing &amp; Advertising:6284 - Advertising</t>
  </si>
  <si>
    <t>UVA Pickleball Partnership 3/4</t>
  </si>
  <si>
    <t>6284 - Advertising</t>
  </si>
  <si>
    <t>JE6175</t>
  </si>
  <si>
    <t>UVA Pickleball Partnership 2/4</t>
  </si>
  <si>
    <t>JE6233</t>
  </si>
  <si>
    <t>AM Sample Jan 2025- COGS</t>
  </si>
  <si>
    <t>JE6269</t>
  </si>
  <si>
    <t>Marine Stock Throughput Insurance</t>
  </si>
  <si>
    <t>JE6211</t>
  </si>
  <si>
    <t>JE6176</t>
  </si>
  <si>
    <t>The Hartford - Nov - June 2025</t>
  </si>
  <si>
    <t>JE6260</t>
  </si>
  <si>
    <t>Jan 2025 Electric</t>
  </si>
  <si>
    <t>JE6265</t>
  </si>
  <si>
    <t>7000 - Depreciation:7060 - Information Technology &amp; Software</t>
  </si>
  <si>
    <t>7060 - Information Technology &amp; Software</t>
  </si>
  <si>
    <t>Merchandising</t>
  </si>
  <si>
    <t>7000 - Depreciation:7040 - Furniture &amp; Fixtures</t>
  </si>
  <si>
    <t>7040 - Furniture &amp; Fixtures</t>
  </si>
  <si>
    <t>JE6169</t>
  </si>
  <si>
    <t>6420 - Licenses &amp; Membership</t>
  </si>
  <si>
    <t>GS1 License - Barcoding Jan 2025 Exp Entry</t>
  </si>
  <si>
    <t>JE6191</t>
  </si>
  <si>
    <t>AvaTax 150000 Tier - Connector for Shopify Jan 2025 -Dec 2025</t>
  </si>
  <si>
    <t>JE6164</t>
  </si>
  <si>
    <t>WMD year subscription - (24.03-25.02)</t>
  </si>
  <si>
    <t>JE6173</t>
  </si>
  <si>
    <t>Annual Membership Business of Fashion (August 2024 - August 2025)</t>
  </si>
  <si>
    <t>7000 - Depreciation:7030 - Plant Machinery &amp; Equipment</t>
  </si>
  <si>
    <t>7030 - Plant Machinery &amp; Equipment</t>
  </si>
  <si>
    <t>VENDBILL7808</t>
  </si>
  <si>
    <t>Monte Carlo Country Club</t>
  </si>
  <si>
    <t>6280 - Selling, Marketing &amp; Advertising:6282 - Royalty Expense</t>
  </si>
  <si>
    <t>Royalties due to MCCC for Worldwide Sales of Co-Branded Product FY2024</t>
  </si>
  <si>
    <t>6282 - Royalty Expense</t>
  </si>
  <si>
    <t>기타 광고비</t>
  </si>
  <si>
    <t>VENDBILL7766</t>
  </si>
  <si>
    <t>Concur Technologies, Inc.</t>
  </si>
  <si>
    <t>VENDBILL7767</t>
  </si>
  <si>
    <t>VENDBILL7765</t>
  </si>
  <si>
    <t>VENDBILL7764</t>
  </si>
  <si>
    <t>VENDBILL7762</t>
  </si>
  <si>
    <t>VENDBILL7761</t>
  </si>
  <si>
    <t>VENDBILL7760</t>
  </si>
  <si>
    <t>VENDBILL7759</t>
  </si>
  <si>
    <t>VENDBILL7622</t>
  </si>
  <si>
    <t>VENDBILL7545</t>
  </si>
  <si>
    <t>January 2025 Electric</t>
  </si>
  <si>
    <t>VENDBILL7674</t>
  </si>
  <si>
    <t>Internet/Phone February 2025</t>
  </si>
  <si>
    <t>VENDBILL7498</t>
  </si>
  <si>
    <t>Public Relations 2025 February</t>
  </si>
  <si>
    <t>VENDBILL7626</t>
  </si>
  <si>
    <t>User Support February 2025</t>
  </si>
  <si>
    <t>Rent Payment NY Office - February 2025</t>
  </si>
  <si>
    <t>VENDBILL7796</t>
  </si>
  <si>
    <t>Inbound Invoice</t>
  </si>
  <si>
    <t>VENDBILL7797</t>
  </si>
  <si>
    <t>VENDBILL7795</t>
  </si>
  <si>
    <t>VENDBILL7798</t>
  </si>
  <si>
    <t>JE6394</t>
  </si>
  <si>
    <t>Accrue Min Royalty for 2024</t>
  </si>
  <si>
    <t>JE6365</t>
  </si>
  <si>
    <t>JE6212</t>
  </si>
  <si>
    <t>JE6261</t>
  </si>
  <si>
    <t>VENDBILL7738</t>
  </si>
  <si>
    <t>Janou Pakter</t>
  </si>
  <si>
    <t>6200 - Contract &amp; Professional Services:6215 - Recruitment</t>
  </si>
  <si>
    <t>Recruitment Firm - Linh Le</t>
  </si>
  <si>
    <t>6215 - Recruitment</t>
  </si>
  <si>
    <t>VENDBILL7763</t>
  </si>
  <si>
    <t>VENDBILL7779</t>
  </si>
  <si>
    <t>Monthly Subscription - Backbone</t>
  </si>
  <si>
    <t>Monthly Adobe Membership</t>
  </si>
  <si>
    <t>Office Shipping Cost</t>
  </si>
  <si>
    <t>VENDBILL7689</t>
  </si>
  <si>
    <t>LENFLASH dot COM</t>
  </si>
  <si>
    <t>S25 Photography</t>
  </si>
  <si>
    <t>VENDBILL7687</t>
  </si>
  <si>
    <t>VENDBILL7647</t>
  </si>
  <si>
    <t>2025 HR - Payroll Services 01/26-02/01/2025</t>
  </si>
  <si>
    <t>VENDBILL7651</t>
  </si>
  <si>
    <t>VENDBILL7794</t>
  </si>
  <si>
    <t>VENDBILL7653</t>
  </si>
  <si>
    <t>Ecomm Shoot - Tetiana 02/05/2025</t>
  </si>
  <si>
    <t>VENDBILL7688</t>
  </si>
  <si>
    <t>VENDBILL7678</t>
  </si>
  <si>
    <t>Lamar J Ballard</t>
  </si>
  <si>
    <t>Fitting 1.29.2025</t>
  </si>
  <si>
    <t>VENDBILL7690</t>
  </si>
  <si>
    <t>VENDBILL7667</t>
  </si>
  <si>
    <t>JE6276</t>
  </si>
  <si>
    <t>Chase Service</t>
  </si>
  <si>
    <t>JE6302</t>
  </si>
  <si>
    <t>VENDBILL7671</t>
  </si>
  <si>
    <t>VENDBILL7680</t>
  </si>
  <si>
    <t>VENDBILL7771</t>
  </si>
  <si>
    <t>Chat GPT Subscription</t>
  </si>
  <si>
    <t>Interview with candidate taxi</t>
  </si>
  <si>
    <t>VENDBILL7685</t>
  </si>
  <si>
    <t>Ecomm Shoot - Tetiana 02/11/2025</t>
  </si>
  <si>
    <t>VENDBILL7679</t>
  </si>
  <si>
    <t>2025 HR - Payroll Services 02/2/2025-02/08/2025</t>
  </si>
  <si>
    <t>VENDBILL7683</t>
  </si>
  <si>
    <t>VENDBILL7793</t>
  </si>
  <si>
    <t>VENDBILL7684</t>
  </si>
  <si>
    <t>VENDBILL7701</t>
  </si>
  <si>
    <t>Procyon Benefits LLC</t>
  </si>
  <si>
    <t>Retirement plan and investment Advisory Services</t>
  </si>
  <si>
    <t>VENDBILL7702</t>
  </si>
  <si>
    <t>Copier Lease February 2025</t>
  </si>
  <si>
    <t>VENDBILL7699</t>
  </si>
  <si>
    <t>ADP Payroll Fees 401K Portal 02.14.2025</t>
  </si>
  <si>
    <t>VENDBILL7710</t>
  </si>
  <si>
    <t>Uber from My Home to GSP Airport</t>
  </si>
  <si>
    <t>Uber from Office to LGA</t>
  </si>
  <si>
    <t>Dinner on the way home</t>
  </si>
  <si>
    <t>Dinner with Maria(co worker)</t>
  </si>
  <si>
    <t>Snack after dinner with Maria(coworker)</t>
  </si>
  <si>
    <t>Coffee near office</t>
  </si>
  <si>
    <t>Coffee at Airport</t>
  </si>
  <si>
    <t>VENDBILL7698</t>
  </si>
  <si>
    <t>VENDBILL7769</t>
  </si>
  <si>
    <t>02/11 Monthly HQ Finance meeting OT Taxi</t>
  </si>
  <si>
    <t>02/11 Monthly HQ Finance meeting OT Dinner</t>
  </si>
  <si>
    <t>VENDBILL7697</t>
  </si>
  <si>
    <t>Consul + SRL</t>
  </si>
  <si>
    <t>HOLOGRAMS</t>
  </si>
  <si>
    <t>VENDBILL7696</t>
  </si>
  <si>
    <t>VENDBILL7704</t>
  </si>
  <si>
    <t>Caitlin Pessin</t>
  </si>
  <si>
    <t>Uber Airport to Office</t>
  </si>
  <si>
    <t>Uber Dinner to Airport</t>
  </si>
  <si>
    <t>Uber Office To Dinner</t>
  </si>
  <si>
    <t>VENDBILL7772</t>
  </si>
  <si>
    <t>FW26 Reference Samples Cleaning</t>
  </si>
  <si>
    <t>FW26 Reference Samples</t>
  </si>
  <si>
    <t>VENDBILL7709</t>
  </si>
  <si>
    <t>2025 HR - Payroll Services 02/09-02/15</t>
  </si>
  <si>
    <t>VENDBILL7792</t>
  </si>
  <si>
    <t>VENDBILL7713</t>
  </si>
  <si>
    <t>VENDBILL7722</t>
  </si>
  <si>
    <t>ADP Payroll Fees 2.21.2025</t>
  </si>
  <si>
    <t>JE6303</t>
  </si>
  <si>
    <t>VENDBILL7781</t>
  </si>
  <si>
    <t>STO All Leaders off site-Site dinner</t>
  </si>
  <si>
    <t>Merchandising OT Taxi - EY</t>
  </si>
  <si>
    <t>VENDBILL7726</t>
  </si>
  <si>
    <t>Monthly advisory service for February 2025-Operations</t>
  </si>
  <si>
    <t>VENDBILL7725</t>
  </si>
  <si>
    <t>Monthly advisory service for February 2025-IP Holding</t>
  </si>
  <si>
    <t>VENDBILL7770</t>
  </si>
  <si>
    <t>VENDBILL7749</t>
  </si>
  <si>
    <t>VENDBILL7732</t>
  </si>
  <si>
    <t>VENDBILL7729</t>
  </si>
  <si>
    <t>2025 HR - Payroll Services 02/16-02/22</t>
  </si>
  <si>
    <t>VENDBILL7735</t>
  </si>
  <si>
    <t>ADP Payroll Fees 2.26.2025</t>
  </si>
  <si>
    <t>VENDBILL7733</t>
  </si>
  <si>
    <t>Bergen Logistics Corporation</t>
  </si>
  <si>
    <t>- No Department -</t>
  </si>
  <si>
    <t>UPS Inv # 1800036314 not their shipment - cost + to be added to total</t>
  </si>
  <si>
    <t>No Department</t>
  </si>
  <si>
    <t>VENDBILL7739</t>
  </si>
  <si>
    <t>Ecomm Shoot - Tetiana 02/26/2025</t>
  </si>
  <si>
    <t>VENDBILL7630</t>
  </si>
  <si>
    <t>VENDBILL7754</t>
  </si>
  <si>
    <t>VENDBILL7773</t>
  </si>
  <si>
    <t>VENDBILL7784</t>
  </si>
  <si>
    <t>Windows</t>
  </si>
  <si>
    <t>Software Upgrade to Windows 10/11 Pro</t>
  </si>
  <si>
    <t>VENDBILL7800</t>
  </si>
  <si>
    <t>Trademark Legal Fees - February 2025</t>
  </si>
  <si>
    <t>ST stickers + postcards</t>
  </si>
  <si>
    <t>Gift bags</t>
  </si>
  <si>
    <t>Gift Bags</t>
  </si>
  <si>
    <t>Printing Paper</t>
  </si>
  <si>
    <t>VENDBILL7746</t>
  </si>
  <si>
    <t>Office Supplies NY - February 2025</t>
  </si>
  <si>
    <t>6100 - Travel and Entertainment:6140 - Other</t>
  </si>
  <si>
    <t>Racquet Magazine agent fee</t>
  </si>
  <si>
    <t>6140 - Other</t>
  </si>
  <si>
    <t>VENDBILL7783</t>
  </si>
  <si>
    <t>New York Meetings - Team Offsite</t>
  </si>
  <si>
    <t>NY Meetings/Team Event/Klaviyo Meeting</t>
  </si>
  <si>
    <t>VENDBILL7774</t>
  </si>
  <si>
    <t>2025 HR - Payroll Services 02/23-03/01</t>
  </si>
  <si>
    <t>VENDBILL7751</t>
  </si>
  <si>
    <t>ADP Payroll Fees 2.28.2025</t>
  </si>
  <si>
    <t>VENDBILL7745</t>
  </si>
  <si>
    <t>Pre Tax Monthly Admin - February 2025</t>
  </si>
  <si>
    <t>VENDBILL7768</t>
  </si>
  <si>
    <t>Chris Suterko</t>
  </si>
  <si>
    <t>store visits with Merchandising and Design</t>
  </si>
  <si>
    <t>Leader Offsite</t>
  </si>
  <si>
    <t>Racquet Magazine</t>
  </si>
  <si>
    <t>Train Station to Home</t>
  </si>
  <si>
    <t>Office to Penn Station</t>
  </si>
  <si>
    <t>6100 - Travel and Entertainment:6115 - Airfare</t>
  </si>
  <si>
    <t>6115 - Airfare</t>
  </si>
  <si>
    <t>Market Research Coffee for Staff</t>
  </si>
  <si>
    <t>Team Lunch</t>
  </si>
  <si>
    <t>Leadership Offsite Lunch</t>
  </si>
  <si>
    <t>Fee returned</t>
  </si>
  <si>
    <t>VENDBILL7791</t>
  </si>
  <si>
    <t>VENDBILL7747</t>
  </si>
  <si>
    <t>JE6356</t>
  </si>
  <si>
    <t>JE6238</t>
  </si>
  <si>
    <t>JE6385</t>
  </si>
  <si>
    <t>MS Office 365 Renewal (Service July 2024 - June 2025)</t>
  </si>
  <si>
    <t>JE6378</t>
  </si>
  <si>
    <t>JE6374</t>
  </si>
  <si>
    <t>JE6372</t>
  </si>
  <si>
    <t>Cloud Service Renewal - NetSuite Feb 2025</t>
  </si>
  <si>
    <t>JE6373</t>
  </si>
  <si>
    <t>Avalara managed returns 07/2024-04/2025 Feb</t>
  </si>
  <si>
    <t>JE6370</t>
  </si>
  <si>
    <t>JE6369</t>
  </si>
  <si>
    <t>Zoom Year subscription - Feb</t>
  </si>
  <si>
    <t>JE6368</t>
  </si>
  <si>
    <t>Avalara service fee 04/20/24-04/19/2025 Feb</t>
  </si>
  <si>
    <t>JE6367</t>
  </si>
  <si>
    <t>Fohr 2024 - 04/03/2024-04/03/2025 Feb</t>
  </si>
  <si>
    <t>JE6320</t>
  </si>
  <si>
    <t>JE6376</t>
  </si>
  <si>
    <t>JE6329</t>
  </si>
  <si>
    <t>AM Marketing Feb 2025- COGS</t>
  </si>
  <si>
    <t>JE6379</t>
  </si>
  <si>
    <t>JE6384</t>
  </si>
  <si>
    <t>UVA Pickleball Partnership 4/4</t>
  </si>
  <si>
    <t>JE6328</t>
  </si>
  <si>
    <t>AM Sample Feb 2025- COGS</t>
  </si>
  <si>
    <t>JE6382</t>
  </si>
  <si>
    <t>JE6377</t>
  </si>
  <si>
    <t>JE6392</t>
  </si>
  <si>
    <t>JE6362</t>
  </si>
  <si>
    <t>Feb 2025 Electric</t>
  </si>
  <si>
    <t>JE6349</t>
  </si>
  <si>
    <t>JE6381</t>
  </si>
  <si>
    <t>JE6366</t>
  </si>
  <si>
    <t>JE6371</t>
  </si>
  <si>
    <t>GS1 License - Barcoding Feb 2025 Exp Entry</t>
  </si>
  <si>
    <t>JE6375</t>
  </si>
  <si>
    <t>VENDBILL7693</t>
  </si>
  <si>
    <t>Lactation Room</t>
  </si>
  <si>
    <t>VENDBILL7744</t>
  </si>
  <si>
    <t>The Hartford</t>
  </si>
  <si>
    <t>Business Owners Insurance - March 2025</t>
  </si>
  <si>
    <t>VENDBILL7757</t>
  </si>
  <si>
    <t>February  2025 Electric</t>
  </si>
  <si>
    <t>VENDBILL7748</t>
  </si>
  <si>
    <t>Internet/Phone March 2025</t>
  </si>
  <si>
    <t>VENDBILL7752</t>
  </si>
  <si>
    <t>User Support March 2025</t>
  </si>
  <si>
    <t>Rent Payment NY Office - March 2025</t>
  </si>
  <si>
    <t>JE6439</t>
  </si>
  <si>
    <t>Corp Income Tax Return 2024</t>
  </si>
  <si>
    <t>Audit Fee 2024</t>
  </si>
  <si>
    <t>JE6438</t>
  </si>
  <si>
    <t>Audit Fees 2024</t>
  </si>
  <si>
    <t>JE6440</t>
  </si>
  <si>
    <t>JE6393</t>
  </si>
  <si>
    <t>JE6363</t>
  </si>
  <si>
    <t>JE6469</t>
  </si>
  <si>
    <t>CIS and Caitlin Computer</t>
  </si>
  <si>
    <t>Hermann Miller - 2019</t>
  </si>
  <si>
    <t>VENDBILL7750</t>
  </si>
  <si>
    <t>VENDBILL7899</t>
  </si>
  <si>
    <t>Asia factory trip k-ETA</t>
  </si>
  <si>
    <t>Asia factory trip Agent Fee</t>
  </si>
  <si>
    <t>Asia factory visit</t>
  </si>
  <si>
    <t>Asia factory visit trip</t>
  </si>
  <si>
    <t>Asia factory trip</t>
  </si>
  <si>
    <t>Asia factory visits</t>
  </si>
  <si>
    <t>Asia Factory visits</t>
  </si>
  <si>
    <t>Meeting with Chris Ivery</t>
  </si>
  <si>
    <t>VENDBILL7790</t>
  </si>
  <si>
    <t>Customs Invoice</t>
  </si>
  <si>
    <t>JE6336</t>
  </si>
  <si>
    <t>ADP TAX Receipt 03.03.2025</t>
  </si>
  <si>
    <t>JE6341</t>
  </si>
  <si>
    <t>6520 - Taxes and Licenses</t>
  </si>
  <si>
    <t>STO-$175.00-Up to 5000 Shares, $50.00 Filing Fee</t>
  </si>
  <si>
    <t>JE6340</t>
  </si>
  <si>
    <t>STIP-$175.00-Up to 5000 Shares, $50.00 Filing Fee</t>
  </si>
  <si>
    <t>VENDBILL7817</t>
  </si>
  <si>
    <t>VENDBILL7909</t>
  </si>
  <si>
    <t>Concur Software expense-January 2025</t>
  </si>
  <si>
    <t>Quickbooks Usage fee</t>
  </si>
  <si>
    <t>Adobe - Monthly Use fee</t>
  </si>
  <si>
    <t>Roberta K - Gant Agent Fee-Trip to Seoul</t>
  </si>
  <si>
    <t>Bank Fee for International transaction</t>
  </si>
  <si>
    <t>Alex Travel</t>
  </si>
  <si>
    <t>Credit for Yoon Flight</t>
  </si>
  <si>
    <t>Yoon Trip to Korea</t>
  </si>
  <si>
    <t>Yoon Airfare that was cancelled. Credit coming</t>
  </si>
  <si>
    <t>Welcome Dinner for Alex</t>
  </si>
  <si>
    <t>VENDBILL7788</t>
  </si>
  <si>
    <t>VENDBILL7789</t>
  </si>
  <si>
    <t>Import from Factory</t>
  </si>
  <si>
    <t>VENDBILL7778</t>
  </si>
  <si>
    <t>VENDBILL7803</t>
  </si>
  <si>
    <t>Ecomm Shoot - Tetiana 03.06.2025</t>
  </si>
  <si>
    <t>VENDBILL7814</t>
  </si>
  <si>
    <t>ADP Payroll Fees 02.07.2025</t>
  </si>
  <si>
    <t>JE6391</t>
  </si>
  <si>
    <t>VENDBILL7860</t>
  </si>
  <si>
    <t>Chat GPT</t>
  </si>
  <si>
    <t>WMD</t>
  </si>
  <si>
    <t>WWD Subscription</t>
  </si>
  <si>
    <t>VENDBILL7813</t>
  </si>
  <si>
    <t>Racquet Magazine - Baggage</t>
  </si>
  <si>
    <t>Lunch</t>
  </si>
  <si>
    <t>VENDBILL7829</t>
  </si>
  <si>
    <t>VENDBILL7827</t>
  </si>
  <si>
    <t>2025 HR - Payroll Services 03/02-03/08</t>
  </si>
  <si>
    <t>VENDBILL7820</t>
  </si>
  <si>
    <t>VENDBILL7828</t>
  </si>
  <si>
    <t>VENDBILL7823</t>
  </si>
  <si>
    <t>ADP Payroll Fees 03.14.2025</t>
  </si>
  <si>
    <t>VENDBILL7843</t>
  </si>
  <si>
    <t>Fitting Model - February 2025</t>
  </si>
  <si>
    <t>JE6409</t>
  </si>
  <si>
    <t>Account Analysis Fee - 03.17.2025</t>
  </si>
  <si>
    <t>VENDBILL7831</t>
  </si>
  <si>
    <t>VENDBILL7837</t>
  </si>
  <si>
    <t>Ecomm Shoot - Tetiana 03.18.2025</t>
  </si>
  <si>
    <t>VENDBILL7836</t>
  </si>
  <si>
    <t>2025 HR - Payroll Services 03/09-03/15</t>
  </si>
  <si>
    <t>VENDBILL7839</t>
  </si>
  <si>
    <t>Outbound Invoice</t>
  </si>
  <si>
    <t>VENDBILL7838</t>
  </si>
  <si>
    <t>JE6415</t>
  </si>
  <si>
    <t>Tax $50.00 Filing Fee</t>
  </si>
  <si>
    <t>JE6430</t>
  </si>
  <si>
    <t>VENDBILL7847</t>
  </si>
  <si>
    <t>VENDBILL7862</t>
  </si>
  <si>
    <t>Monthly advisory service for March 2025-Operations</t>
  </si>
  <si>
    <t>VENDBILL7861</t>
  </si>
  <si>
    <t>FY Audit and Fees</t>
  </si>
  <si>
    <t>VENDBILL7855</t>
  </si>
  <si>
    <t>The Lede Company, LLC</t>
  </si>
  <si>
    <t>PR Agency Services</t>
  </si>
  <si>
    <t>VENDBILL7853</t>
  </si>
  <si>
    <t>EU-NY Trading, Inc</t>
  </si>
  <si>
    <t>VENDBILL7849</t>
  </si>
  <si>
    <t>JE6432</t>
  </si>
  <si>
    <t>Account Analysis Fee - 02.18.2025</t>
  </si>
  <si>
    <t>JE6431</t>
  </si>
  <si>
    <t>Sara Fashion Return Payment-Bank Fee</t>
  </si>
  <si>
    <t>VENDBILL7866</t>
  </si>
  <si>
    <t>Ecomm Shoot - Tetiana 03.26.2025</t>
  </si>
  <si>
    <t>VENDBILL7859</t>
  </si>
  <si>
    <t>2025 HR - Payroll Services 03/16-03/22</t>
  </si>
  <si>
    <t>VENDBILL7863</t>
  </si>
  <si>
    <t>VENDBILL7864</t>
  </si>
  <si>
    <t>VENDBILL7877</t>
  </si>
  <si>
    <t>S.M.E.T.T</t>
  </si>
  <si>
    <t>CC BANK FEE - Sponsorship - Rolex Monte Carlo Masters - April 5-13 2025-30% - Advertising</t>
  </si>
  <si>
    <t>VENDBILL7876</t>
  </si>
  <si>
    <t>ADP Payroll Fees 03.28.2025</t>
  </si>
  <si>
    <t>VENDBILL7905</t>
  </si>
  <si>
    <t>Caroline's Farewell dinner with team members</t>
  </si>
  <si>
    <t>VENDBILL7890</t>
  </si>
  <si>
    <t>VENDBILL7891</t>
  </si>
  <si>
    <t>VENDBILL7908</t>
  </si>
  <si>
    <t>Monthly Otter Subscription</t>
  </si>
  <si>
    <t>VENDBILL7907</t>
  </si>
  <si>
    <t>Trademark Legal Fees - MAR 2025</t>
  </si>
  <si>
    <t>VENDBILL7885</t>
  </si>
  <si>
    <t>Office Supplies NY - March 2025</t>
  </si>
  <si>
    <t>Filter for Water</t>
  </si>
  <si>
    <t>VENDBILL7901</t>
  </si>
  <si>
    <t>FW26 Pantone Color Chips</t>
  </si>
  <si>
    <t>VENDBILL7883</t>
  </si>
  <si>
    <t>Wholesale Tickets for Urban Outfitters</t>
  </si>
  <si>
    <t>Travel Agent Fee</t>
  </si>
  <si>
    <t>China Visa for Asia Trip</t>
  </si>
  <si>
    <t>VENDBILL7906</t>
  </si>
  <si>
    <t>NY Meetings - Marketing Offsite</t>
  </si>
  <si>
    <t>NY Meetings - Marketing Offsite/New Hire Meet and Greet</t>
  </si>
  <si>
    <t>NY Meetings - Marketing Offsite/New Hire "Meet and Greet"</t>
  </si>
  <si>
    <t>VENDBILL7896</t>
  </si>
  <si>
    <t>2025 HR - Payroll Services 03/23-03/29</t>
  </si>
  <si>
    <t>VENDBILL7884</t>
  </si>
  <si>
    <t>Pre Tax Monthly Admin - March 2025</t>
  </si>
  <si>
    <t>Working Late Uber</t>
  </si>
  <si>
    <t>Uber Home-Airport for Asia Trip</t>
  </si>
  <si>
    <t>Asia Factory Trip</t>
  </si>
  <si>
    <t>Working Lunch with Caroline</t>
  </si>
  <si>
    <t>VENDBILL7888</t>
  </si>
  <si>
    <t>VENDBILL7893</t>
  </si>
  <si>
    <t>VENDBILL7894</t>
  </si>
  <si>
    <t>JE6511</t>
  </si>
  <si>
    <t>6445 - Inventory Write Down</t>
  </si>
  <si>
    <t>JE6512</t>
  </si>
  <si>
    <t>Inventory Reserve - Mar 2025 Sodilog</t>
  </si>
  <si>
    <t>JE6510</t>
  </si>
  <si>
    <t>Inventory Reserve - Mar 2025</t>
  </si>
  <si>
    <t>JE6545</t>
  </si>
  <si>
    <t>JE6503</t>
  </si>
  <si>
    <t>JE6239</t>
  </si>
  <si>
    <t>JE6534</t>
  </si>
  <si>
    <t>JE6538</t>
  </si>
  <si>
    <t>JE6531</t>
  </si>
  <si>
    <t>JE6447</t>
  </si>
  <si>
    <t>JE6446</t>
  </si>
  <si>
    <t>Zoom Year subscription - Mar</t>
  </si>
  <si>
    <t>JE6445</t>
  </si>
  <si>
    <t>Avalara service fee 04/20/24-04/19/2025 Final</t>
  </si>
  <si>
    <t>JE6444</t>
  </si>
  <si>
    <t>Fohr 2024 - 04/03/2024-04/03/2025 Mar - Final</t>
  </si>
  <si>
    <t>JE6450</t>
  </si>
  <si>
    <t>Avalara managed returns 07/2024-04/2025 Final</t>
  </si>
  <si>
    <t>JE6449</t>
  </si>
  <si>
    <t>Cloud Service Renewal - NetSuite Mar 2025</t>
  </si>
  <si>
    <t>JE6451</t>
  </si>
  <si>
    <t>JE6419</t>
  </si>
  <si>
    <t>Accrue Lanny March invoice</t>
  </si>
  <si>
    <t>JE6487</t>
  </si>
  <si>
    <t>JE6533</t>
  </si>
  <si>
    <t>March 1st Event for CA Fire Victims</t>
  </si>
  <si>
    <t>JE6400</t>
  </si>
  <si>
    <t>GOSfilms LLC SS25 50% Deposit &amp; SS25 25%</t>
  </si>
  <si>
    <t>JE6489</t>
  </si>
  <si>
    <t>AM Marketing Mar 2025- COGS</t>
  </si>
  <si>
    <t>JE6488</t>
  </si>
  <si>
    <t>AM Sample Mar 2025- COGS</t>
  </si>
  <si>
    <t>JE6535</t>
  </si>
  <si>
    <t>JE6537</t>
  </si>
  <si>
    <t>JE6453</t>
  </si>
  <si>
    <t>JE6505</t>
  </si>
  <si>
    <t>March 2025 Electric</t>
  </si>
  <si>
    <t>JE6470</t>
  </si>
  <si>
    <t>JE6544</t>
  </si>
  <si>
    <t>6440 - Bad Debt Expenses</t>
  </si>
  <si>
    <t>JE6509</t>
  </si>
  <si>
    <t>Update to AR Allowance - Q1 2025</t>
  </si>
  <si>
    <t>JE6448</t>
  </si>
  <si>
    <t>GS1 License - Barcoding Mar 2025 Exp Entry</t>
  </si>
  <si>
    <t>JE6452</t>
  </si>
  <si>
    <t>VENDBILL8040</t>
  </si>
  <si>
    <t>Bryan Cave Leighton Paisner LLP</t>
  </si>
  <si>
    <t>Trademark Infringement - Adidas</t>
  </si>
  <si>
    <t>VENDBILL7889</t>
  </si>
  <si>
    <t>Business Owners Insurance - April 2025</t>
  </si>
  <si>
    <t>VENDBILL7833</t>
  </si>
  <si>
    <t>March  2025 Electric</t>
  </si>
  <si>
    <t>VENDBILL7879</t>
  </si>
  <si>
    <t>Internet/Phone April 2025</t>
  </si>
  <si>
    <t>VENDBILL7963</t>
  </si>
  <si>
    <t>Ration Talent Group Project ST</t>
  </si>
  <si>
    <t>VENDBILL7887</t>
  </si>
  <si>
    <t>User Support April 2025</t>
  </si>
  <si>
    <t>Rent Payment NY Office - April 2025</t>
  </si>
  <si>
    <t>VENDBILL7936</t>
  </si>
  <si>
    <t>JE6662</t>
  </si>
  <si>
    <t>JE6536</t>
  </si>
  <si>
    <t>JE6506</t>
  </si>
  <si>
    <t>JE6676</t>
  </si>
  <si>
    <t>VENDBILL7917</t>
  </si>
  <si>
    <t>Fitting Model - MAR 2025</t>
  </si>
  <si>
    <t>VENDBILL8031</t>
  </si>
  <si>
    <t>Mailing Tax Documents to NYS</t>
  </si>
  <si>
    <t>Coffee for Office</t>
  </si>
  <si>
    <t>VENDBILL7911</t>
  </si>
  <si>
    <t>ADP Payroll Fees 04.04.2025</t>
  </si>
  <si>
    <t>JE6532</t>
  </si>
  <si>
    <t>VENDBILL7960</t>
  </si>
  <si>
    <t>JE6556</t>
  </si>
  <si>
    <t>Commonwealth of VA Check</t>
  </si>
  <si>
    <t>VENDBILL7914</t>
  </si>
  <si>
    <t>VENDBILL7927</t>
  </si>
  <si>
    <t>Ecomm Shoot - 04/08/2025</t>
  </si>
  <si>
    <t>VENDBILL7925</t>
  </si>
  <si>
    <t>2025 HR - Payroll Services 03/30-04/05/2025</t>
  </si>
  <si>
    <t>VENDBILL7919</t>
  </si>
  <si>
    <t>VENDBILL7918</t>
  </si>
  <si>
    <t>VENDBILL8028</t>
  </si>
  <si>
    <t>Monthly subscription</t>
  </si>
  <si>
    <t>VENDBILL7929</t>
  </si>
  <si>
    <t>Bank Transaction Fee</t>
  </si>
  <si>
    <t>VENDBILL7950</t>
  </si>
  <si>
    <t>VENDBILL7951</t>
  </si>
  <si>
    <t>VENDBILL7920</t>
  </si>
  <si>
    <t>Travelers CL Remittance Center</t>
  </si>
  <si>
    <t>EPLI Insurance - April</t>
  </si>
  <si>
    <t>VENDBILL7935</t>
  </si>
  <si>
    <t>ADP Payroll Fees 04.11.2025</t>
  </si>
  <si>
    <t>VENDBILL8029</t>
  </si>
  <si>
    <t>International Charge</t>
  </si>
  <si>
    <t>VENDBILL8033</t>
  </si>
  <si>
    <t>Alexandra Olivier</t>
  </si>
  <si>
    <t>Lunch &amp; Dinner</t>
  </si>
  <si>
    <t>Hotel in  Xiamen</t>
  </si>
  <si>
    <t>hotel in Hong Kong</t>
  </si>
  <si>
    <t>Hotel whilst in Shanghai</t>
  </si>
  <si>
    <t>VENDBILL7939</t>
  </si>
  <si>
    <t>Copier Lease April 2025</t>
  </si>
  <si>
    <t>travel to Airport</t>
  </si>
  <si>
    <t>Breakfast whilst traveling</t>
  </si>
  <si>
    <t>JE6570</t>
  </si>
  <si>
    <t>VENDBILL8016</t>
  </si>
  <si>
    <t>Test Report - Multilayer</t>
  </si>
  <si>
    <t>VENDBILL7941</t>
  </si>
  <si>
    <t>2025 HR - Payroll Services 04/6-04/12</t>
  </si>
  <si>
    <t>VENDBILL7948</t>
  </si>
  <si>
    <t>VENDBILL7955</t>
  </si>
  <si>
    <t>VENDBILL7949</t>
  </si>
  <si>
    <t>Quanzhou Wanxingtai Package Products</t>
  </si>
  <si>
    <t>S26 Samples</t>
  </si>
  <si>
    <t>VENDBILL8021</t>
  </si>
  <si>
    <t>JE6583</t>
  </si>
  <si>
    <t>VENDBILL7994</t>
  </si>
  <si>
    <t>Airport Snack</t>
  </si>
  <si>
    <t>VENDBILL7956</t>
  </si>
  <si>
    <t>Xiamen Fynex Imp&amp;Exp Co. LTD</t>
  </si>
  <si>
    <t>VENDBILL8017</t>
  </si>
  <si>
    <t>International phone charges</t>
  </si>
  <si>
    <t>Hotel Stay in Shanghai - 4 days</t>
  </si>
  <si>
    <t>Hotel stay - 1 night in Xiamen</t>
  </si>
  <si>
    <t>Bank Fees</t>
  </si>
  <si>
    <t>Taxi Xiamen Hotel - Airport</t>
  </si>
  <si>
    <t>Taxi Refund</t>
  </si>
  <si>
    <t>Uber Laguardia Airport - Home</t>
  </si>
  <si>
    <t>Incheon Airport lunch</t>
  </si>
  <si>
    <t>Incheon Airport Coffee</t>
  </si>
  <si>
    <t>Airplane snack</t>
  </si>
  <si>
    <t>Airport Snack - Xiamen Airport</t>
  </si>
  <si>
    <t>Xiamen Dinner: Me + Alex</t>
  </si>
  <si>
    <t>VENDBILL7966</t>
  </si>
  <si>
    <t>Gates Wears</t>
  </si>
  <si>
    <t>VENDBILL7964</t>
  </si>
  <si>
    <t>2025 HR - Payroll Services 04/13-04/19</t>
  </si>
  <si>
    <t>VENDBILL7969</t>
  </si>
  <si>
    <t>VENDBILL7968</t>
  </si>
  <si>
    <t>VENDBILL7978</t>
  </si>
  <si>
    <t>Monthly advisory service for April 2025-IP Holding</t>
  </si>
  <si>
    <t>VENDBILL7977</t>
  </si>
  <si>
    <t>VENDBILL8015</t>
  </si>
  <si>
    <t>Korea Airplane Work WIFI</t>
  </si>
  <si>
    <t>VENDBILL7976</t>
  </si>
  <si>
    <t>ADP Payroll Fees 04.25.2025</t>
  </si>
  <si>
    <t>VENDBILL7975</t>
  </si>
  <si>
    <t>VENDBILL7987</t>
  </si>
  <si>
    <t>Sara Fashion Wear Ltd.</t>
  </si>
  <si>
    <t>Samples</t>
  </si>
  <si>
    <t>VENDBILL8001</t>
  </si>
  <si>
    <t>VENDBILL8000</t>
  </si>
  <si>
    <t>VENDBILL8043</t>
  </si>
  <si>
    <t>Avalara</t>
  </si>
  <si>
    <t>Avalara Canada Register</t>
  </si>
  <si>
    <t>Concur User Charge</t>
  </si>
  <si>
    <t>VENDBILL8038</t>
  </si>
  <si>
    <t>Monthly AI Subscription</t>
  </si>
  <si>
    <t>VENDBILL8012</t>
  </si>
  <si>
    <t>Fitting Model - April 2025</t>
  </si>
  <si>
    <t>VENDBILL8020</t>
  </si>
  <si>
    <t>VENDBILL8046</t>
  </si>
  <si>
    <t>Spheriens</t>
  </si>
  <si>
    <t>April IP Legal</t>
  </si>
  <si>
    <t>VENDBILL8044</t>
  </si>
  <si>
    <t>Trademark Legal Fees - April 2025</t>
  </si>
  <si>
    <t>Return Charge</t>
  </si>
  <si>
    <t>VENDBILL7989</t>
  </si>
  <si>
    <t>Office Supplies NY - April 2025</t>
  </si>
  <si>
    <t>VENDBILL8041</t>
  </si>
  <si>
    <t>VENDBILL8032</t>
  </si>
  <si>
    <t>International cellphone data/mobile fee</t>
  </si>
  <si>
    <t>VENDBILL7991</t>
  </si>
  <si>
    <t>2025 HR - Payroll Services 04/20-04/26</t>
  </si>
  <si>
    <t>VENDBILL7988</t>
  </si>
  <si>
    <t>Pre Tax Monthly Admin - April 2025</t>
  </si>
  <si>
    <t>VENDBILL8004</t>
  </si>
  <si>
    <t>PR Agency Services-April 2025</t>
  </si>
  <si>
    <t>Working MTA</t>
  </si>
  <si>
    <t>VENDBILL8030</t>
  </si>
  <si>
    <t>Lunch with Yoon</t>
  </si>
  <si>
    <t>VENDBILL7996</t>
  </si>
  <si>
    <t>VENDBILL7995</t>
  </si>
  <si>
    <t>JE6655</t>
  </si>
  <si>
    <t>JE6628</t>
  </si>
  <si>
    <t>JE6240</t>
  </si>
  <si>
    <t>JE6648</t>
  </si>
  <si>
    <t>JE6645</t>
  </si>
  <si>
    <t>JE6644</t>
  </si>
  <si>
    <t>Cloud Service Renewal - NetSuite April 2025</t>
  </si>
  <si>
    <t>JE6641</t>
  </si>
  <si>
    <t>JE6640</t>
  </si>
  <si>
    <t>Zoom Year subscription - April</t>
  </si>
  <si>
    <t>JE6652</t>
  </si>
  <si>
    <t>JE6650</t>
  </si>
  <si>
    <t>JE6604</t>
  </si>
  <si>
    <t>JE6649</t>
  </si>
  <si>
    <t>JE6612</t>
  </si>
  <si>
    <t>AM Marketing April 2025- COGS</t>
  </si>
  <si>
    <t>JE6611</t>
  </si>
  <si>
    <t>AM Sample April 2025- COGS</t>
  </si>
  <si>
    <t>JE6647</t>
  </si>
  <si>
    <t>JE6636</t>
  </si>
  <si>
    <t>JE6651</t>
  </si>
  <si>
    <t>JE6660</t>
  </si>
  <si>
    <t>April 2025 Electric</t>
  </si>
  <si>
    <t>JE6675</t>
  </si>
  <si>
    <t>JE6580</t>
  </si>
  <si>
    <t>Accrue Procyon 401K Consulting - Monthly</t>
  </si>
  <si>
    <t>JE6638</t>
  </si>
  <si>
    <t>JE6646</t>
  </si>
  <si>
    <t>JE6642</t>
  </si>
  <si>
    <t>GS1 License - Barcoding April 2025 Exp Entry</t>
  </si>
  <si>
    <t>VENDBILL8022</t>
  </si>
  <si>
    <t>Business Owners Insurance - May 2025</t>
  </si>
  <si>
    <t>VENDBILL7942</t>
  </si>
  <si>
    <t>April  2025 Electric</t>
  </si>
  <si>
    <t>VENDBILL7999</t>
  </si>
  <si>
    <t>Internet/Phone May 2025</t>
  </si>
  <si>
    <t>VENDBILL8103</t>
  </si>
  <si>
    <t>VENDBILL7992</t>
  </si>
  <si>
    <t>User Support May 2025</t>
  </si>
  <si>
    <t>VENDBILL8008</t>
  </si>
  <si>
    <t>CogencyGlobal Inc (ST IP Holdings)</t>
  </si>
  <si>
    <t>Delewarde Statutory Representation ST IP HOLDINGS INC - 2024-2025</t>
  </si>
  <si>
    <t>VENDBILL8147</t>
  </si>
  <si>
    <t>CogencyGlobal Inc (OPS)</t>
  </si>
  <si>
    <t>CA, Delaware and NJ Statutory Representation -Operations</t>
  </si>
  <si>
    <t>Rent Payment NY Office - May 2025</t>
  </si>
  <si>
    <t>JE6637</t>
  </si>
  <si>
    <t>JE6661</t>
  </si>
  <si>
    <t>VENDBILL8003</t>
  </si>
  <si>
    <t>ADP Payroll Fees 05.02.2025</t>
  </si>
  <si>
    <t>JE6635</t>
  </si>
  <si>
    <t>VENDBILL8156</t>
  </si>
  <si>
    <t>Shipping Receipt - USPS PA BEA Filing</t>
  </si>
  <si>
    <t>Monthly Subscription QBO</t>
  </si>
  <si>
    <t>Monthly Subscription Docusign</t>
  </si>
  <si>
    <t>Adobe Monthly Subscription</t>
  </si>
  <si>
    <t>Monthly Intercom - Brivo</t>
  </si>
  <si>
    <t>Agent Travel Fee</t>
  </si>
  <si>
    <t>Juno Fight to London</t>
  </si>
  <si>
    <t>Duty Payment</t>
  </si>
  <si>
    <t>Shipping Receipt - USPS Canada</t>
  </si>
  <si>
    <t>VENDBILL8064</t>
  </si>
  <si>
    <t>VENDBILL8026</t>
  </si>
  <si>
    <t>2025 HR - Payroll Services 04/27-05/03</t>
  </si>
  <si>
    <t>VENDBILL8035</t>
  </si>
  <si>
    <t>VENDBILL8034</t>
  </si>
  <si>
    <t>VENDBILL8070</t>
  </si>
  <si>
    <t>Employee benefit med exam at Korea</t>
  </si>
  <si>
    <t>MCCC Hotel phone call - international charge</t>
  </si>
  <si>
    <t>VENDBILL8045</t>
  </si>
  <si>
    <t>ADP Payroll Fees 05.09.2025</t>
  </si>
  <si>
    <t>VENDBILL8050</t>
  </si>
  <si>
    <t>Shanghai Hesrro Garment Co., Ltd</t>
  </si>
  <si>
    <t>F24 SMS</t>
  </si>
  <si>
    <t>VENDBILL8048</t>
  </si>
  <si>
    <t>VENDBILL8105</t>
  </si>
  <si>
    <t>ECommerce - Matthew NG</t>
  </si>
  <si>
    <t>VENDBILL8055</t>
  </si>
  <si>
    <t>Ecomm Shoot - 05.13.2025</t>
  </si>
  <si>
    <t>JE6682</t>
  </si>
  <si>
    <t>Move Inventory to In-Transit - Shipped 4/30</t>
  </si>
  <si>
    <t>VENDBILL8140</t>
  </si>
  <si>
    <t>Chatgpt monthly subscription</t>
  </si>
  <si>
    <t>Product Development Samples</t>
  </si>
  <si>
    <t>UPS charge for shipping Marketing samples</t>
  </si>
  <si>
    <t>VENDBILL8054</t>
  </si>
  <si>
    <t>2025 HR - Payroll Services 05/04-05/10</t>
  </si>
  <si>
    <t>VENDBILL8059</t>
  </si>
  <si>
    <t>PR Agency Services-May 2025</t>
  </si>
  <si>
    <t>Shipping laptop back from former employee</t>
  </si>
  <si>
    <t>VENDBILL8058</t>
  </si>
  <si>
    <t>VENDBILL8057</t>
  </si>
  <si>
    <t>VENDBILL8060</t>
  </si>
  <si>
    <t>Copier Lease MAY 2025</t>
  </si>
  <si>
    <t>JE6685</t>
  </si>
  <si>
    <t>JE6702</t>
  </si>
  <si>
    <t>VENDBILL8071</t>
  </si>
  <si>
    <t>VENDBILL8099</t>
  </si>
  <si>
    <t>Marketing Coordinato</t>
  </si>
  <si>
    <t>VENDBILL8104</t>
  </si>
  <si>
    <t>VENDBILL8073</t>
  </si>
  <si>
    <t>VENDBILL8106</t>
  </si>
  <si>
    <t>VENDBILL8107</t>
  </si>
  <si>
    <t>Juno STE arbitration hearing</t>
  </si>
  <si>
    <t>VENDBILL8072</t>
  </si>
  <si>
    <t>Full Year Insurance</t>
  </si>
  <si>
    <t>Team Outing</t>
  </si>
  <si>
    <t>Welcome lunch for new hire: Olivia Nielsen</t>
  </si>
  <si>
    <t>Team Coffee Chat (Wholesale)</t>
  </si>
  <si>
    <t>VENDBILL8074</t>
  </si>
  <si>
    <t>VENDBILL8077</t>
  </si>
  <si>
    <t>Oracle Netsuite</t>
  </si>
  <si>
    <t>Vendor Bill Capture May</t>
  </si>
  <si>
    <t>VENDBILL8076</t>
  </si>
  <si>
    <t>2025 HR - Payroll Services 05/11-05/17</t>
  </si>
  <si>
    <t>VENDBILL8078</t>
  </si>
  <si>
    <t>VENDBILL8080</t>
  </si>
  <si>
    <t>VENDBILL8079</t>
  </si>
  <si>
    <t>VENDBILL8084</t>
  </si>
  <si>
    <t>ADP Payroll Fees 05.23.2025</t>
  </si>
  <si>
    <t>VENDBILL8092</t>
  </si>
  <si>
    <t>Ecomm Shoot</t>
  </si>
  <si>
    <t>VENDBILL8093</t>
  </si>
  <si>
    <t>Monthly advisory service for May 2025-Operations</t>
  </si>
  <si>
    <t>VENDBILL8094</t>
  </si>
  <si>
    <t>Monthly advisory service for May 2025-IP Holding</t>
  </si>
  <si>
    <t>VENDBILL8131</t>
  </si>
  <si>
    <t>Bridgette Stacom</t>
  </si>
  <si>
    <t>TRANSPORTATION TO OFFICE FOR MARKET</t>
  </si>
  <si>
    <t>TRANSPORTATION TO OFFICE FOR COST MEETING</t>
  </si>
  <si>
    <t>FLIGHT TO BE IN OFFICE FOR COSTING MEETING</t>
  </si>
  <si>
    <t>VENDBILL8088</t>
  </si>
  <si>
    <t>Customs Invoice - Shanghai Hesrro</t>
  </si>
  <si>
    <t>VENDBILL8089</t>
  </si>
  <si>
    <t>2025 HR - Payroll Services 05/18-05/24</t>
  </si>
  <si>
    <t>VENDBILL8101</t>
  </si>
  <si>
    <t>Customs Invoice - Sugi International</t>
  </si>
  <si>
    <t>VENDBILL8102</t>
  </si>
  <si>
    <t>VENDBILL8100</t>
  </si>
  <si>
    <t>JE6703</t>
  </si>
  <si>
    <t>Spheriens Refund</t>
  </si>
  <si>
    <t>VENDBILL8141</t>
  </si>
  <si>
    <t>VENDBILL8152</t>
  </si>
  <si>
    <t>UKVI, UK Visas and Immigration</t>
  </si>
  <si>
    <t>VENDBILL8142</t>
  </si>
  <si>
    <t>roaming phone call for UK Biz trip</t>
  </si>
  <si>
    <t>VENDBILL8148</t>
  </si>
  <si>
    <t>NYC Meeting - Robert McKinney</t>
  </si>
  <si>
    <t>Hotel extension fee for additional night due to extended witness</t>
  </si>
  <si>
    <t>Hotel extension for one additional night due to extended witness</t>
  </si>
  <si>
    <t>International transaction fee incurred during on-site purchase i</t>
  </si>
  <si>
    <t>Taxi fare from ATL airport to home for UK Biz trip</t>
  </si>
  <si>
    <t>UK Biz Travel to ATL Airport</t>
  </si>
  <si>
    <t>Taxi for UK Biz trip</t>
  </si>
  <si>
    <t>Additional charge of $45 due to fare adjustment or tax differenc</t>
  </si>
  <si>
    <t>Dinner during the UK Biz trip</t>
  </si>
  <si>
    <t>Dinner Lunch the UK Biz trip</t>
  </si>
  <si>
    <t>Lunch the UK Biz trip</t>
  </si>
  <si>
    <t>Dinner the UK Biz trip</t>
  </si>
  <si>
    <t>Dinner UK Biz trip</t>
  </si>
  <si>
    <t>Dinner for UK Biz trip</t>
  </si>
  <si>
    <t>VENDBILL8117</t>
  </si>
  <si>
    <t>JE6728</t>
  </si>
  <si>
    <t>VENDBILL8135</t>
  </si>
  <si>
    <t>VENDBILL8134</t>
  </si>
  <si>
    <t>VENDBILL8149</t>
  </si>
  <si>
    <t>VENDBILL8171</t>
  </si>
  <si>
    <t>Trademark Legal Fees - May 2025</t>
  </si>
  <si>
    <t>VENDBILL8125</t>
  </si>
  <si>
    <t>Office Supplies NY - May 2025</t>
  </si>
  <si>
    <t>VENDBILL8160</t>
  </si>
  <si>
    <t>Miscellaneous Flower</t>
  </si>
  <si>
    <t>VENDBILL8150</t>
  </si>
  <si>
    <t>2025 HR - Payroll Services 05/25-05/31</t>
  </si>
  <si>
    <t>VENDBILL8118</t>
  </si>
  <si>
    <t>Pre Tax Monthly Admin - May 2025</t>
  </si>
  <si>
    <t>Supplier meeting</t>
  </si>
  <si>
    <t>VENDBILL8158</t>
  </si>
  <si>
    <t>Meeting with Bob and Team in person</t>
  </si>
  <si>
    <t>staff leaving</t>
  </si>
  <si>
    <t>SMS review lunch</t>
  </si>
  <si>
    <t>VENDBILL8124</t>
  </si>
  <si>
    <t>VENDBILL8123</t>
  </si>
  <si>
    <t>JE6754</t>
  </si>
  <si>
    <t>JE6241</t>
  </si>
  <si>
    <t>JE6795</t>
  </si>
  <si>
    <t>Avalara service fee 05/01/2025-04/30/2026</t>
  </si>
  <si>
    <t>JE6794</t>
  </si>
  <si>
    <t>ApparelMagic Annual Contract 2024 - 2025 Service - 1 Month @ 2,582.46</t>
  </si>
  <si>
    <t>JE6789</t>
  </si>
  <si>
    <t>JE6787</t>
  </si>
  <si>
    <t>JE6791</t>
  </si>
  <si>
    <t>JE6784</t>
  </si>
  <si>
    <t>JE6783</t>
  </si>
  <si>
    <t>Cloud Service Renewal - NetSuite May 2025</t>
  </si>
  <si>
    <t>JE6793</t>
  </si>
  <si>
    <t>Fohr - Influencer platform 2025/04-2026/04</t>
  </si>
  <si>
    <t>JE6773</t>
  </si>
  <si>
    <t>Lanny Ward - May Estimate</t>
  </si>
  <si>
    <t>JE6712</t>
  </si>
  <si>
    <t>JE6788</t>
  </si>
  <si>
    <t>JE6734</t>
  </si>
  <si>
    <t>AM Marketing MAY 2025- COGS</t>
  </si>
  <si>
    <t>JE6792</t>
  </si>
  <si>
    <t>Racquet Magazine Q2</t>
  </si>
  <si>
    <t>JE6736</t>
  </si>
  <si>
    <t>Accrue Recruiting Fee - Accounting</t>
  </si>
  <si>
    <t>JE6786</t>
  </si>
  <si>
    <t>JE6729</t>
  </si>
  <si>
    <t>JE6790</t>
  </si>
  <si>
    <t>JE6796</t>
  </si>
  <si>
    <t>EPLI 03/01/2025 to 03/01/2026</t>
  </si>
  <si>
    <t>JE6750</t>
  </si>
  <si>
    <t>May 2025 Electric</t>
  </si>
  <si>
    <t>JE6781</t>
  </si>
  <si>
    <t>JE6742</t>
  </si>
  <si>
    <t>JE6785</t>
  </si>
  <si>
    <t>JE6782</t>
  </si>
  <si>
    <t>GS1 License - Barcoding May 2025 Exp Entry</t>
  </si>
  <si>
    <t>Adidas Infringement - Legal Counsel May 2025</t>
  </si>
  <si>
    <t>Legal Fees - May 2025</t>
  </si>
  <si>
    <t>VENDBILL8203</t>
  </si>
  <si>
    <t>S26 -Samples - SMS Woven</t>
  </si>
  <si>
    <t>VENDBILL8120</t>
  </si>
  <si>
    <t>Workers Comp/Business Owners Insurance - June 2025</t>
  </si>
  <si>
    <t>VENDBILL8115</t>
  </si>
  <si>
    <t>Business Owners Insurance - June 2025</t>
  </si>
  <si>
    <t>VENDBILL8061</t>
  </si>
  <si>
    <t>May  2025 Electric</t>
  </si>
  <si>
    <t>VENDBILL8121</t>
  </si>
  <si>
    <t>Internet/Phone JUNE 2025</t>
  </si>
  <si>
    <t>VENDBILL8126</t>
  </si>
  <si>
    <t>2025-06- June 2025 RENT NY OFFICE</t>
  </si>
  <si>
    <t>JE6513</t>
  </si>
  <si>
    <t>JE6928</t>
  </si>
  <si>
    <t>JE6737</t>
  </si>
  <si>
    <t>JE6807</t>
  </si>
  <si>
    <t>JE6730</t>
  </si>
  <si>
    <t>JE6751</t>
  </si>
  <si>
    <t>VENDBILL8138</t>
  </si>
  <si>
    <t>Finance - Sean Lee</t>
  </si>
  <si>
    <t>VENDBILL8144</t>
  </si>
  <si>
    <t>VENDBILL8143</t>
  </si>
  <si>
    <t>62E797AB1BCF46C9BA19</t>
  </si>
  <si>
    <t>Backbone - Monthly Subscription</t>
  </si>
  <si>
    <t>Adobe - Monthly Usage Fee</t>
  </si>
  <si>
    <t>Docusign - Monthly Subscription</t>
  </si>
  <si>
    <t>QBO - Monthly Subscription</t>
  </si>
  <si>
    <t>FAAAB88AE7394D59850B</t>
  </si>
  <si>
    <t>BOTPRESS</t>
  </si>
  <si>
    <t>Botpress testing cost</t>
  </si>
  <si>
    <t>DOL - Employer and Worker</t>
  </si>
  <si>
    <t>Office Supplies-NY Office</t>
  </si>
  <si>
    <t>Intercom - Monthly Internet Mobile Fob</t>
  </si>
  <si>
    <t>International Transaction Fee</t>
  </si>
  <si>
    <t>VENDBILL8221</t>
  </si>
  <si>
    <t>50BDDE7D397D4B75AFE2</t>
  </si>
  <si>
    <t>DHL customs invoice</t>
  </si>
  <si>
    <t>VENDBILL8165</t>
  </si>
  <si>
    <t>VENDBILL8170</t>
  </si>
  <si>
    <t>ADP Payroll Fees 05.6.06.2025</t>
  </si>
  <si>
    <t>VENDBILL8169</t>
  </si>
  <si>
    <t>ADP Payroll Fees 06.06.2025</t>
  </si>
  <si>
    <t>VENDBILL8137</t>
  </si>
  <si>
    <t>Taxi to NY embroidery studio</t>
  </si>
  <si>
    <t>Taxi from NY embroidery studio to office</t>
  </si>
  <si>
    <t>Personal Expense - will reimburse to company</t>
  </si>
  <si>
    <t>BF243E5CD1B144A68C68</t>
  </si>
  <si>
    <t>Personnel Transaction - Canceled</t>
  </si>
  <si>
    <t>06/05 taxi leila HQ meeting prepare OT</t>
  </si>
  <si>
    <t>Team member birthday lunch - Caitlin</t>
  </si>
  <si>
    <t>06/09 Dinner HQ meeting prepare OT with David</t>
  </si>
  <si>
    <t>VENDBILL8166</t>
  </si>
  <si>
    <t>VENDBILL8173</t>
  </si>
  <si>
    <t>VENDBILL8174</t>
  </si>
  <si>
    <t>VENDBILL8175</t>
  </si>
  <si>
    <t>VENDBILL8177</t>
  </si>
  <si>
    <t>VENDBILL8179</t>
  </si>
  <si>
    <t>VENDBILL8181</t>
  </si>
  <si>
    <t>VENDBILL8180</t>
  </si>
  <si>
    <t>VENDBILL8183</t>
  </si>
  <si>
    <t>2025 HR - Payroll Services 06/01-06/07</t>
  </si>
  <si>
    <t>VENDBILL8186</t>
  </si>
  <si>
    <t>VENDBILL8185</t>
  </si>
  <si>
    <t>VENDBILL8190</t>
  </si>
  <si>
    <t>8B6C7D0DC1AD4853AB84</t>
  </si>
  <si>
    <t>Design team Foam Boards supplies</t>
  </si>
  <si>
    <t>Kitchen Supplies</t>
  </si>
  <si>
    <t>Coffee Beans for office</t>
  </si>
  <si>
    <t>Weekly Kitchen Supplies</t>
  </si>
  <si>
    <t>20% Service Fee USAGE: 1 year Ecommerce website/Social media platforms/Internal wholesale/Paid digital advertisment /SMS Marketing/Email promotions Bank Details for ACH (domestic Only): Account Name: Soul LLC DBA Soul Artist Management Account # 749113981 ABA/Routing# 021000021 (Domestic) PLEASE INVOICE REFERENCE</t>
  </si>
  <si>
    <t>Model Services by Damaris Barkley RE: Sergio Tacchini E-commerce: June PHOTOGRAPHER: Thee Tham DATES: June 10th - 12th, 2025 LOCATION: Brooklyn, NY RATE: $1,200 per day</t>
  </si>
  <si>
    <t>VENDBILL8193</t>
  </si>
  <si>
    <t>JE6827</t>
  </si>
  <si>
    <t>VENDBILL8201</t>
  </si>
  <si>
    <t>Copier Lease June 2025</t>
  </si>
  <si>
    <t>SERVICE FEE 20.00 %</t>
  </si>
  <si>
    <t>120 DAY(S)</t>
  </si>
  <si>
    <t>New York Model Management, Inc.</t>
  </si>
  <si>
    <t>MANICURE/ PEDICURE</t>
  </si>
  <si>
    <t>1 YR WEB/ SOCIAL/ ECOM</t>
  </si>
  <si>
    <t>VENDBILL8205</t>
  </si>
  <si>
    <t>PR Agency Services-June 2025</t>
  </si>
  <si>
    <t>JE6821</t>
  </si>
  <si>
    <t>Meal Production</t>
  </si>
  <si>
    <t>- Studio Cyclorama Repaint</t>
  </si>
  <si>
    <t>- Equipment Rentals</t>
  </si>
  <si>
    <t>Studio &amp; Equipment</t>
  </si>
  <si>
    <t>Crew</t>
  </si>
  <si>
    <t>Fees</t>
  </si>
  <si>
    <t>- JUN 13 : Women 65 sku</t>
  </si>
  <si>
    <t>- JUN 12 : Men 55 sku</t>
  </si>
  <si>
    <t>- JUN 11 : Men 70 sku</t>
  </si>
  <si>
    <t>Retoucher Fees : 240 sku</t>
  </si>
  <si>
    <t>BFA690AA4C494B66AC65</t>
  </si>
  <si>
    <t>Olivia Nielsen</t>
  </si>
  <si>
    <t>Internation Fee</t>
  </si>
  <si>
    <t>VENDBILL8207</t>
  </si>
  <si>
    <t>#11</t>
  </si>
  <si>
    <t>Sergio Tacchini Ecomm</t>
  </si>
  <si>
    <t>Ecomm</t>
  </si>
  <si>
    <t>GIFTING DROP OFF FOR PARIS FASHION WEEK</t>
  </si>
  <si>
    <t>CAR TO STUDIO FROM HOME FOR F25 ECOM SHOOT</t>
  </si>
  <si>
    <t>MEETING LUNCH WITH CHRIS IVERY</t>
  </si>
  <si>
    <t>VENDBILL8210</t>
  </si>
  <si>
    <t>VENDBILL8211</t>
  </si>
  <si>
    <t>VENDBILL8218</t>
  </si>
  <si>
    <t>ADP Payroll Fees 06.20.2025</t>
  </si>
  <si>
    <t>VENDBILL8216</t>
  </si>
  <si>
    <t>CC86A32C1C82403381DF</t>
  </si>
  <si>
    <t>VENDBILL8224</t>
  </si>
  <si>
    <t>VENDBILL8231</t>
  </si>
  <si>
    <t>Monthly advisory service for June 2025-Operations</t>
  </si>
  <si>
    <t>VENDBILL8230</t>
  </si>
  <si>
    <t>Monthly Fee and Corp Tax Return</t>
  </si>
  <si>
    <t>#15</t>
  </si>
  <si>
    <t>Creative Flatlay Production</t>
  </si>
  <si>
    <t>#14</t>
  </si>
  <si>
    <t>453F51CD931344E69C13</t>
  </si>
  <si>
    <t>Matthew Ng</t>
  </si>
  <si>
    <t>Marketing Manager Interview</t>
  </si>
  <si>
    <t>VENDBILL8228</t>
  </si>
  <si>
    <t>2025 HR - Payroll Services 06/15-06/21</t>
  </si>
  <si>
    <t>VENDBILL8229</t>
  </si>
  <si>
    <t>JE6832</t>
  </si>
  <si>
    <t>Remove Sodilog Inventory</t>
  </si>
  <si>
    <t>VENDBILL8252</t>
  </si>
  <si>
    <t>ProShred Security</t>
  </si>
  <si>
    <t>Clothing Items Shredded at warehouse</t>
  </si>
  <si>
    <t>UPS Supply Chain Solutions Inc. (7F24A0)</t>
  </si>
  <si>
    <t>Entry Line Charge</t>
  </si>
  <si>
    <t>VENDBILL8243</t>
  </si>
  <si>
    <t>ADP Payroll Fees 06.27.2025</t>
  </si>
  <si>
    <t>Value Added Tax</t>
  </si>
  <si>
    <t>Duty Amount</t>
  </si>
  <si>
    <t>Disbursement fee</t>
  </si>
  <si>
    <t>JE6836</t>
  </si>
  <si>
    <t>VENDBILL8257</t>
  </si>
  <si>
    <t>VENDBILL8256</t>
  </si>
  <si>
    <t>VENDBILL8286</t>
  </si>
  <si>
    <t>Fitting Model - May and June 2025</t>
  </si>
  <si>
    <t>B-2506-0124</t>
  </si>
  <si>
    <t>Trademark Legal Fees June 2025</t>
  </si>
  <si>
    <t>193C-XMHY-PQ9Q</t>
  </si>
  <si>
    <t>Total Tax</t>
  </si>
  <si>
    <t>Office Supplies NY June 2025</t>
  </si>
  <si>
    <t>C84134943D594AA88AA2</t>
  </si>
  <si>
    <t>Business entertainment with Mr. Park, audit partner at K&amp;Y</t>
  </si>
  <si>
    <t>2025.06.30</t>
  </si>
  <si>
    <t>F&amp;F Korea</t>
  </si>
  <si>
    <t>Guarantee expenses</t>
  </si>
  <si>
    <t>Pre-tax Monthly Administration - Additional Billing to Meet Monthly Minimum J UN 2025</t>
  </si>
  <si>
    <t>HSA Monthly Administration for J UN 2025</t>
  </si>
  <si>
    <t>Pre-tax Monthly Administration for J UN 2025</t>
  </si>
  <si>
    <t>ZYPI003885744</t>
  </si>
  <si>
    <t>EXPRESS WORLDWIDE nondoc</t>
  </si>
  <si>
    <t>EXPRESS 10:30 nondoc</t>
  </si>
  <si>
    <t>Credit for Tea Bags</t>
  </si>
  <si>
    <t>Credit for Docking Station and Sparkling Water</t>
  </si>
  <si>
    <t>Credit for Ballpoint Pens</t>
  </si>
  <si>
    <t>JE6890</t>
  </si>
  <si>
    <t>Inventory Reserve - Jun 2025</t>
  </si>
  <si>
    <t>JE6893</t>
  </si>
  <si>
    <t>JE6242</t>
  </si>
  <si>
    <t>JE6907</t>
  </si>
  <si>
    <t>JE6906</t>
  </si>
  <si>
    <t>JE6902</t>
  </si>
  <si>
    <t>JE6900</t>
  </si>
  <si>
    <t>JE6895</t>
  </si>
  <si>
    <t>JE6904</t>
  </si>
  <si>
    <t>JE6925</t>
  </si>
  <si>
    <t>Accrue Netsuite - June Invoice</t>
  </si>
  <si>
    <t>JE6903</t>
  </si>
  <si>
    <t>HR Miscellenous Expense</t>
  </si>
  <si>
    <t>JE6871</t>
  </si>
  <si>
    <t>JE6898</t>
  </si>
  <si>
    <t>JE6878</t>
  </si>
  <si>
    <t>AM Marketing June 2025- COGS</t>
  </si>
  <si>
    <t>JE6899</t>
  </si>
  <si>
    <t>JE6905</t>
  </si>
  <si>
    <t>JE6877</t>
  </si>
  <si>
    <t>AM Sample June 2025- COGS</t>
  </si>
  <si>
    <t>JE6908</t>
  </si>
  <si>
    <t>JE6901</t>
  </si>
  <si>
    <t>JE6897</t>
  </si>
  <si>
    <t>JE6837</t>
  </si>
  <si>
    <t>JE6851</t>
  </si>
  <si>
    <t>June 2025 Electric</t>
  </si>
  <si>
    <t>JE6910</t>
  </si>
  <si>
    <t>JE6849</t>
  </si>
  <si>
    <t>JE6880</t>
  </si>
  <si>
    <t>Update to AR Allowance - Q2 2025</t>
  </si>
  <si>
    <t>JE6909</t>
  </si>
  <si>
    <t>GS1 License Renewal for Barcoding June 2025</t>
  </si>
  <si>
    <t>JE6896</t>
  </si>
  <si>
    <t>93F4369A03F749C297BF</t>
  </si>
  <si>
    <t>Cost meeting Pizza</t>
  </si>
  <si>
    <t>35F855A9BCDF4310B964</t>
  </si>
  <si>
    <t>WIMBLEDON WATCH PARTY SNACKS</t>
  </si>
  <si>
    <t>TOWNHALL PIZZA ORDER FOR TEAM</t>
  </si>
  <si>
    <t>3FB613F4F1EA49D2ACCF</t>
  </si>
  <si>
    <t>E4C98CE76A434200B8D8</t>
  </si>
  <si>
    <t>Sean Lee</t>
  </si>
  <si>
    <t>Candiate Meet Up</t>
  </si>
  <si>
    <t>BE179A13CFCF43EDBC12</t>
  </si>
  <si>
    <t>Matthew Korea Trip Hotel</t>
  </si>
  <si>
    <t>UBER TO AND FROM WHOLESALE SHOOT</t>
  </si>
  <si>
    <t>Microsoft Office365 Business Basic Current Monthly Service</t>
  </si>
  <si>
    <t>Egnyte Business User - 200 GB</t>
  </si>
  <si>
    <t>Mimecast email security Spam Filter, Email Control, Email Continuity without archiving - S1</t>
  </si>
  <si>
    <t>3nom Sentinel One EDR next generation security application</t>
  </si>
  <si>
    <t>User Support- M - F 8am - 7pm, unlimited remote and onsite, Unlimited support of Office365, Google Apps, Adobe Admin, CTO services for Purchasing, Consulting, Project Management, Policy Development, Vendor Management, 24/7 Monitoring and Alerting, patch management, auto remediation</t>
  </si>
  <si>
    <t>JE6743</t>
  </si>
  <si>
    <t>JE6581</t>
  </si>
  <si>
    <t>JE6850</t>
  </si>
  <si>
    <t>#17</t>
  </si>
  <si>
    <t>Fee for production of SS26 wholesale shoot</t>
  </si>
  <si>
    <t>#18</t>
  </si>
  <si>
    <t>Launch Metric Event</t>
  </si>
  <si>
    <t>Launch Metric Database</t>
  </si>
  <si>
    <t>Lefty Monthly Subscription</t>
  </si>
  <si>
    <t>Sergio Tacchini - Administrative Fee</t>
  </si>
  <si>
    <t>Sergio Tacchini - Professional Services July 2nd, 2025-August 1st, 2025 (Expenses will be invoiced separately)</t>
  </si>
  <si>
    <t>Pre-tax Monthly Administration - Additional Billing to Meet Monthly Minimum J UL 2025</t>
  </si>
  <si>
    <t>HSA Monthly Administration for J UL 2025</t>
  </si>
  <si>
    <t>Pre-tax Monthly Administration for J UL 2025</t>
  </si>
  <si>
    <t>JE7021</t>
  </si>
  <si>
    <t>Food &amp; Beverages Delivery (7-8) Post Production</t>
  </si>
  <si>
    <t>-Studio : 258 Johnson Ave Equipment Rentals All inclusive Meal</t>
  </si>
  <si>
    <t>Photo Assistant Studio &amp; Equipment</t>
  </si>
  <si>
    <t>Fees Crew</t>
  </si>
  <si>
    <t>Product Color Edit 3</t>
  </si>
  <si>
    <t>July 23 His &amp; Her</t>
  </si>
  <si>
    <t>July 23 Women's 35</t>
  </si>
  <si>
    <t>Retoucher Fees July 22 Men's 37</t>
  </si>
  <si>
    <t>JE6990</t>
  </si>
  <si>
    <t>JE7039</t>
  </si>
  <si>
    <t>Racquet Magazine Q3</t>
  </si>
  <si>
    <t>JE6993</t>
  </si>
  <si>
    <t>ST-Search-Non-Branded</t>
  </si>
  <si>
    <t>ST-PMax-Womens-Prospecting</t>
  </si>
  <si>
    <t>RV | DGEN | NB | SEAS | PROS</t>
  </si>
  <si>
    <t>RV | SRCH - DSA/STD | BR | ALL | PROS</t>
  </si>
  <si>
    <t>ST-Brand-DSA</t>
  </si>
  <si>
    <t>ST-YouTube-Sales-Remarketing</t>
  </si>
  <si>
    <t>ST-PMax-Prospecting</t>
  </si>
  <si>
    <t>Agency Fee Agency fee, 1 @ USD 165.00</t>
  </si>
  <si>
    <t>Model Fee HOURLY: Tetiana Jul 24, 2025 - Jul 24, 2025, 3 @ USD 275.00</t>
  </si>
  <si>
    <t>Model Agustina</t>
  </si>
  <si>
    <t>Agency Fee Agency fee, 1 @ USD 360.00</t>
  </si>
  <si>
    <t>Model Fee HALF DAY: Edward Bayer Jul 22, 2025 - Jul 23, 2025, 1 @ USD 600.00</t>
  </si>
  <si>
    <t>Model Fee DAY RATE: Edward Bayer Jul 22, 2025 - Jul 23, 2025, 1 @ USD 1,200.00</t>
  </si>
  <si>
    <t>JE7008</t>
  </si>
  <si>
    <t>AM Marketing July 2025- COGS</t>
  </si>
  <si>
    <t>INV2523243</t>
  </si>
  <si>
    <t>Sergio Tacchini - Managed Payroll Services</t>
  </si>
  <si>
    <t>VENDBILL8298</t>
  </si>
  <si>
    <t>ADP Payroll Fees 07.07.2025</t>
  </si>
  <si>
    <t>VENDBILL8299</t>
  </si>
  <si>
    <t>INV2523625</t>
  </si>
  <si>
    <t>JE6946</t>
  </si>
  <si>
    <t>ADP TAX Receipt</t>
  </si>
  <si>
    <t>INV2523850</t>
  </si>
  <si>
    <t>Payroll Services 06/29-07/05</t>
  </si>
  <si>
    <t>VENDBILL8335</t>
  </si>
  <si>
    <t>ADP Payroll Fees 07.18.2025</t>
  </si>
  <si>
    <t>INV2524176</t>
  </si>
  <si>
    <t>VENDBILL8359</t>
  </si>
  <si>
    <t>ADP Payroll Fees 07.25.2025</t>
  </si>
  <si>
    <t>INV2524432</t>
  </si>
  <si>
    <t>VENDBILL8202</t>
  </si>
  <si>
    <t>2025-07- July 2025 RENT NY OFFICE</t>
  </si>
  <si>
    <t>JE6973</t>
  </si>
  <si>
    <t>SUPPLIES FOR WIMBLEDON PARTY</t>
  </si>
  <si>
    <t>Areas: (8k sq.f.t) reception/entry/staircase bathrooms (4) kitchen area common office space conference room private offices Schedule: .1x/week (Sunday) swiffer all surfaces/desks throughout the space disinfect all surfaces (desks, tables, countertops) clean and tidy kitchen area vacuum phone booths/disinfect surfaces/clean glass full service clean for all 4 bathrooms replenish consumables as needed spotclean glass/mirrors vacuum all carpeted areas wet mop resilient flooring .empty all trash and place in designated area period</t>
  </si>
  <si>
    <t>11DJ -J H6N-CVN6</t>
  </si>
  <si>
    <t>AFOOYO Monitor Stand Riser Black,Plane Wing-Shaped Sturdy Computer Stand Ergonomic Desk Organizer Riser Wood Monitor Stand with Drawer for Laptop, Computer,16.5 Inch</t>
  </si>
  <si>
    <t>Lamicall Adjustable Laptop Stand, Portable Laptop Riser, Aluminum Laptop Stand for Desk Foldable, Ergonomic Computer Notebook Stand Holder for MacBook Air Pro, Dell XPS, HP (10-17.3") - Silver gongsi</t>
  </si>
  <si>
    <t>Total Tax, MIsc credit and other</t>
  </si>
  <si>
    <t>JE6999</t>
  </si>
  <si>
    <t>Admin Miscellenous</t>
  </si>
  <si>
    <t>JE7012</t>
  </si>
  <si>
    <t>Am702A</t>
  </si>
  <si>
    <t>Fit time : 9:30-12:00</t>
  </si>
  <si>
    <t>Fit time : 9:30-12:30</t>
  </si>
  <si>
    <t>Fit time : 11:30-12:30</t>
  </si>
  <si>
    <t>JE7030</t>
  </si>
  <si>
    <t>Lanny Ward - July Estimate</t>
  </si>
  <si>
    <t>PA25195</t>
  </si>
  <si>
    <t>S26 - Development Cost</t>
  </si>
  <si>
    <t>SS27 Product Samples</t>
  </si>
  <si>
    <t>2-400-92901</t>
  </si>
  <si>
    <t>Shipment LA to Paris</t>
  </si>
  <si>
    <t>2-403-21548</t>
  </si>
  <si>
    <t>Out of Delivery Area Tier A</t>
  </si>
  <si>
    <t>US Inbound Processing Fee</t>
  </si>
  <si>
    <t>Add'l Handling-Packaging</t>
  </si>
  <si>
    <t>Fuel Surcharge</t>
  </si>
  <si>
    <t>Discount</t>
  </si>
  <si>
    <t>Transportation Charge</t>
  </si>
  <si>
    <t>ZYPI003888720</t>
  </si>
  <si>
    <t>EXPRESS WORLDWIDE nondoc PREMIUM 10:30</t>
  </si>
  <si>
    <t>ZYPI003891801</t>
  </si>
  <si>
    <t>ZYP0005268933</t>
  </si>
  <si>
    <t>GOGREEN PLUS - CARBON REDUCED</t>
  </si>
  <si>
    <t>FUEL SURCHARGE</t>
  </si>
  <si>
    <t>NON STANDARD PICKUP</t>
  </si>
  <si>
    <t>NEUTRAL DELIVERY</t>
  </si>
  <si>
    <t>B EXPRESS WORLDWIDE NONDOC</t>
  </si>
  <si>
    <t>ZYPI003892782</t>
  </si>
  <si>
    <t>Inbound</t>
  </si>
  <si>
    <t>ZYPI003894945</t>
  </si>
  <si>
    <t xml:space="preserve"> 2025-07</t>
  </si>
  <si>
    <t>GNS Co., LTD</t>
  </si>
  <si>
    <t>Notarization fee Courier Fee_United States of America</t>
  </si>
  <si>
    <t>8-936-19465</t>
  </si>
  <si>
    <t>NY Office to Chris Ivery</t>
  </si>
  <si>
    <t>D25521852</t>
  </si>
  <si>
    <t>IMPORT EXPORT DUTIES</t>
  </si>
  <si>
    <t>BRIZAN</t>
  </si>
  <si>
    <t>ZYP CHARGES</t>
  </si>
  <si>
    <t>D25521528</t>
  </si>
  <si>
    <t>D25205279</t>
  </si>
  <si>
    <t>BRIZAN VERSTEEG</t>
  </si>
  <si>
    <t>D25154484</t>
  </si>
  <si>
    <t>ZYP</t>
  </si>
  <si>
    <t>D25142594</t>
  </si>
  <si>
    <t>ZYPI003898757</t>
  </si>
  <si>
    <t>EXPRESS WORLDWIDE doc</t>
  </si>
  <si>
    <t>ZYP0005272359</t>
  </si>
  <si>
    <t>Outbound</t>
  </si>
  <si>
    <t>A96723</t>
  </si>
  <si>
    <t>Courier</t>
  </si>
  <si>
    <t>Invoice 1902589589 wrong entry amount reverse</t>
  </si>
  <si>
    <t>General Legal</t>
  </si>
  <si>
    <t>Employment Advice - June 2025</t>
  </si>
  <si>
    <t>Infringement - June 2025</t>
  </si>
  <si>
    <t xml:space="preserve"> 2507-019</t>
  </si>
  <si>
    <t>Monthly Service Fee Monthly advisory service for July 2025</t>
  </si>
  <si>
    <t xml:space="preserve"> 2507-020</t>
  </si>
  <si>
    <t>Monthly Service Fee July 2025</t>
  </si>
  <si>
    <t>STO#11</t>
  </si>
  <si>
    <t>Korus Legal P.C.</t>
  </si>
  <si>
    <t>Legal Services June/July</t>
  </si>
  <si>
    <t>B-2507-0101</t>
  </si>
  <si>
    <t>Trademark Legal Fees - July 2025</t>
  </si>
  <si>
    <t>VENDBILL8325</t>
  </si>
  <si>
    <t>Business Owners Insurance - July 2025</t>
  </si>
  <si>
    <t>JE6838</t>
  </si>
  <si>
    <t>VENDBILL8339</t>
  </si>
  <si>
    <t>Workers Comp/Business Owners Insurance - July 2025</t>
  </si>
  <si>
    <t>JE6949</t>
  </si>
  <si>
    <t>JE6977</t>
  </si>
  <si>
    <t>JE6997</t>
  </si>
  <si>
    <t>JE6992</t>
  </si>
  <si>
    <t>JE7037</t>
  </si>
  <si>
    <t>Base:Travel &amp; Expense with TripLink - Universal Base:Travel &amp; Expense with TripLink - Universal</t>
  </si>
  <si>
    <t>Software Monthly Expense - Backbone</t>
  </si>
  <si>
    <t>Accounting Software - Quickbook</t>
  </si>
  <si>
    <t>Monthly Subscription - Adobe</t>
  </si>
  <si>
    <t>Chatgpt Subscription for Sean</t>
  </si>
  <si>
    <t>JE6988</t>
  </si>
  <si>
    <t>Drop Box for AM July 2025 - June 2026</t>
  </si>
  <si>
    <t>JE6996</t>
  </si>
  <si>
    <t>JE6995</t>
  </si>
  <si>
    <t>JE6991</t>
  </si>
  <si>
    <t>JE7029</t>
  </si>
  <si>
    <t>Accrue Netsuite - July Invoice</t>
  </si>
  <si>
    <t>JE7040</t>
  </si>
  <si>
    <t>MS Office 365 Renewal (Service Jul 2025 - June 2026)</t>
  </si>
  <si>
    <t>JE6994</t>
  </si>
  <si>
    <t>June  2025 Electric</t>
  </si>
  <si>
    <t>VENDBILL8314</t>
  </si>
  <si>
    <t>Internet/Phone July 2025</t>
  </si>
  <si>
    <t>JE6852</t>
  </si>
  <si>
    <t>JE7023</t>
  </si>
  <si>
    <t>July 2025 Electric</t>
  </si>
  <si>
    <t>Copier Lease July 2025</t>
  </si>
  <si>
    <t>JE6989</t>
  </si>
  <si>
    <t>JE6998</t>
  </si>
  <si>
    <t>GS1 License Renewal for Barcoding July 2025</t>
  </si>
  <si>
    <t>JE6966</t>
  </si>
  <si>
    <t>Inventory Reserve - Jul 2025 Estimate</t>
  </si>
  <si>
    <t>Bank Fees international transaction</t>
  </si>
  <si>
    <t>JE6948</t>
  </si>
  <si>
    <t>JE6916</t>
  </si>
  <si>
    <t>JE7014</t>
  </si>
  <si>
    <t>JE6243</t>
  </si>
  <si>
    <t>B66AC382517A439B8371</t>
  </si>
  <si>
    <t>C43727D407334991A099</t>
  </si>
  <si>
    <t>CAD7A33200BB44D69333</t>
  </si>
  <si>
    <t>TOWNHALL LUNCH</t>
  </si>
  <si>
    <t>TOWNHALL LUNCH ORDER</t>
  </si>
  <si>
    <t>91D29A6C7A904251831D</t>
  </si>
  <si>
    <t>Meeting with Chris Ivery and marketing team</t>
  </si>
  <si>
    <t>28C04D6F7EDE46428AFB</t>
  </si>
  <si>
    <t>CAR TO OFFICE WITH GIFTING SUPPLIES</t>
  </si>
  <si>
    <t>CAR TO DELIVER F25 CAMPAIGN PROPS</t>
  </si>
  <si>
    <t>CAR TO DELIVER PROPS FOR F25</t>
  </si>
  <si>
    <t>215011C377CD4C64B216</t>
  </si>
  <si>
    <t>OT taxi for July month end closing</t>
  </si>
  <si>
    <t>Linkedin Premium</t>
  </si>
  <si>
    <t>Job posting fee on LinkedIn</t>
  </si>
  <si>
    <t>2025.08.30</t>
  </si>
  <si>
    <t>6/23 Rintintin: Editor Meeting - Nina Clements, Family Style</t>
  </si>
  <si>
    <t>Sergio Tacchini - Professional Services August 2nd, 2025-September 1st, 2025 (Expenses will be invoiced separately)</t>
  </si>
  <si>
    <t>Pre-tax Monthly Administration - Additional Billing to Meet Monthly Minimum AUG 2025</t>
  </si>
  <si>
    <t>Pre-tax Monthly Administration for AUG 2025</t>
  </si>
  <si>
    <t>HSA Monthly Administration for AUG 2025</t>
  </si>
  <si>
    <t>JE7151</t>
  </si>
  <si>
    <t>#26146</t>
  </si>
  <si>
    <t>Rush Fee</t>
  </si>
  <si>
    <t>Pinning</t>
  </si>
  <si>
    <t>Ironing / Steaming</t>
  </si>
  <si>
    <t>Flat-Lays: Tops / Shirts / Sweater / Hoodies</t>
  </si>
  <si>
    <t>Caps / Hats for the one hat</t>
  </si>
  <si>
    <t>JE7114</t>
  </si>
  <si>
    <t>JE7117</t>
  </si>
  <si>
    <t>JE7125</t>
  </si>
  <si>
    <t>759-604-0111 2025-01-15, Campaign Name: ST-YouTube-Sales-Remarketing</t>
  </si>
  <si>
    <t>Invalid activity - Original Invoice #: 5329211169, Original Month of Service: Jul 2025, Account Budget Name: Google Ads 759-604-0111 2025-01-15, Campaign Name: RV | DGEN | NB | SEAS | PROS activity - Original Invoice #: 5329211169, Original Month of Service: Jul 2025, Account Budget Name: Google Ads</t>
  </si>
  <si>
    <t>RV| DSP|ALL | RET</t>
  </si>
  <si>
    <t>ST-YouTube-Sales-Remarketing #2</t>
  </si>
  <si>
    <t>RV | SRCH | NB | SEAS | ALL | CONQ</t>
  </si>
  <si>
    <t>20% Service Fee</t>
  </si>
  <si>
    <t>Model Services by Damaris Barkley RE: Sergio Tacchini E-commerce: July</t>
  </si>
  <si>
    <t>Model Fee HOURLY: Tetiana Jul 31, 2025 - Jul 31, 2025, 3 @ 275.00</t>
  </si>
  <si>
    <t>Agency Fee fee, 1 USD 82.50</t>
  </si>
  <si>
    <t>Model Fee HOURLY: Tetiana Aug 7, 2025 - Aug 7, 2025, 1.5 275.00</t>
  </si>
  <si>
    <t>JE7134</t>
  </si>
  <si>
    <t>AM Marketing Aug 2025- COGS</t>
  </si>
  <si>
    <t>VENDBILL8405</t>
  </si>
  <si>
    <t>ADP Payroll Fees 08.01.2025</t>
  </si>
  <si>
    <t>VENDBILL8406</t>
  </si>
  <si>
    <t>INV2524681</t>
  </si>
  <si>
    <t>Sergio Tacchini - 2025 HR - On-Going HR Support Services</t>
  </si>
  <si>
    <t>VENDBILL8459</t>
  </si>
  <si>
    <t>ADP Payroll Fees 08.08.2025</t>
  </si>
  <si>
    <t>INV2525047</t>
  </si>
  <si>
    <t>Sergio Tacchini - Managed Payroll Services Sherry Pearson</t>
  </si>
  <si>
    <t>JE7070</t>
  </si>
  <si>
    <t>Payroll Fees -  08.15.2025</t>
  </si>
  <si>
    <t>INV2525291</t>
  </si>
  <si>
    <t>Sergio Tacchini - 2025 HR - On-Going HR Support Services Kristin Petersen</t>
  </si>
  <si>
    <t>JE7089</t>
  </si>
  <si>
    <t>ADP Payroll Fees</t>
  </si>
  <si>
    <t>INV2525625</t>
  </si>
  <si>
    <t>VENDBILL8548</t>
  </si>
  <si>
    <t>ADP Payroll Fees 08.29.2025</t>
  </si>
  <si>
    <t>2025-08</t>
  </si>
  <si>
    <t>Rent Aug 2025</t>
  </si>
  <si>
    <t>JE7112</t>
  </si>
  <si>
    <t>Technical Design Supplies</t>
  </si>
  <si>
    <t>#7390</t>
  </si>
  <si>
    <t>O'Donnells Jewelers Gabriel's Custom Engraving</t>
  </si>
  <si>
    <t>Carbone Gift</t>
  </si>
  <si>
    <t>3E2E0251F4B043399AAC</t>
  </si>
  <si>
    <t>STE ICO Data protection</t>
  </si>
  <si>
    <t>Brivo Subscription - NYC Intercom</t>
  </si>
  <si>
    <t>KEY CHAIN GIFTS FOR CARBONE</t>
  </si>
  <si>
    <t>JE7060</t>
  </si>
  <si>
    <t>Julissa Credit on CC Bill Fresh Direct bill credit</t>
  </si>
  <si>
    <t>JE7077</t>
  </si>
  <si>
    <t>Cash Return - Aug 15 Payment O'Donnells Jewler</t>
  </si>
  <si>
    <t>JE7084</t>
  </si>
  <si>
    <t>Re-Payment O'Donnells Jewler</t>
  </si>
  <si>
    <t>2025 NYS Office Compliance poster</t>
  </si>
  <si>
    <t>JE7181</t>
  </si>
  <si>
    <t>Catherine's moving expense temp</t>
  </si>
  <si>
    <t>1FGT-NQD6-J FXD</t>
  </si>
  <si>
    <t>bubly Sparkling Water, 3 Flavor Variety Pack (Bellini, Strawberry Sunset, Coconut Pineapple), Zero Sugar &amp; Zero Calories, 12 FIOz Cans (Pack of 18) 14, 2025 Shipping &amp; handling Promotions &amp; discounts</t>
  </si>
  <si>
    <t>bubly Sparkling Water, 6 Flavor Variety Pack (Blackberry, Lime, Cherry, Grapefruit, Strawberry, Mango), Zero Sugar &amp; Zero Calories, Seltzer Water, 12 FIOz Cans (Pack of 18)</t>
  </si>
  <si>
    <t>Supplymaid 6-Pack Grout Cleaner Brush Scrub Set - Stiff Bristle Scrubbing &amp; Detail Cleaning Brushes for Household Use on Bathtub, Shower, Kitchen, Tile Floors, Sink Grooves, Window Tracks, Drains</t>
  </si>
  <si>
    <t>Vertuoline Vertuo Compatible Discovery Sampler Coffee, and Gran Lungo for a total of 36 Capsules Pods BULK</t>
  </si>
  <si>
    <t>Scott Professional Universal Multifold Paper Towels, Bulk (01840), Absorbency Pockets, White, 9.2'x9.4' Towel, Compressed, Compact (250 Sheets/Pack, 16 Packs/Case, 4,000 Sheet Total)</t>
  </si>
  <si>
    <t>Amazon Basics Micro SDXC Memory Card with Full Size Adapter, A2, U3, Read Speed up to 100 MB/s, 128 GB, Black</t>
  </si>
  <si>
    <t>MujuDoler USB C SD Card Reader for iPhone 15 16 iPad Mac 3 in 1 USB-C Memory Trail Camera Card Adapter with Dual Slots &amp; USB Port for Mac MacBook Pro/Air/Mini Android Laptop More USBC Typec Devices by:</t>
  </si>
  <si>
    <t>Logitech MX Master 3S Wireless Mouse Standard Edition with Logi Bolt USB Receiver, Ultra-fast Scrolling, Ergo, 8K DPI, Track on Glass, Quiet Clicks, USB-C, Bluetooth, Windows, Linux, Chrome - Graphite</t>
  </si>
  <si>
    <t>Sprite Mini-Can 7.50z</t>
  </si>
  <si>
    <t>Diet Coke Mini-Can 7.50z, 10 Pack (Package May Vary) 04, 2025</t>
  </si>
  <si>
    <t>Coke Mini-Can 7.5oz, 10 pack</t>
  </si>
  <si>
    <t>Nespresso Capsules Vertuo, Barista Flavored Pack, Medium Roast Coffee, 30 Count Coffee Pods, Brews 7.80z.</t>
  </si>
  <si>
    <t>Cascade Complete Dishwasher Pods, Dishwasher Detergent, Lemon Scent ActionPacs, Cleaning Supplies, 78 Count</t>
  </si>
  <si>
    <t>Scotch-Brite Zero Scratch Scrub Sponge, 6 Kitchen Sponges for Cleaning Around the Home, Bathroom &amp; More, Scratch-free Dish Scrubber, Multi-surface Safe, Best for Nonstick Pots and Pans</t>
  </si>
  <si>
    <t>JE7126</t>
  </si>
  <si>
    <t>JE7106</t>
  </si>
  <si>
    <t>JE7031</t>
  </si>
  <si>
    <t>Am712A</t>
  </si>
  <si>
    <t>Fit time : 4:15-5:15</t>
  </si>
  <si>
    <t>Fit time : 9:00-10:15</t>
  </si>
  <si>
    <t>Fit time : 4:15-5:45</t>
  </si>
  <si>
    <t>Fit time : 3:00-6:00</t>
  </si>
  <si>
    <t>SERGIO TACCHINI HOLOGRAMS OF MM 16 X MM 10. REFERRING AT ORDER ON OUR WEB SITE N. 1195 OF 06/08/2025 We certify that these commodities were exported from italy in accordance with the export Administration Regulations. We certify this document is true and correct. The goods is for civil use and not for military use Article for export. Not taxable DPR 633/8 We certify the truthfulness of this declaration in terms of price on this invoice. Also declaring that for this operation we have abide to the dispositions of law issived by the UFF.ITAL.Changes NON IMPONIBILE IVA ART. 8/A 30 FM</t>
  </si>
  <si>
    <t>SERGIO TACCHINI HOLOGRAMS OF MM 16 X MM 10. REFERRING AT ORDER ON OUR WEB SITE N. 1196 OF 06/08/2025 We certify that these commodities were exported from italy in accordance with the export Administration Regulations. We certify this document is true and correct. The goods is for civil use and not for military use Article for export. Not taxable DPR 633/8 26/10/1972. We certify the truthfulness of this declaration in terms of price on this invoice. Also declaring that for this operation we have abide to the dispositions of law issived by the UFF.ITAL.Changes DDT n. 457 del 19/08/2025</t>
  </si>
  <si>
    <t>SERGIO TACCHINI HOLOGRAMS OF MM 16 X MM 10. REFERRING AT ORDER ON OUR WEB SITE N. 1197 OF 06/08/2025 We certify that these commodities were exported from italy in accordance with the export Administration Regulations. We certify this document is true and correct. The goods is for civil use and not for military use Article for export. Not taxable DPR 633/8 We certify the truthfulness of this declaration in terms of price on this invoice. Also declaring that for this operation we have abide to the dispositions of law issived by the UFF.ITAL.Changes</t>
  </si>
  <si>
    <t>n. 454 del 19/08/2025 SERGIO TACCHINI HOLOGRAMS OF MM 16 X MM 10. REFERRING AT ORDER ON OUR WEB SITE N. 1198 OF 06/08/2025 We certify that these commodities were exported from italy in accordance with the export Administration Regulations. We certify this document is true and correct. The goods is for civil use and not for military use Article for export. Not taxable DPR 633/8 26/10/1972. We certify the truthfulness of this declaration in terms of price on this invoice. Also declaring that for this operation we have abide to the dispositions of law issived by the UFF.ITAL. Changes n. 455 del 19/08/2025</t>
  </si>
  <si>
    <t>Express Work - Holograms</t>
  </si>
  <si>
    <t>Holograms</t>
  </si>
  <si>
    <t>D25544582</t>
  </si>
  <si>
    <t>Customs Xiamen</t>
  </si>
  <si>
    <t>D25029164</t>
  </si>
  <si>
    <t>Customs - Shanghai</t>
  </si>
  <si>
    <t>D24928585</t>
  </si>
  <si>
    <t>D25027872</t>
  </si>
  <si>
    <t>Customs Duty - Porta</t>
  </si>
  <si>
    <t>D25061333</t>
  </si>
  <si>
    <t>D25043342</t>
  </si>
  <si>
    <t>D25099602</t>
  </si>
  <si>
    <t>Customs Duty - Shanghai</t>
  </si>
  <si>
    <t>D24983469</t>
  </si>
  <si>
    <t>D25074706</t>
  </si>
  <si>
    <t>ZYPI003899871</t>
  </si>
  <si>
    <t>D25621545</t>
  </si>
  <si>
    <t>D25621652</t>
  </si>
  <si>
    <t>Customs Duty</t>
  </si>
  <si>
    <t>D25621621</t>
  </si>
  <si>
    <t>D25636208</t>
  </si>
  <si>
    <t>D25658082</t>
  </si>
  <si>
    <t>Customs - Hesrro</t>
  </si>
  <si>
    <t>ZYPI003900839</t>
  </si>
  <si>
    <t>D25657234</t>
  </si>
  <si>
    <t>Customs Duty - Xiamen</t>
  </si>
  <si>
    <t>2-414-37553</t>
  </si>
  <si>
    <t>Custom Duty</t>
  </si>
  <si>
    <t>2-414-88396</t>
  </si>
  <si>
    <t>D25369429</t>
  </si>
  <si>
    <t>D25717635</t>
  </si>
  <si>
    <t>D25358622</t>
  </si>
  <si>
    <t>2-415-16667</t>
  </si>
  <si>
    <t>US Inbound Processing Fee SHANGHAI 200 233 CN</t>
  </si>
  <si>
    <t>D25699884</t>
  </si>
  <si>
    <t>D25357818</t>
  </si>
  <si>
    <t>D25762056</t>
  </si>
  <si>
    <t>CHARGES</t>
  </si>
  <si>
    <t>ZYPI003903614</t>
  </si>
  <si>
    <t>D25461986</t>
  </si>
  <si>
    <t>D25774538</t>
  </si>
  <si>
    <t>D25783906</t>
  </si>
  <si>
    <t>Customs Duty - Zhang J.</t>
  </si>
  <si>
    <t>D25808934</t>
  </si>
  <si>
    <t>JE7071</t>
  </si>
  <si>
    <t>Fedex Return Charge -  08.15.2025</t>
  </si>
  <si>
    <t>D25823359</t>
  </si>
  <si>
    <t>Production Freight</t>
  </si>
  <si>
    <t>8-958-02251</t>
  </si>
  <si>
    <t>NY to Bergen Warehouse</t>
  </si>
  <si>
    <t>D25406744</t>
  </si>
  <si>
    <t>D25821134</t>
  </si>
  <si>
    <t>ZYP0005277388</t>
  </si>
  <si>
    <t>EXPRESS WORLDWIDE NONDOC</t>
  </si>
  <si>
    <t>ZYPI003906401</t>
  </si>
  <si>
    <t>D25892338</t>
  </si>
  <si>
    <t>Duty Invoice - Porta</t>
  </si>
  <si>
    <t>D25678025</t>
  </si>
  <si>
    <t>EXPORT DUTIES</t>
  </si>
  <si>
    <t>Duties - Porta</t>
  </si>
  <si>
    <t>D25925117</t>
  </si>
  <si>
    <t>2-420-22727</t>
  </si>
  <si>
    <t>ZYPI003909225</t>
  </si>
  <si>
    <t>D25978305</t>
  </si>
  <si>
    <t>D26036539</t>
  </si>
  <si>
    <t>ZYP0005279901</t>
  </si>
  <si>
    <t>ZYPI003911021</t>
  </si>
  <si>
    <t>A96868</t>
  </si>
  <si>
    <t>SERGIO TACCHINI 24TH STREET YORK 10001</t>
  </si>
  <si>
    <t>LENFLASH 39TH YORK YORK 10010</t>
  </si>
  <si>
    <t>LENFLASH 39TH</t>
  </si>
  <si>
    <t>LENFLASH</t>
  </si>
  <si>
    <t>SERGIO TACCHINI</t>
  </si>
  <si>
    <t>SERGIO</t>
  </si>
  <si>
    <t>Notary and Apostille for licensee settlement</t>
  </si>
  <si>
    <t>B-2508-0094</t>
  </si>
  <si>
    <t>Professional fee Official fee</t>
  </si>
  <si>
    <t>VENDBILL8530</t>
  </si>
  <si>
    <t>Monthly Service Fee Monthly advisory service for August 2025</t>
  </si>
  <si>
    <t>2508-025</t>
  </si>
  <si>
    <t>VENDBILL8473</t>
  </si>
  <si>
    <t>New Fees</t>
  </si>
  <si>
    <t>Business Owners</t>
  </si>
  <si>
    <t>JE7038</t>
  </si>
  <si>
    <t>VENDBILL8533</t>
  </si>
  <si>
    <t>Workers Comp/Business Owners Insurance - August 2025</t>
  </si>
  <si>
    <t>JE7053</t>
  </si>
  <si>
    <t>JE7090</t>
  </si>
  <si>
    <t>JE7116</t>
  </si>
  <si>
    <t>JE7121</t>
  </si>
  <si>
    <t>JE7164</t>
  </si>
  <si>
    <t>Netsuite Software</t>
  </si>
  <si>
    <t>JE7179</t>
  </si>
  <si>
    <t>JE7180</t>
  </si>
  <si>
    <t>Software Monthly Expense - Concur</t>
  </si>
  <si>
    <t>WETRANSFER FEE TO RECEIVE BIG FILE</t>
  </si>
  <si>
    <t>Chat GPT Subscription - Yoon</t>
  </si>
  <si>
    <t>STO-0001</t>
  </si>
  <si>
    <t>P3 Digital LLC</t>
  </si>
  <si>
    <t>System Development Support</t>
  </si>
  <si>
    <t>JE7115</t>
  </si>
  <si>
    <t>JE7119</t>
  </si>
  <si>
    <t>JE7120</t>
  </si>
  <si>
    <t>JE7123</t>
  </si>
  <si>
    <t>JE7124</t>
  </si>
  <si>
    <t>JE7118</t>
  </si>
  <si>
    <t>Internet &amp; Phone Bundle</t>
  </si>
  <si>
    <t>VENDBILL8395</t>
  </si>
  <si>
    <t>ConEd 7/15/25</t>
  </si>
  <si>
    <t>JE7024</t>
  </si>
  <si>
    <t>NY Phone - September</t>
  </si>
  <si>
    <t>JE7153</t>
  </si>
  <si>
    <t>Aug 2025 Electric</t>
  </si>
  <si>
    <t>Contract</t>
  </si>
  <si>
    <t>Supply / Freight / Install</t>
  </si>
  <si>
    <t>Contract Charge Insurance Charge</t>
  </si>
  <si>
    <t>JE7122</t>
  </si>
  <si>
    <t>GS1 License Renewal for Barcoding Aug 2025</t>
  </si>
  <si>
    <t>JE7100</t>
  </si>
  <si>
    <t>Inventory Reserve - AUG 2025 Estimate</t>
  </si>
  <si>
    <t>JE7066</t>
  </si>
  <si>
    <t>JE7044</t>
  </si>
  <si>
    <t>JE7069</t>
  </si>
  <si>
    <t>NJ and WI Revenue Department</t>
  </si>
  <si>
    <t>JE7113</t>
  </si>
  <si>
    <t>JE6244</t>
  </si>
  <si>
    <t>59C4CB07F2624684978F</t>
  </si>
  <si>
    <t>Design Team Lunch</t>
  </si>
  <si>
    <t>26AA9E2A2B6B4D9FB2B0</t>
  </si>
  <si>
    <t>POST TOWNHALL LUNCH</t>
  </si>
  <si>
    <t>CF0E60E11C8A46FCB5CE</t>
  </si>
  <si>
    <t>Weekly Kitchen Supplies - Coffee</t>
  </si>
  <si>
    <t>8426AB29AB314B4B98D7</t>
  </si>
  <si>
    <t>FW 2025 Carbone</t>
  </si>
  <si>
    <t>90A5B2A419B94269B140</t>
  </si>
  <si>
    <t>Birthday</t>
  </si>
  <si>
    <t>0F675F1F1CB941D5A1FB</t>
  </si>
  <si>
    <t>Team lunch (gratuity)</t>
  </si>
  <si>
    <t>Team lunch</t>
  </si>
  <si>
    <t>Team Birthday snacks</t>
  </si>
  <si>
    <t>Taxi ride from vendor appointment to home</t>
  </si>
  <si>
    <t>64DEDDF653F7476DB57C</t>
  </si>
  <si>
    <t>Linkedin Subscription</t>
  </si>
  <si>
    <t>9/08 BFA NYC: Sergio Tacchini Dinner at Carbone - Associate Photographer Tier + Standard Editing + Distribution Rights Total Reimbursable Expenses</t>
  </si>
  <si>
    <t>8/12 Empire Rooftop: Jess M drinks/bites with Esquire</t>
  </si>
  <si>
    <t>8/4 Messenger: Lede to Bustle</t>
  </si>
  <si>
    <t>Sergio Tacchini - Professional Services September 2nd, 2025-October 1st, 2025 (Additional Expenses will be invoiced separately)</t>
  </si>
  <si>
    <t>#20</t>
  </si>
  <si>
    <t>FW25/ SS26 Flatlay</t>
  </si>
  <si>
    <t>Pre-tax Monthly Administration - Additional Billing to Meet Monthly Minimum SEP 2025</t>
  </si>
  <si>
    <t>HSA Monthly Administration for SEP 2025</t>
  </si>
  <si>
    <t>Pre-tax Monthly Administration for SEP 2025</t>
  </si>
  <si>
    <t>JE7296</t>
  </si>
  <si>
    <t>JE7254</t>
  </si>
  <si>
    <t>FW25 Campaign Shooting</t>
  </si>
  <si>
    <t>JE7245</t>
  </si>
  <si>
    <t>JE7250</t>
  </si>
  <si>
    <t>6280 - Selling, Marketing &amp; Advertising:6287 - Events</t>
  </si>
  <si>
    <t>Venue fee - Carbone dinner Sep 8th</t>
  </si>
  <si>
    <t>6287 - Events</t>
  </si>
  <si>
    <t>Events</t>
  </si>
  <si>
    <t>Agency Fee fee, 1 82.50</t>
  </si>
  <si>
    <t>Model Fee HOURLY: Tetiana Sep 8,</t>
  </si>
  <si>
    <t>Agency Fee Agency fee, 1 @ USD 55.00</t>
  </si>
  <si>
    <t>Model Fee HOURLY: Tetiana Sep 18, 2025 - Sep 18, 2025, 1 @ USD 275.00</t>
  </si>
  <si>
    <t>Model Fee HOURLY: Tetiana Sep 29, 2025 - Sep 29, 2025, 1 @ USD 275.00</t>
  </si>
  <si>
    <t>JE7266</t>
  </si>
  <si>
    <t>Q1-Q3 Treup Up</t>
  </si>
  <si>
    <t>AM Marketing Sept 2025- COGS</t>
  </si>
  <si>
    <t>INV2525885</t>
  </si>
  <si>
    <t>Payroll Services 08.24-08.30</t>
  </si>
  <si>
    <t>VENDBILL8595</t>
  </si>
  <si>
    <t>ADP Payroll Fees 09.05.2025</t>
  </si>
  <si>
    <t>INV2526253</t>
  </si>
  <si>
    <t>VENDBILL8619</t>
  </si>
  <si>
    <t>ADP Payroll Fees 09.12.2025</t>
  </si>
  <si>
    <t>INV2526502</t>
  </si>
  <si>
    <t>INV2526860</t>
  </si>
  <si>
    <t>VENDBILL8663</t>
  </si>
  <si>
    <t>ADP Payroll Fees 09.26.2025</t>
  </si>
  <si>
    <t>2025-09</t>
  </si>
  <si>
    <t>Rent Sept 2025</t>
  </si>
  <si>
    <t>JE7274</t>
  </si>
  <si>
    <t>WRAPPING PAPER FOR CARBONE GIFTS</t>
  </si>
  <si>
    <t>CC866347F6054537B306</t>
  </si>
  <si>
    <t>Color Pantones Chips  for SS27</t>
  </si>
  <si>
    <t>1DKK-HHYC-J N17</t>
  </si>
  <si>
    <t>Office Supplies - September 2025</t>
  </si>
  <si>
    <t>JE7253</t>
  </si>
  <si>
    <t>GWS/SMS-006/25-26</t>
  </si>
  <si>
    <t>Development Cost</t>
  </si>
  <si>
    <t>VENDBILL8683</t>
  </si>
  <si>
    <t>Alvanon Inc.</t>
  </si>
  <si>
    <t>Am725A</t>
  </si>
  <si>
    <t>Fit time : 2:00-3:15</t>
  </si>
  <si>
    <t>Fit time : 9:15-11:15 &amp; 4:45-6:00</t>
  </si>
  <si>
    <t>BB (UK) Limited</t>
  </si>
  <si>
    <t>JE7267</t>
  </si>
  <si>
    <t>Q-Q3 True up COGS</t>
  </si>
  <si>
    <t>AM Sample Sept 2025- COGS</t>
  </si>
  <si>
    <t>D26133635</t>
  </si>
  <si>
    <t>D26089453</t>
  </si>
  <si>
    <t>D26146558</t>
  </si>
  <si>
    <t>ZYP0005281500</t>
  </si>
  <si>
    <t>Gates GOGREEN PLUS - CARBON REDUCED</t>
  </si>
  <si>
    <t>V EXPRESS WORLDWIDE NONDOC</t>
  </si>
  <si>
    <t>ZYPI003914413</t>
  </si>
  <si>
    <t>D25674273</t>
  </si>
  <si>
    <t>Duty Invoice Apparel Tech</t>
  </si>
  <si>
    <t>D26200322</t>
  </si>
  <si>
    <t>DUTIES</t>
  </si>
  <si>
    <t>Duty Invoice Porta</t>
  </si>
  <si>
    <t>D26276141</t>
  </si>
  <si>
    <t>Duty Invoice SARA</t>
  </si>
  <si>
    <t>D26180057</t>
  </si>
  <si>
    <t>D26281544</t>
  </si>
  <si>
    <t>D26311285</t>
  </si>
  <si>
    <t>Import Duty</t>
  </si>
  <si>
    <t>D26286598</t>
  </si>
  <si>
    <t>Duty Invoice Thong Thai</t>
  </si>
  <si>
    <t>D26296028</t>
  </si>
  <si>
    <t>Duty Invoice We Tailors Co</t>
  </si>
  <si>
    <t>D26327664</t>
  </si>
  <si>
    <t>ZYPI003917385</t>
  </si>
  <si>
    <t>Inbound Invoice - Porta</t>
  </si>
  <si>
    <t>D26435875</t>
  </si>
  <si>
    <t>D26359842</t>
  </si>
  <si>
    <t>D26575947</t>
  </si>
  <si>
    <t>D26576058</t>
  </si>
  <si>
    <t>D26544592</t>
  </si>
  <si>
    <t>ZYPI003920274</t>
  </si>
  <si>
    <t>D26616721</t>
  </si>
  <si>
    <t>D26588151</t>
  </si>
  <si>
    <t>ZYPI003923222</t>
  </si>
  <si>
    <t>A97025</t>
  </si>
  <si>
    <t>BRITT</t>
  </si>
  <si>
    <t>SERGIO TACCHINI 24TH STREET NEW</t>
  </si>
  <si>
    <t>BRITT AVENUE NEW</t>
  </si>
  <si>
    <t>SERGIO TACCHINI 24TH STREET YORK 10010</t>
  </si>
  <si>
    <t>SERGIO TACCHINI 24TH STREET YORK</t>
  </si>
  <si>
    <t>Infringement - July 2025</t>
  </si>
  <si>
    <t>Employment Advice Thru July 31</t>
  </si>
  <si>
    <t>Adidas Infringement Through Aug 31</t>
  </si>
  <si>
    <t>2509-019</t>
  </si>
  <si>
    <t>Monthly Service Fee Monthly advisory service for September, 2025</t>
  </si>
  <si>
    <t>VENDBILL8682</t>
  </si>
  <si>
    <t>Monthly Service Fee Monthly advisory service for September 2025</t>
  </si>
  <si>
    <t>B-2509-0134</t>
  </si>
  <si>
    <t>VENDBILL8561</t>
  </si>
  <si>
    <t>Workers Comp/Business Owners Insurance - September 2025</t>
  </si>
  <si>
    <t>JE7165</t>
  </si>
  <si>
    <t>Business Owners September 2025</t>
  </si>
  <si>
    <t>JE7163</t>
  </si>
  <si>
    <t>JE7217</t>
  </si>
  <si>
    <t>JE7251</t>
  </si>
  <si>
    <t>Standard Security Life Insurance (01.01.25 - 12.31.25)</t>
  </si>
  <si>
    <t>JE7237</t>
  </si>
  <si>
    <t>JE7241</t>
  </si>
  <si>
    <t>JE7277</t>
  </si>
  <si>
    <t>60 Hours Engineering (September 2025)</t>
  </si>
  <si>
    <t>462D83B167DA46C6A437</t>
  </si>
  <si>
    <t>Software Monthly Expense - QBO</t>
  </si>
  <si>
    <t>ChatGPT Refund</t>
  </si>
  <si>
    <t>JE7239</t>
  </si>
  <si>
    <t>JE7240</t>
  </si>
  <si>
    <t>JE7236</t>
  </si>
  <si>
    <t>JE7293</t>
  </si>
  <si>
    <t>Quarterly Subscription - Docusign 4Q</t>
  </si>
  <si>
    <t>JE7244</t>
  </si>
  <si>
    <t>JE7243</t>
  </si>
  <si>
    <t>JE7238</t>
  </si>
  <si>
    <t>ConEd 8/13/25</t>
  </si>
  <si>
    <t>A10253316</t>
  </si>
  <si>
    <t>Brivo Mobile Passes / 100 / $35 x Month / Working across all the locations</t>
  </si>
  <si>
    <t>Brivo Subscriptions for 1 reader $25 x Month (Tier 1)</t>
  </si>
  <si>
    <t>JE7154</t>
  </si>
  <si>
    <t>JE7299</t>
  </si>
  <si>
    <t>Sept 2025 Electric</t>
  </si>
  <si>
    <t>JE7242</t>
  </si>
  <si>
    <t>GS1 License Renewal for Barcoding Sep 2025</t>
  </si>
  <si>
    <t>JE7275</t>
  </si>
  <si>
    <t>Update to AR Allowance - Q3 2025</t>
  </si>
  <si>
    <t>JE7192</t>
  </si>
  <si>
    <t>JE7136</t>
  </si>
  <si>
    <t>JE7137</t>
  </si>
  <si>
    <t>State of NY</t>
  </si>
  <si>
    <t>JE7191</t>
  </si>
  <si>
    <t>SSLICNY</t>
  </si>
  <si>
    <t>JE7224</t>
  </si>
  <si>
    <t>JE7270</t>
  </si>
  <si>
    <t>JE6245</t>
  </si>
  <si>
    <t>80E5FBD1BF1248C985B1</t>
  </si>
  <si>
    <t>81C0E53829FA4E2696E2</t>
  </si>
  <si>
    <t>town hall lunch</t>
  </si>
  <si>
    <t>B63C63CE42EB498DB1A8</t>
  </si>
  <si>
    <t>Drink</t>
  </si>
  <si>
    <t>0F943FBC4C3540B694DA</t>
  </si>
  <si>
    <t>Team dinner with Tania and Marissa (Janou Pakter)</t>
  </si>
  <si>
    <t>Vendor appointment</t>
  </si>
  <si>
    <t>46D8F508339D4534ADDF</t>
  </si>
  <si>
    <t>Coffee Beans for the Office</t>
  </si>
  <si>
    <t>2BE84A155B24458A8913</t>
  </si>
  <si>
    <t>TEAM BUILDING COFFEE</t>
  </si>
  <si>
    <t>Dinner with Porta</t>
  </si>
  <si>
    <t>Happy Hour</t>
  </si>
  <si>
    <t>Transportation fee from Lede PR to send samples back to office</t>
  </si>
  <si>
    <t>Uber fee back home after wholesale shoot</t>
  </si>
  <si>
    <t>Home to wholesale shoot</t>
  </si>
  <si>
    <t>6AF72DA108B5408B9C1A</t>
  </si>
  <si>
    <t>Home to Notary office taxi - Notary for Canada Gov</t>
  </si>
  <si>
    <t>6A62B22914CE4AD5903D</t>
  </si>
  <si>
    <t>FW25 campaign shoot</t>
  </si>
  <si>
    <t>FW campaign shoot</t>
  </si>
  <si>
    <t>JE7022</t>
  </si>
  <si>
    <t>JE7297</t>
  </si>
  <si>
    <t>JE7152</t>
  </si>
  <si>
    <t>Sergio Tacchini - Professional Services October 2nd, 2025-November 1st, 2025 (Expenses will be invoiced separately)</t>
  </si>
  <si>
    <t>9/8 A April Printing: Sergio Tacchini Table Card Additions 52751</t>
  </si>
  <si>
    <t>9/10 Codes for Sergio Tacchini - Carbone Dinner</t>
  </si>
  <si>
    <t>Pre-tax Monthly Administration - Additional Billing to Meet Monthly Minimum OCT 2025</t>
  </si>
  <si>
    <t>HSA Monthly Administration for OCT 2025</t>
  </si>
  <si>
    <t>Pre-tax Monthly Administration for OCT 2025</t>
  </si>
  <si>
    <t>JE7421</t>
  </si>
  <si>
    <t>Lunch during FW25 production day 1</t>
  </si>
  <si>
    <t>Dinner for production crew during FW25 campaign shoot</t>
  </si>
  <si>
    <t>snacks for production day</t>
  </si>
  <si>
    <t>2022-159</t>
  </si>
  <si>
    <t>NVSN LLC</t>
  </si>
  <si>
    <t>Photoshoot FW25</t>
  </si>
  <si>
    <t>Grade A International d/b/a KOSHU</t>
  </si>
  <si>
    <t>Overtime @ 3hrs + 20% agency fee OT rate</t>
  </si>
  <si>
    <t>Sergio Taatchi Oct NY Photoshoot x Mia GA 5677 9/25/25</t>
  </si>
  <si>
    <t>Fordo Filmz LLC</t>
  </si>
  <si>
    <t>INV0001</t>
  </si>
  <si>
    <t>Gabriel Jacobs</t>
  </si>
  <si>
    <t>Photo and Video</t>
  </si>
  <si>
    <t>Catherine  Kim</t>
  </si>
  <si>
    <t>coffee for campaign shoot staff</t>
  </si>
  <si>
    <t>Campaign shoot</t>
  </si>
  <si>
    <t>JE7436</t>
  </si>
  <si>
    <t>JE7459</t>
  </si>
  <si>
    <t>Racquet Magazine Q4 Month Expense</t>
  </si>
  <si>
    <t>Izaiah  W Baffoe</t>
  </si>
  <si>
    <t>8 Hour Photo Shoot</t>
  </si>
  <si>
    <t>Emily Knapton</t>
  </si>
  <si>
    <t>Hair STF25</t>
  </si>
  <si>
    <t>The Night Hawk Unlimited LLC</t>
  </si>
  <si>
    <t>Fabrizio Brienza - Social Media Campaign Booking</t>
  </si>
  <si>
    <t>JE7405</t>
  </si>
  <si>
    <t>AM Marketing Oct 2025- COGS</t>
  </si>
  <si>
    <t>INV2527159</t>
  </si>
  <si>
    <t>VENDBILL8715</t>
  </si>
  <si>
    <t>ADP Payroll Fees 10.03.2025</t>
  </si>
  <si>
    <t>INV2527607</t>
  </si>
  <si>
    <t>VENDBILL8732</t>
  </si>
  <si>
    <t>ADP Payroll Fees 10.010.2025</t>
  </si>
  <si>
    <t>INV2527916</t>
  </si>
  <si>
    <t>INV2528329</t>
  </si>
  <si>
    <t>HR Support Oct 12-18</t>
  </si>
  <si>
    <t>VENDBILL8785</t>
  </si>
  <si>
    <t>ADP Payroll Fees 10.24.2025</t>
  </si>
  <si>
    <t>INV2528570</t>
  </si>
  <si>
    <t>Sergio Tacchini - 2023 Payroll - Managed Payroll Services</t>
  </si>
  <si>
    <t>INV2528931</t>
  </si>
  <si>
    <t>VENDBILL8845</t>
  </si>
  <si>
    <t>ADP Payroll Fees 10.31.2025</t>
  </si>
  <si>
    <t>2025-10</t>
  </si>
  <si>
    <t>Rent Oct 2025</t>
  </si>
  <si>
    <t>JE7392</t>
  </si>
  <si>
    <t>EBD2118F5B1B403E8D19</t>
  </si>
  <si>
    <t>UK phone expenses related to STE</t>
  </si>
  <si>
    <t>2022-161</t>
  </si>
  <si>
    <t>Parking Garage 10/17 - 10/20 - Reimbursement</t>
  </si>
  <si>
    <t>1P3N-14GV-VYVM</t>
  </si>
  <si>
    <t>The Festive Sampler - Limited Edition for Nespresso Pumpkin Spice Cake Peppermint Pinwheel and Gingerbread for a total of 10 Flavored Coffee Capsules Pods</t>
  </si>
  <si>
    <t>Credit for Cascade</t>
  </si>
  <si>
    <t>JE7376</t>
  </si>
  <si>
    <t>Agency Fee fee, 1 @ 110.00</t>
  </si>
  <si>
    <t>Model Fee HOURLY: Tetiana Oct 15, 2025 - Oct 15, 2025, 2 275.00</t>
  </si>
  <si>
    <t>#32</t>
  </si>
  <si>
    <t>Showroom Market Meeting 10/15/25.</t>
  </si>
  <si>
    <t>Model Fee HOURLY: Tetiana Oct 21, 2025 - Oct 21, 2025, 1 @</t>
  </si>
  <si>
    <t>Model Fee HOURLY: Tetiana Oct 30, 2025 - Oct 30, 2025, 1 @ 275.00</t>
  </si>
  <si>
    <t>PA25304</t>
  </si>
  <si>
    <t>SS26 Development Costs</t>
  </si>
  <si>
    <t>PA25303</t>
  </si>
  <si>
    <t>JKBLR098/25-26</t>
  </si>
  <si>
    <t>Jeans Knit Private Limited</t>
  </si>
  <si>
    <t>Sample Invoice FW26</t>
  </si>
  <si>
    <t>HESRRO-FW26003-2</t>
  </si>
  <si>
    <t>LAUREL WREATH</t>
  </si>
  <si>
    <t>TROPOSPHERE</t>
  </si>
  <si>
    <t>BLACK BEAUTY</t>
  </si>
  <si>
    <t>AFFONDO TRACK PANT</t>
  </si>
  <si>
    <t>AFFO]</t>
  </si>
  <si>
    <t>TRACK JACKET</t>
  </si>
  <si>
    <t>AFFON STEK,</t>
  </si>
  <si>
    <t>RAFFIN</t>
  </si>
  <si>
    <t>AFF</t>
  </si>
  <si>
    <t>RAFFIN, TEK,</t>
  </si>
  <si>
    <t>FRES YESIEK,</t>
  </si>
  <si>
    <t>FRESI</t>
  </si>
  <si>
    <t>FRESIA</t>
  </si>
  <si>
    <t>RAF</t>
  </si>
  <si>
    <t>TO TRACK PANT IEK,4</t>
  </si>
  <si>
    <t>RAFF</t>
  </si>
  <si>
    <t>MO RACK PANT YESIEK,4</t>
  </si>
  <si>
    <t>MOLT ACK PANT</t>
  </si>
  <si>
    <t>RACK JACKET</t>
  </si>
  <si>
    <t>MOL</t>
  </si>
  <si>
    <t>STF26M51752 TUOI</t>
  </si>
  <si>
    <t>TUONC</t>
  </si>
  <si>
    <t>STF26M51752 TUON</t>
  </si>
  <si>
    <t>STF26M51751 TUON</t>
  </si>
  <si>
    <t>TUONO TRACK JACKET</t>
  </si>
  <si>
    <t>GARMENTS TUONO TRACK JACKET AS%/71'</t>
  </si>
  <si>
    <t>VENDBILL8769</t>
  </si>
  <si>
    <t>SS26 Samples</t>
  </si>
  <si>
    <t>PA25379</t>
  </si>
  <si>
    <t>SMS Samples SS26</t>
  </si>
  <si>
    <t>TTT2025/000010</t>
  </si>
  <si>
    <t>Thong Thai Textile</t>
  </si>
  <si>
    <t>F26 Samples</t>
  </si>
  <si>
    <t>SS27 REFERENCE SAMPLE</t>
  </si>
  <si>
    <t>JE7404</t>
  </si>
  <si>
    <t>AM Sample Oct 2025- COGS</t>
  </si>
  <si>
    <t>D26750126</t>
  </si>
  <si>
    <t>D26696466</t>
  </si>
  <si>
    <t>D26731964</t>
  </si>
  <si>
    <t>ZYP0005288326</t>
  </si>
  <si>
    <t>ZYPI003926270</t>
  </si>
  <si>
    <t>ZYP0005289951</t>
  </si>
  <si>
    <t>ZYPI003929373</t>
  </si>
  <si>
    <t>Inbound Invoice Factories to NYC</t>
  </si>
  <si>
    <t>D26808382</t>
  </si>
  <si>
    <t>Duty Invoice</t>
  </si>
  <si>
    <t>D26873818</t>
  </si>
  <si>
    <t>D27008082</t>
  </si>
  <si>
    <t>D26917934</t>
  </si>
  <si>
    <t>D26980267</t>
  </si>
  <si>
    <t>D27003263</t>
  </si>
  <si>
    <t>D26887505</t>
  </si>
  <si>
    <t>D27290040</t>
  </si>
  <si>
    <t>D27223484</t>
  </si>
  <si>
    <t>D27400207</t>
  </si>
  <si>
    <t>D27092096</t>
  </si>
  <si>
    <t>D27238576</t>
  </si>
  <si>
    <t>D27161263</t>
  </si>
  <si>
    <t>D27238114</t>
  </si>
  <si>
    <t>D27477977</t>
  </si>
  <si>
    <t>D27512238</t>
  </si>
  <si>
    <t>D27445209</t>
  </si>
  <si>
    <t>D27453685</t>
  </si>
  <si>
    <t>D27553824</t>
  </si>
  <si>
    <t>D27689095</t>
  </si>
  <si>
    <t>D27573293</t>
  </si>
  <si>
    <t>D27811416</t>
  </si>
  <si>
    <t>D27771693</t>
  </si>
  <si>
    <t>D27753419</t>
  </si>
  <si>
    <t>D27755608</t>
  </si>
  <si>
    <t>D27772862</t>
  </si>
  <si>
    <t>D27772781</t>
  </si>
  <si>
    <t>ZYPI003932497</t>
  </si>
  <si>
    <t>D27753550</t>
  </si>
  <si>
    <t>DUTY TAX PROCESSING</t>
  </si>
  <si>
    <t>D27536731</t>
  </si>
  <si>
    <t>D27840998</t>
  </si>
  <si>
    <t>D27820881</t>
  </si>
  <si>
    <t>9-043-60199</t>
  </si>
  <si>
    <t>NY to LA</t>
  </si>
  <si>
    <t>D28026430</t>
  </si>
  <si>
    <t>D28022966</t>
  </si>
  <si>
    <t>D27988724</t>
  </si>
  <si>
    <t>D28049064</t>
  </si>
  <si>
    <t>Canada NRRN apply mail fee</t>
  </si>
  <si>
    <t>A97157</t>
  </si>
  <si>
    <t>RESIDENCE</t>
  </si>
  <si>
    <t>BERGEN</t>
  </si>
  <si>
    <t>FATIMA</t>
  </si>
  <si>
    <t>ZYP0005293545</t>
  </si>
  <si>
    <t>ZYPI003937022</t>
  </si>
  <si>
    <t>Bergen to Intl</t>
  </si>
  <si>
    <t>2025B/3367</t>
  </si>
  <si>
    <t>Sociedade Rebelo de Sousa &amp; Advogados Associados, SPRL</t>
  </si>
  <si>
    <t>Pink - Legal Fees</t>
  </si>
  <si>
    <t>Employment Advice - Oct</t>
  </si>
  <si>
    <t>Adidas Trademark - Sept 30</t>
  </si>
  <si>
    <t>2510-023</t>
  </si>
  <si>
    <t>Monthly Service Fee Monthly advisory service for October, 2025</t>
  </si>
  <si>
    <t>VENDBILL8806</t>
  </si>
  <si>
    <t>Corp. Income Tax Return  Corporate Income Tax Return for 2024 ($8,000 + additional State (16*$1,000)</t>
  </si>
  <si>
    <t>B-2510-0112</t>
  </si>
  <si>
    <t>Professional fee</t>
  </si>
  <si>
    <t>Workers Comp - Oct</t>
  </si>
  <si>
    <t>Workers Comp Monthly Fee + Audit Fee</t>
  </si>
  <si>
    <t>VENDBILL8770</t>
  </si>
  <si>
    <t>JE7278</t>
  </si>
  <si>
    <t>JE7276</t>
  </si>
  <si>
    <t>JE7347</t>
  </si>
  <si>
    <t>JE7394</t>
  </si>
  <si>
    <t>JE7438</t>
  </si>
  <si>
    <t>JE7446</t>
  </si>
  <si>
    <t>JE7442</t>
  </si>
  <si>
    <t>JE7393</t>
  </si>
  <si>
    <t>STO-0002</t>
  </si>
  <si>
    <t>60 Hours Engineering (October 2025)</t>
  </si>
  <si>
    <t>DFEBF22385D141CA90F5</t>
  </si>
  <si>
    <t>AI tool software</t>
  </si>
  <si>
    <t>linkedin job posting fee</t>
  </si>
  <si>
    <t>Annual subscription to Otter AI</t>
  </si>
  <si>
    <t>Creator matching platform test out</t>
  </si>
  <si>
    <t>Claude AI Monthly Subscription</t>
  </si>
  <si>
    <t>JE7441</t>
  </si>
  <si>
    <t>JE7437</t>
  </si>
  <si>
    <t>JE7440</t>
  </si>
  <si>
    <t>JE7444</t>
  </si>
  <si>
    <t>JE7445</t>
  </si>
  <si>
    <t>JE7452</t>
  </si>
  <si>
    <t>JE7453</t>
  </si>
  <si>
    <t>Netsuite Quarter 2 Sept-Nov</t>
  </si>
  <si>
    <t>JE7439</t>
  </si>
  <si>
    <t>JE7455</t>
  </si>
  <si>
    <t>Content Creation App subscription Oct25-Oct26</t>
  </si>
  <si>
    <t>ConEd 9/12/25</t>
  </si>
  <si>
    <t>A10253415</t>
  </si>
  <si>
    <t>JE7300</t>
  </si>
  <si>
    <t>JE7423</t>
  </si>
  <si>
    <t>Oct 2025 Electric</t>
  </si>
  <si>
    <t>Contract Charge</t>
  </si>
  <si>
    <t>JE7443</t>
  </si>
  <si>
    <t>GS1 License Renewal for Barcoding Oct 2025</t>
  </si>
  <si>
    <t>JE7378</t>
  </si>
  <si>
    <t>Inventory Reserve - OCT 2025 Estimate</t>
  </si>
  <si>
    <t>JE7336</t>
  </si>
  <si>
    <t>JE7323</t>
  </si>
  <si>
    <t>AZ Dept of Rev</t>
  </si>
  <si>
    <t>JE7329</t>
  </si>
  <si>
    <t>NJ Web PMT</t>
  </si>
  <si>
    <t>JE7330</t>
  </si>
  <si>
    <t>NYS DTF CT</t>
  </si>
  <si>
    <t>JE7326</t>
  </si>
  <si>
    <t>State of CT DRS</t>
  </si>
  <si>
    <t>JE7327</t>
  </si>
  <si>
    <t>WI Dept of Rev</t>
  </si>
  <si>
    <t>JE7328</t>
  </si>
  <si>
    <t>NC Dept of Rev</t>
  </si>
  <si>
    <t>JE7333</t>
  </si>
  <si>
    <t>ADP TAX Debit 10.14.2025</t>
  </si>
  <si>
    <t>JE7338</t>
  </si>
  <si>
    <t>SC Dept of Rev</t>
  </si>
  <si>
    <t>VENDBILL8616</t>
  </si>
  <si>
    <t>Standard Security Life Insurance Company of New York</t>
  </si>
  <si>
    <t>PFL/DBL Insurance Jan-Dec 2025</t>
  </si>
  <si>
    <t>JE7352</t>
  </si>
  <si>
    <t>ADP Debit 10.21.2025</t>
  </si>
  <si>
    <t>JE7359</t>
  </si>
  <si>
    <t>ADP TAX Debit 10.24.2025</t>
  </si>
  <si>
    <t>JE7363</t>
  </si>
  <si>
    <t>JE7390</t>
  </si>
  <si>
    <t>JE6246</t>
  </si>
  <si>
    <t>B7C82970E54240F68030</t>
  </si>
  <si>
    <t>Interim Audit - Lunch with Caitlin</t>
  </si>
  <si>
    <t>Interim Audit - Coffee with Caitlin</t>
  </si>
  <si>
    <t>Interim Audit - 4 auditor Lunch</t>
  </si>
  <si>
    <t>Office Coffee Beans</t>
  </si>
  <si>
    <t>Office Snack</t>
  </si>
  <si>
    <t>03C8C96712F049638174</t>
  </si>
  <si>
    <t>Bridgette birthday celebration</t>
  </si>
  <si>
    <t>76B6F513E8374EE78652</t>
  </si>
  <si>
    <t>Wholesale Market Snack &amp; Water</t>
  </si>
  <si>
    <t>D83E909E75A246FC9589</t>
  </si>
  <si>
    <t>7B8F8EE5D0274F85AE75</t>
  </si>
  <si>
    <t>Work Lunch with Yoon</t>
  </si>
  <si>
    <t>Lunch with the Auditors</t>
  </si>
  <si>
    <t>Coffee with Caitlin</t>
  </si>
  <si>
    <t>Finance Team Lunch</t>
  </si>
  <si>
    <t>Finance Team Coffee</t>
  </si>
  <si>
    <t>2E9FA2E937154A3EA45B</t>
  </si>
  <si>
    <t>LAX-JFK FOR MARKET</t>
  </si>
  <si>
    <t>LAX-NYC FOR MARKET</t>
  </si>
  <si>
    <t>JE7525</t>
  </si>
  <si>
    <t>Caitlin's Business Interim Audit office visit</t>
  </si>
  <si>
    <t>276BB0468FE54C6DBB54</t>
  </si>
  <si>
    <t>Hotel for NYC Office Visit</t>
  </si>
  <si>
    <t>MTA LIRR</t>
  </si>
  <si>
    <t>Monthly MTA LIRR</t>
  </si>
  <si>
    <t>Flight from Airport to NYC - Part 1</t>
  </si>
  <si>
    <t>Uber to Office - Part 2</t>
  </si>
  <si>
    <t>Uber to Airport - Part 2</t>
  </si>
  <si>
    <t>Uber - Dinner to Hotel</t>
  </si>
  <si>
    <t>Uber to Airport - Flight Home Part 1</t>
  </si>
  <si>
    <t>Uber - Hotel to Dinner</t>
  </si>
  <si>
    <t>10/28UPSShipping boxes to return SP25 sample set Total Expenses</t>
  </si>
  <si>
    <t>10/25 UPS Pickup Charge</t>
  </si>
  <si>
    <t>10/25 UPS Adjustment</t>
  </si>
  <si>
    <t>10/21 UPS: Lede to 'West Wilson</t>
  </si>
  <si>
    <t>10/21 UPS: Lede to Carly Witteman</t>
  </si>
  <si>
    <t>10/21 UPS: Lede to Janelle Sessoms</t>
  </si>
  <si>
    <t>10/21 UPS Adjmt: Kelsey Legg</t>
  </si>
  <si>
    <t>10/21 UPS: Lede to Kelsey Legg</t>
  </si>
  <si>
    <t>10/21 UPS Adjmt: Victoria Montalti</t>
  </si>
  <si>
    <t>10/21 UPS: Lede to Victoria Montalti</t>
  </si>
  <si>
    <t>10/21 UPS: Lede to Kayla Curtis-Evans</t>
  </si>
  <si>
    <t>10/21 UPS Adjmt: Trishna Rikhy</t>
  </si>
  <si>
    <t>10/21 UPS: Lede to Trishna Rikhy</t>
  </si>
  <si>
    <t>10/15 Messenger: Vogue to Lede</t>
  </si>
  <si>
    <t>10/10 Messenger: April Printing to The Lede Company</t>
  </si>
  <si>
    <t>Sergio Tacchini - Professional Services November 2nd, 2025-December 1st, 2025 (Additional Expenses will be invoiced separately)</t>
  </si>
  <si>
    <t>#26</t>
  </si>
  <si>
    <t>FW25 Campaign</t>
  </si>
  <si>
    <t>#25</t>
  </si>
  <si>
    <t>FW26 Wholesale</t>
  </si>
  <si>
    <t>Pre-tax Monthly Administration - Additional Billing to Meet Monthly Minimum NOV 2025</t>
  </si>
  <si>
    <t>HSA Monthly Administration for NOV 2025</t>
  </si>
  <si>
    <t>Pre-tax Monthly Administration for NOV 2025</t>
  </si>
  <si>
    <t>JE7574</t>
  </si>
  <si>
    <t>EI71T3JX-0003</t>
  </si>
  <si>
    <t>Squareshot</t>
  </si>
  <si>
    <t>JE7520</t>
  </si>
  <si>
    <t>Racquet Media Corporation</t>
  </si>
  <si>
    <t>Q2 2025 Services Retainer (Late Payment) - Second Payment</t>
  </si>
  <si>
    <t>JE7460</t>
  </si>
  <si>
    <t>One Stop</t>
  </si>
  <si>
    <t>Social Media Services</t>
  </si>
  <si>
    <t>December Social Media Services</t>
  </si>
  <si>
    <t>JE7526</t>
  </si>
  <si>
    <t>Racquet Magazine Q4</t>
  </si>
  <si>
    <t>Model Fee HOURLY: Tetiana Nov 6, 2025 - Nov 6, 2025, 1 @ 275.00</t>
  </si>
  <si>
    <t>Model Fee HOURLY: Tetiana Nov 13, 2025 - Nov 13, 2025, 1.5 275.00</t>
  </si>
  <si>
    <t>HRA 11/20-11/27</t>
  </si>
  <si>
    <t>Agency Fee Agency fee, 1 @ USD 110.00</t>
  </si>
  <si>
    <t>Model Fee HOURLY: Tetiana Nov 19, 2025 - Nov 19, 2025, 2 @ 275.00</t>
  </si>
  <si>
    <t>JE7511</t>
  </si>
  <si>
    <t>AM Marketing Nov 2025- COGS</t>
  </si>
  <si>
    <t>VENDBILL8894</t>
  </si>
  <si>
    <t>ADP Payroll Fees 11.07.2025</t>
  </si>
  <si>
    <t>INV2529354</t>
  </si>
  <si>
    <t>INV2529591</t>
  </si>
  <si>
    <t>VENDBILL8933</t>
  </si>
  <si>
    <t>ADP Payroll Fees 11.21.2025</t>
  </si>
  <si>
    <t>INV2529935</t>
  </si>
  <si>
    <t>INV2530176</t>
  </si>
  <si>
    <t>2025-11</t>
  </si>
  <si>
    <t>Rent Nov 2025</t>
  </si>
  <si>
    <t>JE7563</t>
  </si>
  <si>
    <t>PPC277380</t>
  </si>
  <si>
    <t>The Iconic</t>
  </si>
  <si>
    <t>Rebate Payment - International WS Customer</t>
  </si>
  <si>
    <t>PPC277455</t>
  </si>
  <si>
    <t>PPC277911</t>
  </si>
  <si>
    <t>SALM001475 - 233058 Original Amount $ 4,565.4 * Rate % 1.00</t>
  </si>
  <si>
    <t>SALM001541 - 233060 Original Amount $ 3,290 * Rate % 1.00</t>
  </si>
  <si>
    <t>PPC277832</t>
  </si>
  <si>
    <t>SALM001475 - 233058 Original Amount $ 4,565.4 * Rate % 2.00</t>
  </si>
  <si>
    <t>SALM001541 - 233060 Original Amount $ 3,290 * Rate % 2.00</t>
  </si>
  <si>
    <t>959C825D7617417F8FDB</t>
  </si>
  <si>
    <t>Unknown credit from Delta Airline</t>
  </si>
  <si>
    <t>Paula's baby gift from ST (half of $500)</t>
  </si>
  <si>
    <t>EVENT SUPPLIES ART BASEL</t>
  </si>
  <si>
    <t>MARKETING EVENT SUPPLIES</t>
  </si>
  <si>
    <t>INV148589</t>
  </si>
  <si>
    <t>Late Payment Fee per Contract</t>
  </si>
  <si>
    <t>1NDY- Y1DM- T1 WD</t>
  </si>
  <si>
    <t>Monthly NY Office Supplies</t>
  </si>
  <si>
    <t>68A4C4C13FAE4E8B97D6</t>
  </si>
  <si>
    <t>Fraud Transaction</t>
  </si>
  <si>
    <t>Fraud Transaction Credit</t>
  </si>
  <si>
    <t>JE7509</t>
  </si>
  <si>
    <t>Am733A</t>
  </si>
  <si>
    <t>Fit time : 9:30-11:00</t>
  </si>
  <si>
    <t>Fit time : 9:30-11::00</t>
  </si>
  <si>
    <t>Fit time : 3:45-4:15</t>
  </si>
  <si>
    <t>D28119873</t>
  </si>
  <si>
    <t>D28137908</t>
  </si>
  <si>
    <t>D28247531</t>
  </si>
  <si>
    <t>ZYPI003939200</t>
  </si>
  <si>
    <t>2-447-97029</t>
  </si>
  <si>
    <t>D28304090</t>
  </si>
  <si>
    <t>D28369473</t>
  </si>
  <si>
    <t>D28339136</t>
  </si>
  <si>
    <t>D28391821</t>
  </si>
  <si>
    <t>2-450-05015</t>
  </si>
  <si>
    <t>D28460604</t>
  </si>
  <si>
    <t>Duties</t>
  </si>
  <si>
    <t>ZYPI003942141</t>
  </si>
  <si>
    <t>A97252</t>
  </si>
  <si>
    <t>9-068-64600</t>
  </si>
  <si>
    <t>2-453-28443</t>
  </si>
  <si>
    <t>Customer to NY</t>
  </si>
  <si>
    <t>D28621654</t>
  </si>
  <si>
    <t>ZYPI003945325</t>
  </si>
  <si>
    <t>ZYP0005298121</t>
  </si>
  <si>
    <t>D28539139</t>
  </si>
  <si>
    <t>Customs Duty Sara Fashion</t>
  </si>
  <si>
    <t>D28688099</t>
  </si>
  <si>
    <t>Duty Invoice - Hesrro</t>
  </si>
  <si>
    <t>9-077-11684</t>
  </si>
  <si>
    <t>Fuel SurchargeCustomer Shipment</t>
  </si>
  <si>
    <t>9-077-11683</t>
  </si>
  <si>
    <t>Marketing Shipment</t>
  </si>
  <si>
    <t>ZYPI003947329</t>
  </si>
  <si>
    <t>D28779538</t>
  </si>
  <si>
    <t>Customs Duty Shanghai</t>
  </si>
  <si>
    <t>D28739630</t>
  </si>
  <si>
    <t>D28766894</t>
  </si>
  <si>
    <t>Customs Duty Thong</t>
  </si>
  <si>
    <t>D28814740</t>
  </si>
  <si>
    <t>ZYP0005299835</t>
  </si>
  <si>
    <t>ZYPI003948515</t>
  </si>
  <si>
    <t>Shipping to influencers/partners</t>
  </si>
  <si>
    <t>2511-021</t>
  </si>
  <si>
    <t>Monthly Service Fee Monthly advisory service for November, 2025</t>
  </si>
  <si>
    <t>2511-022</t>
  </si>
  <si>
    <t>JE7583</t>
  </si>
  <si>
    <t>Accrue Wave IP Invoice - Nov</t>
  </si>
  <si>
    <t>JE7395</t>
  </si>
  <si>
    <t>JE7478</t>
  </si>
  <si>
    <t>JE7497</t>
  </si>
  <si>
    <t>The Hartford Refund</t>
  </si>
  <si>
    <t>JE7569</t>
  </si>
  <si>
    <t>JE7570</t>
  </si>
  <si>
    <t>JE7516</t>
  </si>
  <si>
    <t>JE7521</t>
  </si>
  <si>
    <t>STO-0003</t>
  </si>
  <si>
    <t>60 Hours Engineering (November 2025)</t>
  </si>
  <si>
    <t>Software Monthly Expense  - Backbone</t>
  </si>
  <si>
    <t>Month Subscription - Adobe</t>
  </si>
  <si>
    <t>Base:Travel &amp; Expense with TripLink - Universal</t>
  </si>
  <si>
    <t>AI software tool</t>
  </si>
  <si>
    <t>Claude AI Monthly Subscription for Sean Lee</t>
  </si>
  <si>
    <t>F4B35F96AA8F40AA8D3F</t>
  </si>
  <si>
    <t>AI SUBSCRIBTION - FASHION DIFFUSION AI</t>
  </si>
  <si>
    <t>JE7546</t>
  </si>
  <si>
    <t>AI software tool Paddle - Quarter(Nov~Jan)</t>
  </si>
  <si>
    <t>JE7513</t>
  </si>
  <si>
    <t>JE7524</t>
  </si>
  <si>
    <t>JE7518</t>
  </si>
  <si>
    <t>JE7547</t>
  </si>
  <si>
    <t>Claude AI Yearly Subscription Production (Nov25-Nov26)</t>
  </si>
  <si>
    <t>JE7512</t>
  </si>
  <si>
    <t>JE7519</t>
  </si>
  <si>
    <t>JE7523</t>
  </si>
  <si>
    <t>JE7522</t>
  </si>
  <si>
    <t>JE7514</t>
  </si>
  <si>
    <t>JE7515</t>
  </si>
  <si>
    <t>A10253518</t>
  </si>
  <si>
    <t>JE7424</t>
  </si>
  <si>
    <t>NY Phone Nov 2025</t>
  </si>
  <si>
    <t>Verizon Bill 12.2025</t>
  </si>
  <si>
    <t>JE7575</t>
  </si>
  <si>
    <t>Nov 2025 Electric</t>
  </si>
  <si>
    <t>Insurance Charge</t>
  </si>
  <si>
    <t>JE7517</t>
  </si>
  <si>
    <t>GS1 License Renewal for Barcoding Nov 2025</t>
  </si>
  <si>
    <t>JE7508</t>
  </si>
  <si>
    <t>Inventory Reserve - Nov 2025 Estimate</t>
  </si>
  <si>
    <t>JE7484</t>
  </si>
  <si>
    <t>JE7416</t>
  </si>
  <si>
    <t>AZ Department of Rev</t>
  </si>
  <si>
    <t>JE7449</t>
  </si>
  <si>
    <t>JE7458</t>
  </si>
  <si>
    <t>Web file Tax Payment</t>
  </si>
  <si>
    <t>JE7506</t>
  </si>
  <si>
    <t>CA Dept Tax Fee</t>
  </si>
  <si>
    <t>JE7557</t>
  </si>
  <si>
    <t>JE6247</t>
  </si>
  <si>
    <t>EI71T3JX-0004</t>
  </si>
  <si>
    <t>Steaming</t>
  </si>
  <si>
    <t>Retouching: Zero wrinkles</t>
  </si>
  <si>
    <t>Custom file naming</t>
  </si>
  <si>
    <t>Clothing Flat-lay Photography</t>
  </si>
  <si>
    <t>Final Payment of Social Media Services (Content Creation) . November</t>
  </si>
  <si>
    <t>2025-12</t>
  </si>
  <si>
    <t>Rent Dec 2025</t>
  </si>
  <si>
    <t>Am750A</t>
  </si>
  <si>
    <t>Fit time : 10:00-1:00</t>
  </si>
  <si>
    <t>Fit time : 9:30-10:30</t>
  </si>
  <si>
    <t>Fit time : 3:00-4:30</t>
  </si>
  <si>
    <t>FW26-ST010</t>
  </si>
  <si>
    <t>FW26 SMS Sample</t>
  </si>
  <si>
    <t>9-085-70045</t>
  </si>
  <si>
    <t>9-085-70046</t>
  </si>
  <si>
    <t>NY to Chris Ivery</t>
  </si>
  <si>
    <t>B-2511-0131</t>
  </si>
  <si>
    <t>Trademark Services - Nov 2025</t>
  </si>
  <si>
    <t>JE7584</t>
  </si>
  <si>
    <t>Bus Owners 12.2025</t>
  </si>
  <si>
    <t>JE7571</t>
  </si>
  <si>
    <t>STO-0004</t>
  </si>
  <si>
    <t>60 Hours Engineering (December 2025)</t>
  </si>
  <si>
    <t>A10253616</t>
  </si>
  <si>
    <t>ConEd 11/12/25</t>
  </si>
  <si>
    <t>JE7576</t>
  </si>
  <si>
    <t>JE7539</t>
  </si>
  <si>
    <t>JP Morgan Annual Rebate</t>
  </si>
  <si>
    <t>JE7538</t>
  </si>
  <si>
    <t>Tax Payment</t>
  </si>
  <si>
    <t>#000005</t>
  </si>
  <si>
    <t>Coffee &amp; Chill</t>
  </si>
  <si>
    <t>Storage</t>
  </si>
  <si>
    <t>D29098895</t>
  </si>
  <si>
    <t>D28994792</t>
  </si>
  <si>
    <t>D28983784</t>
  </si>
  <si>
    <t>D29084969</t>
  </si>
  <si>
    <t>Legal Charge Dec - Employment Advice</t>
  </si>
  <si>
    <t>JE7587</t>
  </si>
  <si>
    <t>1FFDD9E8132E4834952E</t>
  </si>
  <si>
    <t>2025 Sergio Year-end Holiday Event</t>
  </si>
  <si>
    <t>Software Expense  - Avalara Extractor</t>
  </si>
  <si>
    <t>CEB20ECC450B43D79B0E</t>
  </si>
  <si>
    <t>HEQLW2RV-0001</t>
  </si>
  <si>
    <t>HEQLW2RV-0002</t>
  </si>
  <si>
    <t>Miami Event for UGC</t>
  </si>
  <si>
    <t>VENDBILL9014</t>
  </si>
  <si>
    <t>ADP Payroll Fees 12.5.2025</t>
  </si>
  <si>
    <t>VENDBILL9015</t>
  </si>
  <si>
    <t>Employee holiday Gifting Box</t>
  </si>
  <si>
    <t>American Zabin International, Inc</t>
  </si>
  <si>
    <t>SERGIO TACCHINI SP 27 STM 206 ClubBotanic</t>
  </si>
  <si>
    <t>SERGIO TACCHINI PATCH STM 206 GUACAMOLE Sub-item 000020 belongs to item</t>
  </si>
  <si>
    <t>JE7596</t>
  </si>
  <si>
    <t>D29178103</t>
  </si>
  <si>
    <t>D29178132</t>
  </si>
  <si>
    <t>2-463-07004</t>
  </si>
  <si>
    <t>Office to Eur</t>
  </si>
  <si>
    <t>D29312195</t>
  </si>
  <si>
    <t>D29312227</t>
  </si>
  <si>
    <t>D29308695</t>
  </si>
  <si>
    <t>DF8F72048CD14CA5BA7B</t>
  </si>
  <si>
    <t>Birthday cake for Leila</t>
  </si>
  <si>
    <t>Kitchen supplies</t>
  </si>
  <si>
    <t>Employee birthday cake</t>
  </si>
  <si>
    <t>taxi from office to grand central late after hours</t>
  </si>
  <si>
    <t>Taxi</t>
  </si>
  <si>
    <t>Team transportation to holiday party</t>
  </si>
  <si>
    <t>Team transportation from holiday party</t>
  </si>
  <si>
    <t>ST-120925</t>
  </si>
  <si>
    <t>Peri Kay</t>
  </si>
  <si>
    <t>Styling 12/9 and 12/10</t>
  </si>
  <si>
    <t>INV2530546</t>
  </si>
  <si>
    <t>ZYPI003954146</t>
  </si>
  <si>
    <t>Claude AI Monthly subscription</t>
  </si>
  <si>
    <t>Chat GPT Monthly subscription</t>
  </si>
  <si>
    <t>Zoom Monthly subscription</t>
  </si>
  <si>
    <t>65A0BAB0D4664565B002</t>
  </si>
  <si>
    <t>Late night dinner for Yoon and Sean</t>
  </si>
  <si>
    <t>Holiday Party Drinks</t>
  </si>
  <si>
    <t>Late Night Dinner</t>
  </si>
  <si>
    <t>JP Morgan Office Visit</t>
  </si>
  <si>
    <t>Taxi for Sean and Alex</t>
  </si>
  <si>
    <t>Lyft Ride to the Holiday Party</t>
  </si>
  <si>
    <t>Sean and Catherine Lyft Ride after BR</t>
  </si>
  <si>
    <t>Model Services by Tony Rodriguez RE: Sergio Tacchini E-commerce December PHOTOGRAPHER: Thee Tham DATE: December 9th - 10th, 2025 LOCATION: Brooklyn, NY RATE: $2,000 per day</t>
  </si>
  <si>
    <t>Model Services by Martin RE: Sergio Tacchini E-commerce December PHOTOGRAPHER: Thee Tham DATE: December 9th - 10th, 2025 LOCATION: Brooklyn, NY RATE: $3,000 per day</t>
  </si>
  <si>
    <t>USPS</t>
  </si>
  <si>
    <t>Company CC December 2025</t>
  </si>
  <si>
    <t>team breakfast</t>
  </si>
  <si>
    <t>11/29 UPS Pickup Charge Total</t>
  </si>
  <si>
    <t>11/25 UPS: Lede to Barry Samaha</t>
  </si>
  <si>
    <t>11/25 UPS: Lede to Esquire, Emma Saxon</t>
  </si>
  <si>
    <t>11/25 UPS: Lede to Sidney Lee</t>
  </si>
  <si>
    <t>11/25 UPS Adjmt: Simona Andrejic</t>
  </si>
  <si>
    <t>11/25 UPS: Lede to Simona Andrejic</t>
  </si>
  <si>
    <t>11/25 UPS: Lede to Hearst Tower, Jessica Neises</t>
  </si>
  <si>
    <t>11/25 UPS: Lede to Alexa May PR</t>
  </si>
  <si>
    <t>11/25 UPS: Lede to 'Timur V</t>
  </si>
  <si>
    <t>11/25 UPS: Lede to Tiffany Reid</t>
  </si>
  <si>
    <t>11/15 Messenger: Lede to Hypebeast</t>
  </si>
  <si>
    <t>11/11 Uline Shipping Supplies: COLORED MAILERS - 16 X 16 X 4", BLACK, 18 X 14 X 6" CORRUGATED BOXES, 2026 DOG-GONE-IT CALENDAR</t>
  </si>
  <si>
    <t>11/4 UPS: to Lede NY</t>
  </si>
  <si>
    <t>Sergio Tacchini - Professional Services December 2nd, 2025-January 1st, 2026 (Additional Expenses will be invoiced separately)</t>
  </si>
  <si>
    <t>Post Production - Retoucher Fees 118 styles</t>
  </si>
  <si>
    <t>Meal</t>
  </si>
  <si>
    <t>Studio Cyclorama Paint</t>
  </si>
  <si>
    <t>Agency Fee Agency fee, 1 @ USD 82.50</t>
  </si>
  <si>
    <t>Model Fee HOURLY: Tetiana Dec 10, 2025 - Dec 10, 2025, 1.5 @ USD 275.00</t>
  </si>
  <si>
    <t>Fabric Scrap disposal</t>
  </si>
  <si>
    <t>D28667329</t>
  </si>
  <si>
    <t>Duty Invoice - Thong Thai</t>
  </si>
  <si>
    <t>JE7672</t>
  </si>
  <si>
    <t>5C2E1972AFFE4A3AB272</t>
  </si>
  <si>
    <t>TAXI FROM HOME TO STUDIO</t>
  </si>
  <si>
    <t>TAXI FOR HOLIDAY PARTY TO HOME/BUS STATION</t>
  </si>
  <si>
    <t>TAXI CANCEL FEE</t>
  </si>
  <si>
    <t>To buy blank tank tops for ecom shoot</t>
  </si>
  <si>
    <t>Cactus-Deposit 12.2025</t>
  </si>
  <si>
    <t>Cactus SRL</t>
  </si>
  <si>
    <t>Production of SS26 Campaign - 50%</t>
  </si>
  <si>
    <t>JE7621</t>
  </si>
  <si>
    <t>Various State Tax Payments</t>
  </si>
  <si>
    <t>2-466-74119</t>
  </si>
  <si>
    <t>NY to Movin</t>
  </si>
  <si>
    <t>D29364532</t>
  </si>
  <si>
    <t>JE7623</t>
  </si>
  <si>
    <t>SC Dept of Rev and NYC</t>
  </si>
  <si>
    <t>FSA/HRA 12/18/2025 - 12/25/2025</t>
  </si>
  <si>
    <t>E-Commerce</t>
  </si>
  <si>
    <t>INV2530811</t>
  </si>
  <si>
    <t>ZYPI003957680</t>
  </si>
  <si>
    <t>61CEAFFCF7814CF598CB</t>
  </si>
  <si>
    <t>Holiday Party Taxi - Onesimo, Jessica and Leila</t>
  </si>
  <si>
    <t>BA7674764299477BA136</t>
  </si>
  <si>
    <t>FW26 Collection Garment reference</t>
  </si>
  <si>
    <t>D29400872</t>
  </si>
  <si>
    <t>Sergio Tacchini x November Press Event - Professional Project Services (Expenses will be invoiced separately)</t>
  </si>
  <si>
    <t>VENDBILL9077</t>
  </si>
  <si>
    <t>ADP Payroll Fees 12.19.2025</t>
  </si>
  <si>
    <t>D29476025</t>
  </si>
  <si>
    <t>D29508635</t>
  </si>
  <si>
    <t>D29544175</t>
  </si>
  <si>
    <t>D29566474</t>
  </si>
  <si>
    <t>JE7637</t>
  </si>
  <si>
    <t>One Stop Payment Reversal 12.22.2025</t>
  </si>
  <si>
    <t>DDT n. 725 del 22/12/2025 SERGIO TACCHINI HOLOGRAMS OF MM 16 X MM 10. REFERRING AT ORDER ON OUR WEB SITE N. 1811 OF 19/12/2025 We certify that these commodities were exported from italy in accordance with the export Administration Regulations. We certify this document is true and correct. The goods is for civil use and not for military use Article for export. Not taxable DPR 633/8 We certify the truthfulness of this declaration in terms of price on this invoice. Also declaring that for this operation we have abide to the dispositions of law issived by the UFF.ITAL.Changes</t>
  </si>
  <si>
    <t>9-111-81909</t>
  </si>
  <si>
    <t>Ground-Prepaid</t>
  </si>
  <si>
    <t>9-111-81908</t>
  </si>
  <si>
    <t>JE7698</t>
  </si>
  <si>
    <t>Bank Fee on STE Inv316</t>
  </si>
  <si>
    <t>INV2531074</t>
  </si>
  <si>
    <t>Payroll Services 12/14//2025 - 12/20/2025</t>
  </si>
  <si>
    <t>ZYPI003961016</t>
  </si>
  <si>
    <t>ZYP0005307349</t>
  </si>
  <si>
    <t>OUtbound</t>
  </si>
  <si>
    <t>2512-024</t>
  </si>
  <si>
    <t>Monthly Service Fee Monthly advisory service for December, 2025</t>
  </si>
  <si>
    <t>2512-023</t>
  </si>
  <si>
    <t>Consulting Accounting and Tax Advisory for STE (HJ Kim 6 Hours, JY Kim 2 Hours * $350)</t>
  </si>
  <si>
    <t>2-472-72358</t>
  </si>
  <si>
    <t>VENDBILL9091</t>
  </si>
  <si>
    <t>ADP Payroll Fees 12.26.2025</t>
  </si>
  <si>
    <t>D29657786</t>
  </si>
  <si>
    <t>Import Export Duties</t>
  </si>
  <si>
    <t>Duty Tax</t>
  </si>
  <si>
    <t>Regulatory Charges</t>
  </si>
  <si>
    <t>D29620967</t>
  </si>
  <si>
    <t>D29682653</t>
  </si>
  <si>
    <t>D29661455</t>
  </si>
  <si>
    <t>Customs Duty BB UK</t>
  </si>
  <si>
    <t>D29863904</t>
  </si>
  <si>
    <t>D29639136</t>
  </si>
  <si>
    <t>D29868714</t>
  </si>
  <si>
    <t>B-2512-0173</t>
  </si>
  <si>
    <t>December 2025 - Expense of Trademark</t>
  </si>
  <si>
    <t>JE7673</t>
  </si>
  <si>
    <t>D29788963</t>
  </si>
  <si>
    <t>Import Export duties</t>
  </si>
  <si>
    <t>Duty tax</t>
  </si>
  <si>
    <t>D29779500</t>
  </si>
  <si>
    <t>D29795599</t>
  </si>
  <si>
    <t>BONDED STORAGE</t>
  </si>
  <si>
    <t>REGULATORY CHARGES</t>
  </si>
  <si>
    <t>D29724113</t>
  </si>
  <si>
    <t>D29811085</t>
  </si>
  <si>
    <t>Duty Tax Processing</t>
  </si>
  <si>
    <t>D29807695</t>
  </si>
  <si>
    <t>Phone 12.2025</t>
  </si>
  <si>
    <t>9-120-64660</t>
  </si>
  <si>
    <t>A97455</t>
  </si>
  <si>
    <t>SQUARE SHOT</t>
  </si>
  <si>
    <t>STOODIO</t>
  </si>
  <si>
    <t>2-473-87680</t>
  </si>
  <si>
    <t>596E50C660E24C469214</t>
  </si>
  <si>
    <t>Coffee &amp; Chill T&amp;E</t>
  </si>
  <si>
    <t>Marketing team year end team gathering</t>
  </si>
  <si>
    <t>JE7724</t>
  </si>
  <si>
    <t>Marketing Coffee and Chill event Dec 2025 Travel</t>
  </si>
  <si>
    <t>Coffee &amp; Chill T&amp;E - Unknown Charge</t>
  </si>
  <si>
    <t>Pre-tax Monthly Administration - Additional Billing to Meet Monthly Minimum DEC 2025</t>
  </si>
  <si>
    <t>HSA Monthly Administration for DEC 2025</t>
  </si>
  <si>
    <t>Pre-tax Monthly Administration for DEC 2025</t>
  </si>
  <si>
    <t>JE7747</t>
  </si>
  <si>
    <t>JE7719</t>
  </si>
  <si>
    <t>JE7741</t>
  </si>
  <si>
    <t>Accrue STO MCCC Royalty Fee 2025</t>
  </si>
  <si>
    <t>JE7727</t>
  </si>
  <si>
    <t>JE7707</t>
  </si>
  <si>
    <t>AM Marketing Dec 2025- COGS</t>
  </si>
  <si>
    <t>INV2531407</t>
  </si>
  <si>
    <t>JE7680</t>
  </si>
  <si>
    <t>Tiktokshop Test - will credit on Jan</t>
  </si>
  <si>
    <t>Coffee &amp; Chill Set up Misc</t>
  </si>
  <si>
    <t>1C97-KYWX-L9NV |</t>
  </si>
  <si>
    <t>bubly Sparkling Water, 3 Flavor Variety Pack (Bellini, Strawberry Sunset, Coconut Pineapple), Zero Sugar &amp; Zero Calories, 12 FIOz Cans (Pack of 18) Shipping &amp; handling</t>
  </si>
  <si>
    <t>Diet Coke Fridge Pack Diet Soda, 7.5 fl oz Cans, 10 Pack - Mini Soda Soft Drinks</t>
  </si>
  <si>
    <t>SanDisk 512GB Extreme microSDXC UHS-I Memory Card with Adapter - Up to 190MB/s, C10, U3, V30, 4K, 5K, A2, Micro SD Card - SDSQXAV-512G-GN6MA</t>
  </si>
  <si>
    <t>Scott Professional 100% Recycled Fiber High-Capacity J umbo Roll Bulk Toilet Paper (67805), 2-Ply, White, Non-Perforated (12 Rolls at 1,000' Each, 12,000'/Case)</t>
  </si>
  <si>
    <t>Variety Pack with 18 Pods Compatible with Nespresso Vertuo 1 of Each Coffee Sampler Discovery Pack Plus 10 Wooden Stirring Sticks Coffee Gifts 18 Capsules Espresso Lungo</t>
  </si>
  <si>
    <t>Coca-Cola Fridge Pack Soda Soft Drinks, 7.5 fl oz Cans, 10 Pack - Mini Soda Cans</t>
  </si>
  <si>
    <t>Plasticplace 55-60 Gallon Trash Bags, 1.2 Mil Heavy Duty Contractor Garbage Bags Black Tear-Resistant Bags for Construction, Yard Waste, Industrial Use, Large 38"x 58" (100 Count)</t>
  </si>
  <si>
    <t>Scott Professional Universal Multifold Paper Towels, Bulk (01840), Absorbency Pockets, White, 9.2"x9.4" Towel, Compressed, Compact (250 Sheets/Pack, 16 Packs/Case, 4,000 Sheet Total)</t>
  </si>
  <si>
    <t>Method Gel Hand Wash, French Lavender, 12 fl oz (Pack of 6)</t>
  </si>
  <si>
    <t>Method Gel Hand Soap, Sea Minerals, 12 FIOz (Pack of 6)</t>
  </si>
  <si>
    <t>Sprite Lemon Lime Soda Soft Drinks, 7.5 fl oz, 10 Pack</t>
  </si>
  <si>
    <t>Supplymaid 6-Pack Grout Cleaner Brush Scrub Set - Stiff Bristle Scrubbing &amp; Detail Cleaning Brushes for Household Use on Bathtub, Shower, Kitchen, Tile Floors, Sink, Grooves, Window Tracks, Drains</t>
  </si>
  <si>
    <t>Shipping Cost</t>
  </si>
  <si>
    <t>bubly Sparkling Water, 6 Flavor Variety Pack (Blackberry, Lime, Cherry, Grapefruit Strawberry, Mango), Zero Sugar &amp; Zero Calories, Seltzer Water, 12 FIOz Cans (Pack of 18)</t>
  </si>
  <si>
    <t>JE7688</t>
  </si>
  <si>
    <t>JE7676</t>
  </si>
  <si>
    <t>AR</t>
  </si>
  <si>
    <t>JE7675</t>
  </si>
  <si>
    <t>Accrued Payroll and Payroll Taxes Payable - Correction</t>
  </si>
  <si>
    <t>29AABCJ4513B1Z0</t>
  </si>
  <si>
    <t>COURIER CHARGES</t>
  </si>
  <si>
    <t>98% Polyester, 2% Elastane Knitted women sweate</t>
  </si>
  <si>
    <t>98% Polyester, 2 % Elastane Knitted men sweat shir</t>
  </si>
  <si>
    <t>98% Polyester, 2% Elastane Knitted men vest</t>
  </si>
  <si>
    <t>98% Polyester, 2% Elastane Knitted men sweat shir</t>
  </si>
  <si>
    <t>ZYPI003964046</t>
  </si>
  <si>
    <t>D29935314</t>
  </si>
  <si>
    <t>Legal Charge Dec - Adidas</t>
  </si>
  <si>
    <t>JE7925</t>
  </si>
  <si>
    <t>JE7744</t>
  </si>
  <si>
    <t>Accrue STIP Audit and Corp Tax Fee</t>
  </si>
  <si>
    <t>JE7743</t>
  </si>
  <si>
    <t>Accrue STO Audit and Corp Tax Fee</t>
  </si>
  <si>
    <t>JE7723</t>
  </si>
  <si>
    <t>JE7717</t>
  </si>
  <si>
    <t>JE7674</t>
  </si>
  <si>
    <t>C30E767393904001BBFA</t>
  </si>
  <si>
    <t>JE7766</t>
  </si>
  <si>
    <t>Freepik AI Yearly Subscription Marketing (Dec25-Dec26)</t>
  </si>
  <si>
    <t>JE7765</t>
  </si>
  <si>
    <t>Netsuite Quarter 3 Dec-Feb</t>
  </si>
  <si>
    <t>JE7714</t>
  </si>
  <si>
    <t>JE7729</t>
  </si>
  <si>
    <t>JE7713</t>
  </si>
  <si>
    <t>JE7726</t>
  </si>
  <si>
    <t>JE7752</t>
  </si>
  <si>
    <t>Quarterly Subscription - Docusign Q1</t>
  </si>
  <si>
    <t>JE7753</t>
  </si>
  <si>
    <t>Freepik AI Yearly Subscription Executive (Dec25-Dec26)</t>
  </si>
  <si>
    <t>JE7728</t>
  </si>
  <si>
    <t>JE7720</t>
  </si>
  <si>
    <t>JE7722</t>
  </si>
  <si>
    <t>JE7716</t>
  </si>
  <si>
    <t>JE7715</t>
  </si>
  <si>
    <t>JE7755</t>
  </si>
  <si>
    <t>Dec 2025 Electric</t>
  </si>
  <si>
    <t>JE7718</t>
  </si>
  <si>
    <t>GS1 License Renewal for Barcoding Dec 2025</t>
  </si>
  <si>
    <t>JE7736</t>
  </si>
  <si>
    <t>Update to AR Allowance - Q4 2025</t>
  </si>
  <si>
    <t>JE7754</t>
  </si>
  <si>
    <t>Inventory Reserve - Dec 2025</t>
  </si>
  <si>
    <t>JE7942</t>
  </si>
  <si>
    <t>2025 Tax Provision</t>
  </si>
  <si>
    <t>JE7711</t>
  </si>
  <si>
    <t>JE6248</t>
  </si>
  <si>
    <t>BTS Photo + Video, Dec 10 Shoot</t>
  </si>
  <si>
    <t>Brand Besties</t>
  </si>
  <si>
    <t>Coffee and Chill</t>
  </si>
  <si>
    <t>2026-01</t>
  </si>
  <si>
    <t>Rent Jan 2026</t>
  </si>
  <si>
    <t>BGD-T/2025/100_250001</t>
  </si>
  <si>
    <t>Intertek</t>
  </si>
  <si>
    <t>6350 - Product Development Costs:6354 - Miscellaneous</t>
  </si>
  <si>
    <t>6354 - Miscellaneous</t>
  </si>
  <si>
    <t>-Mr. SHAFIN -Mr. SHAFIN</t>
  </si>
  <si>
    <t>STO-0005</t>
  </si>
  <si>
    <t>60 Hours Engineering (January 2026)</t>
  </si>
  <si>
    <t>ConEd 12/12/25</t>
  </si>
  <si>
    <t>A10253735</t>
  </si>
  <si>
    <t>JE7756</t>
  </si>
  <si>
    <t>JE7689</t>
  </si>
  <si>
    <t>One Stop Payment 01.02.2026</t>
  </si>
  <si>
    <t>VENDBILL9142</t>
  </si>
  <si>
    <t>ADP Payroll Fees 01.02.2026</t>
  </si>
  <si>
    <t>VENDBILL9143</t>
  </si>
  <si>
    <t>8757B9B2D67F423C98E8</t>
  </si>
  <si>
    <t>Caitlin Visit office Flight - YE Audit</t>
  </si>
  <si>
    <t>Caitlin Visit office Hotel - YE Audit</t>
  </si>
  <si>
    <t>Recruitment Software Prod Team - Linkedin</t>
  </si>
  <si>
    <t>Revalidation - Service Fee</t>
  </si>
  <si>
    <t>D30240194</t>
  </si>
  <si>
    <t>B58E9A762C6C4CC2B7F2</t>
  </si>
  <si>
    <t>FY25 Field Work Week - Lunch with Auditor</t>
  </si>
  <si>
    <t>FY25 Field Work Week - Auditor's Lunch</t>
  </si>
  <si>
    <t>FY25 Field Work Week - Morning with Caitlin</t>
  </si>
  <si>
    <t>FY25 Field Work Week - Lunch with Caitlin</t>
  </si>
  <si>
    <t>FY25 Inventory Audit Bergen to Home</t>
  </si>
  <si>
    <t>FY25 Inventory Audit home to Bergen</t>
  </si>
  <si>
    <t>FSA/HRA 01/02-01/07/2026</t>
  </si>
  <si>
    <t>INV2531877</t>
  </si>
  <si>
    <t>HRNow Quarterly Subscription Fee</t>
  </si>
  <si>
    <t>INV2531606</t>
  </si>
  <si>
    <t>ZYPI003965705</t>
  </si>
  <si>
    <t>ADP Payroll Fees 01.09.2026</t>
  </si>
  <si>
    <t>JE7776</t>
  </si>
  <si>
    <t>Letter of Credit Fee</t>
  </si>
  <si>
    <t>Am767A</t>
  </si>
  <si>
    <t>Fit time : 1:00-2:00</t>
  </si>
  <si>
    <t>CC6101DF83344EEDB045</t>
  </si>
  <si>
    <t>Home to Studio for ecom shoot</t>
  </si>
  <si>
    <t>Ride from home to campaign venue</t>
  </si>
  <si>
    <t>Studio to home</t>
  </si>
  <si>
    <t>Hand warmers for campaign shoot</t>
  </si>
  <si>
    <t>USB FLASH DRIVES TO DOWNLOAD EGNYTE FILES</t>
  </si>
  <si>
    <t>A9798DDC00A747D28CFC</t>
  </si>
  <si>
    <t>Inventory Audit Lunch - Jessica and Leila</t>
  </si>
  <si>
    <t>D30369218</t>
  </si>
  <si>
    <t>D30367531</t>
  </si>
  <si>
    <t>INV2532077</t>
  </si>
  <si>
    <t>ZYPI003968300</t>
  </si>
  <si>
    <t>Inbound  Invoice</t>
  </si>
  <si>
    <t>D30419102</t>
  </si>
  <si>
    <t>D30426563</t>
  </si>
  <si>
    <t>JE7793</t>
  </si>
  <si>
    <t>Quarterly Retirement Plan Services</t>
  </si>
  <si>
    <t>12/27 Weekly Service Charge</t>
  </si>
  <si>
    <t>11/25 UPS Adjmt: Mark D. McKee</t>
  </si>
  <si>
    <t>11/25 UPS Adjmt: Tyler Wells</t>
  </si>
  <si>
    <t>11/25 UPS: Lede to Tyler Wells</t>
  </si>
  <si>
    <t>12/20 UPS Weekly Service Charge</t>
  </si>
  <si>
    <t>11/25 UPS: Lede to Mark D. McKee</t>
  </si>
  <si>
    <t>12/17 UPS: Lede to Charlotte Reardon c/o CWPR</t>
  </si>
  <si>
    <t>11/25 UPS: Lede to Willie Stone IV</t>
  </si>
  <si>
    <t>11/25 UPS: Lede to Taylor Reed</t>
  </si>
  <si>
    <t>12/17 UPS: Lede to Raj Punjabi-Johnson HuffPost</t>
  </si>
  <si>
    <t>11/25 UPS: Lede to Paolo Sandoval</t>
  </si>
  <si>
    <t>11/25 UPS: Lede to Anna Popp</t>
  </si>
  <si>
    <t>12/17 UPS: Lede to Tim Kohut</t>
  </si>
  <si>
    <t>12/17 UPS: Lede to Junior Adams / WeWork</t>
  </si>
  <si>
    <t>12/13 Weekly Service Charge</t>
  </si>
  <si>
    <t>12/3 UPS: Lede to Jeanne Yang, ANONYMOUS CONTENT</t>
  </si>
  <si>
    <t>12/3 UPS Adjmt: Jeanne Yang, ANONYMOUS CONTENT</t>
  </si>
  <si>
    <t>12/8 Marlton F&amp;b: Meeting with Vogue Editors</t>
  </si>
  <si>
    <t>Sergio Tacchini - Professional Services January 2nd, 2025 - February 1st, 2025 (Additional Expenses will be invoiced separately)</t>
  </si>
  <si>
    <t>Model Fee HOURLY: Tetiana Jan 14, 2026 - Jan 14, 2026, 2 @ 275.00</t>
  </si>
  <si>
    <t>D30442379</t>
  </si>
  <si>
    <t>DUTY PROCESSING-ACCOUNT</t>
  </si>
  <si>
    <t>D30456441</t>
  </si>
  <si>
    <t>55E50FB9E51F422C8DF2</t>
  </si>
  <si>
    <t>Team Lunch &amp; Dinner</t>
  </si>
  <si>
    <t>Uber after Dinner with Peloton</t>
  </si>
  <si>
    <t>DHL Import Duty</t>
  </si>
  <si>
    <t>2-483-10986</t>
  </si>
  <si>
    <t>VENDBILL9254</t>
  </si>
  <si>
    <t>Law Office of Soo Park, PLC</t>
  </si>
  <si>
    <t>Immigrant Legal Service  - Na, Youngeun</t>
  </si>
  <si>
    <t>Model Fee HOURLY: Tetiana Jan 20, 2026 - Jan 20, 2026, 2 @ 275.00</t>
  </si>
  <si>
    <t>INV2532419</t>
  </si>
  <si>
    <t>D30587349</t>
  </si>
  <si>
    <t>D30573597</t>
  </si>
  <si>
    <t>ZYP0005312795</t>
  </si>
  <si>
    <t>W EXPRESS WORLDWIDE NONDOC</t>
  </si>
  <si>
    <t>D30495147</t>
  </si>
  <si>
    <t>D30566055</t>
  </si>
  <si>
    <t>Customs Duty Porta</t>
  </si>
  <si>
    <t>D30477833</t>
  </si>
  <si>
    <t>ZYPI003971244</t>
  </si>
  <si>
    <t>D30494871</t>
  </si>
  <si>
    <t>JE7796</t>
  </si>
  <si>
    <t>ADP TAX Debit 1.22.2026</t>
  </si>
  <si>
    <t>D30619292</t>
  </si>
  <si>
    <t>2601-033</t>
  </si>
  <si>
    <t>Monthly Service Fee Monthly advisory service for January, 2026</t>
  </si>
  <si>
    <t>2601-032</t>
  </si>
  <si>
    <t>VENDBILL9256</t>
  </si>
  <si>
    <t>ADP Payroll Fees 01.23.2026</t>
  </si>
  <si>
    <t>D30996115</t>
  </si>
  <si>
    <t>3FFD10B33A8A4B4BA050</t>
  </si>
  <si>
    <t>Meal for office</t>
  </si>
  <si>
    <t>dinner for business review attendees in the office</t>
  </si>
  <si>
    <t>Peloton Consulting Group</t>
  </si>
  <si>
    <t>First bill - Jan 2026 Data Warehouse and AI</t>
  </si>
  <si>
    <t>PO ST-01 SERGIO TACCHINISS26 - LOCATION FEE1.00</t>
  </si>
  <si>
    <t>office supplies</t>
  </si>
  <si>
    <t>D30631742</t>
  </si>
  <si>
    <t>D30632735</t>
  </si>
  <si>
    <t>D30655521</t>
  </si>
  <si>
    <t>D30631731</t>
  </si>
  <si>
    <t>D30638299</t>
  </si>
  <si>
    <t>B-2601-0120</t>
  </si>
  <si>
    <t>ChatGPT Monthly Subscription</t>
  </si>
  <si>
    <t>5BE09874C7FC468CA714</t>
  </si>
  <si>
    <t>Dinner while in NYC</t>
  </si>
  <si>
    <t>Dunkin Donuts - Breakfast at airport</t>
  </si>
  <si>
    <t>BA68281D29704C349D34</t>
  </si>
  <si>
    <t>For Auditors Snack</t>
  </si>
  <si>
    <t>Snack for HQ - Weekly Kitchen Supplies</t>
  </si>
  <si>
    <t>Uber To Airport - Part 2</t>
  </si>
  <si>
    <t>Uber To Airport - Part 1</t>
  </si>
  <si>
    <t>Uber To Hotel after Dinner</t>
  </si>
  <si>
    <t>Uber To Dinner</t>
  </si>
  <si>
    <t>Uber To Office</t>
  </si>
  <si>
    <t>Taxi for Sean, Alex and Matt for Peloton Meeting</t>
  </si>
  <si>
    <t>Taxi for Sean and Alex after meeting Peloton</t>
  </si>
  <si>
    <t>Taxi after January BR</t>
  </si>
  <si>
    <t>6100 - Travel and Entertainment:6135 - Parking and Tolls</t>
  </si>
  <si>
    <t>Parking for Car - 2 nights at ROC Airport</t>
  </si>
  <si>
    <t>6135 - Parking and Tolls</t>
  </si>
  <si>
    <t>HRA/FSA 01/15/2026-01/21/2026</t>
  </si>
  <si>
    <t>2-486-66047</t>
  </si>
  <si>
    <t>Residential Delivery</t>
  </si>
  <si>
    <t>Demand Surcharge</t>
  </si>
  <si>
    <t>ChatGPT Subscription for the Team</t>
  </si>
  <si>
    <t>FSA/HRA 01/22/2026-01/28/2026</t>
  </si>
  <si>
    <t>INV2532697</t>
  </si>
  <si>
    <t>#33</t>
  </si>
  <si>
    <t>Production Fitting - 1/27/26.</t>
  </si>
  <si>
    <t>Production Fitting - 1/21/26</t>
  </si>
  <si>
    <t>D30774998</t>
  </si>
  <si>
    <t>D30781564</t>
  </si>
  <si>
    <t>2025.12.31</t>
  </si>
  <si>
    <t>F&amp;F Holdings</t>
  </si>
  <si>
    <t>CEO Insurance</t>
  </si>
  <si>
    <t>EEED23F5C35F41D6A05E</t>
  </si>
  <si>
    <t>Late night Uber office - home</t>
  </si>
  <si>
    <t>Wrong charge Will Credit on Feb</t>
  </si>
  <si>
    <t>Model Fee HOURLY: Tetiana Jan 29, 2026 - Jan 29, 2026, 1 @ 275.00</t>
  </si>
  <si>
    <t>AI DESIGN SUBSCRIBTION - LOOKFASHION</t>
  </si>
  <si>
    <t>Pantone Annual Subscribtion</t>
  </si>
  <si>
    <t>F57EED9E14D64308AE06</t>
  </si>
  <si>
    <t>Lyft Refund Credit - Juno's Credit but change as Leila for apply credit</t>
  </si>
  <si>
    <t>VENDBILL9287</t>
  </si>
  <si>
    <t>ADP Payroll Fees 01.30.2026</t>
  </si>
  <si>
    <t>VENDBILL9286</t>
  </si>
  <si>
    <t>VENDBILL9336</t>
  </si>
  <si>
    <t>Courier Fee_United States of America</t>
  </si>
  <si>
    <t>Notarization Fee_Declaration of Address Change</t>
  </si>
  <si>
    <t>Notarization Fee_Corporation Nationality Certificate</t>
  </si>
  <si>
    <t>Notarization Fee_AFFIDAVIT</t>
  </si>
  <si>
    <t>JE7815</t>
  </si>
  <si>
    <t>6204D9A3E6214AC58CAA</t>
  </si>
  <si>
    <t>SS26 e-com shoot</t>
  </si>
  <si>
    <t>SS 26 campaign shoot</t>
  </si>
  <si>
    <t>SS 26 e-com shoot</t>
  </si>
  <si>
    <t>Slattery, Michael</t>
  </si>
  <si>
    <t>Costa, Andre</t>
  </si>
  <si>
    <t>Rodrigues, Elias</t>
  </si>
  <si>
    <t>Reis, Fernando</t>
  </si>
  <si>
    <t>Pre-tax Monthly Administration - Additional Billing to Meet Monthly Minimum JAN 2026</t>
  </si>
  <si>
    <t>HSA Monthly Administration for JAN 2026</t>
  </si>
  <si>
    <t>Pre-tax Monthly Administration for J AN 2026</t>
  </si>
  <si>
    <t>JE7871</t>
  </si>
  <si>
    <t>JE7912</t>
  </si>
  <si>
    <t>Marketing Photoshoot Accrual - Jan 2026</t>
  </si>
  <si>
    <t>JE7883</t>
  </si>
  <si>
    <t>JE7824</t>
  </si>
  <si>
    <t>AM Marketing Jan 2026- COGS</t>
  </si>
  <si>
    <t>JE7818</t>
  </si>
  <si>
    <t>1M6C-M6RY-VDQN</t>
  </si>
  <si>
    <t>NY office supplies 01.2026</t>
  </si>
  <si>
    <t>Testing TTS, purchase was made December and returned January</t>
  </si>
  <si>
    <t>JE7845</t>
  </si>
  <si>
    <t>ZYP0005314714</t>
  </si>
  <si>
    <t>Outbound invoice</t>
  </si>
  <si>
    <t>ZYPI003975366</t>
  </si>
  <si>
    <t>JE7906</t>
  </si>
  <si>
    <t>GFD Freight Estimate - Jan 2026</t>
  </si>
  <si>
    <t>Correspondence with Adidas's counsel and with</t>
  </si>
  <si>
    <t>JV/MOVIN Arbitration - Jan 2026</t>
  </si>
  <si>
    <t>JE7905</t>
  </si>
  <si>
    <t>Jan 2026 - Legal Fees</t>
  </si>
  <si>
    <t>JE7894</t>
  </si>
  <si>
    <t>Marine Cargo + Terrorisom Insurance (Jan 2026 - Jan 2027)</t>
  </si>
  <si>
    <t>JE7880</t>
  </si>
  <si>
    <t>JE7893</t>
  </si>
  <si>
    <t>Standard Security Life Insurance (01.01.26 - 12.31.26)</t>
  </si>
  <si>
    <t>JE7886</t>
  </si>
  <si>
    <t>JE7882</t>
  </si>
  <si>
    <t>JE7892</t>
  </si>
  <si>
    <t>Claude AI Yearly Subscription Marketing (Jan26 - Jan27)</t>
  </si>
  <si>
    <t>JE7884</t>
  </si>
  <si>
    <t>JE7879</t>
  </si>
  <si>
    <t>JE7878</t>
  </si>
  <si>
    <t>JE7877</t>
  </si>
  <si>
    <t>JE7887</t>
  </si>
  <si>
    <t>JE7891</t>
  </si>
  <si>
    <t>JE7890</t>
  </si>
  <si>
    <t>JE7885</t>
  </si>
  <si>
    <t>JE7888</t>
  </si>
  <si>
    <t>JE7909</t>
  </si>
  <si>
    <t>Accrue QB Jan 2026</t>
  </si>
  <si>
    <t>JE7889</t>
  </si>
  <si>
    <t>JE7872</t>
  </si>
  <si>
    <t>Jan 2026 Electric</t>
  </si>
  <si>
    <t>JE7881</t>
  </si>
  <si>
    <t>GS1 License Renewal for Barcoding  Jan 2026</t>
  </si>
  <si>
    <t>JE7847</t>
  </si>
  <si>
    <t>Inventory Reserve - Jan 2026 Estimate</t>
  </si>
  <si>
    <t>JE7848</t>
  </si>
  <si>
    <t>JE7849</t>
  </si>
  <si>
    <t>DE6CC112A3BC441F9AFD</t>
  </si>
  <si>
    <t>9340D75A860D4AC4A2E4</t>
  </si>
  <si>
    <t>Team Coffee</t>
  </si>
  <si>
    <t>7B3292E5151A4A75BFC6</t>
  </si>
  <si>
    <t>FW27 KiCK OFF LUNCH</t>
  </si>
  <si>
    <t>83EE71A4D0F04E5789EA</t>
  </si>
  <si>
    <t>Late Night Office Dinner</t>
  </si>
  <si>
    <t>8DD0C5B058734C659B85</t>
  </si>
  <si>
    <t>Dinner for leadership team (business review)</t>
  </si>
  <si>
    <t>Tip for dinner</t>
  </si>
  <si>
    <t>Dinner for leadership team (tip)</t>
  </si>
  <si>
    <t>Dinner for leadership team (2026 budget meeting)</t>
  </si>
  <si>
    <t>93DBB909C4CA4C8EBC27</t>
  </si>
  <si>
    <t>0F2AF6FE1D5E4FE0B43D</t>
  </si>
  <si>
    <t>Home to Office</t>
  </si>
  <si>
    <t>Cancelled uber from studio to home</t>
  </si>
  <si>
    <t>Car from shoot</t>
  </si>
  <si>
    <t>Home to studio</t>
  </si>
  <si>
    <t>Campaign venue to home</t>
  </si>
  <si>
    <t>Business Review travel</t>
  </si>
  <si>
    <t>84BF29FF3CAC44A5B096</t>
  </si>
  <si>
    <t>Lyft ride after late night</t>
  </si>
  <si>
    <t>Lunch with JP Morgan for Alex, Matt and Sean</t>
  </si>
  <si>
    <t>Refund</t>
  </si>
  <si>
    <t>BR</t>
  </si>
  <si>
    <t>Ammy  Thitichaya Chan</t>
  </si>
  <si>
    <t>Grooming jan photoshoot</t>
  </si>
  <si>
    <t>#1</t>
  </si>
  <si>
    <t>SS26 Ecomm</t>
  </si>
  <si>
    <t>Grooming</t>
  </si>
  <si>
    <t>1/9 UPS Adjmt: Lede Total Reimbursable Expenses</t>
  </si>
  <si>
    <t>1/9 UPS: ANONYMOUS CONTENT to Lede</t>
  </si>
  <si>
    <t>1/20 Kailey + Leighah Uber to Meeting with V Magazine</t>
  </si>
  <si>
    <t>1/20 Antons: Kailey + Leighah Meeting with V Magazine</t>
  </si>
  <si>
    <t>11/25 UPS: Lede to Lindsay Shepard</t>
  </si>
  <si>
    <t>Sergio Tacchini - Professional Services February 2nd, 2026-March 1st, 2026 (Additional Expenses will be invoiced separately)</t>
  </si>
  <si>
    <t>#2</t>
  </si>
  <si>
    <t>SS26 Ecomm Assistant Fee</t>
  </si>
  <si>
    <t>Art Hands Beaute Inc</t>
  </si>
  <si>
    <t>Styling 02/11/2026</t>
  </si>
  <si>
    <t>VENDBILL9437</t>
  </si>
  <si>
    <t>Flexible Benefit Service LLC</t>
  </si>
  <si>
    <t>Flex Ben 02.25.2026 - Service Fee</t>
  </si>
  <si>
    <t>HSA Monthly Administration for FEB 2026</t>
  </si>
  <si>
    <t>Pre-tax Monthly Administration - Additional Billing to Meet Monthly Minimum FEB 2026</t>
  </si>
  <si>
    <t>Pre-tax Monthly Administration for FEB 2026</t>
  </si>
  <si>
    <t>JE8017</t>
  </si>
  <si>
    <t>Reclass Peloton Fees to FA - 3 Invoice tota</t>
  </si>
  <si>
    <t>JE8064</t>
  </si>
  <si>
    <t>JE7913</t>
  </si>
  <si>
    <t>Post Production - Retoucher Fees 70 styles</t>
  </si>
  <si>
    <t>Studio &amp; Equipment - Studio Rentals</t>
  </si>
  <si>
    <t>EI71T3JX-0005</t>
  </si>
  <si>
    <t>Image delivery speed</t>
  </si>
  <si>
    <t>BTS Photo and Video work Feb 11</t>
  </si>
  <si>
    <t>- Retoucher Fees Women's 38 styles</t>
  </si>
  <si>
    <t>Post Production - Retoucher Fees Women's 87 styles</t>
  </si>
  <si>
    <t>- Food &amp; Beverages Delivery (7ppl)</t>
  </si>
  <si>
    <t>- Studio Cyclorama Paint</t>
  </si>
  <si>
    <t>- Photo Assistant Studio &amp; Equipment</t>
  </si>
  <si>
    <t>- Photography Fees</t>
  </si>
  <si>
    <t>EI71T3JX-0006</t>
  </si>
  <si>
    <t>Product Clothing photography</t>
  </si>
  <si>
    <t>Product Accessories photography</t>
  </si>
  <si>
    <t>JE8086</t>
  </si>
  <si>
    <t>SS26 Campaign Shooting</t>
  </si>
  <si>
    <t>JE8033</t>
  </si>
  <si>
    <t>JE7742</t>
  </si>
  <si>
    <t>Royalties due to MCCC for Worldwide Sales of Co-Branded Product FY2025</t>
  </si>
  <si>
    <t>Expressions 98 Corp</t>
  </si>
  <si>
    <t>EMBROIDERY</t>
  </si>
  <si>
    <t>Model Services by Tony Rodriguez RE: Sergio Tacchini E-commerce: January PHOTOGRAPHER: Thee Tham DATE: January 2026 LOCATION: Brooklyn, NY RATE: $2,000</t>
  </si>
  <si>
    <t>Model Services by Ashton Smith RE: Sergio Tacchini E-commerce: January PHOTOGRAPHER: Thee Tham DATE: January 27th, 2026 LOCATION: Brooklyn, NY RATE: $2,000</t>
  </si>
  <si>
    <t>Model Services by Ashton Smith RE: Sergio Tacchini E-commerce: February PHOTOGRAPHER: Thee Tham DATE: LOCATION: Brooklyn, NY RATE: $1,200 (Half Day)</t>
  </si>
  <si>
    <t>Model Fee HOURLY: Tetiana Feb 12, 2026 - Feb 12, 2026, 1 @ USD 275.00</t>
  </si>
  <si>
    <t>Ford Models, Inc</t>
  </si>
  <si>
    <t>DAY</t>
  </si>
  <si>
    <t>Model Fee-Julian G.</t>
  </si>
  <si>
    <t>JE8022</t>
  </si>
  <si>
    <t>AM Marketing Feb 2026- COGS</t>
  </si>
  <si>
    <t>INV2533047</t>
  </si>
  <si>
    <t>VENDBILL9338</t>
  </si>
  <si>
    <t>ADP Payroll Fees 02.06.2026</t>
  </si>
  <si>
    <t>INV2533327</t>
  </si>
  <si>
    <t>INV2533426</t>
  </si>
  <si>
    <t>INV2533678</t>
  </si>
  <si>
    <t>ADP Payroll Fees 02.20.2026</t>
  </si>
  <si>
    <t>INV2533951</t>
  </si>
  <si>
    <t>VENDBILL9438</t>
  </si>
  <si>
    <t>ADP Payroll Fees 02.25.2026</t>
  </si>
  <si>
    <t>VENDBILL9458</t>
  </si>
  <si>
    <t>ADP Payroll Fees 02.27.2026</t>
  </si>
  <si>
    <t>2026-02</t>
  </si>
  <si>
    <t>Rent Feb 2026</t>
  </si>
  <si>
    <t>JE8060</t>
  </si>
  <si>
    <t>2026-Prop-Tax</t>
  </si>
  <si>
    <t>Property Tax True-up 2025</t>
  </si>
  <si>
    <t>0ACDB0B49EA04B3A82BB</t>
  </si>
  <si>
    <t>Dispute Charge - Claude AI</t>
  </si>
  <si>
    <t>ABB39B36D5BF4DC0B72E</t>
  </si>
  <si>
    <t>STE - ICO Data protection for 2026</t>
  </si>
  <si>
    <t>NY Monthly Phone Bill - Verizon</t>
  </si>
  <si>
    <t>Delta Airline Credit</t>
  </si>
  <si>
    <t>MacBook repair expense</t>
  </si>
  <si>
    <t>Hand warmers for office</t>
  </si>
  <si>
    <t>1KR9-GX7K-NJJM</t>
  </si>
  <si>
    <t>Brio 3-Stage Filter Replacement Kit for Water Cooler Dispensers</t>
  </si>
  <si>
    <t>Lysol Disinfecting Wipes Bundle, Home Apartment Dorm Room Essentials and Cleaning Supplies, All Purpose Cleaner, Multi-surface Cleaning &amp; Sanitizing Wipes, Lavender &amp; Mango Scents, 80 Count (4pk)</t>
  </si>
  <si>
    <t>Lifewit Plastic Serving Tray for Party Supplies, 15" x 10" White Trays for Serving Food, Reusable Large Platter for Buffet, Fruit, Dessert, Snack, Veggie, Kitchen and Outdoor Use, Rectangle, 2 Pcs</t>
  </si>
  <si>
    <t>Cascade Complete Dishwasher Pods, Dishwasher Detergent, Lemon Scent ActionPacs, Cleaning Supplies, 78 Count Scotch-Brite Zero Scratch Scrub Sponge, 3 Kitchen Sponges for Cleaning Around the Home, Bathroom &amp; More, Effective + Gentle Dish Scrubber, Best for Nonstick Pots and Pans, Safe on Most Surfaces</t>
  </si>
  <si>
    <t>Logitech Signature M550 L Full Size Wireless Mouse - for Large Sized Hands, 2-Year Battery, Silent Clicks, Bluetooth, Multi-Device Compatibility - Black</t>
  </si>
  <si>
    <t>Neenah Index Cardstock, 8.5" x 11", 90 lb./163 gsm, White, 300 Sheets Lightweight, 94 Brightness - EXTRA SHEETS, MORE VALUE! (91437)</t>
  </si>
  <si>
    <t>Built Bar, Puff Protein Bars, Variety Pack, Collagen, On-the-go Snacks, Breakfast Bar, Mixed Sampler, 12 Pack TRUBAR Vegan Protein Bar Variety Pack, Assorted Flavors, Peanut Butter, Macchiato, Cookie Dough, Gluten Free, Vegan Protein Snacks, 12G Plant-Based Protein, High Fiber, Healthy Protein Bars, 12 CT Sprite Lemon-Lime Caffeine Free Soda Soft Drink Fridge Pack Mini Cans, 7.5 fl oz, 10 Pack Method Dish Soap, Lime + Sea Salt, Tough on Grease, 18 FIOz (Pack of 1)</t>
  </si>
  <si>
    <t>Mac Book Pro Charger - USB C to Magnetic 3 Charger for Mac pro 14-16inch 2021 2023 2024 2025 M1 M2 M3 M4, Mac Air 13-15inch 2022 2023 2024 2025 M2 M3 M4, Include 6.6ft Charge Cable</t>
  </si>
  <si>
    <t>Scott P rofessional Universal Multifold Paper Towels, Bulk (01840), Absorbency Pockets, White, 9.2"x9.4" Towel, Compressed, Compact (250 Sheets/Pack, 16 Packs/Case, 4,000 Sheet Total)</t>
  </si>
  <si>
    <t>Scott Professional 100% Recycled Fiber High-Capacity J umbo Roll Toilet Paper, Bulk (67805), 2-Ply, Septic Safe, White, Non-Perforated (12 Rolls at 1,000' Each, 12,000'/Case)</t>
  </si>
  <si>
    <t>Coca-Cola Soda Soft Drink Fridge Pack Mini Cans, 7.5 fl oz, 10 Pack</t>
  </si>
  <si>
    <t>Diet Coke Soda Soft Drink Fridge Pack Mini Cans, 7.5 fl oz, 10 Pack</t>
  </si>
  <si>
    <t>bubly S parkling Water, 3 Flavor Variety Pack (Bellini, Strawberry Sunset, Coconut Pineapple), Zero Sugar &amp; Zero Calories, 12 FI Oz Cans (Pack of 18)</t>
  </si>
  <si>
    <t>bubly Sparkling Water, 3 Flavor Variety Pack (Bellini, Strawberry Sunset, Coconut Pineapple), Zero Sugar &amp; Zero Calories,</t>
  </si>
  <si>
    <t>Samsill 3 Inch 3 Ring Binders, Made in USA, Economy Round Ring, Clear View Cover, 550 Sheet Capacity - for School, Home, Office - White, 12 Pack</t>
  </si>
  <si>
    <t>Bounty Paper Towels Quick Size, White, 16 Family Rolls = 40 Regular Rolls</t>
  </si>
  <si>
    <t>LUDOS FEROX Wired Earbuds in-Ear Headphones, 5 Year Warranty, Earphones with Microphone, Noise Isolation Corded for 3.5mm J ack Ear Buds for iPhone, Samsung, Computer, Laptop, Kids, School Students</t>
  </si>
  <si>
    <t>tax</t>
  </si>
  <si>
    <t>INV152907</t>
  </si>
  <si>
    <t>JE8045</t>
  </si>
  <si>
    <t>Am777A</t>
  </si>
  <si>
    <t>Fit time : 3:15-4:15</t>
  </si>
  <si>
    <t>PA26048</t>
  </si>
  <si>
    <t>SS27 Development costing</t>
  </si>
  <si>
    <t>FW27 Reference Sample</t>
  </si>
  <si>
    <t>product development samples for fw27</t>
  </si>
  <si>
    <t>JE7911</t>
  </si>
  <si>
    <t>D30898329</t>
  </si>
  <si>
    <t>D30995688</t>
  </si>
  <si>
    <t>D30990716</t>
  </si>
  <si>
    <t>D30995458</t>
  </si>
  <si>
    <t>D31044994</t>
  </si>
  <si>
    <t>D31119541</t>
  </si>
  <si>
    <t>9-169-78615</t>
  </si>
  <si>
    <t>NY to Bergen</t>
  </si>
  <si>
    <t>D31184987</t>
  </si>
  <si>
    <t>D31185256</t>
  </si>
  <si>
    <t>ZYP0005317000</t>
  </si>
  <si>
    <t>D28472326</t>
  </si>
  <si>
    <t>ZYPI003979407</t>
  </si>
  <si>
    <t>D31236237</t>
  </si>
  <si>
    <t>Sample Duty Payment</t>
  </si>
  <si>
    <t>D31295847</t>
  </si>
  <si>
    <t>Customs Duty Jeans Knit</t>
  </si>
  <si>
    <t>D31388872</t>
  </si>
  <si>
    <t>Customs Duty Thong Thai</t>
  </si>
  <si>
    <t>2-498-68145</t>
  </si>
  <si>
    <t>D31300050</t>
  </si>
  <si>
    <t>D31440246</t>
  </si>
  <si>
    <t>D31452329</t>
  </si>
  <si>
    <t>ZYPI003982297</t>
  </si>
  <si>
    <t>D31492812</t>
  </si>
  <si>
    <t>ZYP0005318721</t>
  </si>
  <si>
    <t>PREMIUM</t>
  </si>
  <si>
    <t>ADDRESS CORRECTION</t>
  </si>
  <si>
    <t>EXPRESS NONDOC</t>
  </si>
  <si>
    <t>D31498912</t>
  </si>
  <si>
    <t>D31524796</t>
  </si>
  <si>
    <t>D31665515</t>
  </si>
  <si>
    <t>D31619722</t>
  </si>
  <si>
    <t>2025.02.24</t>
  </si>
  <si>
    <t>STO_DHL Invoice</t>
  </si>
  <si>
    <t>Repay F&amp;F For incorrect use of DHL Acct</t>
  </si>
  <si>
    <t>D31696239</t>
  </si>
  <si>
    <t>DUTY TAX PROCESSING-ACCOUNT</t>
  </si>
  <si>
    <t>2-506-74252</t>
  </si>
  <si>
    <t>A97773</t>
  </si>
  <si>
    <t>SEAWAYNE</t>
  </si>
  <si>
    <t>SERGIO 24TH STREET</t>
  </si>
  <si>
    <t>SERGIO 24TH</t>
  </si>
  <si>
    <t>SQUARE</t>
  </si>
  <si>
    <t>BERGEN LOGISTICS E MEMORIAL</t>
  </si>
  <si>
    <t>CAROLINE</t>
  </si>
  <si>
    <t>HANAKIS</t>
  </si>
  <si>
    <t>ZYPI003985249</t>
  </si>
  <si>
    <t>JE7922</t>
  </si>
  <si>
    <t>CO Dep of Rev Registration Fee</t>
  </si>
  <si>
    <t>VENDBILL9359</t>
  </si>
  <si>
    <t>VENDBILL9358</t>
  </si>
  <si>
    <t>JE7958</t>
  </si>
  <si>
    <t>DE STO Franchise Tax</t>
  </si>
  <si>
    <t>B-2602-0118</t>
  </si>
  <si>
    <t>2602-024</t>
  </si>
  <si>
    <t>Consulting 1099 Issue ($100 + $10*#1)</t>
  </si>
  <si>
    <t>Corp. Income Tax Return Delaware Franchise tax reporting</t>
  </si>
  <si>
    <t>Monthly Service Fee Monthly advisory service for February, 2026</t>
  </si>
  <si>
    <t>2602-023</t>
  </si>
  <si>
    <t>Corp Income Tax Return</t>
  </si>
  <si>
    <t>Consulting 1099 Issue ($100 + $10*#32)</t>
  </si>
  <si>
    <t>JE8072</t>
  </si>
  <si>
    <t>Feb 2026 - Legal Fees</t>
  </si>
  <si>
    <t>JE8015</t>
  </si>
  <si>
    <t>JE8016</t>
  </si>
  <si>
    <t>JE8043</t>
  </si>
  <si>
    <t>JE8044</t>
  </si>
  <si>
    <t>JE8030</t>
  </si>
  <si>
    <t>STO-0006</t>
  </si>
  <si>
    <t>60 Hours Engineering (February 2026)</t>
  </si>
  <si>
    <t>JE7910</t>
  </si>
  <si>
    <t>Vercel Subscription</t>
  </si>
  <si>
    <t>Genspark AI</t>
  </si>
  <si>
    <t>Claude AI monthly subscription</t>
  </si>
  <si>
    <t>JE8029</t>
  </si>
  <si>
    <t>JE8038</t>
  </si>
  <si>
    <t>JE8035</t>
  </si>
  <si>
    <t>JE8028</t>
  </si>
  <si>
    <t>JE8034</t>
  </si>
  <si>
    <t>JE8039</t>
  </si>
  <si>
    <t>JE8040</t>
  </si>
  <si>
    <t>JE8041</t>
  </si>
  <si>
    <t>JE8042</t>
  </si>
  <si>
    <t>JE8036</t>
  </si>
  <si>
    <t>JE8027</t>
  </si>
  <si>
    <t>JE8037</t>
  </si>
  <si>
    <t>Additional CC Charge</t>
  </si>
  <si>
    <t>100 Brivo Mobile Passes for a single account, monthly subscription</t>
  </si>
  <si>
    <t>"Brivo Access Standard Edition - Reader Tier 1 Reader Monthly Data Plan (For each reader from 1-2 on the account) Applies to ACS6000/6100, ACS300, ACS100, SDC and Mercury panels. Up to 10 administrators."</t>
  </si>
  <si>
    <t>ConEd 1/14/26</t>
  </si>
  <si>
    <t>JE7873</t>
  </si>
  <si>
    <t>JE8065</t>
  </si>
  <si>
    <t>Feb 2026 Electric</t>
  </si>
  <si>
    <t>JE8031</t>
  </si>
  <si>
    <t>GS1 License Renewal for Barcoding  Feb 2026</t>
  </si>
  <si>
    <t>JE8018</t>
  </si>
  <si>
    <t>Inventory Reserve - Feb 2026 Estimate</t>
  </si>
  <si>
    <t>JE7897</t>
  </si>
  <si>
    <t>Kentucky 2025 Corp minimum Tax - Principal</t>
  </si>
  <si>
    <t>VENDBILL9410</t>
  </si>
  <si>
    <t>DE Dept of Revenue IP Holding</t>
  </si>
  <si>
    <t>DE STIP Franchise Tax</t>
  </si>
  <si>
    <t>JE7978</t>
  </si>
  <si>
    <t>FY2024 KY Corporate Tax</t>
  </si>
  <si>
    <t>JE8063</t>
  </si>
  <si>
    <t>JE8062</t>
  </si>
  <si>
    <t>JE7850</t>
  </si>
  <si>
    <t>59BD719D37EE4E7188AC</t>
  </si>
  <si>
    <t>F7A0A0C047AB4A118CC3</t>
  </si>
  <si>
    <t>Team Coffee - Peloton</t>
  </si>
  <si>
    <t>5EA6C822A0A8491F871B</t>
  </si>
  <si>
    <t>Office Meal</t>
  </si>
  <si>
    <t>tip for dinner for business review attendees in the office</t>
  </si>
  <si>
    <t>Lunch for STO team (town hall)</t>
  </si>
  <si>
    <t>interview with candidate</t>
  </si>
  <si>
    <t>Meal with Chris Ivery</t>
  </si>
  <si>
    <t>Meal with Chris Ivery and external vendors</t>
  </si>
  <si>
    <t>E3B2FBD0B72F4D2DA717</t>
  </si>
  <si>
    <t>0A4382A04EE849369956</t>
  </si>
  <si>
    <t>Breakfast Meeting</t>
  </si>
  <si>
    <t>Dinner with Peloton</t>
  </si>
  <si>
    <t>Lunch with Peloton</t>
  </si>
  <si>
    <t>Breakfast - Finance Team</t>
  </si>
  <si>
    <t>E035FC4F9490440A8217</t>
  </si>
  <si>
    <t>Marketing Meeting</t>
  </si>
  <si>
    <t>66D31D1D4846449592A7</t>
  </si>
  <si>
    <t>Breakfast Beverage - Airport</t>
  </si>
  <si>
    <t>Snack at airport</t>
  </si>
  <si>
    <t>FD9EC84481D24D5B8B26</t>
  </si>
  <si>
    <t>Marketing Team Olivia Palm Springs Biz trip</t>
  </si>
  <si>
    <t>Caitlin Visit office Flight - Peloton project</t>
  </si>
  <si>
    <t>Caitlin Visit office Flight(Cancel &amp;Repurchase):Peloton project</t>
  </si>
  <si>
    <t>Flight Change from LGA to EWR</t>
  </si>
  <si>
    <t>CF471AC795BB4D429386</t>
  </si>
  <si>
    <t>TRAIN TO PARIS FROM MONTE CARLO</t>
  </si>
  <si>
    <t>Ride from lunch to villa</t>
  </si>
  <si>
    <t>ride from airport to lunch</t>
  </si>
  <si>
    <t>ride from home to airport</t>
  </si>
  <si>
    <t>pick up charge from airport</t>
  </si>
  <si>
    <t>Uber</t>
  </si>
  <si>
    <t>Parking for March Business Review</t>
  </si>
  <si>
    <t>Late work Taxi</t>
  </si>
  <si>
    <t>5202224BD05E4FDBB541</t>
  </si>
  <si>
    <t>Business review</t>
  </si>
  <si>
    <t>16E1A242ACB44DBDB516</t>
  </si>
  <si>
    <t>Uber from Office to Dinner</t>
  </si>
  <si>
    <t>Uber To EWR airport for flight</t>
  </si>
  <si>
    <t>Uber home from Dinner</t>
  </si>
  <si>
    <t>Uber airport to Office</t>
  </si>
  <si>
    <t>Airport Parking - 2 Days</t>
  </si>
  <si>
    <t>D4F7996E32CE424DADBE</t>
  </si>
  <si>
    <t>International calling charges (Monte Carlo)</t>
  </si>
  <si>
    <t>2/13 Messenger: Lede to Sergio Taccahini Total Expenses</t>
  </si>
  <si>
    <t>2/14 UPS Pickup Charges</t>
  </si>
  <si>
    <t>2/11 UPS Adjmt: Lede</t>
  </si>
  <si>
    <t>2/11 UPS: Lede to Lede</t>
  </si>
  <si>
    <t>2/12 Rafs: Meeting with Substack Writer</t>
  </si>
  <si>
    <t>Sergio Tacchini - Professional Services March 2nd, 2026-April 1st, 2026 (Expenses will be invoiced separately)</t>
  </si>
  <si>
    <t>VENDBILL9602</t>
  </si>
  <si>
    <t>Flex Ben 03.25.2026</t>
  </si>
  <si>
    <t>Pre-tax Monthly Administration - Additional Billing to Meet Monthly Minimum MAR 2026</t>
  </si>
  <si>
    <t>HSA Monthly Administration for MAR 2026</t>
  </si>
  <si>
    <t>Pre-tax Monthly Administration for MAR 2026</t>
  </si>
  <si>
    <t>JE8233</t>
  </si>
  <si>
    <t>JE8211</t>
  </si>
  <si>
    <t>#001</t>
  </si>
  <si>
    <t>Steven Capitelli</t>
  </si>
  <si>
    <t>UGC CONTENT CREATOR</t>
  </si>
  <si>
    <t>Model Fee HOURLY: Tetiana Mar 11, 2026 - Mar 11, 2026, 1 @ 275.00</t>
  </si>
  <si>
    <t>Agency Fee Agency fee, 1 @ USD 45.00</t>
  </si>
  <si>
    <t>Model Fee HALF HOUR: Tetiana Mar 19, 2026 - Mar 19, 2026, 1 @ USD 225.00</t>
  </si>
  <si>
    <t>JE8177</t>
  </si>
  <si>
    <t>AM Marketing Mar 2026- COGS</t>
  </si>
  <si>
    <t>INV2534164</t>
  </si>
  <si>
    <t>VENDBILL9507</t>
  </si>
  <si>
    <t>Workforce Now Payroll Solution Bundle Includes: Essential Plus Payroll Enhanced HR Benefits Administration HR Assist Essential Learning</t>
  </si>
  <si>
    <t>VENDBILL9509</t>
  </si>
  <si>
    <t>VENDBILL9508</t>
  </si>
  <si>
    <t>Workforce Now Payroll Solution Bundle Payroll Enhanced HR Administration Assist Learning</t>
  </si>
  <si>
    <t>INV2534600</t>
  </si>
  <si>
    <t>VENDBILL9539</t>
  </si>
  <si>
    <t>INV2534972</t>
  </si>
  <si>
    <t>VENDBILL9574</t>
  </si>
  <si>
    <t>INV2535253</t>
  </si>
  <si>
    <t>Sergio Tacchini - 2025 HR - On-Going HR</t>
  </si>
  <si>
    <t>VENDBILL9605</t>
  </si>
  <si>
    <t>INV2535621</t>
  </si>
  <si>
    <t>Nicole Neil</t>
  </si>
  <si>
    <t>Kristin Petersen</t>
  </si>
  <si>
    <t>2026-03</t>
  </si>
  <si>
    <t>Rent Mar 2026</t>
  </si>
  <si>
    <t>JE8173</t>
  </si>
  <si>
    <t>Tennis Racquet Props</t>
  </si>
  <si>
    <t>Pickle ball props</t>
  </si>
  <si>
    <t>FB59F84563A946D2AC35</t>
  </si>
  <si>
    <t>Dispute Charge Credit- Claude AI</t>
  </si>
  <si>
    <t>1HT9-7XNY-FW7G</t>
  </si>
  <si>
    <t>NY Office Supplies March 2026</t>
  </si>
  <si>
    <t>Boxes for seeding</t>
  </si>
  <si>
    <t>Color Pantones Chips  for FW27</t>
  </si>
  <si>
    <t>Am793A</t>
  </si>
  <si>
    <t>Fit time : 1:30-2:30</t>
  </si>
  <si>
    <t>Fit time : 10:15-11:15</t>
  </si>
  <si>
    <t>FW27 Reference Samples</t>
  </si>
  <si>
    <t>A97657</t>
  </si>
  <si>
    <t>A97329</t>
  </si>
  <si>
    <t>D31828180</t>
  </si>
  <si>
    <t>9-205-62198</t>
  </si>
  <si>
    <t>Grace Discount</t>
  </si>
  <si>
    <t>9-205-62197</t>
  </si>
  <si>
    <t>D32101308</t>
  </si>
  <si>
    <t>ZYP0005322930</t>
  </si>
  <si>
    <t>SHIPMENT VALUE PROTECTION</t>
  </si>
  <si>
    <t>ZYPI003988831</t>
  </si>
  <si>
    <t>D32283736</t>
  </si>
  <si>
    <t>Customs Duty Thong Tha</t>
  </si>
  <si>
    <t>D32161204</t>
  </si>
  <si>
    <t>D32203013</t>
  </si>
  <si>
    <t>2-516-81885</t>
  </si>
  <si>
    <t>D32335207</t>
  </si>
  <si>
    <t>ZYPI003991668</t>
  </si>
  <si>
    <t>D32335169</t>
  </si>
  <si>
    <t>D32350699</t>
  </si>
  <si>
    <t>9-223-68033</t>
  </si>
  <si>
    <t>D32488949</t>
  </si>
  <si>
    <t>D32505802</t>
  </si>
  <si>
    <t>D32523100</t>
  </si>
  <si>
    <t>D32489356</t>
  </si>
  <si>
    <t>D32627948</t>
  </si>
  <si>
    <t>D32676303</t>
  </si>
  <si>
    <t>ZYP0005326481</t>
  </si>
  <si>
    <t>ZYPI003994604</t>
  </si>
  <si>
    <t>D32869034</t>
  </si>
  <si>
    <t>ZYPI003997633</t>
  </si>
  <si>
    <t>2-525-77542</t>
  </si>
  <si>
    <t>JE8242</t>
  </si>
  <si>
    <t>JE8241</t>
  </si>
  <si>
    <t>Internal discussion regarding status of complaint house. Prepare for and participate in call with client to discuss response to demand to cease sales of certain products.</t>
  </si>
  <si>
    <t>3710 - 03.18.2026</t>
  </si>
  <si>
    <t>Immigrant Legal Service - Na, Youngeun</t>
  </si>
  <si>
    <t>2603-025</t>
  </si>
  <si>
    <t>Consulting Filing form 1042</t>
  </si>
  <si>
    <t>Assurance Package review for 2025</t>
  </si>
  <si>
    <t>Assurance Audit for 2025</t>
  </si>
  <si>
    <t>Monthly Service Fee Monthly advisory service for March 2026</t>
  </si>
  <si>
    <t>2603-026</t>
  </si>
  <si>
    <t>Audit for 2025</t>
  </si>
  <si>
    <t>B-2603-0131</t>
  </si>
  <si>
    <t>JE8239</t>
  </si>
  <si>
    <t>Reverse STO Audit</t>
  </si>
  <si>
    <t>JE8240</t>
  </si>
  <si>
    <t>Reverse STIP Audit</t>
  </si>
  <si>
    <t>JE8218</t>
  </si>
  <si>
    <t>JE8209</t>
  </si>
  <si>
    <t>JE8208</t>
  </si>
  <si>
    <t>JE8213</t>
  </si>
  <si>
    <t>Cyber Liability Policy 03/2026-03/2027</t>
  </si>
  <si>
    <t>JE8214</t>
  </si>
  <si>
    <t>EPLI 03/01/2026 to 03/01/2027</t>
  </si>
  <si>
    <t>JE8219</t>
  </si>
  <si>
    <t>STO-0007</t>
  </si>
  <si>
    <t>60 Hours Engineering (March 2026)</t>
  </si>
  <si>
    <t>Genspark monthly subscription</t>
  </si>
  <si>
    <t>Claude monthly subscription</t>
  </si>
  <si>
    <t>ChatGPT monthly subscription</t>
  </si>
  <si>
    <t>Claude API Anthropic</t>
  </si>
  <si>
    <t>Gesnpark AI</t>
  </si>
  <si>
    <t>AI Claude</t>
  </si>
  <si>
    <t>QR code creation for Prince St Pizza &amp; Miami F1 event</t>
  </si>
  <si>
    <t>AI Freepik DESIGN SUBSCRIBTION</t>
  </si>
  <si>
    <t>JE8199</t>
  </si>
  <si>
    <t>JE8200</t>
  </si>
  <si>
    <t>JE8197</t>
  </si>
  <si>
    <t>JE8202</t>
  </si>
  <si>
    <t>JE8204</t>
  </si>
  <si>
    <t>JE8205</t>
  </si>
  <si>
    <t>JE8215</t>
  </si>
  <si>
    <t>Netsuite Quarter 4 Mar-May</t>
  </si>
  <si>
    <t>JE8220</t>
  </si>
  <si>
    <t>Quarterly Subscription - Docusign Q2</t>
  </si>
  <si>
    <t>JE8221</t>
  </si>
  <si>
    <t>Linedkin Premium Career 03/14/26-03/14/27</t>
  </si>
  <si>
    <t>JE8206</t>
  </si>
  <si>
    <t>JE8207</t>
  </si>
  <si>
    <t>JE8195</t>
  </si>
  <si>
    <t>JE8196</t>
  </si>
  <si>
    <t>ConEd 2/12/26</t>
  </si>
  <si>
    <t>JE8066</t>
  </si>
  <si>
    <t>JE8234</t>
  </si>
  <si>
    <t>Mar 2026 Electric</t>
  </si>
  <si>
    <t>JE8198</t>
  </si>
  <si>
    <t>JE8232</t>
  </si>
  <si>
    <t>Update to AR Allowance - Q1 2026</t>
  </si>
  <si>
    <t>JE8172</t>
  </si>
  <si>
    <t>Inventory Reserve - Mar 2026</t>
  </si>
  <si>
    <t>JE8226</t>
  </si>
  <si>
    <t>JE7851</t>
  </si>
  <si>
    <t>User Support- M - F 8am - 6pm, unlimited remote ONLY, Unlimited support of Office365, Google Apps, Adobe Admin, CTO services for Purchasing, Consulting, Project Management, Policy Development, Vendor Management, 24/7 Monitoring and Alerting, patch management, auto remediation</t>
  </si>
  <si>
    <t>2026-04</t>
  </si>
  <si>
    <t>Rent Apr 2026</t>
  </si>
  <si>
    <t>D32956736</t>
  </si>
  <si>
    <t>D32923805</t>
  </si>
  <si>
    <t>A97896</t>
  </si>
  <si>
    <t>TACCHINI</t>
  </si>
  <si>
    <t>STO-0008</t>
  </si>
  <si>
    <t>60 Hours Engineering (April 2026</t>
  </si>
  <si>
    <t>VENDBILL9691</t>
  </si>
  <si>
    <t>ConEd 3/17/26</t>
  </si>
  <si>
    <t>JE8235</t>
  </si>
  <si>
    <t>JE8184</t>
  </si>
  <si>
    <t>D33019549</t>
  </si>
  <si>
    <t>4E95948CD564447A97C9</t>
  </si>
  <si>
    <t>Coffee Meeting</t>
  </si>
  <si>
    <t>011D01CA54FD49F4B433</t>
  </si>
  <si>
    <t>Office Snack - doughnut</t>
  </si>
  <si>
    <t>Model Fee HOURLY: Tetiana Apr 2, 2026 - Apr 2, 2026, 1 @ 275.00</t>
  </si>
  <si>
    <t>VENDBILL9653</t>
  </si>
  <si>
    <t>1F174240BA91458C9E66</t>
  </si>
  <si>
    <t>MC Brand Dinner</t>
  </si>
  <si>
    <t>Coffee for influencer MCCC</t>
  </si>
  <si>
    <t>Lunch for Influencers</t>
  </si>
  <si>
    <t>Beverages</t>
  </si>
  <si>
    <t>Dinner</t>
  </si>
  <si>
    <t>Coffee</t>
  </si>
  <si>
    <t>Portion of Coya Dinner</t>
  </si>
  <si>
    <t>LUGAGE FEE</t>
  </si>
  <si>
    <t>Luggage Fee</t>
  </si>
  <si>
    <t>Flight Wifi</t>
  </si>
  <si>
    <t>Airport to Home</t>
  </si>
  <si>
    <t>Taxi to MCCC</t>
  </si>
  <si>
    <t>Taxi from dinner</t>
  </si>
  <si>
    <t>Taxi from NCE to Hotel</t>
  </si>
  <si>
    <t>Taxi to hotel</t>
  </si>
  <si>
    <t>Taxi from hotel</t>
  </si>
  <si>
    <t>Home to Airport ride</t>
  </si>
  <si>
    <t>Hats and Visors</t>
  </si>
  <si>
    <t>ST Outfits for extra guests</t>
  </si>
  <si>
    <t>Chris Dinner Fit</t>
  </si>
  <si>
    <t>Portable Chargers</t>
  </si>
  <si>
    <t>4596F1F6A4B745F1A8CD</t>
  </si>
  <si>
    <t>Claude Fraud Adjustment</t>
  </si>
  <si>
    <t>0185923AD3814DF3B103</t>
  </si>
  <si>
    <t>Delaware Good Standing Issue Fee</t>
  </si>
  <si>
    <t>Software Monthly Expense - AI Claude for team</t>
  </si>
  <si>
    <t>International Bank Fee</t>
  </si>
  <si>
    <t>international bank fee</t>
  </si>
  <si>
    <t>EF7D84D33BEF49B59B95</t>
  </si>
  <si>
    <t>Snack whilst on sourcing business trip in China</t>
  </si>
  <si>
    <t>Dinner from hotel whilst on China business trip</t>
  </si>
  <si>
    <t>Dinner whilst on business sourcing trip in China</t>
  </si>
  <si>
    <t>Breakfast whilst traveling on china business trip</t>
  </si>
  <si>
    <t>breakfast for full team for meeting</t>
  </si>
  <si>
    <t>Hotel for China Sourcing business trip</t>
  </si>
  <si>
    <t>Transfer from hotel to airport in Shanghai business trip</t>
  </si>
  <si>
    <t>Transfer from Airport to Home after China business trip</t>
  </si>
  <si>
    <t>Airport Transfer from home to JFK for sourcing business trip</t>
  </si>
  <si>
    <t>taxi transfer from airport to airport in Tokyo to get to china</t>
  </si>
  <si>
    <t>Taxi to work after collecting china visa</t>
  </si>
  <si>
    <t>Taxi to china consulate for visa for business travel</t>
  </si>
  <si>
    <t>China Visa cost for business travel</t>
  </si>
  <si>
    <t>international transaction whilst on china business travel</t>
  </si>
  <si>
    <t>New Charges</t>
  </si>
  <si>
    <t>EI71T3JX-0007</t>
  </si>
  <si>
    <t>D33091538</t>
  </si>
  <si>
    <t>Factory Shipment - April</t>
  </si>
  <si>
    <t>9-243-10733</t>
  </si>
  <si>
    <t>Automation</t>
  </si>
  <si>
    <t>Weight</t>
  </si>
  <si>
    <t>EXPRESS WORK O M I T A L Y I N A C C O D A E W I T E T I E D B E</t>
  </si>
  <si>
    <t>SERGIO TACCHINI HOLOGRAMS OF MM 16 X MM 10. REFERRING AT ORDER ON OUR WEB SITE N. 377 OF 02/04/2026</t>
  </si>
  <si>
    <t>INV2536004</t>
  </si>
  <si>
    <t>ZYP0005329780</t>
  </si>
  <si>
    <t>FUEL</t>
  </si>
  <si>
    <t>D33345591</t>
  </si>
  <si>
    <t>D33325775</t>
  </si>
  <si>
    <t>D33207350</t>
  </si>
  <si>
    <t>ZYPI004000574</t>
  </si>
  <si>
    <t>D33324602</t>
  </si>
  <si>
    <t>JE8252</t>
  </si>
  <si>
    <t>Agency Fee Agency fee, 1 @ 45.00</t>
  </si>
  <si>
    <t>Model Fee HALF HOUR: Tetiana Apr 9, 2026 - Apr 9, 2026, 1 @ 225.00</t>
  </si>
  <si>
    <t>VENDBILL9701</t>
  </si>
  <si>
    <t>997E3390849B400EBB36</t>
  </si>
  <si>
    <t>Offboard Lunch</t>
  </si>
  <si>
    <t>Offboard Coffee</t>
  </si>
  <si>
    <t>Sergio Tacchini - Professional Services (Expenses will be invoiced separately) Sergio Tacchini x Press Day</t>
  </si>
  <si>
    <t>D33469955</t>
  </si>
  <si>
    <t>VENDBILL9699</t>
  </si>
  <si>
    <t>D33495225</t>
  </si>
  <si>
    <t>Customs Duty Thon Thai</t>
  </si>
  <si>
    <t>9-253-12958</t>
  </si>
  <si>
    <t>FedEx Express Services</t>
  </si>
  <si>
    <t>9-253-12959</t>
  </si>
  <si>
    <t>FedEx Ground Services</t>
  </si>
  <si>
    <t>D33516923</t>
  </si>
  <si>
    <t>DUTY TAX PROCESSING ACCOUNT</t>
  </si>
  <si>
    <t>INV2536386</t>
  </si>
  <si>
    <t>DDT n. 173 del 15/04/2026 SERGIO TACCHINI HOLOGRAMS OF MM 16 X MM 10. REFERRING AT ORDER ON OUR WEB SITE N. 398 OF 10/04/2026</t>
  </si>
  <si>
    <t>PA26200</t>
  </si>
  <si>
    <t>BOTANICA CABANA SKIRT BIJOU BLUE</t>
  </si>
  <si>
    <t>BOTANICA CABANA SHIRT</t>
  </si>
  <si>
    <t>SPENTO TRACK PANT DEEP CLARET</t>
  </si>
  <si>
    <t>SPENTO TRACK JACKET DEEP CLARET</t>
  </si>
  <si>
    <t>LAVATO TRACK PANT MARITIME BLUE</t>
  </si>
  <si>
    <t>LAVATO TRACK PANT DEEP CLARET</t>
  </si>
  <si>
    <t>LAVATO TRACK JACKET MARITIME BLUE</t>
  </si>
  <si>
    <t>LAVATO TRACK JACKET DEEP CLARET</t>
  </si>
  <si>
    <t>D33561241</t>
  </si>
  <si>
    <t>D33542095</t>
  </si>
  <si>
    <t>Customs duty Porta</t>
  </si>
  <si>
    <t>D33561372</t>
  </si>
  <si>
    <t>D33562034</t>
  </si>
  <si>
    <t>ZYP1004003557</t>
  </si>
  <si>
    <t>D33543858</t>
  </si>
  <si>
    <t>JE8318</t>
  </si>
  <si>
    <t>JE8287</t>
  </si>
  <si>
    <t>Retirement plan and investment advisory services</t>
  </si>
  <si>
    <t>D33601339</t>
  </si>
  <si>
    <t>DUTY TAX PROCESSING ACCOUNT IMPORT EXPORT DUTIES</t>
  </si>
  <si>
    <t>D33735785</t>
  </si>
  <si>
    <t>ZIPPER PULLER</t>
  </si>
  <si>
    <t>D33686598</t>
  </si>
  <si>
    <t>PA26201</t>
  </si>
  <si>
    <t>Spring 2027 Sample Costing</t>
  </si>
  <si>
    <t>D33753505</t>
  </si>
  <si>
    <t>91B130225653458BAF37</t>
  </si>
  <si>
    <t>Ride home from PSP</t>
  </si>
  <si>
    <t>INV2536657</t>
  </si>
  <si>
    <t>Payroll Services 04/12-04/18</t>
  </si>
  <si>
    <t>GWS/SMS-001/26-27</t>
  </si>
  <si>
    <t>Development Charges-Samples</t>
  </si>
  <si>
    <t>D33770263</t>
  </si>
  <si>
    <t>ZYP0005332953</t>
  </si>
  <si>
    <t>ZYP1004006715</t>
  </si>
  <si>
    <t>D33830476</t>
  </si>
  <si>
    <t>VENDBILL9773</t>
  </si>
  <si>
    <t>2604-032</t>
  </si>
  <si>
    <t>Monthly Service Fee Monthly advisory service for April, 2026</t>
  </si>
  <si>
    <t>2604-031</t>
  </si>
  <si>
    <t>JE8319</t>
  </si>
  <si>
    <t>JE8314</t>
  </si>
  <si>
    <t>IRS - 2022 940 Payment Principal</t>
  </si>
  <si>
    <t>IRS - 2023 940 Payment Principal</t>
  </si>
  <si>
    <t>321C2DC3924A461B8204</t>
  </si>
  <si>
    <t>Lunch with Chris Ivery</t>
  </si>
  <si>
    <t>Cancelled and refunded</t>
  </si>
  <si>
    <t>Taxi to vendor meeting</t>
  </si>
  <si>
    <t>9-271-22885</t>
  </si>
  <si>
    <t>Same Day OC Pickup Mon-Fri (Online)</t>
  </si>
  <si>
    <t>Standard- Ground Brown Box</t>
  </si>
  <si>
    <t>AI monthly subscription</t>
  </si>
  <si>
    <t>Fees &amp; Other Charges</t>
  </si>
  <si>
    <t>Services &amp; Equipment</t>
  </si>
  <si>
    <t>EI71T3JX-0008</t>
  </si>
  <si>
    <t>D33952203</t>
  </si>
  <si>
    <t>D33975352</t>
  </si>
  <si>
    <t>INV2537022</t>
  </si>
  <si>
    <t>D33994927</t>
  </si>
  <si>
    <t>38BF794EB59A4E35BDA1</t>
  </si>
  <si>
    <t>Candidate Interview</t>
  </si>
  <si>
    <t>JE8359</t>
  </si>
  <si>
    <t>Alex April 2026 China Trip Airfare</t>
  </si>
  <si>
    <t>D5370C4942074FCCB8F4</t>
  </si>
  <si>
    <t>Uber Taxi Fee</t>
  </si>
  <si>
    <t>Late Night Taxi</t>
  </si>
  <si>
    <t>04.30.2026</t>
  </si>
  <si>
    <t>JE8394</t>
  </si>
  <si>
    <t>JE8393</t>
  </si>
  <si>
    <t>JE8354</t>
  </si>
  <si>
    <t>JE8371</t>
  </si>
  <si>
    <t>AM Marketing April 2026- COGS</t>
  </si>
  <si>
    <t>JE8391</t>
  </si>
  <si>
    <t>C7774081E85B4239B65A</t>
  </si>
  <si>
    <t>Christina's goodbye flowers</t>
  </si>
  <si>
    <t>1JN9-R4KF-YDMM</t>
  </si>
  <si>
    <t>Scott® P rofessional Universal Multifold Paper Towels, Bulk (01840) Absorbency Pockets, 9.2" x 9.4" sheets, Standard Tier, Compressed, White (250 Sheets/Pack, 16 Packs/Case, 4,000 Sheets/Case)</t>
  </si>
  <si>
    <t>Scott P rofessional 100% Recycled Fiber High-Capacity J umbo Roll Toilet Paper, Bulk (67805), 2-Ply, Septic Safe, White, Non-Perforated (12 Rolls at 1,000' Each, 12,000/Case)</t>
  </si>
  <si>
    <t>Logitech MX Master 4 for Mac, Ergonomic Bluetooth Mouse with Advanced Performance Haptic Feedback, Ultra-Fast Scrolling, USB-C Charging, MacOS, iPadOS, Windows - Space Black</t>
  </si>
  <si>
    <t>bubly, 3 Flavor Variety Pack (Bellini Bliss, Strawberry Sunset, Coconut Pineapple), Zero Sugar &amp; Zero Calories, 12 FIOz Cans (Pack of 18)</t>
  </si>
  <si>
    <t>Sprite Lemon Lime Soda Soft Drinks, 7.5 fl oz, 10 Pack,Cans</t>
  </si>
  <si>
    <t>bubly, 3 Flavor Variety Pack (Bellini Bliss, Strawberry Sunset, Coconut Pineapple), Zero Sugar &amp; Zero Calories, 12 FI Oz Cans (Pack of 18) 29, 2026</t>
  </si>
  <si>
    <t>bubly Sparkling Water, 6 Flavor Variety Pack (Blackberry, Lime, Cherry Grapefruit, Strawberry, Mango), Zero Sugar &amp; Zero Calories, Seltzer Water, 12 FIOz Cans (Pack of 18)</t>
  </si>
  <si>
    <t>JE8378</t>
  </si>
  <si>
    <t>TTT2026/000020</t>
  </si>
  <si>
    <t>100%POLYESTER KNITTED</t>
  </si>
  <si>
    <t>PIAZZA PERFORMANCE POLO</t>
  </si>
  <si>
    <t>PIAZZA PERFORMANCE 5" SHORT</t>
  </si>
  <si>
    <t>PIAZZA PERFORMANCE T-SHIRT</t>
  </si>
  <si>
    <t>PIAZZA PERFORMANCE TRACK</t>
  </si>
  <si>
    <t>PIAZZA PERFORMANCE TRACK PANT</t>
  </si>
  <si>
    <t>PIAZZA PERFORMANCE TRACK JACKET</t>
  </si>
  <si>
    <t>MEN'S POLO 97%COTTON 3%ELASTANE KNITTED</t>
  </si>
  <si>
    <t>COLPO POLO MEN'S POLO 97%COTTON 3%ELASTANE KNITTED</t>
  </si>
  <si>
    <t>MEN'S SWEATPANT 90%COTTON 10%POLYESTER KNITTED</t>
  </si>
  <si>
    <t>COLPO SWEATPANT MEN'S SWEATPANT 90%COTTON 10%POLYESTER KNITTED</t>
  </si>
  <si>
    <t>MEN'S SWEATSHIRT 90%COTTON 10%POLYESTER KNITTED</t>
  </si>
  <si>
    <t>VERO PERFORMANCE POLO MEN'S POLO 100%RECYCLE POLYESTER KNITTED</t>
  </si>
  <si>
    <t>VERO PERFORMANCE T-SHIRT MEN'S T-SHIRT 100%RECYCLE POLYESTER KNITTED</t>
  </si>
  <si>
    <t>D34003587</t>
  </si>
  <si>
    <t>ZYPI004010441</t>
  </si>
  <si>
    <t>JE8412</t>
  </si>
  <si>
    <t>GNS April</t>
  </si>
  <si>
    <t>Wave IP April</t>
  </si>
  <si>
    <t>JE8397</t>
  </si>
  <si>
    <t>April 2026 - Legal Fees Adidas</t>
  </si>
  <si>
    <t>JE8353</t>
  </si>
  <si>
    <t>JE8357</t>
  </si>
  <si>
    <t>JE8365</t>
  </si>
  <si>
    <t>Business Owner + Umberella 03/16/26-03/16/27</t>
  </si>
  <si>
    <t>JE8356</t>
  </si>
  <si>
    <t>JE8338</t>
  </si>
  <si>
    <t>JE8352</t>
  </si>
  <si>
    <t>Software Monthly Expense  - Claude AI</t>
  </si>
  <si>
    <t>Claude Subscription</t>
  </si>
  <si>
    <t>FreePik Subscription - Brizan</t>
  </si>
  <si>
    <t>FreePik Subscription - Roberta</t>
  </si>
  <si>
    <t>Claude API</t>
  </si>
  <si>
    <t>JE8348</t>
  </si>
  <si>
    <t>JE8351</t>
  </si>
  <si>
    <t>JE8350</t>
  </si>
  <si>
    <t>JE8347</t>
  </si>
  <si>
    <t>JE8349</t>
  </si>
  <si>
    <t>JE8417</t>
  </si>
  <si>
    <t>Linkedin Yearly Subscription (Apr26-Apr27)</t>
  </si>
  <si>
    <t>JE8342</t>
  </si>
  <si>
    <t>JE8340</t>
  </si>
  <si>
    <t>JE8358</t>
  </si>
  <si>
    <t>JE8361</t>
  </si>
  <si>
    <t>JE8344</t>
  </si>
  <si>
    <t>JE8362</t>
  </si>
  <si>
    <t>JE8360</t>
  </si>
  <si>
    <t>JE8364</t>
  </si>
  <si>
    <t>Avalara ECM and 1 Return - FY 2026-2027</t>
  </si>
  <si>
    <t>JE8415</t>
  </si>
  <si>
    <t>Claude AI Yearly Subscription Admin (Apr26-Apr27)</t>
  </si>
  <si>
    <t>JE8339</t>
  </si>
  <si>
    <t>JE8395</t>
  </si>
  <si>
    <t>April 2026 Electric</t>
  </si>
  <si>
    <t>JE8341</t>
  </si>
  <si>
    <t>GS1 License Renewal for Barcoding  Apr 2026</t>
  </si>
  <si>
    <t>JE8330</t>
  </si>
  <si>
    <t>Inventory Reserve - April 2026 Estimate</t>
  </si>
  <si>
    <t>JE8379</t>
  </si>
  <si>
    <t>7000 - Depreciation:7030 - Plant Machinery &amp; Equipment - Depreciation Exp</t>
  </si>
  <si>
    <t>7000 - Depreciation:7040 - Furniture &amp; Fixtures - Depreciation Exp</t>
  </si>
  <si>
    <t>7000 - Depreciation:7060 - Information Technology &amp; Software - Depreciation Exp</t>
  </si>
  <si>
    <t>JE7852</t>
  </si>
  <si>
    <t>4/24 Messenger: V MAG to Lede Total Reimbursable Expenses</t>
  </si>
  <si>
    <t>4/15 Messenger: Lede to WSA</t>
  </si>
  <si>
    <t>Sergio Tacchini - Professional Services (Expenses will be invoiced separately)</t>
  </si>
  <si>
    <t>431165128799_1</t>
  </si>
  <si>
    <t>431165128799 invoice amount diff catch up</t>
  </si>
  <si>
    <t>INV-2026-001</t>
  </si>
  <si>
    <t>Marlee Made</t>
  </si>
  <si>
    <t>fee for content creation and editing 5 reels for World Tournament capsule</t>
  </si>
  <si>
    <t>VENDBILL9814</t>
  </si>
  <si>
    <t>VENDBILL9813</t>
  </si>
  <si>
    <t>2026-05</t>
  </si>
  <si>
    <t>Rent May 2026</t>
  </si>
  <si>
    <t>DIKNAPR26273</t>
  </si>
  <si>
    <t>GUACAMOLE</t>
  </si>
  <si>
    <t>PALE IRIS</t>
  </si>
  <si>
    <t>LEMONADE</t>
  </si>
  <si>
    <t>BIJOU BLUE</t>
  </si>
  <si>
    <t>ASPHALT</t>
  </si>
  <si>
    <t>MARITIME BLUE</t>
  </si>
  <si>
    <t>CERULEAN</t>
  </si>
  <si>
    <t>BRILLIANT WHITE</t>
  </si>
  <si>
    <t>ESTATE BLUE</t>
  </si>
  <si>
    <t>LAUREL OAK</t>
  </si>
  <si>
    <t>JKBLR015/26-27</t>
  </si>
  <si>
    <t>ARIA KNIT SS TRACK JACKET</t>
  </si>
  <si>
    <t>ARIA KNIT DRESS</t>
  </si>
  <si>
    <t>ELI KNIT POLO</t>
  </si>
  <si>
    <t>SOLD KNIT SHORT</t>
  </si>
  <si>
    <t>SOLDI KNIT POLO SHORTS</t>
  </si>
  <si>
    <t>SOLDI KNIT POLO</t>
  </si>
  <si>
    <t>LUSSO CABANA SHORT T-SHIRT</t>
  </si>
  <si>
    <t>LUSSO CABANA SHORT</t>
  </si>
  <si>
    <t>LUSSO CABANA SHIRT MENS SHORTS</t>
  </si>
  <si>
    <t>LUSSO CABANA SHIRT</t>
  </si>
  <si>
    <t>JKBLR013/26-27</t>
  </si>
  <si>
    <t>PREPENTE CARDIGAN</t>
  </si>
  <si>
    <t>FICO V-NECK VEST SWEATER</t>
  </si>
  <si>
    <t>FICO CREW LONG SLEEVE SWEATER</t>
  </si>
  <si>
    <t>STORIA CREWNECK SWEATER</t>
  </si>
  <si>
    <t>TRICOLORE QUARTER ZIP SWEATER</t>
  </si>
  <si>
    <t>100% COTTON KNITTED MENS SWEATER TRICOLORE QUARTER ZIP SWEATER</t>
  </si>
  <si>
    <t>29AABCJ4513B1Z0 - 2</t>
  </si>
  <si>
    <t>97% COTTON 2% POLYAMIDE 1% ELASTANE KNITTED MENS SHORTS</t>
  </si>
  <si>
    <t>97% COTTON 2% POLYAMIDE 1% ELASTANE KNITTED MENS SWEATER</t>
  </si>
  <si>
    <t>97% COTTON 2% POLYAMIDE 1% ELASTANE KNITTED MENS SHIRT</t>
  </si>
  <si>
    <t>97% COTTON 2% POLYAMIDE 1% ELASTANE KNITTED WOMEN DRESS</t>
  </si>
  <si>
    <t>97% COTTON 2% POLYAMIDE 1% ELASTANE KNITTED WOMENS SHORTS</t>
  </si>
  <si>
    <t>97% COTTON 2% POLYAMIDE 1% ELASTANE KNITTED WOMENS JACKET</t>
  </si>
  <si>
    <t>97% COTTON 2% POLYAMIDE 1% ELASTANE KNITTED WOMEN T-SHIRT</t>
  </si>
  <si>
    <t>SS27-ST004</t>
  </si>
  <si>
    <t>SS27 Samples</t>
  </si>
  <si>
    <t>VENDBILL9900</t>
  </si>
  <si>
    <t>SS27 Sample - Sara</t>
  </si>
  <si>
    <t>ARIA KNIT TRACK SHORT</t>
  </si>
  <si>
    <t>A98021</t>
  </si>
  <si>
    <t>SERGIO TACCHINI YORK 10010 Surcharges: trunk - suitcase</t>
  </si>
  <si>
    <t>BERGEN LOGISTICS MEMORIAL</t>
  </si>
  <si>
    <t>SERGIO TACCHINI STREET YORK</t>
  </si>
  <si>
    <t>B-2604-0139</t>
  </si>
  <si>
    <t>Trademark Legal - 04.2026</t>
  </si>
  <si>
    <t>VENDBILL9868</t>
  </si>
  <si>
    <t>shipping fee</t>
  </si>
  <si>
    <t>loun (POA, Change of Address, DE Good</t>
  </si>
  <si>
    <t>JE8413</t>
  </si>
  <si>
    <t>STO-0009</t>
  </si>
  <si>
    <t>Overage hours (March 2026)</t>
  </si>
  <si>
    <t>60 Hours Engineering (May 2026)</t>
  </si>
  <si>
    <t>ConEd 4/14/26</t>
  </si>
  <si>
    <t>JE8396</t>
  </si>
  <si>
    <t>D34068655</t>
  </si>
  <si>
    <t>D34088475</t>
  </si>
  <si>
    <t>78BD3A62B9AA4C918758</t>
  </si>
  <si>
    <t>S27 Costing meeting Lunch</t>
  </si>
  <si>
    <t>Ben Hansen Photography</t>
  </si>
  <si>
    <t>Photography World Tournament</t>
  </si>
  <si>
    <t>Agency Fee Agency fee, 1 @ USD 300.00</t>
  </si>
  <si>
    <t>Expenses Recovered TAXI: Gabbie Guest. Uber home from set May 4, 2026 - May 4, 2026, 1 @ USD 101.50</t>
  </si>
  <si>
    <t>Model Fee HALF DAY: Gabbie Guest. Half Day Shoot May 4, 2026 - May 4, 2026, 1 @ USD 1,500.00</t>
  </si>
  <si>
    <t>Mouse for employee</t>
  </si>
  <si>
    <t>9-282-12418</t>
  </si>
  <si>
    <t>Various Marketing Shipments</t>
  </si>
  <si>
    <t>Division of Corp to Leila -Finance</t>
  </si>
  <si>
    <t>D34164682</t>
  </si>
  <si>
    <t>NMOLYDTJ-0002</t>
  </si>
  <si>
    <t>Numeral</t>
  </si>
  <si>
    <t>Numeral Tax Service</t>
  </si>
  <si>
    <t>PHOTOGRAPHER: Ben Hansen Model Services by David Grinsfelder RE: Sergio Tacchini World Tournament Collection Shoot DATE: May 4th, 2026 LOCATION: Los Angeles &amp; Chatsworth, NY RATE: $3,000 per day - HALF DAY</t>
  </si>
  <si>
    <t>D34173991</t>
  </si>
  <si>
    <t>Payment Manager Pass Through Fee: Expense Payment Manager</t>
  </si>
  <si>
    <t>Base:Concur Connector for NetSuite - 1 Connector</t>
  </si>
  <si>
    <t>Base:Expenselt for Concur Travel &amp; Expense</t>
  </si>
  <si>
    <t>Base:Expense Payment Manager</t>
  </si>
  <si>
    <t>27FB8FC1EF8944708A5B</t>
  </si>
  <si>
    <t>Snacks and water at hotel</t>
  </si>
  <si>
    <t>2 water bottles at hotel</t>
  </si>
  <si>
    <t>B5B1EEB63369436BB5AA</t>
  </si>
  <si>
    <t>Marketing Team Olivia Business Trip - LA</t>
  </si>
  <si>
    <t>Hotel in LA for content shoot</t>
  </si>
  <si>
    <t>7E53C47E3190499BA874</t>
  </si>
  <si>
    <t>Travel Home after Late business review</t>
  </si>
  <si>
    <t>Driver to locations for shoot</t>
  </si>
  <si>
    <t>taxi on biz trip</t>
  </si>
  <si>
    <t>taxi from home to airport</t>
  </si>
  <si>
    <t>WIFI for laptop on plane</t>
  </si>
  <si>
    <t>WIFI for phone on plane</t>
  </si>
  <si>
    <t>INV2537273</t>
  </si>
  <si>
    <t>QR code activation for PSP box promotion</t>
  </si>
  <si>
    <t>Robes and face sheets for models to change on set</t>
  </si>
  <si>
    <t>Props and steamer for shoot</t>
  </si>
  <si>
    <t>Speaker for music on set</t>
  </si>
  <si>
    <t>prop for shoot</t>
  </si>
  <si>
    <t>ZYPI004012621</t>
  </si>
  <si>
    <t>Software Monthly Expense - AI Claude for team (Extra Usage)</t>
  </si>
  <si>
    <t>Model Fee HOURLY: Tetiana May 6, 2026 - May 6, 2026, 1 @ 275.00</t>
  </si>
  <si>
    <t>Documentation Fee</t>
  </si>
  <si>
    <t>D34229938</t>
  </si>
  <si>
    <t>Copier Sales tax</t>
  </si>
  <si>
    <t>VENDBILL9855</t>
  </si>
  <si>
    <t>9-291-19081</t>
  </si>
  <si>
    <t>Automation Bonus Discount</t>
  </si>
  <si>
    <t>D34269663</t>
  </si>
  <si>
    <t>Model Fee HOURLY: Tetiana May 12, 2026 - May 12, 2026, 1 @ USD 275.00</t>
  </si>
  <si>
    <t>HESRRO-SS27003-1</t>
  </si>
  <si>
    <t>CLEO CABANA SKIRT</t>
  </si>
  <si>
    <t>CLEO CABANA SHIRT</t>
  </si>
  <si>
    <t>CREPSA SHORT</t>
  </si>
  <si>
    <t>CRESPA TRACK JACKET</t>
  </si>
  <si>
    <t>LIONI TRACK PANT</t>
  </si>
  <si>
    <t>LIONI TRACK JACKET</t>
  </si>
  <si>
    <t>PAIO SHORT</t>
  </si>
  <si>
    <t>PAIO TRACK PANT</t>
  </si>
  <si>
    <t>PAIO TRACK JACKET</t>
  </si>
  <si>
    <t>VELA ANORAK JACKET</t>
  </si>
  <si>
    <t>VELA SHORT</t>
  </si>
  <si>
    <t>VELA TRACK PANT</t>
  </si>
  <si>
    <t>VELA TRACK JACKET</t>
  </si>
  <si>
    <t>COLORI TRACK PANT</t>
  </si>
  <si>
    <t>COLORI TRACK JACKET</t>
  </si>
  <si>
    <t>ARIOSA TRACK PANT</t>
  </si>
  <si>
    <t>ARIOSA TRACK JACKET</t>
  </si>
  <si>
    <t>ARIOSA TRACK JACKET ASH ROSE</t>
  </si>
  <si>
    <t>LIONI TECH FLEECE PANT</t>
  </si>
  <si>
    <t>LIONI TECH FLEECE JACKET</t>
  </si>
  <si>
    <t>VERO PERFORMANCE SHORT</t>
  </si>
  <si>
    <t>VERO PERFORMANCE TRACK PANT</t>
  </si>
  <si>
    <t>VERO PERFORMANCE TRACK PANT MARITIME BLUE</t>
  </si>
  <si>
    <t>VERO PERFORMANCE TRACK JACKET PESTO</t>
  </si>
  <si>
    <t>VERO PERFORMANCE TRACK JACKET IMPERIAL BLUE</t>
  </si>
  <si>
    <t>VERO PERFORMANCE TRACK JACKET MARITIME BLUE</t>
  </si>
  <si>
    <t>ARCO SHORT</t>
  </si>
  <si>
    <t>ARCO TRACK PANT</t>
  </si>
  <si>
    <t>ARCO TRACK JACKET</t>
  </si>
  <si>
    <t>DAMARINDO SHORT</t>
  </si>
  <si>
    <t>DAMARINDO TRACK PANT</t>
  </si>
  <si>
    <t>DAMARINDO TRACK JACKET</t>
  </si>
  <si>
    <t>D34353769</t>
  </si>
  <si>
    <t>D34331412</t>
  </si>
  <si>
    <t>D34376266</t>
  </si>
  <si>
    <t>D34331372</t>
  </si>
  <si>
    <t>INV2537654</t>
  </si>
  <si>
    <t>ZYPI004015489</t>
  </si>
  <si>
    <t>ZYP0005338112</t>
  </si>
  <si>
    <t>D34380597</t>
  </si>
  <si>
    <t>D34421439</t>
  </si>
  <si>
    <t>Shipment Factory to Sergio</t>
  </si>
  <si>
    <t>D34426192</t>
  </si>
  <si>
    <t>Shipment Factory to Office</t>
  </si>
  <si>
    <t>D34425751</t>
  </si>
  <si>
    <t>CLEARANCE PROCESSING</t>
  </si>
  <si>
    <t>ADDITIONAL DUTY</t>
  </si>
  <si>
    <t>MERCHANDISE PROCESS</t>
  </si>
  <si>
    <t>JE8489</t>
  </si>
  <si>
    <t>E054312282-1</t>
  </si>
  <si>
    <t>New York State Dept of Taxation &amp; Finance</t>
  </si>
  <si>
    <t>CC Payment Service Fee</t>
  </si>
  <si>
    <t>JE8478</t>
  </si>
  <si>
    <t>JE8479</t>
  </si>
  <si>
    <t>2026 Texas Franchise Tax Principal</t>
  </si>
  <si>
    <t>D34467304</t>
  </si>
  <si>
    <t>D34464329</t>
  </si>
  <si>
    <t>D34509826</t>
  </si>
  <si>
    <t>Agency Fee fee, 1 @</t>
  </si>
  <si>
    <t>Model Fee HOURLY: Megan Levine May 19, 2026 - May 19, 2026, 2 @ 275.00</t>
  </si>
  <si>
    <t>D34561263</t>
  </si>
  <si>
    <t>D34524167</t>
  </si>
  <si>
    <t>D34514407</t>
  </si>
  <si>
    <t>D34573986</t>
  </si>
  <si>
    <t>D34537493</t>
  </si>
  <si>
    <t>INV2537911</t>
  </si>
  <si>
    <t>D34594465</t>
  </si>
  <si>
    <t>ZYP0005339777</t>
  </si>
  <si>
    <t>ZYPI004018518</t>
  </si>
  <si>
    <t>725D585C96BD451D88F2</t>
  </si>
  <si>
    <t>Notarized certified translation</t>
  </si>
  <si>
    <t>Photo</t>
  </si>
  <si>
    <t>Medical Exam</t>
  </si>
  <si>
    <t>VENDBILL9931</t>
  </si>
  <si>
    <t>D34635397</t>
  </si>
  <si>
    <t>D34626024</t>
  </si>
  <si>
    <t>JE8494</t>
  </si>
  <si>
    <t>CA Sales Tax (2025) – Penalty</t>
  </si>
  <si>
    <t>C90CEA5AD92F483483B3</t>
  </si>
  <si>
    <t>Lunch interview with Andy Barr (Merchandising Consultant)</t>
  </si>
  <si>
    <t>Birthday cake for Matt Ng</t>
  </si>
  <si>
    <t>Lunch with STO team</t>
  </si>
  <si>
    <t>breakfast interview with marketing candidate</t>
  </si>
  <si>
    <t>Parking for BR meeting</t>
  </si>
  <si>
    <t>Parking for wholesale store visit</t>
  </si>
  <si>
    <t>D34767204</t>
  </si>
  <si>
    <t>FABRIC SWATCH</t>
  </si>
  <si>
    <t>D34715903</t>
  </si>
  <si>
    <t>2605-020</t>
  </si>
  <si>
    <t>Monthly Service Fee Monthly advisory service for May, 2026</t>
  </si>
  <si>
    <t>2605-019</t>
  </si>
  <si>
    <t>Monthly AI subscription for Genspark</t>
  </si>
  <si>
    <t>Monthly AI subscription for Chatgpt</t>
  </si>
  <si>
    <t>Monthly AI subscription - GensparkAI</t>
  </si>
  <si>
    <t>AI monthly subscription - Claude</t>
  </si>
  <si>
    <t>AI additional usage charge (exceeded monthly limit - 1 of 2)</t>
  </si>
  <si>
    <t>AI additional usage charge (exceeded monthly limit 2 of 2)</t>
  </si>
  <si>
    <t>Model Fee HOURLY: Tatiana May 21, 2026 - May 21, 2026, 1 @ USD 275.00</t>
  </si>
  <si>
    <t>INV2538181</t>
  </si>
  <si>
    <t>D34810100</t>
  </si>
  <si>
    <t>ZYPI004021326</t>
  </si>
  <si>
    <t>05/25-06/27/2026</t>
  </si>
  <si>
    <t>B71C05752B784DC28C21</t>
  </si>
  <si>
    <t>Team Dinner for BR</t>
  </si>
  <si>
    <t>571496A3D7C343A28B3A</t>
  </si>
  <si>
    <t>Travel from La to NY round trip</t>
  </si>
  <si>
    <t>CAR RENTAL DUE TO LIRR BEING ON STRIKE</t>
  </si>
  <si>
    <t>Travel from NY back to LI</t>
  </si>
  <si>
    <t>LIRR FROM LI TO NYC</t>
  </si>
  <si>
    <t>Uber/lyft from my apartment to the airport</t>
  </si>
  <si>
    <t>Dispute transaction</t>
  </si>
  <si>
    <t>D34822738</t>
  </si>
  <si>
    <t>Eleven Labs AI</t>
  </si>
  <si>
    <t>JE8513</t>
  </si>
  <si>
    <t>0BB0B26861A841EFA90F</t>
  </si>
  <si>
    <t>1574679160494D8883C6</t>
  </si>
  <si>
    <t>Travel to apparel magic summit</t>
  </si>
  <si>
    <t>F0B23CB8F933407EB47C</t>
  </si>
  <si>
    <t>Late night Uber office - home (BR Meetting with Korea)</t>
  </si>
  <si>
    <t>JE8551</t>
  </si>
  <si>
    <t>JE8572</t>
  </si>
  <si>
    <t>Flexible Benefit May 2026</t>
  </si>
  <si>
    <t>JE8448</t>
  </si>
  <si>
    <t>JE8527</t>
  </si>
  <si>
    <t>AM Marketing May 2026- COGS</t>
  </si>
  <si>
    <t>JE8550</t>
  </si>
  <si>
    <t>1XTM-19R6-R7QV</t>
  </si>
  <si>
    <t>YOLCAR 7PCS Magnetic Staple Remover Bulk, Staple Remover Puller, Multicolored Stapler Remover Tool Staple Remover Stick for Home, School and Office Sold by: Hangzhouhengxkejiyouxiangangsi ASIN: B0DXYTCD3T Order date: May 18, 2026 Order #: 112-4945689-7459407</t>
  </si>
  <si>
    <t>Amazon Basics Standard Stapler Staples, 1/4" Length, 50000 Count, 10-Pack of 5000, Silver Sold by: Amazon.com Services, Inc ASIN: B07H2BNGN3 Order date: May 18, 2026 Order #: 112-4945689-7459407</t>
  </si>
  <si>
    <t>100% Cotton Muslin Cloth - Unbleached Soft White Muslin Fabric for Sewing &amp; Drapping (Light Weight, 63" x 2 Yards) Sold by: shenzhenlongshengxiangangsi ASIN: B0D5XQSY4W Order date: May 13, 2026 Order #: 112-0128547-4191407</t>
  </si>
  <si>
    <t>6pcs Lightning Whiteboard Pinstripe Tape Line, 108 Feet Feet Long per Roll, Dry Erase White Board Graphic Grid Marking Gridding Self Adhesive Artist Thin Pinstriping Tape Black (1/8 inch Width) Sold by: Zemin Zhang ASIN: B0F0V7WTD3 Order date: May 13, 2026 Order #: 112-0128547-4191407</t>
  </si>
  <si>
    <t>bubly Sparkling Water, 6 Flavor Variety Pack (Blackberry, Lime, Cherry, Grapefruit, Strawberry, Mango), Zero Sugar &amp; Zero Calories, Seltzer Water, 12 Fl Oz Cans (Pack of 18) Sold by: Amazon.com Services, Inc ASIN: B08NTN9Y1F Order date: May 11, 2026 Order #: 113-8513223-0058655</t>
  </si>
  <si>
    <t>Total 32Capsules, 16 Flavors Assorted, 2 of each Exploration Kit, Variety Discovery Sampler 32 Capsules Pod BULK Pack with Spoon / Espresso &amp; Lungo Coffee Mix Capsules Pod Pack (32, Assorted Flavors Capsule Pods) Sold by: JINHEI KIM ASIN: B0DFT47DQ Order date: May 03, 2026 Order #: 111-6617562-1220259</t>
  </si>
  <si>
    <t>Variety Pack with 18 Pods Compatible with Nespresso Vertuo 1 of Each Coffee Sample Discovery Pack Plus 10 Wooden Stirring Sticks Coffee Gift 18 Capsules Espresso Lungo Sold by: Jones B.V. ASIN: B0DVC7TX9G Order date: May 02, 2026 Order #: 114-3638279-2661852</t>
  </si>
  <si>
    <t>30pcs Closet Dividers Baby Clothes Organizers - Girl Boy Closet Organizer Boutique Clothing Rack Dividers Hanger Dividers Hanger Organizer Closet Labels Closet Separators Garment Sold by: WinTOP International Trading Co., Limited ASIN: B0BK910A14 Order date: May 12, 2026 Order #: 112-1335737-2828267</t>
  </si>
  <si>
    <t>bubly, 3 Flavor Variety Pack (Bolini Biss, Strawberry Sunset, Coconut Pineapple), Zero Sugar &amp; Zero Calories, 12 Fl Oz Cans (Pack of 18) Sold by: Amazon.com Services, Inc ASIN: B0CS511T7M Order date: April 24, 2026 Order #: 114-9937193-5518603</t>
  </si>
  <si>
    <t>Heavy Duty Packing Tape Gun for 2" Width Tape, Hold up to 180 Yards Length roll, Plus 1 Roll of Heavy Duty Packing Tape 1.88 in x 60 yd x 2.7 mil, Perfectape Brand, 2-Pack</t>
  </si>
  <si>
    <t>PERFECTAPE Heavy Duty Packing Tape 18 Rolls, Total 1080Y, Clear, 2.8 mil, 1.88 inch x 60 Yards, Ultra Strong, Roll for Packaging and Shipping</t>
  </si>
  <si>
    <t>bubly Sparkling Water, 6 Flavor Variety Pack (Blackberry, Lime, Cherry, Grapefruit, Strawberry, Mango), Zero Sugar &amp; Zero Calories, Seltzer Water, 12 Fl Oz Cans (Pack of 18)</t>
  </si>
  <si>
    <t>JE8537</t>
  </si>
  <si>
    <t>ZYP0005342521</t>
  </si>
  <si>
    <t>swearshirt sample</t>
  </si>
  <si>
    <t>ZYPI004023226</t>
  </si>
  <si>
    <t>JE8555</t>
  </si>
  <si>
    <t>JE8451</t>
  </si>
  <si>
    <t>JE8450</t>
  </si>
  <si>
    <t>JE8446</t>
  </si>
  <si>
    <t>JE8447</t>
  </si>
  <si>
    <t>JE8455</t>
  </si>
  <si>
    <t>AI SUBSCRIBTION - Claude</t>
  </si>
  <si>
    <t>AI DESIGN SUBSCRIPTION - MAGNIFIC (ROBERTA)</t>
  </si>
  <si>
    <t>AI DESIGN SUBSCRIPTION - MAGNIFIC (BRIZAN)</t>
  </si>
  <si>
    <t>JE8574</t>
  </si>
  <si>
    <t>Backbone May 2026</t>
  </si>
  <si>
    <t>JE8562</t>
  </si>
  <si>
    <t>ApparelMagic Annual Contract 2026 - 2027 Service - 1 Month @ 2,502.45</t>
  </si>
  <si>
    <t>JE8458</t>
  </si>
  <si>
    <t>JE8457</t>
  </si>
  <si>
    <t>JE8442</t>
  </si>
  <si>
    <t>JE8441</t>
  </si>
  <si>
    <t>Content Creation App subscription Oct25-Oct26 (Emp Term)</t>
  </si>
  <si>
    <t>JE8440</t>
  </si>
  <si>
    <t>JE8439</t>
  </si>
  <si>
    <t>JE8445</t>
  </si>
  <si>
    <t>Claude AI Yearly Subscription Marketing (Jan26 - Jan27 Emp Term)</t>
  </si>
  <si>
    <t>JE8454</t>
  </si>
  <si>
    <t>JE8456</t>
  </si>
  <si>
    <t>JE8452</t>
  </si>
  <si>
    <t>JE8453</t>
  </si>
  <si>
    <t>JE8443</t>
  </si>
  <si>
    <t>JE8444</t>
  </si>
  <si>
    <t>Freepik AI Yearly Subscription Marketing (Dec25-Dec26 Emp Term)</t>
  </si>
  <si>
    <t>JE8552</t>
  </si>
  <si>
    <t>May 2026 Electric</t>
  </si>
  <si>
    <t>Copier</t>
  </si>
  <si>
    <t>JE8438</t>
  </si>
  <si>
    <t>GS1 License Renewal for Barcoding  May 2026</t>
  </si>
  <si>
    <t>JE8507</t>
  </si>
  <si>
    <t>Inventory Reserve - May 2026 Estimate</t>
  </si>
  <si>
    <t>JE8548</t>
  </si>
  <si>
    <t>JE7853</t>
  </si>
  <si>
    <t>21667D2386334550A1E6</t>
  </si>
  <si>
    <t>Breakfast while in LA for shoot</t>
  </si>
  <si>
    <t>91EC7FA5E0DA4456BFF5</t>
  </si>
  <si>
    <t>Lunch for leadership team (gratuity)</t>
  </si>
  <si>
    <t>Lunch for leadership team</t>
  </si>
  <si>
    <t>Lunch for leadership team (chairman visit) - Tip</t>
  </si>
  <si>
    <t>Lunch for leadership team (chairman visit)</t>
  </si>
  <si>
    <t>Lunch for ST June Town Hall</t>
  </si>
  <si>
    <t>Lunch for ST June Town Hall (tip/gratuity)</t>
  </si>
  <si>
    <t>Dinner for Leadership team (tip/gratuity)</t>
  </si>
  <si>
    <t>Interview with wholesale candidate</t>
  </si>
  <si>
    <t>63F19039155D46C69D16</t>
  </si>
  <si>
    <t>Chairman visit leadership drink</t>
  </si>
  <si>
    <t>Leaderships Lunch</t>
  </si>
  <si>
    <t>25CFF9B46BEE44F2B3A3</t>
  </si>
  <si>
    <t>Team Breakfast for employee Birthday</t>
  </si>
  <si>
    <t>Breakfast Interview with marketing candidate</t>
  </si>
  <si>
    <t>Team lunch with new team member</t>
  </si>
  <si>
    <t>Team lunch with new team member - dessert</t>
  </si>
  <si>
    <t>Team lunch with new team member - coffee</t>
  </si>
  <si>
    <t>75F186486F0541B98796</t>
  </si>
  <si>
    <t>Lunch with Account - Bridgette</t>
  </si>
  <si>
    <t>E6C004CC098F425E8AAE</t>
  </si>
  <si>
    <t>Lunch for STO team with the chairman</t>
  </si>
  <si>
    <t>6C83AA46D15943B49ECD</t>
  </si>
  <si>
    <t>Townhall Snack</t>
  </si>
  <si>
    <t>57EC2C5613184679BDF8</t>
  </si>
  <si>
    <t>Baggage overweight due to shipping Linesheets with my luggage</t>
  </si>
  <si>
    <t>Flight from NY-&gt; LAX back home from market</t>
  </si>
  <si>
    <t>Lax-&gt;NY come in for market</t>
  </si>
  <si>
    <t>1482E99CB734474A807A</t>
  </si>
  <si>
    <t>Italy Photo shoot Lodging</t>
  </si>
  <si>
    <t>Uber from Penn station to office with luggage - see new account</t>
  </si>
  <si>
    <t>Uber from office to Penn station with luggage - see new account</t>
  </si>
  <si>
    <t>Lirr train from Li to NYC. How I get into the office everyday</t>
  </si>
  <si>
    <t>E4AF5EA0DE274CF0A681</t>
  </si>
  <si>
    <t>Scouting locations for LA shoot</t>
  </si>
  <si>
    <t>Hotel to Airport LAX for shoot in LA</t>
  </si>
  <si>
    <t>Scout location to Hotel during LA shoot</t>
  </si>
  <si>
    <t>Taxi from office to Grand Central</t>
  </si>
  <si>
    <t>Taxi from office to home after Business review</t>
  </si>
  <si>
    <t>D9364E7A844048E3B462</t>
  </si>
  <si>
    <t>Late night Uber office - home ( BR meeting with Korea)</t>
  </si>
  <si>
    <t>5E84DA7B47DC43BB95B6</t>
  </si>
  <si>
    <t>meeting at the office</t>
  </si>
  <si>
    <t>Ride after late night</t>
  </si>
  <si>
    <t>Parking for week during chairman visit</t>
  </si>
  <si>
    <t>Stylist Fee</t>
  </si>
  <si>
    <t>JE8573</t>
  </si>
  <si>
    <t>Styling</t>
  </si>
  <si>
    <t>FW26 Ecom – Pre-Production / Shot List Prep (2 hrs @ $75/hr)</t>
  </si>
  <si>
    <t>FW26 Ecom – Styling Assistant, Half Day (up to 5 hrs)</t>
  </si>
  <si>
    <t>FW26 Ecom – Styling Assistant, Full Day (up to 10 hrs)</t>
  </si>
  <si>
    <t>FW26 Ecom – Stylist, Half Shoot Day (up to 5 hrs)</t>
  </si>
  <si>
    <t>FW26 Ecom – Stylist, Full Shoot Day (up to 10 hrs)</t>
  </si>
  <si>
    <t>TP Community SRL</t>
  </si>
  <si>
    <t>Hair Stylist FW26</t>
  </si>
  <si>
    <t>Uber- Uber home from Sergio Tacchini event</t>
  </si>
  <si>
    <t>Printemps (Red Room Bar)- Drinks with Conde Nast team (Sam Gasmer, Kat Thomas, Nicole Martini)</t>
  </si>
  <si>
    <t>JE8738</t>
  </si>
  <si>
    <t>Flexible Benefit June 2026</t>
  </si>
  <si>
    <t>JE8729</t>
  </si>
  <si>
    <t>Brav Studios LLC</t>
  </si>
  <si>
    <t>Women's Styles 24 SKUs</t>
  </si>
  <si>
    <t>Men's Styles 100 SKUs</t>
  </si>
  <si>
    <t>Food &amp; Beverages Delivery</t>
  </si>
  <si>
    <t>Equipment Rentals</t>
  </si>
  <si>
    <t>Studio Rentals (9AM-2PM)</t>
  </si>
  <si>
    <t>Studio Rentals (Full day)</t>
  </si>
  <si>
    <t>Photographer Assistant (Half day rates)</t>
  </si>
  <si>
    <t>Photographer Assistant</t>
  </si>
  <si>
    <t>Photography fee (Half day rates)</t>
  </si>
  <si>
    <t>Photography fee</t>
  </si>
  <si>
    <t>EI71T3JX-0009</t>
  </si>
  <si>
    <t>SERG-01-IN-02</t>
  </si>
  <si>
    <t>Alexa Lepold</t>
  </si>
  <si>
    <t>Shoot in Sicily</t>
  </si>
  <si>
    <t>JE8748</t>
  </si>
  <si>
    <t>Accrue June Photoshoot</t>
  </si>
  <si>
    <t>JE8650</t>
  </si>
  <si>
    <t>2026.06.23</t>
  </si>
  <si>
    <t>SS26 Ad Campaign</t>
  </si>
  <si>
    <t>Invoice #34</t>
  </si>
  <si>
    <t>Seasonal Production Meeting</t>
  </si>
  <si>
    <t>WHOLESALE CATALOGUE</t>
  </si>
  <si>
    <t>Model Services by Ashton Smith RE: Sergio Tacchini Wholesale Catalogue PHOTOGRAPHER: Thee Tham DATE: May 27th, 2026 LOCATION: Brooklyn, NY RATE: $1,500 20% Service Fee</t>
  </si>
  <si>
    <t>Model Services by Ashton Smith RE: Sergio Tacchini E-Commerce: June PHOTOGRAPHER: Thee Tham DATE: June 2nd -3rd, 2026 LOCATION: Brooklyn, NY RATE: $2,000 per day 20% Service Fee USAGE: 1 year Ecommerce website/Social media platforms/Internal wholesale/Paid digital advertisement /SMS Marketing/Email promotions</t>
  </si>
  <si>
    <t>Agency Fee Agency fee, 1 @ USD 50.00</t>
  </si>
  <si>
    <t>Model Fee HOURLY: Megan Levine May 28, 2026 - May 28, 2026, 1 @ USD 250.00</t>
  </si>
  <si>
    <t>Model Fee HOURLY: Megan Levine Jun 3, 2026 - Jun 3, 2026, 1 @ USD 250.00</t>
  </si>
  <si>
    <t>SERGIO TACCHINI KCOM: JUNE CALL</t>
  </si>
  <si>
    <t>Model Fee HOURLY: Megan Levine Jun 10, 2026 - Jun 10, 2026, 1 @ USD 250.00</t>
  </si>
  <si>
    <t>Model Services by Ashton Smith RE: Sergio Tacchini Collection Showcase LOCATION: New York, NY RATE: $250 per hour - 2 hours 20% Service Fee</t>
  </si>
  <si>
    <t>Agency Fee Agency fee. 1 @ USD 50.00</t>
  </si>
  <si>
    <t>Model Fee HOURLY: Megan Levine Jun 17, 2026 - Jun 17, 2026. 1 @ USD 250.00</t>
  </si>
  <si>
    <t>Model Fee HOURLY: Megan Levine Jun 22, 2026 - Jun 22, 2026, 1 @ USD 250.00</t>
  </si>
  <si>
    <t>Model Fee DAY RATE: Edward Bayer Jun 2, 2026 - Jun 24, 2026, 1 @ USD 1,200.00</t>
  </si>
  <si>
    <t>Agency Fee Agency fee. 1 @ USD 580.00</t>
  </si>
  <si>
    <t>Model Fee HOURLY: Edward Bayer Jun 2, 2026 - Jun 24, 2026, 2 @ USD 250.00</t>
  </si>
  <si>
    <t>SHOWROOM</t>
  </si>
  <si>
    <t>JE8698</t>
  </si>
  <si>
    <t>AM Marketing June 2026- COGS</t>
  </si>
  <si>
    <t>INV2538540</t>
  </si>
  <si>
    <t>Sergio Tacchini - 2025 HR - Employee Handbook Services - Level 2</t>
  </si>
  <si>
    <t>VENDBILL10009</t>
  </si>
  <si>
    <t>ADP Payroll Services 06.05.2026</t>
  </si>
  <si>
    <t>VENDBILL10008</t>
  </si>
  <si>
    <t>INV2538901</t>
  </si>
  <si>
    <t>Payroll Services</t>
  </si>
  <si>
    <t>INV2539192</t>
  </si>
  <si>
    <t>VENDBILL10103</t>
  </si>
  <si>
    <t>ADP Payroll Services 06.22.2026</t>
  </si>
  <si>
    <t>INV2539494</t>
  </si>
  <si>
    <t>Projector AR Txn#0000072660, 26-26-Jun 27,INV2539494 :OperationsInc;Sergio Tacchini (A-09096)</t>
  </si>
  <si>
    <t>VENDBILL10122</t>
  </si>
  <si>
    <t>ADP Payroll Services 06.26.2026</t>
  </si>
  <si>
    <t>INV2539788</t>
  </si>
  <si>
    <t>2026-06</t>
  </si>
  <si>
    <t>Rent June 2026</t>
  </si>
  <si>
    <t>JE8689</t>
  </si>
  <si>
    <t>Wellness Center visits for the chairman and his wife - REFUND</t>
  </si>
  <si>
    <t>Wellness Center visits for the chairman and his wife - REFUNDED</t>
  </si>
  <si>
    <t>Wellness Center visits for the chairman and his wife on 6/26</t>
  </si>
  <si>
    <t>May Laptop maintenance</t>
  </si>
  <si>
    <t>AR278702</t>
  </si>
  <si>
    <t>Superior Office Systems</t>
  </si>
  <si>
    <t>Canon Copies 05/07-06/06</t>
  </si>
  <si>
    <t>weekly cleaning (office space) Areas: (8k sq.ft.) - reception/entry/staircase - bathrooms (4) - kitchen area - common office space - conference room - private offices Schedule: - 1x/week (Sunday) Services Included: - swiffer all surfaces/desks throughout the space - disinfect all surfaces (desks, tables, countertops) - clean and tidy kitchen area - vacuum phone booths /disinfect surfaces/clean glass - full service clean for all 4 bathrooms - replenish consumables as needed - spotclean glass/mirrors - vacuum all carpeted areas - wet mop resilient flooring - empty all trash and place in designated area</t>
  </si>
  <si>
    <t>Recycling fabric and garment</t>
  </si>
  <si>
    <t>Team Birthday Gift</t>
  </si>
  <si>
    <t>Wellness Center visits for the chairman and his wife on 6/25</t>
  </si>
  <si>
    <t>1KHV-WWWM-16MJ</t>
  </si>
  <si>
    <t>NY Office Supplies 06.2026</t>
  </si>
  <si>
    <t>Dispute Charge Refund</t>
  </si>
  <si>
    <t>Juno's CC DUNS Fee Refund</t>
  </si>
  <si>
    <t>JE8693</t>
  </si>
  <si>
    <t>Am803A</t>
  </si>
  <si>
    <t>Fit time : 12:15-12:45</t>
  </si>
  <si>
    <t>Fit time : 11:45-12:45</t>
  </si>
  <si>
    <t>Am804A</t>
  </si>
  <si>
    <t>Fit time : 2:15-3:15</t>
  </si>
  <si>
    <t>Fit time :11:15-12:15</t>
  </si>
  <si>
    <t>Fit time : 10:00-11:00</t>
  </si>
  <si>
    <t>D34936341</t>
  </si>
  <si>
    <t>A98140</t>
  </si>
  <si>
    <t>VAN 503763</t>
  </si>
  <si>
    <t>VAN 503228</t>
  </si>
  <si>
    <t>ZYPI004023888</t>
  </si>
  <si>
    <t>DUTY TAX PAID</t>
  </si>
  <si>
    <t>IMPORT EXPORT TAXES</t>
  </si>
  <si>
    <t>D34988975</t>
  </si>
  <si>
    <t>WOMENS WOVEN COTTON JACKET</t>
  </si>
  <si>
    <t>D35002500</t>
  </si>
  <si>
    <t>MEN'S PULLOVER SERGIO ST726MS1881</t>
  </si>
  <si>
    <t>D35013715</t>
  </si>
  <si>
    <t>D35053151</t>
  </si>
  <si>
    <t>D35064127</t>
  </si>
  <si>
    <t>D35200275</t>
  </si>
  <si>
    <t>Customs duty thong thai</t>
  </si>
  <si>
    <t>9-329-42851</t>
  </si>
  <si>
    <t>D35189283</t>
  </si>
  <si>
    <t>LAB DIP SERGIO FW27 86%POLYESTER 1</t>
  </si>
  <si>
    <t>D35226507</t>
  </si>
  <si>
    <t>ZYP1004026796</t>
  </si>
  <si>
    <t>D35086754</t>
  </si>
  <si>
    <t>Customs Duty thong thai</t>
  </si>
  <si>
    <t>ZYPI004026576</t>
  </si>
  <si>
    <t>ZYP0005344327</t>
  </si>
  <si>
    <t>JE8617</t>
  </si>
  <si>
    <t>DHL Payment Returned due to NSF</t>
  </si>
  <si>
    <t>D35268383</t>
  </si>
  <si>
    <t>100% POLY WOMENS KNT GARMENTS.</t>
  </si>
  <si>
    <t>D35361717</t>
  </si>
  <si>
    <t>MEN'S T-SHIRT SERGIO ST26M51887 2</t>
  </si>
  <si>
    <t>D35405170</t>
  </si>
  <si>
    <t>D35421402</t>
  </si>
  <si>
    <t>100%POLY WOMENS KNIT GARMENTS</t>
  </si>
  <si>
    <t>ZYPI004030139</t>
  </si>
  <si>
    <t>D35476527</t>
  </si>
  <si>
    <t>D35489542</t>
  </si>
  <si>
    <t>JE8643</t>
  </si>
  <si>
    <t>DHL Payment Redrafted-Inv D34936341 due to NSF</t>
  </si>
  <si>
    <t>D35652639</t>
  </si>
  <si>
    <t>100%POLY MENS KNIT GARMENTS</t>
  </si>
  <si>
    <t>D35653095</t>
  </si>
  <si>
    <t>JE8662</t>
  </si>
  <si>
    <t>DHL Payment Redrafted-Inv D34936341-DHL drafted twice</t>
  </si>
  <si>
    <t>D35675965</t>
  </si>
  <si>
    <t>ZYPI004033106</t>
  </si>
  <si>
    <t>D35747968</t>
  </si>
  <si>
    <t>LAB DIP SERGIO FW27 97%COTTON 3%EL</t>
  </si>
  <si>
    <t>D35788208</t>
  </si>
  <si>
    <t>9-358-27079</t>
  </si>
  <si>
    <t>Fut. Day OC Pickup Mon-Fri (Online)</t>
  </si>
  <si>
    <t>JE8682</t>
  </si>
  <si>
    <t>Credit-Inv D34936341-DHL drafted twice</t>
  </si>
  <si>
    <t>ZYPI004036079</t>
  </si>
  <si>
    <t>D35845190</t>
  </si>
  <si>
    <t>B-2605-0086</t>
  </si>
  <si>
    <t>For legal services rendered through Mar 31 2026</t>
  </si>
  <si>
    <t>JE8728</t>
  </si>
  <si>
    <t>JE8556</t>
  </si>
  <si>
    <t>May 2026 - Adidas</t>
  </si>
  <si>
    <t>2606-019</t>
  </si>
  <si>
    <t>2023 W2 and related filings</t>
  </si>
  <si>
    <t>Monthly advisory service for June, 2026</t>
  </si>
  <si>
    <t>2606-020</t>
  </si>
  <si>
    <t>Monthly Service Fee Monthly advisory service for June, 2026</t>
  </si>
  <si>
    <t>JE8737</t>
  </si>
  <si>
    <t>June 2026 - Legal</t>
  </si>
  <si>
    <t>JE8743</t>
  </si>
  <si>
    <t>June 2026 - Legal Wave IP</t>
  </si>
  <si>
    <t>JE8665</t>
  </si>
  <si>
    <t>VENDBILL10129</t>
  </si>
  <si>
    <t>JE8648</t>
  </si>
  <si>
    <t>JE8649</t>
  </si>
  <si>
    <t>JE8652</t>
  </si>
  <si>
    <t>JE8687</t>
  </si>
  <si>
    <t>JE8655</t>
  </si>
  <si>
    <t>JE8653</t>
  </si>
  <si>
    <t>STO-0010</t>
  </si>
  <si>
    <t>Overage hours (April 2026)</t>
  </si>
  <si>
    <t>60 Hours Engineering (June 2026)</t>
  </si>
  <si>
    <t>JE8575</t>
  </si>
  <si>
    <t>Base:Travel &amp; Expense with TripLink-Universal</t>
  </si>
  <si>
    <t>Lorean AI image generator trial subscription</t>
  </si>
  <si>
    <t>Software Monthly Expense - Backbone (June 2026)</t>
  </si>
  <si>
    <t>Software Monthly Expense - Backbone (May 2026)</t>
  </si>
  <si>
    <t>Software Monthly Expense - Backbone (April 2025)</t>
  </si>
  <si>
    <t>Software Monthly Expense - Backbone (March 2025)</t>
  </si>
  <si>
    <t>Error charge - Numeral</t>
  </si>
  <si>
    <t>Month Subscription - Adobe additional one user</t>
  </si>
  <si>
    <t>Software Monthly Expense - Numeral</t>
  </si>
  <si>
    <t>AI Claude monthly membership</t>
  </si>
  <si>
    <t>CLAUDE AI SUBSCRIPTION - ROBERTA</t>
  </si>
  <si>
    <t>MAGNIFIC AI SUBSCRIPTION - ROBERTA</t>
  </si>
  <si>
    <t>MAGNIFIC AI SUBSCRIPTION - BRIZAN</t>
  </si>
  <si>
    <t>JE8656</t>
  </si>
  <si>
    <t>JE8659</t>
  </si>
  <si>
    <t>JE8747</t>
  </si>
  <si>
    <t>Otter AI Yearly Subscription Sean (June26-June27)</t>
  </si>
  <si>
    <t>JE8654</t>
  </si>
  <si>
    <t>JE8657</t>
  </si>
  <si>
    <t>JE8644</t>
  </si>
  <si>
    <t>JE8645</t>
  </si>
  <si>
    <t>JE8745</t>
  </si>
  <si>
    <t>Netsuite Quarter June 2026 - Aug 2026</t>
  </si>
  <si>
    <t>JE8746</t>
  </si>
  <si>
    <t>Quarterly Subscription - Docusign Q3</t>
  </si>
  <si>
    <t>JE8647</t>
  </si>
  <si>
    <t>JE8750</t>
  </si>
  <si>
    <t>Gemini AI Yearly Subscription Yoon (June26-June27)</t>
  </si>
  <si>
    <t>JE8658</t>
  </si>
  <si>
    <t>JE8660</t>
  </si>
  <si>
    <t>Claude AI Yearly Subscription CEO (May26-May27)</t>
  </si>
  <si>
    <t>JE8646</t>
  </si>
  <si>
    <t>ConEd 5/14/26</t>
  </si>
  <si>
    <t>JE8553</t>
  </si>
  <si>
    <t>06/28/2026-07/27/2026</t>
  </si>
  <si>
    <t>JE8730</t>
  </si>
  <si>
    <t>June 2026 Electric</t>
  </si>
  <si>
    <t>JE8742</t>
  </si>
  <si>
    <t>GS1 License Renewal Barcoding - June 2026-June 2027</t>
  </si>
  <si>
    <t>JE8714</t>
  </si>
  <si>
    <t>Update to AR Allowance - Q2 2026</t>
  </si>
  <si>
    <t>JE8715</t>
  </si>
  <si>
    <t>Inventory Reserve - June 2026</t>
  </si>
  <si>
    <t>JE8626</t>
  </si>
  <si>
    <t>RAMP - ACCT Verify</t>
  </si>
  <si>
    <t>JE8625</t>
  </si>
  <si>
    <t>JE8628</t>
  </si>
  <si>
    <t>JE8636</t>
  </si>
  <si>
    <t>VA Dept Tax May 2026 Sales Tax-Re Draft with NSF Fee</t>
  </si>
  <si>
    <t>JE8587</t>
  </si>
  <si>
    <t>IRS - 2023 940 Penalty Payment</t>
  </si>
  <si>
    <t>IRS - 2023 940 Interest Payment</t>
  </si>
  <si>
    <t>JE8716</t>
  </si>
  <si>
    <t>Equipment (FAM)</t>
  </si>
  <si>
    <t>Furniture &amp; Fixtures (FAM)</t>
  </si>
  <si>
    <t>Information Technology &amp; Software (FAM)</t>
  </si>
  <si>
    <t>JE7854</t>
  </si>
  <si>
    <t>STO-IS</t>
  </si>
  <si>
    <t>HQ</t>
  </si>
  <si>
    <t>6005 - Salaries</t>
  </si>
  <si>
    <t>Benefits</t>
  </si>
  <si>
    <t>6041 - Employee Benefit Other</t>
  </si>
  <si>
    <t>6015 - Vacation - PTO Exp</t>
  </si>
  <si>
    <t>Bonus</t>
  </si>
  <si>
    <t>6020 - Bonus</t>
  </si>
  <si>
    <t>6035 - Severance Expense</t>
  </si>
  <si>
    <t>6040 - Employer Paid Benefits</t>
  </si>
  <si>
    <t>6055 - Employer Social Security Tax Withheld</t>
  </si>
  <si>
    <t>Contractors</t>
  </si>
  <si>
    <t>6205 - Contractors</t>
  </si>
  <si>
    <t>STO P&amp;L (Forecast)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</si>
</sst>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yyyy"/>
    <numFmt numFmtId="177" formatCode="yyyy/mm"/>
  </numFmts>
  <fonts count="3" x14ac:knownFonts="1">
    <font>
      <sz val="11"/>
      <color theme="1"/>
      <name val="맑은 고딕"/>
      <family val="2"/>
      <scheme val="minor"/>
    </font>
    <font>
      <b/>
      <sz val="11"/>
      <color rgb="FFFFFFFF"/>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176" fontId="0" fillId="0" borderId="0" xfId="0" applyNumberFormat="1"/>
    <xf numFmtId="177" fontId="0" fillId="0" borderId="0" xfId="0" applyNumberFormat="1"/>
    <xf numFmtId="3" fontId="0" fillId="0" borderId="0" xfId="0" applyNumberFormat="1"/>
    <xf numFmtId="17" fontId="0" fillId="0" borderId="0" xfId="0" applyNumberFormat="1"/>
    <xf numFmtId="15" fontId="0" fillId="0" borderId="0" xfId="0" applyNumberFormat="1"/>
    <xf numFmtId="14" fontId="0" fillId="0" borderId="0" xfId="0" applyNumberForma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50629;&#47924;&#51064;&#49688;&#51064;&#44228;/6.&#49892;&#51201;&#48372;&#44256;/2026&#45380;/6&#50900;/260701%20STO%20Company%20Budget%20Model%20-%20Jun'26%20Actuals.xlsx" TargetMode="External"/><Relationship Id="rId2" Type="http://schemas.openxmlformats.org/officeDocument/2006/relationships/externalLinkPath" Target="file:///C:\&#50629;&#47924;&#51064;&#49688;&#51064;&#44228;\6.&#49892;&#51201;&#48372;&#44256;\2026&#45380;\6&#50900;\260701%20STO%20Company%20Budget%20Model%20-%20Jun'26%20Actuals.xlsx" TargetMode="External"/><Relationship Id="rId1" Type="http://schemas.openxmlformats.org/officeDocument/2006/relationships/externalLinkPath" Target="/&#50629;&#47924;&#51064;&#49688;&#51064;&#44228;/6.&#49892;&#51201;&#48372;&#44256;/2026&#45380;/6&#50900;/260701%20STO%20Company%20Budget%20Model%20-%20Jun'26%20Actua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TO 2026 P&amp;L - Stretch"/>
      <sheetName val="STO 2026 P&amp;L - AOP"/>
      <sheetName val="TOC"/>
      <sheetName val="OUTPUT-&gt;"/>
      <sheetName val="미국실적"/>
      <sheetName val="손익_표"/>
      <sheetName val="미국연간"/>
      <sheetName val="영업비"/>
      <sheetName val="FINANCIALS-&gt;"/>
      <sheetName val="Raw Data 57-69"/>
      <sheetName val="Summary"/>
      <sheetName val="STO P&amp;L"/>
      <sheetName val="STO BS"/>
      <sheetName val="STO CF"/>
      <sheetName val="DATA-&gt;"/>
      <sheetName val="STO - IS"/>
      <sheetName val="STO - BS"/>
      <sheetName val="NS Vendor Details"/>
      <sheetName val="G&amp;A Analysis"/>
      <sheetName val="G&amp;A Vendor Analysis"/>
      <sheetName val="MSRP - Sales"/>
      <sheetName val="Net Sales Breakdown"/>
      <sheetName val="Inventory - MSRP (ATS)"/>
      <sheetName val="Inventory - MSRP (On Hand)"/>
      <sheetName val="STO Headcounts"/>
      <sheetName val="HQ Salaries"/>
      <sheetName val="Number of Orders Shipped"/>
      <sheetName val="Direct Costs Vendor Analysis"/>
      <sheetName val="Direct Costs Analysis"/>
      <sheetName val="Direct Costs Breakdown - Actual"/>
      <sheetName val="Direct Costs Breakdown - AOP"/>
      <sheetName val="Vendor Lookup"/>
      <sheetName val="Ref"/>
      <sheetName val="AI68 Breakdown"/>
      <sheetName val="AI 63-69 Breakdown"/>
      <sheetName val="AI 57-60 Breakdown"/>
      <sheetName val="W 63-69 Breakdown"/>
      <sheetName val="W 57-60 Breakdown"/>
    </sheetNames>
    <sheetDataSet>
      <sheetData sheetId="0"/>
      <sheetData sheetId="1"/>
      <sheetData sheetId="2"/>
      <sheetData sheetId="3"/>
      <sheetData sheetId="4"/>
      <sheetData sheetId="5"/>
      <sheetData sheetId="6"/>
      <sheetData sheetId="7"/>
      <sheetData sheetId="8"/>
      <sheetData sheetId="9"/>
      <sheetData sheetId="10"/>
      <sheetData sheetId="11">
        <row r="20">
          <cell r="AJ20">
            <v>46204</v>
          </cell>
          <cell r="AK20">
            <v>46235</v>
          </cell>
          <cell r="AL20">
            <v>46266</v>
          </cell>
          <cell r="AM20">
            <v>46296</v>
          </cell>
          <cell r="AN20">
            <v>46327</v>
          </cell>
          <cell r="AO20">
            <v>46357</v>
          </cell>
        </row>
        <row r="57">
          <cell r="AJ57">
            <v>239556.39350000001</v>
          </cell>
          <cell r="AK57">
            <v>239556.39350000001</v>
          </cell>
          <cell r="AL57">
            <v>239556.39350000001</v>
          </cell>
          <cell r="AM57">
            <v>239556.39350000001</v>
          </cell>
          <cell r="AN57">
            <v>239556.39350000001</v>
          </cell>
          <cell r="AO57">
            <v>239556.39350000001</v>
          </cell>
        </row>
        <row r="58">
          <cell r="AJ58">
            <v>41108.333333333328</v>
          </cell>
          <cell r="AK58">
            <v>41108.333333333328</v>
          </cell>
          <cell r="AL58">
            <v>41108.333333333328</v>
          </cell>
          <cell r="AM58">
            <v>41108.333333333328</v>
          </cell>
          <cell r="AN58">
            <v>41108.333333333328</v>
          </cell>
          <cell r="AO58">
            <v>43908.333333333328</v>
          </cell>
        </row>
        <row r="59">
          <cell r="AJ59">
            <v>59320.348374999994</v>
          </cell>
          <cell r="AK59">
            <v>59320.348374999994</v>
          </cell>
          <cell r="AL59">
            <v>59320.348374999994</v>
          </cell>
          <cell r="AM59">
            <v>59320.348374999994</v>
          </cell>
          <cell r="AN59">
            <v>59320.348374999994</v>
          </cell>
          <cell r="AO59">
            <v>59320.348374999994</v>
          </cell>
        </row>
        <row r="60">
          <cell r="AJ60">
            <v>0</v>
          </cell>
          <cell r="AK60">
            <v>0</v>
          </cell>
          <cell r="AL60">
            <v>0</v>
          </cell>
          <cell r="AM60">
            <v>0</v>
          </cell>
          <cell r="AN60">
            <v>0</v>
          </cell>
          <cell r="AO60">
            <v>0</v>
          </cell>
        </row>
        <row r="63">
          <cell r="AJ63">
            <v>92166.666666666672</v>
          </cell>
          <cell r="AK63">
            <v>105166.66666666667</v>
          </cell>
          <cell r="AL63">
            <v>19166.666666666672</v>
          </cell>
          <cell r="AM63">
            <v>101166.66666666667</v>
          </cell>
          <cell r="AN63">
            <v>54166.666666666672</v>
          </cell>
          <cell r="AO63">
            <v>72166.666666666672</v>
          </cell>
        </row>
        <row r="64">
          <cell r="AJ64">
            <v>1150</v>
          </cell>
          <cell r="AK64">
            <v>1350</v>
          </cell>
          <cell r="AL64">
            <v>2150</v>
          </cell>
          <cell r="AM64">
            <v>1950</v>
          </cell>
          <cell r="AN64">
            <v>1450</v>
          </cell>
          <cell r="AO64">
            <v>6150</v>
          </cell>
        </row>
        <row r="65">
          <cell r="AJ65">
            <v>24658.39</v>
          </cell>
          <cell r="AK65">
            <v>24658.39</v>
          </cell>
          <cell r="AL65">
            <v>24658.39</v>
          </cell>
          <cell r="AM65">
            <v>24658.39</v>
          </cell>
          <cell r="AN65">
            <v>24658.39</v>
          </cell>
          <cell r="AO65">
            <v>24658.39</v>
          </cell>
        </row>
        <row r="66">
          <cell r="AJ66">
            <v>2000</v>
          </cell>
          <cell r="AK66">
            <v>5500</v>
          </cell>
          <cell r="AL66">
            <v>2000</v>
          </cell>
          <cell r="AM66">
            <v>37500</v>
          </cell>
          <cell r="AN66">
            <v>4500</v>
          </cell>
          <cell r="AO66">
            <v>2000</v>
          </cell>
        </row>
        <row r="67">
          <cell r="AJ67">
            <v>78939.036221666654</v>
          </cell>
          <cell r="AK67">
            <v>83736.182074416662</v>
          </cell>
          <cell r="AL67">
            <v>87943.185219804174</v>
          </cell>
          <cell r="AM67">
            <v>102160.53852246104</v>
          </cell>
          <cell r="AN67">
            <v>98388.759490250755</v>
          </cell>
          <cell r="AO67">
            <v>90028.391506429951</v>
          </cell>
        </row>
        <row r="68">
          <cell r="AJ68">
            <v>13819.279999999999</v>
          </cell>
          <cell r="AK68">
            <v>14569.279999999999</v>
          </cell>
          <cell r="AL68">
            <v>16669.28</v>
          </cell>
          <cell r="AM68">
            <v>17819.280000000002</v>
          </cell>
          <cell r="AN68">
            <v>16719.28</v>
          </cell>
          <cell r="AO68">
            <v>18069.280000000002</v>
          </cell>
        </row>
        <row r="69">
          <cell r="AJ69">
            <v>4022.2</v>
          </cell>
          <cell r="AK69">
            <v>4022.2</v>
          </cell>
          <cell r="AL69">
            <v>4022.2</v>
          </cell>
          <cell r="AM69">
            <v>4022.2</v>
          </cell>
          <cell r="AN69">
            <v>4022.2</v>
          </cell>
          <cell r="AO69">
            <v>4022.2</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D749-668C-4C30-BAFE-0CCE845D4C5F}">
  <dimension ref="A1:Q5364"/>
  <sheetViews>
    <sheetView tabSelected="1" zoomScaleNormal="100" workbookViewId="0">
      <pane ySplit="1" topLeftCell="A2" activePane="bottomLeft" state="frozen"/>
      <selection pane="bottomLeft" activeCell="C18" sqref="C18"/>
    </sheetView>
  </sheetViews>
  <sheetFormatPr defaultRowHeight="16.5" x14ac:dyDescent="0.3"/>
  <cols>
    <col min="1" max="1" width="17.875" bestFit="1" customWidth="1"/>
    <col min="2" max="2" width="10" bestFit="1" customWidth="1"/>
    <col min="3" max="3" width="27.875" bestFit="1" customWidth="1"/>
    <col min="4" max="4" width="11.125" bestFit="1" customWidth="1"/>
    <col min="5" max="5" width="11.625" customWidth="1"/>
    <col min="6" max="6" width="33" bestFit="1" customWidth="1"/>
    <col min="7" max="7" width="28.375" customWidth="1"/>
    <col min="8" max="8" width="13.375" bestFit="1" customWidth="1"/>
    <col min="9" max="9" width="28.25" bestFit="1" customWidth="1"/>
    <col min="10" max="10" width="78.625" bestFit="1" customWidth="1"/>
    <col min="11" max="11" width="66.125" customWidth="1"/>
    <col min="12" max="12" width="10" bestFit="1" customWidth="1"/>
    <col min="13" max="13" width="45.5" bestFit="1" customWidth="1"/>
    <col min="14" max="14" width="16.125" bestFit="1" customWidth="1"/>
    <col min="15" max="15" width="24.5" bestFit="1" customWidth="1"/>
    <col min="16" max="16" width="27.875" bestFit="1" customWidth="1"/>
    <col min="17" max="17" width="17.25"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v>63</v>
      </c>
      <c r="C2" t="s">
        <v>18</v>
      </c>
      <c r="D2" s="2">
        <v>45658</v>
      </c>
      <c r="E2" s="3">
        <f>IF($D2="","",DATE(YEAR($D2),MONTH($D2),1))</f>
        <v>45658</v>
      </c>
      <c r="F2" t="s">
        <v>19</v>
      </c>
      <c r="G2" t="s">
        <v>20</v>
      </c>
      <c r="H2" s="4">
        <v>1440</v>
      </c>
      <c r="I2" t="s">
        <v>21</v>
      </c>
      <c r="J2" t="s">
        <v>22</v>
      </c>
      <c r="K2" t="s">
        <v>23</v>
      </c>
      <c r="L2" s="2">
        <v>45658</v>
      </c>
      <c r="M2" t="s">
        <v>24</v>
      </c>
      <c r="N2" t="s">
        <v>25</v>
      </c>
      <c r="O2" t="s">
        <v>26</v>
      </c>
      <c r="P2" t="s">
        <v>18</v>
      </c>
      <c r="Q2" t="s">
        <v>27</v>
      </c>
    </row>
    <row r="3" spans="1:17" x14ac:dyDescent="0.3">
      <c r="A3" t="s">
        <v>17</v>
      </c>
      <c r="B3">
        <v>67</v>
      </c>
      <c r="C3" t="s">
        <v>28</v>
      </c>
      <c r="D3" s="2">
        <v>45658</v>
      </c>
      <c r="E3" s="3">
        <f t="shared" ref="E3:E66" si="0">IF($D3="","",DATE(YEAR($D3),MONTH($D3),1))</f>
        <v>45658</v>
      </c>
      <c r="F3" t="s">
        <v>29</v>
      </c>
      <c r="G3" t="s">
        <v>30</v>
      </c>
      <c r="H3" s="4">
        <v>761.5</v>
      </c>
      <c r="I3" t="s">
        <v>31</v>
      </c>
      <c r="J3" t="s">
        <v>32</v>
      </c>
      <c r="K3" t="s">
        <v>33</v>
      </c>
      <c r="L3" s="2">
        <v>45658</v>
      </c>
      <c r="M3" t="s">
        <v>32</v>
      </c>
      <c r="N3">
        <v>0</v>
      </c>
      <c r="O3" t="s">
        <v>31</v>
      </c>
      <c r="P3" t="s">
        <v>28</v>
      </c>
      <c r="Q3">
        <v>0</v>
      </c>
    </row>
    <row r="4" spans="1:17" x14ac:dyDescent="0.3">
      <c r="A4" t="s">
        <v>17</v>
      </c>
      <c r="B4">
        <v>68</v>
      </c>
      <c r="C4" t="s">
        <v>34</v>
      </c>
      <c r="D4" s="2">
        <v>45658</v>
      </c>
      <c r="E4" s="3">
        <f t="shared" si="0"/>
        <v>45658</v>
      </c>
      <c r="F4" t="s">
        <v>35</v>
      </c>
      <c r="G4" t="s">
        <v>36</v>
      </c>
      <c r="H4" s="4">
        <v>65.33</v>
      </c>
      <c r="I4" t="s">
        <v>31</v>
      </c>
      <c r="J4" t="s">
        <v>37</v>
      </c>
      <c r="K4" t="s">
        <v>38</v>
      </c>
      <c r="L4" s="2">
        <v>45658</v>
      </c>
      <c r="M4" t="s">
        <v>37</v>
      </c>
      <c r="N4">
        <v>0</v>
      </c>
      <c r="O4" t="s">
        <v>31</v>
      </c>
      <c r="P4" t="s">
        <v>34</v>
      </c>
      <c r="Q4">
        <v>0</v>
      </c>
    </row>
    <row r="5" spans="1:17" x14ac:dyDescent="0.3">
      <c r="A5" t="s">
        <v>17</v>
      </c>
      <c r="B5">
        <v>68</v>
      </c>
      <c r="C5" t="s">
        <v>34</v>
      </c>
      <c r="D5" s="2">
        <v>45658</v>
      </c>
      <c r="E5" s="3">
        <f t="shared" si="0"/>
        <v>45658</v>
      </c>
      <c r="F5" t="s">
        <v>39</v>
      </c>
      <c r="G5" t="s">
        <v>40</v>
      </c>
      <c r="H5" s="4">
        <v>456.67</v>
      </c>
      <c r="I5" t="s">
        <v>31</v>
      </c>
      <c r="J5" t="s">
        <v>37</v>
      </c>
      <c r="K5" t="s">
        <v>41</v>
      </c>
      <c r="L5" s="2">
        <v>45658</v>
      </c>
      <c r="M5" t="s">
        <v>37</v>
      </c>
      <c r="N5">
        <v>0</v>
      </c>
      <c r="O5" t="s">
        <v>31</v>
      </c>
      <c r="P5" t="s">
        <v>34</v>
      </c>
      <c r="Q5">
        <v>0</v>
      </c>
    </row>
    <row r="6" spans="1:17" x14ac:dyDescent="0.3">
      <c r="A6" t="s">
        <v>17</v>
      </c>
      <c r="B6">
        <v>68</v>
      </c>
      <c r="C6" t="s">
        <v>34</v>
      </c>
      <c r="D6" s="2">
        <v>45658</v>
      </c>
      <c r="E6" s="3">
        <f t="shared" si="0"/>
        <v>45658</v>
      </c>
      <c r="F6" t="s">
        <v>42</v>
      </c>
      <c r="G6" t="s">
        <v>43</v>
      </c>
      <c r="H6" s="4">
        <v>269.87</v>
      </c>
      <c r="I6" t="s">
        <v>31</v>
      </c>
      <c r="J6" t="s">
        <v>37</v>
      </c>
      <c r="K6" t="s">
        <v>44</v>
      </c>
      <c r="L6" s="2">
        <v>45658</v>
      </c>
      <c r="M6" t="s">
        <v>37</v>
      </c>
      <c r="N6">
        <v>0</v>
      </c>
      <c r="O6" t="s">
        <v>31</v>
      </c>
      <c r="P6" t="s">
        <v>34</v>
      </c>
      <c r="Q6">
        <v>0</v>
      </c>
    </row>
    <row r="7" spans="1:17" x14ac:dyDescent="0.3">
      <c r="A7" t="s">
        <v>17</v>
      </c>
      <c r="B7">
        <v>67</v>
      </c>
      <c r="C7" t="s">
        <v>28</v>
      </c>
      <c r="D7" s="2">
        <v>45658</v>
      </c>
      <c r="E7" s="3">
        <f t="shared" si="0"/>
        <v>45658</v>
      </c>
      <c r="F7" t="s">
        <v>45</v>
      </c>
      <c r="G7" t="s">
        <v>46</v>
      </c>
      <c r="H7" s="4">
        <v>7500</v>
      </c>
      <c r="I7" t="s">
        <v>47</v>
      </c>
      <c r="J7" t="s">
        <v>48</v>
      </c>
      <c r="K7" t="s">
        <v>49</v>
      </c>
      <c r="L7" s="2">
        <v>45658</v>
      </c>
      <c r="M7" t="s">
        <v>50</v>
      </c>
      <c r="N7">
        <v>0</v>
      </c>
      <c r="O7" t="s">
        <v>26</v>
      </c>
      <c r="P7" t="s">
        <v>28</v>
      </c>
      <c r="Q7">
        <v>0</v>
      </c>
    </row>
    <row r="8" spans="1:17" x14ac:dyDescent="0.3">
      <c r="A8" t="s">
        <v>17</v>
      </c>
      <c r="B8">
        <v>67</v>
      </c>
      <c r="C8" t="s">
        <v>28</v>
      </c>
      <c r="D8" s="2">
        <v>45658</v>
      </c>
      <c r="E8" s="3">
        <f t="shared" si="0"/>
        <v>45658</v>
      </c>
      <c r="F8" t="s">
        <v>51</v>
      </c>
      <c r="G8" t="s">
        <v>52</v>
      </c>
      <c r="H8" s="4">
        <v>3292</v>
      </c>
      <c r="I8" t="s">
        <v>31</v>
      </c>
      <c r="J8" t="s">
        <v>48</v>
      </c>
      <c r="K8" t="s">
        <v>53</v>
      </c>
      <c r="L8" s="2">
        <v>45658</v>
      </c>
      <c r="M8" t="s">
        <v>50</v>
      </c>
      <c r="N8">
        <v>0</v>
      </c>
      <c r="O8" t="s">
        <v>31</v>
      </c>
      <c r="P8" t="s">
        <v>28</v>
      </c>
      <c r="Q8">
        <v>0</v>
      </c>
    </row>
    <row r="9" spans="1:17" x14ac:dyDescent="0.3">
      <c r="A9" t="s">
        <v>17</v>
      </c>
      <c r="B9">
        <v>65</v>
      </c>
      <c r="C9" t="s">
        <v>54</v>
      </c>
      <c r="D9" s="2">
        <v>45658</v>
      </c>
      <c r="E9" s="3">
        <f t="shared" si="0"/>
        <v>45658</v>
      </c>
      <c r="F9" t="s">
        <v>39</v>
      </c>
      <c r="G9" t="s">
        <v>40</v>
      </c>
      <c r="H9" s="4">
        <v>30113.77</v>
      </c>
      <c r="I9" t="s">
        <v>31</v>
      </c>
      <c r="J9" t="s">
        <v>55</v>
      </c>
      <c r="K9" t="s">
        <v>56</v>
      </c>
      <c r="L9" s="2">
        <v>45658</v>
      </c>
      <c r="M9" t="s">
        <v>55</v>
      </c>
      <c r="N9">
        <v>0</v>
      </c>
      <c r="O9" t="s">
        <v>31</v>
      </c>
      <c r="P9" t="s">
        <v>54</v>
      </c>
      <c r="Q9">
        <v>0</v>
      </c>
    </row>
    <row r="10" spans="1:17" x14ac:dyDescent="0.3">
      <c r="A10" t="s">
        <v>17</v>
      </c>
      <c r="B10">
        <v>67</v>
      </c>
      <c r="C10" t="s">
        <v>28</v>
      </c>
      <c r="D10" s="2">
        <v>45658</v>
      </c>
      <c r="E10" s="3">
        <f t="shared" si="0"/>
        <v>45658</v>
      </c>
      <c r="F10" t="s">
        <v>57</v>
      </c>
      <c r="H10" s="4">
        <v>-1000</v>
      </c>
      <c r="I10" t="s">
        <v>31</v>
      </c>
      <c r="J10" t="s">
        <v>32</v>
      </c>
      <c r="K10" t="s">
        <v>58</v>
      </c>
      <c r="L10" s="2">
        <v>45658</v>
      </c>
      <c r="M10" t="s">
        <v>32</v>
      </c>
      <c r="N10">
        <v>0</v>
      </c>
      <c r="O10" t="s">
        <v>31</v>
      </c>
      <c r="P10" t="s">
        <v>28</v>
      </c>
      <c r="Q10">
        <v>0</v>
      </c>
    </row>
    <row r="11" spans="1:17" x14ac:dyDescent="0.3">
      <c r="A11" t="s">
        <v>17</v>
      </c>
      <c r="B11">
        <v>67</v>
      </c>
      <c r="C11" t="s">
        <v>28</v>
      </c>
      <c r="D11" s="2">
        <v>45658</v>
      </c>
      <c r="E11" s="3">
        <f t="shared" si="0"/>
        <v>45658</v>
      </c>
      <c r="F11" t="s">
        <v>59</v>
      </c>
      <c r="H11" s="4">
        <v>0.84</v>
      </c>
      <c r="I11" t="s">
        <v>31</v>
      </c>
      <c r="J11" t="s">
        <v>60</v>
      </c>
      <c r="L11" s="2">
        <v>45658</v>
      </c>
      <c r="M11" t="s">
        <v>60</v>
      </c>
      <c r="N11">
        <v>0</v>
      </c>
      <c r="O11" t="s">
        <v>31</v>
      </c>
      <c r="P11" t="s">
        <v>28</v>
      </c>
      <c r="Q11">
        <v>0</v>
      </c>
    </row>
    <row r="12" spans="1:17" x14ac:dyDescent="0.3">
      <c r="A12" t="s">
        <v>17</v>
      </c>
      <c r="B12">
        <v>67</v>
      </c>
      <c r="C12" t="s">
        <v>28</v>
      </c>
      <c r="D12" s="2">
        <v>45658</v>
      </c>
      <c r="E12" s="3">
        <f t="shared" si="0"/>
        <v>45658</v>
      </c>
      <c r="F12" t="s">
        <v>59</v>
      </c>
      <c r="H12" s="4">
        <v>31.98</v>
      </c>
      <c r="I12" t="s">
        <v>31</v>
      </c>
      <c r="J12" t="s">
        <v>60</v>
      </c>
      <c r="L12" s="2">
        <v>45658</v>
      </c>
      <c r="M12" t="s">
        <v>60</v>
      </c>
      <c r="N12">
        <v>0</v>
      </c>
      <c r="O12" t="s">
        <v>31</v>
      </c>
      <c r="P12" t="s">
        <v>28</v>
      </c>
      <c r="Q12">
        <v>0</v>
      </c>
    </row>
    <row r="13" spans="1:17" x14ac:dyDescent="0.3">
      <c r="A13" t="s">
        <v>17</v>
      </c>
      <c r="B13">
        <v>67</v>
      </c>
      <c r="C13" t="s">
        <v>28</v>
      </c>
      <c r="D13" s="2">
        <v>45658</v>
      </c>
      <c r="E13" s="3">
        <f t="shared" si="0"/>
        <v>45658</v>
      </c>
      <c r="F13" t="s">
        <v>59</v>
      </c>
      <c r="H13" s="4">
        <v>20.59</v>
      </c>
      <c r="I13" t="s">
        <v>31</v>
      </c>
      <c r="J13" t="s">
        <v>60</v>
      </c>
      <c r="L13" s="2">
        <v>45658</v>
      </c>
      <c r="M13" t="s">
        <v>60</v>
      </c>
      <c r="N13">
        <v>0</v>
      </c>
      <c r="O13" t="s">
        <v>31</v>
      </c>
      <c r="P13" t="s">
        <v>28</v>
      </c>
      <c r="Q13">
        <v>0</v>
      </c>
    </row>
    <row r="14" spans="1:17" x14ac:dyDescent="0.3">
      <c r="A14" t="s">
        <v>17</v>
      </c>
      <c r="B14">
        <v>67</v>
      </c>
      <c r="C14" t="s">
        <v>28</v>
      </c>
      <c r="D14" s="2">
        <v>45658</v>
      </c>
      <c r="E14" s="3">
        <f t="shared" si="0"/>
        <v>45658</v>
      </c>
      <c r="F14" t="s">
        <v>59</v>
      </c>
      <c r="H14" s="4">
        <v>8.5299999999999994</v>
      </c>
      <c r="I14" t="s">
        <v>31</v>
      </c>
      <c r="J14" t="s">
        <v>60</v>
      </c>
      <c r="L14" s="2">
        <v>45658</v>
      </c>
      <c r="M14" t="s">
        <v>60</v>
      </c>
      <c r="N14">
        <v>0</v>
      </c>
      <c r="O14" t="s">
        <v>31</v>
      </c>
      <c r="P14" t="s">
        <v>28</v>
      </c>
      <c r="Q14">
        <v>0</v>
      </c>
    </row>
    <row r="15" spans="1:17" x14ac:dyDescent="0.3">
      <c r="A15" t="s">
        <v>17</v>
      </c>
      <c r="B15">
        <v>67</v>
      </c>
      <c r="C15" t="s">
        <v>28</v>
      </c>
      <c r="D15" s="2">
        <v>45658</v>
      </c>
      <c r="E15" s="3">
        <f t="shared" si="0"/>
        <v>45658</v>
      </c>
      <c r="F15" t="s">
        <v>59</v>
      </c>
      <c r="H15" s="4">
        <v>0.84</v>
      </c>
      <c r="I15" t="s">
        <v>31</v>
      </c>
      <c r="J15" t="s">
        <v>60</v>
      </c>
      <c r="L15" s="2">
        <v>45658</v>
      </c>
      <c r="M15" t="s">
        <v>60</v>
      </c>
      <c r="N15">
        <v>0</v>
      </c>
      <c r="O15" t="s">
        <v>31</v>
      </c>
      <c r="P15" t="s">
        <v>28</v>
      </c>
      <c r="Q15">
        <v>0</v>
      </c>
    </row>
    <row r="16" spans="1:17" x14ac:dyDescent="0.3">
      <c r="A16" t="s">
        <v>17</v>
      </c>
      <c r="B16">
        <v>67</v>
      </c>
      <c r="C16" t="s">
        <v>28</v>
      </c>
      <c r="D16" s="2">
        <v>45658</v>
      </c>
      <c r="E16" s="3">
        <f t="shared" si="0"/>
        <v>45658</v>
      </c>
      <c r="F16" t="s">
        <v>59</v>
      </c>
      <c r="H16" s="4">
        <v>15.43</v>
      </c>
      <c r="I16" t="s">
        <v>31</v>
      </c>
      <c r="J16" t="s">
        <v>60</v>
      </c>
      <c r="L16" s="2">
        <v>45658</v>
      </c>
      <c r="M16" t="s">
        <v>60</v>
      </c>
      <c r="N16">
        <v>0</v>
      </c>
      <c r="O16" t="s">
        <v>31</v>
      </c>
      <c r="P16" t="s">
        <v>28</v>
      </c>
      <c r="Q16">
        <v>0</v>
      </c>
    </row>
    <row r="17" spans="1:17" x14ac:dyDescent="0.3">
      <c r="A17" t="s">
        <v>17</v>
      </c>
      <c r="B17">
        <v>67</v>
      </c>
      <c r="C17" t="s">
        <v>28</v>
      </c>
      <c r="D17" s="2">
        <v>45658</v>
      </c>
      <c r="E17" s="3">
        <f t="shared" si="0"/>
        <v>45658</v>
      </c>
      <c r="F17" t="s">
        <v>59</v>
      </c>
      <c r="H17" s="4">
        <v>27.63</v>
      </c>
      <c r="I17" t="s">
        <v>31</v>
      </c>
      <c r="J17" t="s">
        <v>60</v>
      </c>
      <c r="L17" s="2">
        <v>45658</v>
      </c>
      <c r="M17" t="s">
        <v>60</v>
      </c>
      <c r="N17">
        <v>0</v>
      </c>
      <c r="O17" t="s">
        <v>31</v>
      </c>
      <c r="P17" t="s">
        <v>28</v>
      </c>
      <c r="Q17">
        <v>0</v>
      </c>
    </row>
    <row r="18" spans="1:17" x14ac:dyDescent="0.3">
      <c r="A18" t="s">
        <v>17</v>
      </c>
      <c r="B18">
        <v>67</v>
      </c>
      <c r="C18" t="s">
        <v>28</v>
      </c>
      <c r="D18" s="2">
        <v>45658</v>
      </c>
      <c r="E18" s="3">
        <f t="shared" si="0"/>
        <v>45658</v>
      </c>
      <c r="F18" t="s">
        <v>59</v>
      </c>
      <c r="H18" s="4">
        <v>28.17</v>
      </c>
      <c r="I18" t="s">
        <v>31</v>
      </c>
      <c r="J18" t="s">
        <v>60</v>
      </c>
      <c r="L18" s="2">
        <v>45658</v>
      </c>
      <c r="M18" t="s">
        <v>60</v>
      </c>
      <c r="N18">
        <v>0</v>
      </c>
      <c r="O18" t="s">
        <v>31</v>
      </c>
      <c r="P18" t="s">
        <v>28</v>
      </c>
      <c r="Q18">
        <v>0</v>
      </c>
    </row>
    <row r="19" spans="1:17" x14ac:dyDescent="0.3">
      <c r="A19" t="s">
        <v>17</v>
      </c>
      <c r="B19">
        <v>68</v>
      </c>
      <c r="C19" t="s">
        <v>34</v>
      </c>
      <c r="D19" s="2">
        <v>45658</v>
      </c>
      <c r="E19" s="3">
        <f t="shared" si="0"/>
        <v>45658</v>
      </c>
      <c r="F19" t="s">
        <v>61</v>
      </c>
      <c r="H19" s="4">
        <v>-456.67</v>
      </c>
      <c r="I19" t="s">
        <v>31</v>
      </c>
      <c r="J19" t="s">
        <v>37</v>
      </c>
      <c r="K19" t="s">
        <v>62</v>
      </c>
      <c r="L19" s="2">
        <v>45658</v>
      </c>
      <c r="M19" t="s">
        <v>37</v>
      </c>
      <c r="N19">
        <v>0</v>
      </c>
      <c r="O19" t="s">
        <v>31</v>
      </c>
      <c r="P19" t="s">
        <v>34</v>
      </c>
      <c r="Q19">
        <v>0</v>
      </c>
    </row>
    <row r="20" spans="1:17" x14ac:dyDescent="0.3">
      <c r="A20" t="s">
        <v>17</v>
      </c>
      <c r="B20">
        <v>67</v>
      </c>
      <c r="C20" t="s">
        <v>28</v>
      </c>
      <c r="D20" s="2">
        <v>45659</v>
      </c>
      <c r="E20" s="3">
        <f t="shared" si="0"/>
        <v>45658</v>
      </c>
      <c r="F20" t="s">
        <v>63</v>
      </c>
      <c r="H20" s="4">
        <v>100</v>
      </c>
      <c r="I20" t="s">
        <v>31</v>
      </c>
      <c r="J20" t="s">
        <v>64</v>
      </c>
      <c r="K20" t="s">
        <v>65</v>
      </c>
      <c r="L20" s="2">
        <v>45658</v>
      </c>
      <c r="M20" t="s">
        <v>64</v>
      </c>
      <c r="N20">
        <v>0</v>
      </c>
      <c r="O20" t="s">
        <v>31</v>
      </c>
      <c r="P20" t="s">
        <v>28</v>
      </c>
      <c r="Q20">
        <v>0</v>
      </c>
    </row>
    <row r="21" spans="1:17" x14ac:dyDescent="0.3">
      <c r="A21" t="s">
        <v>17</v>
      </c>
      <c r="B21">
        <v>67</v>
      </c>
      <c r="C21" t="s">
        <v>28</v>
      </c>
      <c r="D21" s="2">
        <v>45660</v>
      </c>
      <c r="E21" s="3">
        <f t="shared" si="0"/>
        <v>45658</v>
      </c>
      <c r="F21" t="s">
        <v>66</v>
      </c>
      <c r="G21" t="s">
        <v>67</v>
      </c>
      <c r="H21" s="4">
        <v>334.68</v>
      </c>
      <c r="I21" t="s">
        <v>31</v>
      </c>
      <c r="J21" t="s">
        <v>68</v>
      </c>
      <c r="K21" t="s">
        <v>69</v>
      </c>
      <c r="L21" s="2">
        <v>45658</v>
      </c>
      <c r="M21" t="s">
        <v>68</v>
      </c>
      <c r="N21">
        <v>0</v>
      </c>
      <c r="O21" t="s">
        <v>31</v>
      </c>
      <c r="P21" t="s">
        <v>28</v>
      </c>
      <c r="Q21">
        <v>0</v>
      </c>
    </row>
    <row r="22" spans="1:17" x14ac:dyDescent="0.3">
      <c r="A22" t="s">
        <v>17</v>
      </c>
      <c r="B22">
        <v>67</v>
      </c>
      <c r="C22" t="s">
        <v>28</v>
      </c>
      <c r="D22" s="2">
        <v>45660</v>
      </c>
      <c r="E22" s="3">
        <f t="shared" si="0"/>
        <v>45658</v>
      </c>
      <c r="F22" t="s">
        <v>70</v>
      </c>
      <c r="G22" t="s">
        <v>67</v>
      </c>
      <c r="H22" s="4">
        <v>565.76</v>
      </c>
      <c r="I22" t="s">
        <v>31</v>
      </c>
      <c r="J22" t="s">
        <v>68</v>
      </c>
      <c r="K22" t="s">
        <v>71</v>
      </c>
      <c r="L22" s="2">
        <v>45658</v>
      </c>
      <c r="M22" t="s">
        <v>68</v>
      </c>
      <c r="N22">
        <v>0</v>
      </c>
      <c r="O22" t="s">
        <v>31</v>
      </c>
      <c r="P22" t="s">
        <v>28</v>
      </c>
      <c r="Q22">
        <v>0</v>
      </c>
    </row>
    <row r="23" spans="1:17" x14ac:dyDescent="0.3">
      <c r="A23" t="s">
        <v>17</v>
      </c>
      <c r="B23">
        <v>67</v>
      </c>
      <c r="C23" t="s">
        <v>28</v>
      </c>
      <c r="D23" s="2">
        <v>45661</v>
      </c>
      <c r="E23" s="3">
        <f t="shared" si="0"/>
        <v>45658</v>
      </c>
      <c r="F23" t="s">
        <v>72</v>
      </c>
      <c r="G23" t="s">
        <v>73</v>
      </c>
      <c r="H23" s="4">
        <v>1779.84</v>
      </c>
      <c r="I23" t="s">
        <v>31</v>
      </c>
      <c r="J23" t="s">
        <v>74</v>
      </c>
      <c r="K23" t="s">
        <v>75</v>
      </c>
      <c r="L23" s="2">
        <v>45658</v>
      </c>
      <c r="M23" t="s">
        <v>76</v>
      </c>
      <c r="N23">
        <v>0</v>
      </c>
      <c r="O23" t="s">
        <v>31</v>
      </c>
      <c r="P23" t="s">
        <v>28</v>
      </c>
      <c r="Q23">
        <v>0</v>
      </c>
    </row>
    <row r="24" spans="1:17" x14ac:dyDescent="0.3">
      <c r="A24" t="s">
        <v>17</v>
      </c>
      <c r="B24">
        <v>68</v>
      </c>
      <c r="C24" t="s">
        <v>34</v>
      </c>
      <c r="D24" s="2">
        <v>45661</v>
      </c>
      <c r="E24" s="3">
        <f t="shared" si="0"/>
        <v>45658</v>
      </c>
      <c r="F24" t="s">
        <v>77</v>
      </c>
      <c r="G24" t="s">
        <v>78</v>
      </c>
      <c r="H24" s="4">
        <v>100</v>
      </c>
      <c r="I24" t="s">
        <v>21</v>
      </c>
      <c r="J24" t="s">
        <v>79</v>
      </c>
      <c r="K24" t="s">
        <v>80</v>
      </c>
      <c r="L24" s="2">
        <v>45658</v>
      </c>
      <c r="M24" t="s">
        <v>79</v>
      </c>
      <c r="N24" t="s">
        <v>25</v>
      </c>
      <c r="O24" t="s">
        <v>81</v>
      </c>
      <c r="P24" t="s">
        <v>34</v>
      </c>
      <c r="Q24">
        <v>0</v>
      </c>
    </row>
    <row r="25" spans="1:17" x14ac:dyDescent="0.3">
      <c r="A25" t="s">
        <v>17</v>
      </c>
      <c r="B25">
        <v>68</v>
      </c>
      <c r="C25" t="s">
        <v>34</v>
      </c>
      <c r="D25" s="2">
        <v>45661</v>
      </c>
      <c r="E25" s="3">
        <f t="shared" si="0"/>
        <v>45658</v>
      </c>
      <c r="F25" t="s">
        <v>72</v>
      </c>
      <c r="G25" t="s">
        <v>73</v>
      </c>
      <c r="H25" s="4">
        <v>445.29</v>
      </c>
      <c r="I25" t="s">
        <v>31</v>
      </c>
      <c r="J25" t="s">
        <v>79</v>
      </c>
      <c r="K25" t="s">
        <v>82</v>
      </c>
      <c r="L25" s="2">
        <v>45658</v>
      </c>
      <c r="M25" t="s">
        <v>79</v>
      </c>
      <c r="N25">
        <v>0</v>
      </c>
      <c r="O25" t="s">
        <v>31</v>
      </c>
      <c r="P25" t="s">
        <v>34</v>
      </c>
      <c r="Q25">
        <v>0</v>
      </c>
    </row>
    <row r="26" spans="1:17" x14ac:dyDescent="0.3">
      <c r="A26" t="s">
        <v>17</v>
      </c>
      <c r="B26">
        <v>64</v>
      </c>
      <c r="C26" t="s">
        <v>83</v>
      </c>
      <c r="D26" s="2">
        <v>45661</v>
      </c>
      <c r="E26" s="3">
        <f t="shared" si="0"/>
        <v>45658</v>
      </c>
      <c r="F26" t="s">
        <v>77</v>
      </c>
      <c r="G26" t="s">
        <v>78</v>
      </c>
      <c r="H26" s="4">
        <v>580.58000000000004</v>
      </c>
      <c r="I26" t="s">
        <v>21</v>
      </c>
      <c r="J26" t="s">
        <v>84</v>
      </c>
      <c r="K26" t="s">
        <v>85</v>
      </c>
      <c r="L26" s="2">
        <v>45658</v>
      </c>
      <c r="M26" t="s">
        <v>86</v>
      </c>
      <c r="N26" t="s">
        <v>25</v>
      </c>
      <c r="O26" t="s">
        <v>81</v>
      </c>
      <c r="P26" t="s">
        <v>83</v>
      </c>
      <c r="Q26">
        <v>0</v>
      </c>
    </row>
    <row r="27" spans="1:17" x14ac:dyDescent="0.3">
      <c r="A27" t="s">
        <v>17</v>
      </c>
      <c r="B27">
        <v>64</v>
      </c>
      <c r="C27" t="s">
        <v>83</v>
      </c>
      <c r="D27" s="2">
        <v>45661</v>
      </c>
      <c r="E27" s="3">
        <f t="shared" si="0"/>
        <v>45658</v>
      </c>
      <c r="F27" t="s">
        <v>77</v>
      </c>
      <c r="G27" t="s">
        <v>78</v>
      </c>
      <c r="H27" s="4">
        <v>257.72000000000003</v>
      </c>
      <c r="I27" t="s">
        <v>21</v>
      </c>
      <c r="J27" t="s">
        <v>84</v>
      </c>
      <c r="K27" t="s">
        <v>85</v>
      </c>
      <c r="L27" s="2">
        <v>45658</v>
      </c>
      <c r="M27" t="s">
        <v>86</v>
      </c>
      <c r="N27" t="s">
        <v>25</v>
      </c>
      <c r="O27" t="s">
        <v>81</v>
      </c>
      <c r="P27" t="s">
        <v>83</v>
      </c>
      <c r="Q27">
        <v>0</v>
      </c>
    </row>
    <row r="28" spans="1:17" x14ac:dyDescent="0.3">
      <c r="A28" t="s">
        <v>17</v>
      </c>
      <c r="B28">
        <v>64</v>
      </c>
      <c r="C28" t="s">
        <v>83</v>
      </c>
      <c r="D28" s="2">
        <v>45661</v>
      </c>
      <c r="E28" s="3">
        <f t="shared" si="0"/>
        <v>45658</v>
      </c>
      <c r="F28" t="s">
        <v>77</v>
      </c>
      <c r="G28" t="s">
        <v>78</v>
      </c>
      <c r="H28" s="4">
        <v>54.78</v>
      </c>
      <c r="I28" t="s">
        <v>21</v>
      </c>
      <c r="J28" t="s">
        <v>87</v>
      </c>
      <c r="K28" t="s">
        <v>88</v>
      </c>
      <c r="L28" s="2">
        <v>45658</v>
      </c>
      <c r="M28" t="s">
        <v>89</v>
      </c>
      <c r="N28" t="s">
        <v>25</v>
      </c>
      <c r="O28" t="s">
        <v>81</v>
      </c>
      <c r="P28" t="s">
        <v>83</v>
      </c>
      <c r="Q28">
        <v>0</v>
      </c>
    </row>
    <row r="29" spans="1:17" x14ac:dyDescent="0.3">
      <c r="A29" t="s">
        <v>17</v>
      </c>
      <c r="B29">
        <v>64</v>
      </c>
      <c r="C29" t="s">
        <v>83</v>
      </c>
      <c r="D29" s="2">
        <v>45661</v>
      </c>
      <c r="E29" s="3">
        <f t="shared" si="0"/>
        <v>45658</v>
      </c>
      <c r="F29" t="s">
        <v>77</v>
      </c>
      <c r="G29" t="s">
        <v>78</v>
      </c>
      <c r="H29" s="4">
        <v>73.489999999999995</v>
      </c>
      <c r="I29" t="s">
        <v>21</v>
      </c>
      <c r="J29" t="s">
        <v>87</v>
      </c>
      <c r="K29" t="s">
        <v>90</v>
      </c>
      <c r="L29" s="2">
        <v>45658</v>
      </c>
      <c r="M29" t="s">
        <v>89</v>
      </c>
      <c r="N29" t="s">
        <v>25</v>
      </c>
      <c r="O29" t="s">
        <v>81</v>
      </c>
      <c r="P29" t="s">
        <v>83</v>
      </c>
      <c r="Q29">
        <v>0</v>
      </c>
    </row>
    <row r="30" spans="1:17" x14ac:dyDescent="0.3">
      <c r="A30" t="s">
        <v>17</v>
      </c>
      <c r="B30">
        <v>64</v>
      </c>
      <c r="C30" t="s">
        <v>83</v>
      </c>
      <c r="D30" s="2">
        <v>45661</v>
      </c>
      <c r="E30" s="3">
        <f t="shared" si="0"/>
        <v>45658</v>
      </c>
      <c r="F30" t="s">
        <v>72</v>
      </c>
      <c r="G30" t="s">
        <v>73</v>
      </c>
      <c r="H30" s="4">
        <v>199.59</v>
      </c>
      <c r="I30" t="s">
        <v>31</v>
      </c>
      <c r="J30" t="s">
        <v>91</v>
      </c>
      <c r="K30" t="s">
        <v>92</v>
      </c>
      <c r="L30" s="2">
        <v>45658</v>
      </c>
      <c r="M30" t="s">
        <v>93</v>
      </c>
      <c r="N30">
        <v>0</v>
      </c>
      <c r="O30" t="s">
        <v>31</v>
      </c>
      <c r="P30" t="s">
        <v>83</v>
      </c>
      <c r="Q30">
        <v>0</v>
      </c>
    </row>
    <row r="31" spans="1:17" x14ac:dyDescent="0.3">
      <c r="A31" t="s">
        <v>17</v>
      </c>
      <c r="B31">
        <v>64</v>
      </c>
      <c r="C31" t="s">
        <v>83</v>
      </c>
      <c r="D31" s="2">
        <v>45661</v>
      </c>
      <c r="E31" s="3">
        <f t="shared" si="0"/>
        <v>45658</v>
      </c>
      <c r="F31" t="s">
        <v>72</v>
      </c>
      <c r="G31" t="s">
        <v>73</v>
      </c>
      <c r="H31" s="4">
        <v>139.5</v>
      </c>
      <c r="I31" t="s">
        <v>31</v>
      </c>
      <c r="J31" t="s">
        <v>91</v>
      </c>
      <c r="K31" t="s">
        <v>94</v>
      </c>
      <c r="L31" s="2">
        <v>45658</v>
      </c>
      <c r="M31" t="s">
        <v>93</v>
      </c>
      <c r="N31">
        <v>0</v>
      </c>
      <c r="O31" t="s">
        <v>31</v>
      </c>
      <c r="P31" t="s">
        <v>83</v>
      </c>
      <c r="Q31">
        <v>0</v>
      </c>
    </row>
    <row r="32" spans="1:17" x14ac:dyDescent="0.3">
      <c r="A32" t="s">
        <v>17</v>
      </c>
      <c r="B32">
        <v>64</v>
      </c>
      <c r="C32" t="s">
        <v>83</v>
      </c>
      <c r="D32" s="2">
        <v>45661</v>
      </c>
      <c r="E32" s="3">
        <f t="shared" si="0"/>
        <v>45658</v>
      </c>
      <c r="F32" t="s">
        <v>72</v>
      </c>
      <c r="G32" t="s">
        <v>73</v>
      </c>
      <c r="H32" s="4">
        <v>256.17</v>
      </c>
      <c r="I32" t="s">
        <v>31</v>
      </c>
      <c r="J32" t="s">
        <v>91</v>
      </c>
      <c r="K32" t="s">
        <v>95</v>
      </c>
      <c r="L32" s="2">
        <v>45658</v>
      </c>
      <c r="M32" t="s">
        <v>93</v>
      </c>
      <c r="N32">
        <v>0</v>
      </c>
      <c r="O32" t="s">
        <v>31</v>
      </c>
      <c r="P32" t="s">
        <v>83</v>
      </c>
      <c r="Q32">
        <v>0</v>
      </c>
    </row>
    <row r="33" spans="1:17" x14ac:dyDescent="0.3">
      <c r="A33" t="s">
        <v>17</v>
      </c>
      <c r="B33">
        <v>64</v>
      </c>
      <c r="C33" t="s">
        <v>83</v>
      </c>
      <c r="D33" s="2">
        <v>45661</v>
      </c>
      <c r="E33" s="3">
        <f t="shared" si="0"/>
        <v>45658</v>
      </c>
      <c r="F33" t="s">
        <v>72</v>
      </c>
      <c r="G33" t="s">
        <v>73</v>
      </c>
      <c r="H33" s="4">
        <v>62.97</v>
      </c>
      <c r="I33" t="s">
        <v>31</v>
      </c>
      <c r="J33" t="s">
        <v>91</v>
      </c>
      <c r="K33" t="s">
        <v>96</v>
      </c>
      <c r="L33" s="2">
        <v>45658</v>
      </c>
      <c r="M33" t="s">
        <v>93</v>
      </c>
      <c r="N33">
        <v>0</v>
      </c>
      <c r="O33" t="s">
        <v>31</v>
      </c>
      <c r="P33" t="s">
        <v>83</v>
      </c>
      <c r="Q33">
        <v>0</v>
      </c>
    </row>
    <row r="34" spans="1:17" x14ac:dyDescent="0.3">
      <c r="A34" t="s">
        <v>17</v>
      </c>
      <c r="B34">
        <v>64</v>
      </c>
      <c r="C34" t="s">
        <v>83</v>
      </c>
      <c r="D34" s="2">
        <v>45661</v>
      </c>
      <c r="E34" s="3">
        <f t="shared" si="0"/>
        <v>45658</v>
      </c>
      <c r="F34" t="s">
        <v>72</v>
      </c>
      <c r="G34" t="s">
        <v>73</v>
      </c>
      <c r="H34" s="4">
        <v>108.82</v>
      </c>
      <c r="I34" t="s">
        <v>31</v>
      </c>
      <c r="J34" t="s">
        <v>91</v>
      </c>
      <c r="K34" t="s">
        <v>94</v>
      </c>
      <c r="L34" s="2">
        <v>45658</v>
      </c>
      <c r="M34" t="s">
        <v>93</v>
      </c>
      <c r="N34">
        <v>0</v>
      </c>
      <c r="O34" t="s">
        <v>31</v>
      </c>
      <c r="P34" t="s">
        <v>83</v>
      </c>
      <c r="Q34">
        <v>0</v>
      </c>
    </row>
    <row r="35" spans="1:17" x14ac:dyDescent="0.3">
      <c r="A35" t="s">
        <v>17</v>
      </c>
      <c r="B35">
        <v>64</v>
      </c>
      <c r="C35" t="s">
        <v>83</v>
      </c>
      <c r="D35" s="2">
        <v>45661</v>
      </c>
      <c r="E35" s="3">
        <f t="shared" si="0"/>
        <v>45658</v>
      </c>
      <c r="F35" t="s">
        <v>72</v>
      </c>
      <c r="G35" t="s">
        <v>73</v>
      </c>
      <c r="H35" s="4">
        <v>444.1</v>
      </c>
      <c r="I35" t="s">
        <v>31</v>
      </c>
      <c r="J35" t="s">
        <v>91</v>
      </c>
      <c r="K35" t="s">
        <v>97</v>
      </c>
      <c r="L35" s="2">
        <v>45658</v>
      </c>
      <c r="M35" t="s">
        <v>93</v>
      </c>
      <c r="N35">
        <v>0</v>
      </c>
      <c r="O35" t="s">
        <v>31</v>
      </c>
      <c r="P35" t="s">
        <v>83</v>
      </c>
      <c r="Q35">
        <v>0</v>
      </c>
    </row>
    <row r="36" spans="1:17" x14ac:dyDescent="0.3">
      <c r="A36" t="s">
        <v>17</v>
      </c>
      <c r="B36">
        <v>64</v>
      </c>
      <c r="C36" t="s">
        <v>83</v>
      </c>
      <c r="D36" s="2">
        <v>45661</v>
      </c>
      <c r="E36" s="3">
        <f t="shared" si="0"/>
        <v>45658</v>
      </c>
      <c r="F36" t="s">
        <v>72</v>
      </c>
      <c r="G36" t="s">
        <v>73</v>
      </c>
      <c r="H36" s="4">
        <v>155.88</v>
      </c>
      <c r="I36" t="s">
        <v>31</v>
      </c>
      <c r="J36" t="s">
        <v>91</v>
      </c>
      <c r="K36" t="s">
        <v>98</v>
      </c>
      <c r="L36" s="2">
        <v>45658</v>
      </c>
      <c r="M36" t="s">
        <v>93</v>
      </c>
      <c r="N36">
        <v>0</v>
      </c>
      <c r="O36" t="s">
        <v>31</v>
      </c>
      <c r="P36" t="s">
        <v>83</v>
      </c>
      <c r="Q36">
        <v>0</v>
      </c>
    </row>
    <row r="37" spans="1:17" x14ac:dyDescent="0.3">
      <c r="A37" t="s">
        <v>17</v>
      </c>
      <c r="B37">
        <v>64</v>
      </c>
      <c r="C37" t="s">
        <v>83</v>
      </c>
      <c r="D37" s="2">
        <v>45661</v>
      </c>
      <c r="E37" s="3">
        <f t="shared" si="0"/>
        <v>45658</v>
      </c>
      <c r="F37" t="s">
        <v>99</v>
      </c>
      <c r="G37" t="s">
        <v>73</v>
      </c>
      <c r="H37" s="4">
        <v>128.81</v>
      </c>
      <c r="I37" t="s">
        <v>31</v>
      </c>
      <c r="J37" t="s">
        <v>91</v>
      </c>
      <c r="K37" t="s">
        <v>94</v>
      </c>
      <c r="L37" s="2">
        <v>45658</v>
      </c>
      <c r="M37" t="s">
        <v>93</v>
      </c>
      <c r="N37">
        <v>0</v>
      </c>
      <c r="O37" t="s">
        <v>31</v>
      </c>
      <c r="P37" t="s">
        <v>83</v>
      </c>
      <c r="Q37">
        <v>0</v>
      </c>
    </row>
    <row r="38" spans="1:17" x14ac:dyDescent="0.3">
      <c r="A38" t="s">
        <v>17</v>
      </c>
      <c r="B38">
        <v>67</v>
      </c>
      <c r="C38" t="s">
        <v>28</v>
      </c>
      <c r="D38" s="2">
        <v>45662</v>
      </c>
      <c r="E38" s="3">
        <f t="shared" si="0"/>
        <v>45658</v>
      </c>
      <c r="F38" t="s">
        <v>100</v>
      </c>
      <c r="G38" t="s">
        <v>101</v>
      </c>
      <c r="H38" s="4">
        <v>1.05</v>
      </c>
      <c r="I38" t="s">
        <v>31</v>
      </c>
      <c r="J38" t="s">
        <v>64</v>
      </c>
      <c r="K38" t="s">
        <v>102</v>
      </c>
      <c r="L38" s="2">
        <v>45658</v>
      </c>
      <c r="M38" t="s">
        <v>64</v>
      </c>
      <c r="N38">
        <v>0</v>
      </c>
      <c r="O38" t="s">
        <v>31</v>
      </c>
      <c r="P38" t="s">
        <v>28</v>
      </c>
      <c r="Q38">
        <v>0</v>
      </c>
    </row>
    <row r="39" spans="1:17" x14ac:dyDescent="0.3">
      <c r="A39" t="s">
        <v>17</v>
      </c>
      <c r="B39">
        <v>67</v>
      </c>
      <c r="C39" t="s">
        <v>28</v>
      </c>
      <c r="D39" s="2">
        <v>45662</v>
      </c>
      <c r="E39" s="3">
        <f t="shared" si="0"/>
        <v>45658</v>
      </c>
      <c r="F39" t="s">
        <v>100</v>
      </c>
      <c r="G39" t="s">
        <v>101</v>
      </c>
      <c r="H39" s="4">
        <v>70.31</v>
      </c>
      <c r="I39" t="s">
        <v>31</v>
      </c>
      <c r="J39" t="s">
        <v>74</v>
      </c>
      <c r="K39" t="s">
        <v>103</v>
      </c>
      <c r="L39" s="2">
        <v>45658</v>
      </c>
      <c r="M39" t="s">
        <v>76</v>
      </c>
      <c r="N39">
        <v>0</v>
      </c>
      <c r="O39" t="s">
        <v>31</v>
      </c>
      <c r="P39" t="s">
        <v>28</v>
      </c>
      <c r="Q39">
        <v>0</v>
      </c>
    </row>
    <row r="40" spans="1:17" x14ac:dyDescent="0.3">
      <c r="A40" t="s">
        <v>17</v>
      </c>
      <c r="B40">
        <v>67</v>
      </c>
      <c r="C40" t="s">
        <v>28</v>
      </c>
      <c r="D40" s="2">
        <v>45662</v>
      </c>
      <c r="E40" s="3">
        <f t="shared" si="0"/>
        <v>45658</v>
      </c>
      <c r="F40" t="s">
        <v>100</v>
      </c>
      <c r="G40" t="s">
        <v>101</v>
      </c>
      <c r="H40" s="4">
        <v>1245</v>
      </c>
      <c r="I40" t="s">
        <v>104</v>
      </c>
      <c r="J40" t="s">
        <v>74</v>
      </c>
      <c r="K40" t="s">
        <v>105</v>
      </c>
      <c r="L40" s="2">
        <v>45658</v>
      </c>
      <c r="M40" t="s">
        <v>76</v>
      </c>
      <c r="N40">
        <v>0</v>
      </c>
      <c r="O40" t="s">
        <v>104</v>
      </c>
      <c r="P40" t="s">
        <v>28</v>
      </c>
      <c r="Q40">
        <v>0</v>
      </c>
    </row>
    <row r="41" spans="1:17" x14ac:dyDescent="0.3">
      <c r="A41" t="s">
        <v>17</v>
      </c>
      <c r="B41">
        <v>68</v>
      </c>
      <c r="C41" t="s">
        <v>34</v>
      </c>
      <c r="D41" s="2">
        <v>45663</v>
      </c>
      <c r="E41" s="3">
        <f t="shared" si="0"/>
        <v>45658</v>
      </c>
      <c r="F41" t="s">
        <v>106</v>
      </c>
      <c r="G41" t="s">
        <v>107</v>
      </c>
      <c r="H41" s="4">
        <v>47.61</v>
      </c>
      <c r="I41" t="s">
        <v>108</v>
      </c>
      <c r="J41" t="s">
        <v>109</v>
      </c>
      <c r="K41" t="s">
        <v>110</v>
      </c>
      <c r="L41" s="2">
        <v>45658</v>
      </c>
      <c r="M41" t="s">
        <v>109</v>
      </c>
      <c r="N41">
        <v>0</v>
      </c>
      <c r="O41" t="s">
        <v>111</v>
      </c>
      <c r="P41" t="s">
        <v>112</v>
      </c>
      <c r="Q41" t="s">
        <v>113</v>
      </c>
    </row>
    <row r="42" spans="1:17" x14ac:dyDescent="0.3">
      <c r="A42" t="s">
        <v>17</v>
      </c>
      <c r="B42">
        <v>67</v>
      </c>
      <c r="C42" t="s">
        <v>28</v>
      </c>
      <c r="D42" s="2">
        <v>45664</v>
      </c>
      <c r="E42" s="3">
        <f t="shared" si="0"/>
        <v>45658</v>
      </c>
      <c r="F42" t="s">
        <v>114</v>
      </c>
      <c r="G42" t="s">
        <v>115</v>
      </c>
      <c r="H42" s="4">
        <v>66</v>
      </c>
      <c r="I42" t="s">
        <v>116</v>
      </c>
      <c r="J42" t="s">
        <v>64</v>
      </c>
      <c r="K42" t="s">
        <v>117</v>
      </c>
      <c r="L42" s="2">
        <v>45658</v>
      </c>
      <c r="M42" t="s">
        <v>64</v>
      </c>
      <c r="N42">
        <v>0</v>
      </c>
      <c r="O42" t="s">
        <v>116</v>
      </c>
      <c r="P42" t="s">
        <v>28</v>
      </c>
      <c r="Q42">
        <v>0</v>
      </c>
    </row>
    <row r="43" spans="1:17" x14ac:dyDescent="0.3">
      <c r="A43" t="s">
        <v>17</v>
      </c>
      <c r="B43">
        <v>67</v>
      </c>
      <c r="C43" t="s">
        <v>28</v>
      </c>
      <c r="D43" s="2">
        <v>45665</v>
      </c>
      <c r="E43" s="3">
        <f t="shared" si="0"/>
        <v>45658</v>
      </c>
      <c r="F43" t="s">
        <v>118</v>
      </c>
      <c r="G43" t="s">
        <v>119</v>
      </c>
      <c r="H43" s="4">
        <v>227.5</v>
      </c>
      <c r="I43" t="s">
        <v>31</v>
      </c>
      <c r="J43" t="s">
        <v>68</v>
      </c>
      <c r="K43" t="s">
        <v>120</v>
      </c>
      <c r="L43" s="2">
        <v>45658</v>
      </c>
      <c r="M43" t="s">
        <v>68</v>
      </c>
      <c r="N43">
        <v>0</v>
      </c>
      <c r="O43" t="s">
        <v>31</v>
      </c>
      <c r="P43" t="s">
        <v>28</v>
      </c>
      <c r="Q43">
        <v>0</v>
      </c>
    </row>
    <row r="44" spans="1:17" x14ac:dyDescent="0.3">
      <c r="A44" t="s">
        <v>17</v>
      </c>
      <c r="B44">
        <v>68</v>
      </c>
      <c r="C44" t="s">
        <v>34</v>
      </c>
      <c r="D44" s="2">
        <v>45665</v>
      </c>
      <c r="E44" s="3">
        <f t="shared" si="0"/>
        <v>45658</v>
      </c>
      <c r="F44" t="s">
        <v>121</v>
      </c>
      <c r="G44" t="s">
        <v>122</v>
      </c>
      <c r="H44" s="4">
        <v>246.12</v>
      </c>
      <c r="I44" t="s">
        <v>108</v>
      </c>
      <c r="J44" t="s">
        <v>109</v>
      </c>
      <c r="K44" t="s">
        <v>123</v>
      </c>
      <c r="L44" s="2">
        <v>45658</v>
      </c>
      <c r="M44" t="s">
        <v>109</v>
      </c>
      <c r="N44">
        <v>0</v>
      </c>
      <c r="O44" t="s">
        <v>111</v>
      </c>
      <c r="P44" t="s">
        <v>112</v>
      </c>
      <c r="Q44" t="s">
        <v>113</v>
      </c>
    </row>
    <row r="45" spans="1:17" x14ac:dyDescent="0.3">
      <c r="A45" t="s">
        <v>17</v>
      </c>
      <c r="B45">
        <v>63</v>
      </c>
      <c r="C45" t="s">
        <v>18</v>
      </c>
      <c r="D45" s="2">
        <v>45666</v>
      </c>
      <c r="E45" s="3">
        <f t="shared" si="0"/>
        <v>45658</v>
      </c>
      <c r="F45" t="s">
        <v>124</v>
      </c>
      <c r="G45" t="s">
        <v>125</v>
      </c>
      <c r="H45" s="4">
        <v>600</v>
      </c>
      <c r="I45" t="s">
        <v>21</v>
      </c>
      <c r="J45" t="s">
        <v>22</v>
      </c>
      <c r="K45" t="s">
        <v>126</v>
      </c>
      <c r="L45" s="2">
        <v>45658</v>
      </c>
      <c r="M45" t="s">
        <v>24</v>
      </c>
      <c r="N45" t="s">
        <v>25</v>
      </c>
      <c r="O45" t="s">
        <v>26</v>
      </c>
      <c r="P45" t="s">
        <v>18</v>
      </c>
      <c r="Q45" t="s">
        <v>27</v>
      </c>
    </row>
    <row r="46" spans="1:17" x14ac:dyDescent="0.3">
      <c r="A46" t="s">
        <v>17</v>
      </c>
      <c r="B46">
        <v>68</v>
      </c>
      <c r="C46" t="s">
        <v>34</v>
      </c>
      <c r="D46" s="2">
        <v>45666</v>
      </c>
      <c r="E46" s="3">
        <f t="shared" si="0"/>
        <v>45658</v>
      </c>
      <c r="F46" t="s">
        <v>127</v>
      </c>
      <c r="H46" s="4">
        <v>-0.01</v>
      </c>
      <c r="I46" t="s">
        <v>21</v>
      </c>
      <c r="J46" t="s">
        <v>79</v>
      </c>
      <c r="K46" t="s">
        <v>128</v>
      </c>
      <c r="L46" s="2">
        <v>45658</v>
      </c>
      <c r="M46" t="s">
        <v>79</v>
      </c>
      <c r="N46" t="s">
        <v>25</v>
      </c>
      <c r="O46" t="s">
        <v>81</v>
      </c>
      <c r="P46" t="s">
        <v>34</v>
      </c>
      <c r="Q46">
        <v>0</v>
      </c>
    </row>
    <row r="47" spans="1:17" x14ac:dyDescent="0.3">
      <c r="A47" t="s">
        <v>17</v>
      </c>
      <c r="B47">
        <v>68</v>
      </c>
      <c r="C47" t="s">
        <v>34</v>
      </c>
      <c r="D47" s="2">
        <v>45666</v>
      </c>
      <c r="E47" s="3">
        <f t="shared" si="0"/>
        <v>45658</v>
      </c>
      <c r="F47" t="s">
        <v>129</v>
      </c>
      <c r="H47" s="4">
        <v>0.01</v>
      </c>
      <c r="I47" t="s">
        <v>21</v>
      </c>
      <c r="J47" t="s">
        <v>79</v>
      </c>
      <c r="K47" t="s">
        <v>128</v>
      </c>
      <c r="L47" s="2">
        <v>45658</v>
      </c>
      <c r="M47" t="s">
        <v>79</v>
      </c>
      <c r="N47" t="s">
        <v>25</v>
      </c>
      <c r="O47" t="s">
        <v>81</v>
      </c>
      <c r="P47" t="s">
        <v>34</v>
      </c>
      <c r="Q47">
        <v>0</v>
      </c>
    </row>
    <row r="48" spans="1:17" x14ac:dyDescent="0.3">
      <c r="A48" t="s">
        <v>17</v>
      </c>
      <c r="B48">
        <v>68</v>
      </c>
      <c r="C48" t="s">
        <v>34</v>
      </c>
      <c r="D48" s="2">
        <v>45667</v>
      </c>
      <c r="E48" s="3">
        <f t="shared" si="0"/>
        <v>45658</v>
      </c>
      <c r="F48" t="s">
        <v>130</v>
      </c>
      <c r="G48" t="s">
        <v>131</v>
      </c>
      <c r="H48" s="4">
        <v>1034.31</v>
      </c>
      <c r="I48" t="s">
        <v>31</v>
      </c>
      <c r="J48" t="s">
        <v>79</v>
      </c>
      <c r="K48" t="s">
        <v>132</v>
      </c>
      <c r="L48" s="2">
        <v>45658</v>
      </c>
      <c r="M48" t="s">
        <v>79</v>
      </c>
      <c r="N48">
        <v>0</v>
      </c>
      <c r="O48" t="s">
        <v>31</v>
      </c>
      <c r="P48" t="s">
        <v>34</v>
      </c>
      <c r="Q48">
        <v>0</v>
      </c>
    </row>
    <row r="49" spans="1:17" x14ac:dyDescent="0.3">
      <c r="A49" t="s">
        <v>17</v>
      </c>
      <c r="B49">
        <v>67</v>
      </c>
      <c r="C49" t="s">
        <v>28</v>
      </c>
      <c r="D49" s="2">
        <v>45667</v>
      </c>
      <c r="E49" s="3">
        <f t="shared" si="0"/>
        <v>45658</v>
      </c>
      <c r="F49" t="s">
        <v>133</v>
      </c>
      <c r="H49" s="4">
        <v>-21.18</v>
      </c>
      <c r="I49" t="s">
        <v>31</v>
      </c>
      <c r="J49" t="s">
        <v>60</v>
      </c>
      <c r="L49" s="2">
        <v>45658</v>
      </c>
      <c r="M49" t="s">
        <v>60</v>
      </c>
      <c r="N49">
        <v>0</v>
      </c>
      <c r="O49" t="s">
        <v>31</v>
      </c>
      <c r="P49" t="s">
        <v>28</v>
      </c>
      <c r="Q49">
        <v>0</v>
      </c>
    </row>
    <row r="50" spans="1:17" x14ac:dyDescent="0.3">
      <c r="A50" t="s">
        <v>17</v>
      </c>
      <c r="B50">
        <v>67</v>
      </c>
      <c r="C50" t="s">
        <v>28</v>
      </c>
      <c r="D50" s="2">
        <v>45667</v>
      </c>
      <c r="E50" s="3">
        <f t="shared" si="0"/>
        <v>45658</v>
      </c>
      <c r="F50" t="s">
        <v>133</v>
      </c>
      <c r="H50" s="4">
        <v>-48.66</v>
      </c>
      <c r="I50" t="s">
        <v>31</v>
      </c>
      <c r="J50" t="s">
        <v>60</v>
      </c>
      <c r="L50" s="2">
        <v>45658</v>
      </c>
      <c r="M50" t="s">
        <v>60</v>
      </c>
      <c r="N50">
        <v>0</v>
      </c>
      <c r="O50" t="s">
        <v>31</v>
      </c>
      <c r="P50" t="s">
        <v>28</v>
      </c>
      <c r="Q50">
        <v>0</v>
      </c>
    </row>
    <row r="51" spans="1:17" x14ac:dyDescent="0.3">
      <c r="A51" t="s">
        <v>17</v>
      </c>
      <c r="B51">
        <v>67</v>
      </c>
      <c r="C51" t="s">
        <v>28</v>
      </c>
      <c r="D51" s="2">
        <v>45667</v>
      </c>
      <c r="E51" s="3">
        <f t="shared" si="0"/>
        <v>45658</v>
      </c>
      <c r="F51" t="s">
        <v>133</v>
      </c>
      <c r="H51" s="4">
        <v>-82.34</v>
      </c>
      <c r="I51" t="s">
        <v>31</v>
      </c>
      <c r="J51" t="s">
        <v>60</v>
      </c>
      <c r="L51" s="2">
        <v>45658</v>
      </c>
      <c r="M51" t="s">
        <v>60</v>
      </c>
      <c r="N51">
        <v>0</v>
      </c>
      <c r="O51" t="s">
        <v>31</v>
      </c>
      <c r="P51" t="s">
        <v>28</v>
      </c>
      <c r="Q51">
        <v>0</v>
      </c>
    </row>
    <row r="52" spans="1:17" x14ac:dyDescent="0.3">
      <c r="A52" t="s">
        <v>17</v>
      </c>
      <c r="B52">
        <v>67</v>
      </c>
      <c r="C52" t="s">
        <v>28</v>
      </c>
      <c r="D52" s="2">
        <v>45667</v>
      </c>
      <c r="E52" s="3">
        <f t="shared" si="0"/>
        <v>45658</v>
      </c>
      <c r="F52" t="s">
        <v>133</v>
      </c>
      <c r="H52" s="4">
        <v>-13.88</v>
      </c>
      <c r="I52" t="s">
        <v>31</v>
      </c>
      <c r="J52" t="s">
        <v>60</v>
      </c>
      <c r="L52" s="2">
        <v>45658</v>
      </c>
      <c r="M52" t="s">
        <v>60</v>
      </c>
      <c r="N52">
        <v>0</v>
      </c>
      <c r="O52" t="s">
        <v>31</v>
      </c>
      <c r="P52" t="s">
        <v>28</v>
      </c>
      <c r="Q52">
        <v>0</v>
      </c>
    </row>
    <row r="53" spans="1:17" x14ac:dyDescent="0.3">
      <c r="A53" t="s">
        <v>17</v>
      </c>
      <c r="B53">
        <v>67</v>
      </c>
      <c r="C53" t="s">
        <v>28</v>
      </c>
      <c r="D53" s="2">
        <v>45667</v>
      </c>
      <c r="E53" s="3">
        <f t="shared" si="0"/>
        <v>45658</v>
      </c>
      <c r="F53" t="s">
        <v>133</v>
      </c>
      <c r="H53" s="4">
        <v>-44.48</v>
      </c>
      <c r="I53" t="s">
        <v>31</v>
      </c>
      <c r="J53" t="s">
        <v>60</v>
      </c>
      <c r="L53" s="2">
        <v>45658</v>
      </c>
      <c r="M53" t="s">
        <v>60</v>
      </c>
      <c r="N53">
        <v>0</v>
      </c>
      <c r="O53" t="s">
        <v>31</v>
      </c>
      <c r="P53" t="s">
        <v>28</v>
      </c>
      <c r="Q53">
        <v>0</v>
      </c>
    </row>
    <row r="54" spans="1:17" x14ac:dyDescent="0.3">
      <c r="A54" t="s">
        <v>17</v>
      </c>
      <c r="B54">
        <v>67</v>
      </c>
      <c r="C54" t="s">
        <v>28</v>
      </c>
      <c r="D54" s="2">
        <v>45667</v>
      </c>
      <c r="E54" s="3">
        <f t="shared" si="0"/>
        <v>45658</v>
      </c>
      <c r="F54" t="s">
        <v>133</v>
      </c>
      <c r="H54" s="4">
        <v>-43.2</v>
      </c>
      <c r="I54" t="s">
        <v>31</v>
      </c>
      <c r="J54" t="s">
        <v>60</v>
      </c>
      <c r="L54" s="2">
        <v>45658</v>
      </c>
      <c r="M54" t="s">
        <v>60</v>
      </c>
      <c r="N54">
        <v>0</v>
      </c>
      <c r="O54" t="s">
        <v>31</v>
      </c>
      <c r="P54" t="s">
        <v>28</v>
      </c>
      <c r="Q54">
        <v>0</v>
      </c>
    </row>
    <row r="55" spans="1:17" x14ac:dyDescent="0.3">
      <c r="A55" t="s">
        <v>17</v>
      </c>
      <c r="B55">
        <v>67</v>
      </c>
      <c r="C55" t="s">
        <v>28</v>
      </c>
      <c r="D55" s="2">
        <v>45667</v>
      </c>
      <c r="E55" s="3">
        <f t="shared" si="0"/>
        <v>45658</v>
      </c>
      <c r="F55" t="s">
        <v>133</v>
      </c>
      <c r="H55" s="4">
        <v>-88.99</v>
      </c>
      <c r="I55" t="s">
        <v>31</v>
      </c>
      <c r="J55" t="s">
        <v>60</v>
      </c>
      <c r="L55" s="2">
        <v>45658</v>
      </c>
      <c r="M55" t="s">
        <v>60</v>
      </c>
      <c r="N55">
        <v>0</v>
      </c>
      <c r="O55" t="s">
        <v>31</v>
      </c>
      <c r="P55" t="s">
        <v>28</v>
      </c>
      <c r="Q55">
        <v>0</v>
      </c>
    </row>
    <row r="56" spans="1:17" x14ac:dyDescent="0.3">
      <c r="A56" t="s">
        <v>17</v>
      </c>
      <c r="B56">
        <v>67</v>
      </c>
      <c r="C56" t="s">
        <v>28</v>
      </c>
      <c r="D56" s="2">
        <v>45667</v>
      </c>
      <c r="E56" s="3">
        <f t="shared" si="0"/>
        <v>45658</v>
      </c>
      <c r="F56" t="s">
        <v>133</v>
      </c>
      <c r="H56" s="4">
        <v>-41.72</v>
      </c>
      <c r="I56" t="s">
        <v>31</v>
      </c>
      <c r="J56" t="s">
        <v>60</v>
      </c>
      <c r="L56" s="2">
        <v>45658</v>
      </c>
      <c r="M56" t="s">
        <v>60</v>
      </c>
      <c r="N56">
        <v>0</v>
      </c>
      <c r="O56" t="s">
        <v>31</v>
      </c>
      <c r="P56" t="s">
        <v>28</v>
      </c>
      <c r="Q56">
        <v>0</v>
      </c>
    </row>
    <row r="57" spans="1:17" x14ac:dyDescent="0.3">
      <c r="A57" t="s">
        <v>17</v>
      </c>
      <c r="B57">
        <v>66</v>
      </c>
      <c r="C57" t="s">
        <v>134</v>
      </c>
      <c r="D57" s="2">
        <v>45668</v>
      </c>
      <c r="E57" s="3">
        <f t="shared" si="0"/>
        <v>45658</v>
      </c>
      <c r="F57" t="s">
        <v>135</v>
      </c>
      <c r="G57" t="s">
        <v>136</v>
      </c>
      <c r="H57" s="4">
        <v>5140</v>
      </c>
      <c r="I57" t="s">
        <v>137</v>
      </c>
      <c r="J57" t="s">
        <v>138</v>
      </c>
      <c r="K57" t="s">
        <v>139</v>
      </c>
      <c r="L57" s="2">
        <v>45658</v>
      </c>
      <c r="M57" t="s">
        <v>140</v>
      </c>
      <c r="N57" t="s">
        <v>141</v>
      </c>
      <c r="O57" t="s">
        <v>111</v>
      </c>
      <c r="P57" t="s">
        <v>134</v>
      </c>
      <c r="Q57">
        <v>0</v>
      </c>
    </row>
    <row r="58" spans="1:17" x14ac:dyDescent="0.3">
      <c r="A58" t="s">
        <v>17</v>
      </c>
      <c r="B58">
        <v>66</v>
      </c>
      <c r="C58" t="s">
        <v>134</v>
      </c>
      <c r="D58" s="2">
        <v>45668</v>
      </c>
      <c r="E58" s="3">
        <f t="shared" si="0"/>
        <v>45658</v>
      </c>
      <c r="F58" t="s">
        <v>142</v>
      </c>
      <c r="G58" t="s">
        <v>136</v>
      </c>
      <c r="H58" s="4">
        <v>4473</v>
      </c>
      <c r="I58" t="s">
        <v>137</v>
      </c>
      <c r="J58" t="s">
        <v>138</v>
      </c>
      <c r="K58" t="s">
        <v>139</v>
      </c>
      <c r="L58" s="2">
        <v>45658</v>
      </c>
      <c r="M58" t="s">
        <v>140</v>
      </c>
      <c r="N58" t="s">
        <v>141</v>
      </c>
      <c r="O58" t="s">
        <v>111</v>
      </c>
      <c r="P58" t="s">
        <v>134</v>
      </c>
      <c r="Q58">
        <v>0</v>
      </c>
    </row>
    <row r="59" spans="1:17" x14ac:dyDescent="0.3">
      <c r="A59" t="s">
        <v>17</v>
      </c>
      <c r="B59">
        <v>66</v>
      </c>
      <c r="C59" t="s">
        <v>134</v>
      </c>
      <c r="D59" s="2">
        <v>45668</v>
      </c>
      <c r="E59" s="3">
        <f t="shared" si="0"/>
        <v>45658</v>
      </c>
      <c r="F59" t="s">
        <v>143</v>
      </c>
      <c r="G59" t="s">
        <v>136</v>
      </c>
      <c r="H59" s="4">
        <v>3080</v>
      </c>
      <c r="I59" t="s">
        <v>137</v>
      </c>
      <c r="J59" t="s">
        <v>138</v>
      </c>
      <c r="K59" t="s">
        <v>139</v>
      </c>
      <c r="L59" s="2">
        <v>45658</v>
      </c>
      <c r="M59" t="s">
        <v>140</v>
      </c>
      <c r="N59" t="s">
        <v>141</v>
      </c>
      <c r="O59" t="s">
        <v>111</v>
      </c>
      <c r="P59" t="s">
        <v>134</v>
      </c>
      <c r="Q59">
        <v>0</v>
      </c>
    </row>
    <row r="60" spans="1:17" x14ac:dyDescent="0.3">
      <c r="A60" t="s">
        <v>17</v>
      </c>
      <c r="B60">
        <v>66</v>
      </c>
      <c r="C60" t="s">
        <v>134</v>
      </c>
      <c r="D60" s="2">
        <v>45668</v>
      </c>
      <c r="E60" s="3">
        <f t="shared" si="0"/>
        <v>45658</v>
      </c>
      <c r="F60" t="s">
        <v>144</v>
      </c>
      <c r="G60" t="s">
        <v>136</v>
      </c>
      <c r="H60" s="4">
        <v>4376</v>
      </c>
      <c r="I60" t="s">
        <v>137</v>
      </c>
      <c r="J60" t="s">
        <v>138</v>
      </c>
      <c r="K60" t="s">
        <v>139</v>
      </c>
      <c r="L60" s="2">
        <v>45658</v>
      </c>
      <c r="M60" t="s">
        <v>140</v>
      </c>
      <c r="N60" t="s">
        <v>141</v>
      </c>
      <c r="O60" t="s">
        <v>111</v>
      </c>
      <c r="P60" t="s">
        <v>134</v>
      </c>
      <c r="Q60">
        <v>0</v>
      </c>
    </row>
    <row r="61" spans="1:17" x14ac:dyDescent="0.3">
      <c r="A61" t="s">
        <v>17</v>
      </c>
      <c r="B61">
        <v>66</v>
      </c>
      <c r="C61" t="s">
        <v>134</v>
      </c>
      <c r="D61" s="2">
        <v>45668</v>
      </c>
      <c r="E61" s="3">
        <f t="shared" si="0"/>
        <v>45658</v>
      </c>
      <c r="F61" t="s">
        <v>145</v>
      </c>
      <c r="G61" t="s">
        <v>136</v>
      </c>
      <c r="H61" s="4">
        <v>5276</v>
      </c>
      <c r="I61" t="s">
        <v>137</v>
      </c>
      <c r="J61" t="s">
        <v>138</v>
      </c>
      <c r="K61" t="s">
        <v>139</v>
      </c>
      <c r="L61" s="2">
        <v>45658</v>
      </c>
      <c r="M61" t="s">
        <v>140</v>
      </c>
      <c r="N61" t="s">
        <v>141</v>
      </c>
      <c r="O61" t="s">
        <v>111</v>
      </c>
      <c r="P61" t="s">
        <v>134</v>
      </c>
      <c r="Q61">
        <v>0</v>
      </c>
    </row>
    <row r="62" spans="1:17" x14ac:dyDescent="0.3">
      <c r="A62" t="s">
        <v>17</v>
      </c>
      <c r="B62">
        <v>64</v>
      </c>
      <c r="C62" t="s">
        <v>83</v>
      </c>
      <c r="D62" s="2">
        <v>45670</v>
      </c>
      <c r="E62" s="3">
        <f t="shared" si="0"/>
        <v>45658</v>
      </c>
      <c r="F62" t="s">
        <v>146</v>
      </c>
      <c r="G62" t="s">
        <v>147</v>
      </c>
      <c r="H62" s="4">
        <v>513.71</v>
      </c>
      <c r="I62" t="s">
        <v>108</v>
      </c>
      <c r="J62" t="s">
        <v>91</v>
      </c>
      <c r="K62" t="s">
        <v>148</v>
      </c>
      <c r="L62" s="2">
        <v>45658</v>
      </c>
      <c r="M62" t="s">
        <v>93</v>
      </c>
      <c r="N62">
        <v>0</v>
      </c>
      <c r="O62" t="s">
        <v>111</v>
      </c>
      <c r="P62" t="s">
        <v>83</v>
      </c>
      <c r="Q62">
        <v>0</v>
      </c>
    </row>
    <row r="63" spans="1:17" x14ac:dyDescent="0.3">
      <c r="A63" t="s">
        <v>17</v>
      </c>
      <c r="B63">
        <v>68</v>
      </c>
      <c r="C63" t="s">
        <v>34</v>
      </c>
      <c r="D63" s="2">
        <v>45670</v>
      </c>
      <c r="E63" s="3">
        <f t="shared" si="0"/>
        <v>45658</v>
      </c>
      <c r="F63" t="s">
        <v>149</v>
      </c>
      <c r="G63" t="s">
        <v>122</v>
      </c>
      <c r="H63" s="4">
        <v>44.91</v>
      </c>
      <c r="I63" t="s">
        <v>108</v>
      </c>
      <c r="J63" t="s">
        <v>109</v>
      </c>
      <c r="K63" t="s">
        <v>123</v>
      </c>
      <c r="L63" s="2">
        <v>45658</v>
      </c>
      <c r="M63" t="s">
        <v>109</v>
      </c>
      <c r="N63">
        <v>0</v>
      </c>
      <c r="O63" t="s">
        <v>111</v>
      </c>
      <c r="P63" t="s">
        <v>112</v>
      </c>
      <c r="Q63" t="s">
        <v>113</v>
      </c>
    </row>
    <row r="64" spans="1:17" x14ac:dyDescent="0.3">
      <c r="A64" t="s">
        <v>17</v>
      </c>
      <c r="B64">
        <v>68</v>
      </c>
      <c r="C64" t="s">
        <v>34</v>
      </c>
      <c r="D64" s="2">
        <v>45670</v>
      </c>
      <c r="E64" s="3">
        <f t="shared" si="0"/>
        <v>45658</v>
      </c>
      <c r="F64" t="s">
        <v>150</v>
      </c>
      <c r="H64" s="4">
        <v>-234.08</v>
      </c>
      <c r="I64" t="s">
        <v>31</v>
      </c>
      <c r="J64" t="s">
        <v>79</v>
      </c>
      <c r="K64" t="s">
        <v>151</v>
      </c>
      <c r="L64" s="2">
        <v>45658</v>
      </c>
      <c r="M64" t="s">
        <v>79</v>
      </c>
      <c r="N64">
        <v>0</v>
      </c>
      <c r="O64" t="s">
        <v>31</v>
      </c>
      <c r="P64" t="s">
        <v>34</v>
      </c>
      <c r="Q64">
        <v>0</v>
      </c>
    </row>
    <row r="65" spans="1:17" x14ac:dyDescent="0.3">
      <c r="A65" t="s">
        <v>17</v>
      </c>
      <c r="B65">
        <v>66</v>
      </c>
      <c r="C65" t="s">
        <v>134</v>
      </c>
      <c r="D65" s="2">
        <v>45671</v>
      </c>
      <c r="E65" s="3">
        <f t="shared" si="0"/>
        <v>45658</v>
      </c>
      <c r="F65" t="s">
        <v>152</v>
      </c>
      <c r="G65" t="s">
        <v>136</v>
      </c>
      <c r="H65" s="4">
        <v>1670</v>
      </c>
      <c r="I65" t="s">
        <v>137</v>
      </c>
      <c r="J65" t="s">
        <v>138</v>
      </c>
      <c r="K65" t="s">
        <v>139</v>
      </c>
      <c r="L65" s="2">
        <v>45658</v>
      </c>
      <c r="M65" t="s">
        <v>140</v>
      </c>
      <c r="N65" t="s">
        <v>141</v>
      </c>
      <c r="O65" t="s">
        <v>111</v>
      </c>
      <c r="P65" t="s">
        <v>134</v>
      </c>
      <c r="Q65">
        <v>0</v>
      </c>
    </row>
    <row r="66" spans="1:17" x14ac:dyDescent="0.3">
      <c r="A66" t="s">
        <v>17</v>
      </c>
      <c r="B66">
        <v>65</v>
      </c>
      <c r="C66" t="s">
        <v>54</v>
      </c>
      <c r="D66" s="2">
        <v>45671</v>
      </c>
      <c r="E66" s="3">
        <f t="shared" si="0"/>
        <v>45658</v>
      </c>
      <c r="F66" t="s">
        <v>153</v>
      </c>
      <c r="G66" t="s">
        <v>154</v>
      </c>
      <c r="H66" s="4">
        <v>740.48</v>
      </c>
      <c r="I66" t="s">
        <v>31</v>
      </c>
      <c r="J66" t="s">
        <v>155</v>
      </c>
      <c r="K66" t="s">
        <v>156</v>
      </c>
      <c r="L66" s="2">
        <v>45658</v>
      </c>
      <c r="M66" t="s">
        <v>155</v>
      </c>
      <c r="N66">
        <v>0</v>
      </c>
      <c r="O66" t="s">
        <v>31</v>
      </c>
      <c r="P66" t="s">
        <v>54</v>
      </c>
      <c r="Q66">
        <v>0</v>
      </c>
    </row>
    <row r="67" spans="1:17" x14ac:dyDescent="0.3">
      <c r="A67" t="s">
        <v>17</v>
      </c>
      <c r="B67">
        <v>67</v>
      </c>
      <c r="C67" t="s">
        <v>28</v>
      </c>
      <c r="D67" s="2">
        <v>45672</v>
      </c>
      <c r="E67" s="3">
        <f t="shared" ref="E67:E130" si="1">IF($D67="","",DATE(YEAR($D67),MONTH($D67),1))</f>
        <v>45658</v>
      </c>
      <c r="F67" t="s">
        <v>157</v>
      </c>
      <c r="G67" t="s">
        <v>158</v>
      </c>
      <c r="H67" s="4">
        <v>21.78</v>
      </c>
      <c r="I67" t="s">
        <v>159</v>
      </c>
      <c r="J67" t="s">
        <v>74</v>
      </c>
      <c r="K67" t="s">
        <v>160</v>
      </c>
      <c r="L67" s="2">
        <v>45658</v>
      </c>
      <c r="M67" t="s">
        <v>76</v>
      </c>
      <c r="N67">
        <v>0</v>
      </c>
      <c r="O67" t="s">
        <v>159</v>
      </c>
      <c r="P67" t="s">
        <v>28</v>
      </c>
      <c r="Q67">
        <v>0</v>
      </c>
    </row>
    <row r="68" spans="1:17" x14ac:dyDescent="0.3">
      <c r="A68" t="s">
        <v>17</v>
      </c>
      <c r="B68">
        <v>68</v>
      </c>
      <c r="C68" t="s">
        <v>34</v>
      </c>
      <c r="D68" s="2">
        <v>45672</v>
      </c>
      <c r="E68" s="3">
        <f t="shared" si="1"/>
        <v>45658</v>
      </c>
      <c r="F68" t="s">
        <v>157</v>
      </c>
      <c r="G68" t="s">
        <v>158</v>
      </c>
      <c r="H68" s="4">
        <v>7.58</v>
      </c>
      <c r="I68" t="s">
        <v>159</v>
      </c>
      <c r="J68" t="s">
        <v>79</v>
      </c>
      <c r="K68" t="s">
        <v>161</v>
      </c>
      <c r="L68" s="2">
        <v>45658</v>
      </c>
      <c r="M68" t="s">
        <v>79</v>
      </c>
      <c r="N68">
        <v>0</v>
      </c>
      <c r="O68" t="s">
        <v>159</v>
      </c>
      <c r="P68" t="s">
        <v>34</v>
      </c>
      <c r="Q68">
        <v>0</v>
      </c>
    </row>
    <row r="69" spans="1:17" x14ac:dyDescent="0.3">
      <c r="A69" t="s">
        <v>17</v>
      </c>
      <c r="B69">
        <v>68</v>
      </c>
      <c r="C69" t="s">
        <v>34</v>
      </c>
      <c r="D69" s="2">
        <v>45672</v>
      </c>
      <c r="E69" s="3">
        <f t="shared" si="1"/>
        <v>45658</v>
      </c>
      <c r="F69" t="s">
        <v>157</v>
      </c>
      <c r="G69" t="s">
        <v>158</v>
      </c>
      <c r="H69" s="4">
        <v>84.78</v>
      </c>
      <c r="I69" t="s">
        <v>159</v>
      </c>
      <c r="J69" t="s">
        <v>79</v>
      </c>
      <c r="K69" t="s">
        <v>161</v>
      </c>
      <c r="L69" s="2">
        <v>45658</v>
      </c>
      <c r="M69" t="s">
        <v>79</v>
      </c>
      <c r="N69">
        <v>0</v>
      </c>
      <c r="O69" t="s">
        <v>159</v>
      </c>
      <c r="P69" t="s">
        <v>34</v>
      </c>
      <c r="Q69">
        <v>0</v>
      </c>
    </row>
    <row r="70" spans="1:17" x14ac:dyDescent="0.3">
      <c r="A70" t="s">
        <v>17</v>
      </c>
      <c r="B70">
        <v>67</v>
      </c>
      <c r="C70" t="s">
        <v>28</v>
      </c>
      <c r="D70" s="2">
        <v>45672</v>
      </c>
      <c r="E70" s="3">
        <f t="shared" si="1"/>
        <v>45658</v>
      </c>
      <c r="F70" t="s">
        <v>162</v>
      </c>
      <c r="G70" t="s">
        <v>119</v>
      </c>
      <c r="H70" s="4">
        <v>540</v>
      </c>
      <c r="I70" t="s">
        <v>31</v>
      </c>
      <c r="J70" t="s">
        <v>68</v>
      </c>
      <c r="K70" t="s">
        <v>163</v>
      </c>
      <c r="L70" s="2">
        <v>45658</v>
      </c>
      <c r="M70" t="s">
        <v>68</v>
      </c>
      <c r="N70">
        <v>0</v>
      </c>
      <c r="O70" t="s">
        <v>31</v>
      </c>
      <c r="P70" t="s">
        <v>28</v>
      </c>
      <c r="Q70">
        <v>0</v>
      </c>
    </row>
    <row r="71" spans="1:17" x14ac:dyDescent="0.3">
      <c r="A71" t="s">
        <v>17</v>
      </c>
      <c r="B71">
        <v>64</v>
      </c>
      <c r="C71" t="s">
        <v>83</v>
      </c>
      <c r="D71" s="2">
        <v>45672</v>
      </c>
      <c r="E71" s="3">
        <f t="shared" si="1"/>
        <v>45658</v>
      </c>
      <c r="F71" t="s">
        <v>157</v>
      </c>
      <c r="G71" t="s">
        <v>158</v>
      </c>
      <c r="H71" s="4">
        <v>17.22</v>
      </c>
      <c r="I71" t="s">
        <v>159</v>
      </c>
      <c r="J71" t="s">
        <v>87</v>
      </c>
      <c r="K71" t="s">
        <v>164</v>
      </c>
      <c r="L71" s="2">
        <v>45658</v>
      </c>
      <c r="M71" t="s">
        <v>89</v>
      </c>
      <c r="N71">
        <v>0</v>
      </c>
      <c r="O71" t="s">
        <v>159</v>
      </c>
      <c r="P71" t="s">
        <v>83</v>
      </c>
      <c r="Q71">
        <v>0</v>
      </c>
    </row>
    <row r="72" spans="1:17" x14ac:dyDescent="0.3">
      <c r="A72" t="s">
        <v>17</v>
      </c>
      <c r="B72">
        <v>64</v>
      </c>
      <c r="C72" t="s">
        <v>83</v>
      </c>
      <c r="D72" s="2">
        <v>45672</v>
      </c>
      <c r="E72" s="3">
        <f t="shared" si="1"/>
        <v>45658</v>
      </c>
      <c r="F72" t="s">
        <v>157</v>
      </c>
      <c r="G72" t="s">
        <v>158</v>
      </c>
      <c r="H72" s="4">
        <v>62.17</v>
      </c>
      <c r="I72" t="s">
        <v>159</v>
      </c>
      <c r="J72" t="s">
        <v>91</v>
      </c>
      <c r="K72" t="s">
        <v>165</v>
      </c>
      <c r="L72" s="2">
        <v>45658</v>
      </c>
      <c r="M72" t="s">
        <v>93</v>
      </c>
      <c r="N72">
        <v>0</v>
      </c>
      <c r="O72" t="s">
        <v>159</v>
      </c>
      <c r="P72" t="s">
        <v>83</v>
      </c>
      <c r="Q72">
        <v>0</v>
      </c>
    </row>
    <row r="73" spans="1:17" x14ac:dyDescent="0.3">
      <c r="A73" t="s">
        <v>17</v>
      </c>
      <c r="B73">
        <v>64</v>
      </c>
      <c r="C73" t="s">
        <v>83</v>
      </c>
      <c r="D73" s="2">
        <v>45672</v>
      </c>
      <c r="E73" s="3">
        <f t="shared" si="1"/>
        <v>45658</v>
      </c>
      <c r="F73" t="s">
        <v>157</v>
      </c>
      <c r="G73" t="s">
        <v>158</v>
      </c>
      <c r="H73" s="4">
        <v>68.62</v>
      </c>
      <c r="I73" t="s">
        <v>159</v>
      </c>
      <c r="J73" t="s">
        <v>91</v>
      </c>
      <c r="K73" t="s">
        <v>165</v>
      </c>
      <c r="L73" s="2">
        <v>45658</v>
      </c>
      <c r="M73" t="s">
        <v>93</v>
      </c>
      <c r="N73">
        <v>0</v>
      </c>
      <c r="O73" t="s">
        <v>159</v>
      </c>
      <c r="P73" t="s">
        <v>83</v>
      </c>
      <c r="Q73">
        <v>0</v>
      </c>
    </row>
    <row r="74" spans="1:17" x14ac:dyDescent="0.3">
      <c r="A74" t="s">
        <v>17</v>
      </c>
      <c r="B74">
        <v>68</v>
      </c>
      <c r="C74" t="s">
        <v>34</v>
      </c>
      <c r="D74" s="2">
        <v>45672</v>
      </c>
      <c r="E74" s="3">
        <f t="shared" si="1"/>
        <v>45658</v>
      </c>
      <c r="F74" t="s">
        <v>166</v>
      </c>
      <c r="G74" t="s">
        <v>122</v>
      </c>
      <c r="H74" s="4">
        <v>192.24</v>
      </c>
      <c r="I74" t="s">
        <v>108</v>
      </c>
      <c r="J74" t="s">
        <v>109</v>
      </c>
      <c r="K74" t="s">
        <v>123</v>
      </c>
      <c r="L74" s="2">
        <v>45658</v>
      </c>
      <c r="M74" t="s">
        <v>109</v>
      </c>
      <c r="N74">
        <v>0</v>
      </c>
      <c r="O74" t="s">
        <v>111</v>
      </c>
      <c r="P74" t="s">
        <v>112</v>
      </c>
      <c r="Q74" t="s">
        <v>113</v>
      </c>
    </row>
    <row r="75" spans="1:17" x14ac:dyDescent="0.3">
      <c r="A75" t="s">
        <v>17</v>
      </c>
      <c r="B75">
        <v>67</v>
      </c>
      <c r="C75" t="s">
        <v>28</v>
      </c>
      <c r="D75" s="2">
        <v>45672</v>
      </c>
      <c r="E75" s="3">
        <f t="shared" si="1"/>
        <v>45658</v>
      </c>
      <c r="F75" t="s">
        <v>167</v>
      </c>
      <c r="H75" s="4">
        <v>368.84</v>
      </c>
      <c r="I75" t="s">
        <v>31</v>
      </c>
      <c r="J75" t="s">
        <v>64</v>
      </c>
      <c r="K75" t="s">
        <v>168</v>
      </c>
      <c r="L75" s="2">
        <v>45658</v>
      </c>
      <c r="M75" t="s">
        <v>64</v>
      </c>
      <c r="N75">
        <v>0</v>
      </c>
      <c r="O75" t="s">
        <v>31</v>
      </c>
      <c r="P75" t="s">
        <v>28</v>
      </c>
      <c r="Q75">
        <v>0</v>
      </c>
    </row>
    <row r="76" spans="1:17" x14ac:dyDescent="0.3">
      <c r="A76" t="s">
        <v>17</v>
      </c>
      <c r="B76">
        <v>68</v>
      </c>
      <c r="C76" t="s">
        <v>34</v>
      </c>
      <c r="D76" s="2">
        <v>45672</v>
      </c>
      <c r="E76" s="3">
        <f t="shared" si="1"/>
        <v>45658</v>
      </c>
      <c r="F76" t="s">
        <v>169</v>
      </c>
      <c r="H76" s="4">
        <v>234.08</v>
      </c>
      <c r="I76" t="s">
        <v>31</v>
      </c>
      <c r="J76" t="s">
        <v>79</v>
      </c>
      <c r="K76" t="s">
        <v>170</v>
      </c>
      <c r="L76" s="2">
        <v>45658</v>
      </c>
      <c r="M76" t="s">
        <v>79</v>
      </c>
      <c r="N76">
        <v>0</v>
      </c>
      <c r="O76" t="s">
        <v>31</v>
      </c>
      <c r="P76" t="s">
        <v>34</v>
      </c>
      <c r="Q76">
        <v>0</v>
      </c>
    </row>
    <row r="77" spans="1:17" x14ac:dyDescent="0.3">
      <c r="A77" t="s">
        <v>17</v>
      </c>
      <c r="B77">
        <v>63</v>
      </c>
      <c r="C77" t="s">
        <v>18</v>
      </c>
      <c r="D77" s="2">
        <v>45673</v>
      </c>
      <c r="E77" s="3">
        <f t="shared" si="1"/>
        <v>45658</v>
      </c>
      <c r="F77" t="s">
        <v>171</v>
      </c>
      <c r="G77" t="s">
        <v>125</v>
      </c>
      <c r="H77" s="4">
        <v>600</v>
      </c>
      <c r="I77" t="s">
        <v>21</v>
      </c>
      <c r="J77" t="s">
        <v>22</v>
      </c>
      <c r="K77" t="s">
        <v>172</v>
      </c>
      <c r="L77" s="2">
        <v>45658</v>
      </c>
      <c r="M77" t="s">
        <v>24</v>
      </c>
      <c r="N77" t="s">
        <v>25</v>
      </c>
      <c r="O77" t="s">
        <v>26</v>
      </c>
      <c r="P77" t="s">
        <v>18</v>
      </c>
      <c r="Q77" t="s">
        <v>27</v>
      </c>
    </row>
    <row r="78" spans="1:17" x14ac:dyDescent="0.3">
      <c r="A78" t="s">
        <v>17</v>
      </c>
      <c r="B78">
        <v>64</v>
      </c>
      <c r="C78" t="s">
        <v>83</v>
      </c>
      <c r="D78" s="2">
        <v>45674</v>
      </c>
      <c r="E78" s="3">
        <f t="shared" si="1"/>
        <v>45658</v>
      </c>
      <c r="F78" t="s">
        <v>173</v>
      </c>
      <c r="G78" t="s">
        <v>174</v>
      </c>
      <c r="H78" s="4">
        <v>101.4</v>
      </c>
      <c r="I78" t="s">
        <v>31</v>
      </c>
      <c r="J78" t="s">
        <v>91</v>
      </c>
      <c r="K78" t="s">
        <v>175</v>
      </c>
      <c r="L78" s="2">
        <v>45658</v>
      </c>
      <c r="M78" t="s">
        <v>93</v>
      </c>
      <c r="N78">
        <v>0</v>
      </c>
      <c r="O78" t="s">
        <v>31</v>
      </c>
      <c r="P78" t="s">
        <v>83</v>
      </c>
      <c r="Q78">
        <v>0</v>
      </c>
    </row>
    <row r="79" spans="1:17" x14ac:dyDescent="0.3">
      <c r="A79" t="s">
        <v>17</v>
      </c>
      <c r="B79">
        <v>68</v>
      </c>
      <c r="C79" t="s">
        <v>34</v>
      </c>
      <c r="D79" s="2">
        <v>45674</v>
      </c>
      <c r="E79" s="3">
        <f t="shared" si="1"/>
        <v>45658</v>
      </c>
      <c r="F79" t="s">
        <v>173</v>
      </c>
      <c r="G79" t="s">
        <v>174</v>
      </c>
      <c r="H79" s="4">
        <v>-217.11</v>
      </c>
      <c r="I79" t="s">
        <v>31</v>
      </c>
      <c r="J79" t="s">
        <v>79</v>
      </c>
      <c r="K79" t="s">
        <v>176</v>
      </c>
      <c r="L79" s="2">
        <v>45658</v>
      </c>
      <c r="M79" t="s">
        <v>79</v>
      </c>
      <c r="N79">
        <v>0</v>
      </c>
      <c r="O79" t="s">
        <v>31</v>
      </c>
      <c r="P79" t="s">
        <v>34</v>
      </c>
      <c r="Q79">
        <v>0</v>
      </c>
    </row>
    <row r="80" spans="1:17" x14ac:dyDescent="0.3">
      <c r="A80" t="s">
        <v>17</v>
      </c>
      <c r="B80">
        <v>68</v>
      </c>
      <c r="C80" t="s">
        <v>34</v>
      </c>
      <c r="D80" s="2">
        <v>45674</v>
      </c>
      <c r="E80" s="3">
        <f t="shared" si="1"/>
        <v>45658</v>
      </c>
      <c r="F80" t="s">
        <v>173</v>
      </c>
      <c r="G80" t="s">
        <v>174</v>
      </c>
      <c r="H80" s="4">
        <v>217.11</v>
      </c>
      <c r="I80" t="s">
        <v>31</v>
      </c>
      <c r="J80" t="s">
        <v>79</v>
      </c>
      <c r="K80" t="s">
        <v>176</v>
      </c>
      <c r="L80" s="2">
        <v>45658</v>
      </c>
      <c r="M80" t="s">
        <v>79</v>
      </c>
      <c r="N80">
        <v>0</v>
      </c>
      <c r="O80" t="s">
        <v>31</v>
      </c>
      <c r="P80" t="s">
        <v>34</v>
      </c>
      <c r="Q80">
        <v>0</v>
      </c>
    </row>
    <row r="81" spans="1:17" x14ac:dyDescent="0.3">
      <c r="A81" t="s">
        <v>17</v>
      </c>
      <c r="B81">
        <v>64</v>
      </c>
      <c r="C81" t="s">
        <v>83</v>
      </c>
      <c r="D81" s="2">
        <v>45674</v>
      </c>
      <c r="E81" s="3">
        <f t="shared" si="1"/>
        <v>45658</v>
      </c>
      <c r="F81" t="s">
        <v>173</v>
      </c>
      <c r="G81" t="s">
        <v>174</v>
      </c>
      <c r="H81" s="4">
        <v>217.11</v>
      </c>
      <c r="I81" t="s">
        <v>31</v>
      </c>
      <c r="J81" t="s">
        <v>84</v>
      </c>
      <c r="K81" t="s">
        <v>177</v>
      </c>
      <c r="L81" s="2">
        <v>45658</v>
      </c>
      <c r="M81" t="s">
        <v>86</v>
      </c>
      <c r="N81">
        <v>0</v>
      </c>
      <c r="O81" t="s">
        <v>31</v>
      </c>
      <c r="P81" t="s">
        <v>83</v>
      </c>
      <c r="Q81">
        <v>0</v>
      </c>
    </row>
    <row r="82" spans="1:17" x14ac:dyDescent="0.3">
      <c r="A82" t="s">
        <v>17</v>
      </c>
      <c r="B82">
        <v>64</v>
      </c>
      <c r="C82" t="s">
        <v>83</v>
      </c>
      <c r="D82" s="2">
        <v>45674</v>
      </c>
      <c r="E82" s="3">
        <f t="shared" si="1"/>
        <v>45658</v>
      </c>
      <c r="F82" t="s">
        <v>173</v>
      </c>
      <c r="G82" t="s">
        <v>174</v>
      </c>
      <c r="H82" s="4">
        <v>194.49</v>
      </c>
      <c r="I82" t="s">
        <v>31</v>
      </c>
      <c r="J82" t="s">
        <v>84</v>
      </c>
      <c r="K82" t="s">
        <v>178</v>
      </c>
      <c r="L82" s="2">
        <v>45658</v>
      </c>
      <c r="M82" t="s">
        <v>86</v>
      </c>
      <c r="N82">
        <v>0</v>
      </c>
      <c r="O82" t="s">
        <v>31</v>
      </c>
      <c r="P82" t="s">
        <v>83</v>
      </c>
      <c r="Q82">
        <v>0</v>
      </c>
    </row>
    <row r="83" spans="1:17" x14ac:dyDescent="0.3">
      <c r="A83" t="s">
        <v>17</v>
      </c>
      <c r="B83">
        <v>67</v>
      </c>
      <c r="C83" t="s">
        <v>28</v>
      </c>
      <c r="D83" s="2">
        <v>45674</v>
      </c>
      <c r="E83" s="3">
        <f t="shared" si="1"/>
        <v>45658</v>
      </c>
      <c r="F83" t="s">
        <v>179</v>
      </c>
      <c r="G83" t="s">
        <v>67</v>
      </c>
      <c r="H83" s="4">
        <v>325.25</v>
      </c>
      <c r="I83" t="s">
        <v>31</v>
      </c>
      <c r="J83" t="s">
        <v>68</v>
      </c>
      <c r="K83" t="s">
        <v>180</v>
      </c>
      <c r="L83" s="2">
        <v>45658</v>
      </c>
      <c r="M83" t="s">
        <v>68</v>
      </c>
      <c r="N83">
        <v>0</v>
      </c>
      <c r="O83" t="s">
        <v>31</v>
      </c>
      <c r="P83" t="s">
        <v>28</v>
      </c>
      <c r="Q83">
        <v>0</v>
      </c>
    </row>
    <row r="84" spans="1:17" x14ac:dyDescent="0.3">
      <c r="A84" t="s">
        <v>17</v>
      </c>
      <c r="B84">
        <v>68</v>
      </c>
      <c r="C84" t="s">
        <v>34</v>
      </c>
      <c r="D84" s="2">
        <v>45677</v>
      </c>
      <c r="E84" s="3">
        <f t="shared" si="1"/>
        <v>45658</v>
      </c>
      <c r="F84" t="s">
        <v>181</v>
      </c>
      <c r="G84" t="s">
        <v>107</v>
      </c>
      <c r="H84" s="4">
        <v>47.54</v>
      </c>
      <c r="I84" t="s">
        <v>108</v>
      </c>
      <c r="J84" t="s">
        <v>109</v>
      </c>
      <c r="K84" t="s">
        <v>110</v>
      </c>
      <c r="L84" s="2">
        <v>45658</v>
      </c>
      <c r="M84" t="s">
        <v>109</v>
      </c>
      <c r="N84">
        <v>0</v>
      </c>
      <c r="O84" t="s">
        <v>111</v>
      </c>
      <c r="P84" t="s">
        <v>112</v>
      </c>
      <c r="Q84" t="s">
        <v>113</v>
      </c>
    </row>
    <row r="85" spans="1:17" x14ac:dyDescent="0.3">
      <c r="A85" t="s">
        <v>17</v>
      </c>
      <c r="B85">
        <v>67</v>
      </c>
      <c r="C85" t="s">
        <v>28</v>
      </c>
      <c r="D85" s="2">
        <v>45678</v>
      </c>
      <c r="E85" s="3">
        <f t="shared" si="1"/>
        <v>45658</v>
      </c>
      <c r="F85" t="s">
        <v>182</v>
      </c>
      <c r="H85" s="4">
        <v>2996.92</v>
      </c>
      <c r="I85" t="s">
        <v>31</v>
      </c>
      <c r="J85" t="s">
        <v>64</v>
      </c>
      <c r="K85" t="s">
        <v>183</v>
      </c>
      <c r="L85" s="2">
        <v>45658</v>
      </c>
      <c r="M85" t="s">
        <v>64</v>
      </c>
      <c r="N85">
        <v>0</v>
      </c>
      <c r="O85" t="s">
        <v>31</v>
      </c>
      <c r="P85" t="s">
        <v>28</v>
      </c>
      <c r="Q85">
        <v>0</v>
      </c>
    </row>
    <row r="86" spans="1:17" x14ac:dyDescent="0.3">
      <c r="A86" t="s">
        <v>17</v>
      </c>
      <c r="B86">
        <v>63</v>
      </c>
      <c r="C86" t="s">
        <v>18</v>
      </c>
      <c r="D86" s="2">
        <v>45679</v>
      </c>
      <c r="E86" s="3">
        <f t="shared" si="1"/>
        <v>45658</v>
      </c>
      <c r="F86" t="s">
        <v>184</v>
      </c>
      <c r="G86" t="s">
        <v>185</v>
      </c>
      <c r="H86" s="4">
        <v>720</v>
      </c>
      <c r="I86" t="s">
        <v>21</v>
      </c>
      <c r="J86" t="s">
        <v>22</v>
      </c>
      <c r="K86" t="s">
        <v>186</v>
      </c>
      <c r="L86" s="2">
        <v>45658</v>
      </c>
      <c r="M86" t="s">
        <v>24</v>
      </c>
      <c r="N86" t="s">
        <v>25</v>
      </c>
      <c r="O86" t="s">
        <v>26</v>
      </c>
      <c r="P86" t="s">
        <v>18</v>
      </c>
      <c r="Q86" t="s">
        <v>27</v>
      </c>
    </row>
    <row r="87" spans="1:17" x14ac:dyDescent="0.3">
      <c r="A87" t="s">
        <v>17</v>
      </c>
      <c r="B87">
        <v>67</v>
      </c>
      <c r="C87" t="s">
        <v>28</v>
      </c>
      <c r="D87" s="2">
        <v>45679</v>
      </c>
      <c r="E87" s="3">
        <f t="shared" si="1"/>
        <v>45658</v>
      </c>
      <c r="F87" t="s">
        <v>187</v>
      </c>
      <c r="G87" t="s">
        <v>119</v>
      </c>
      <c r="H87" s="4">
        <v>387.5</v>
      </c>
      <c r="I87" t="s">
        <v>31</v>
      </c>
      <c r="J87" t="s">
        <v>68</v>
      </c>
      <c r="K87" t="s">
        <v>188</v>
      </c>
      <c r="L87" s="2">
        <v>45658</v>
      </c>
      <c r="M87" t="s">
        <v>68</v>
      </c>
      <c r="N87">
        <v>0</v>
      </c>
      <c r="O87" t="s">
        <v>31</v>
      </c>
      <c r="P87" t="s">
        <v>28</v>
      </c>
      <c r="Q87">
        <v>0</v>
      </c>
    </row>
    <row r="88" spans="1:17" x14ac:dyDescent="0.3">
      <c r="A88" t="s">
        <v>17</v>
      </c>
      <c r="B88">
        <v>64</v>
      </c>
      <c r="C88" t="s">
        <v>83</v>
      </c>
      <c r="D88" s="2">
        <v>45679</v>
      </c>
      <c r="E88" s="3">
        <f t="shared" si="1"/>
        <v>45658</v>
      </c>
      <c r="F88" t="s">
        <v>189</v>
      </c>
      <c r="G88" t="s">
        <v>190</v>
      </c>
      <c r="H88" s="4">
        <v>107.89</v>
      </c>
      <c r="I88" t="s">
        <v>21</v>
      </c>
      <c r="J88" t="s">
        <v>87</v>
      </c>
      <c r="K88" t="s">
        <v>191</v>
      </c>
      <c r="L88" s="2">
        <v>45658</v>
      </c>
      <c r="M88" t="s">
        <v>89</v>
      </c>
      <c r="N88" t="s">
        <v>25</v>
      </c>
      <c r="O88" t="s">
        <v>81</v>
      </c>
      <c r="P88" t="s">
        <v>83</v>
      </c>
      <c r="Q88">
        <v>0</v>
      </c>
    </row>
    <row r="89" spans="1:17" x14ac:dyDescent="0.3">
      <c r="A89" t="s">
        <v>17</v>
      </c>
      <c r="B89">
        <v>64</v>
      </c>
      <c r="C89" t="s">
        <v>83</v>
      </c>
      <c r="D89" s="2">
        <v>45679</v>
      </c>
      <c r="E89" s="3">
        <f t="shared" si="1"/>
        <v>45658</v>
      </c>
      <c r="F89" t="s">
        <v>189</v>
      </c>
      <c r="G89" t="s">
        <v>190</v>
      </c>
      <c r="H89" s="4">
        <v>107.89</v>
      </c>
      <c r="I89" t="s">
        <v>21</v>
      </c>
      <c r="J89" t="s">
        <v>87</v>
      </c>
      <c r="K89" t="s">
        <v>191</v>
      </c>
      <c r="L89" s="2">
        <v>45658</v>
      </c>
      <c r="M89" t="s">
        <v>89</v>
      </c>
      <c r="N89" t="s">
        <v>25</v>
      </c>
      <c r="O89" t="s">
        <v>81</v>
      </c>
      <c r="P89" t="s">
        <v>83</v>
      </c>
      <c r="Q89">
        <v>0</v>
      </c>
    </row>
    <row r="90" spans="1:17" x14ac:dyDescent="0.3">
      <c r="A90" t="s">
        <v>17</v>
      </c>
      <c r="B90">
        <v>68</v>
      </c>
      <c r="C90" t="s">
        <v>34</v>
      </c>
      <c r="D90" s="2">
        <v>45679</v>
      </c>
      <c r="E90" s="3">
        <f t="shared" si="1"/>
        <v>45658</v>
      </c>
      <c r="F90" t="s">
        <v>192</v>
      </c>
      <c r="G90" t="s">
        <v>122</v>
      </c>
      <c r="H90" s="4">
        <v>21.16</v>
      </c>
      <c r="I90" t="s">
        <v>108</v>
      </c>
      <c r="J90" t="s">
        <v>109</v>
      </c>
      <c r="K90" t="s">
        <v>123</v>
      </c>
      <c r="L90" s="2">
        <v>45658</v>
      </c>
      <c r="M90" t="s">
        <v>109</v>
      </c>
      <c r="N90">
        <v>0</v>
      </c>
      <c r="O90" t="s">
        <v>111</v>
      </c>
      <c r="P90" t="s">
        <v>112</v>
      </c>
      <c r="Q90" t="s">
        <v>113</v>
      </c>
    </row>
    <row r="91" spans="1:17" x14ac:dyDescent="0.3">
      <c r="A91" t="s">
        <v>17</v>
      </c>
      <c r="B91">
        <v>68</v>
      </c>
      <c r="C91" t="s">
        <v>34</v>
      </c>
      <c r="D91" s="2">
        <v>45679</v>
      </c>
      <c r="E91" s="3">
        <f t="shared" si="1"/>
        <v>45658</v>
      </c>
      <c r="F91" t="s">
        <v>193</v>
      </c>
      <c r="G91" t="s">
        <v>122</v>
      </c>
      <c r="H91" s="4">
        <v>96.33</v>
      </c>
      <c r="I91" t="s">
        <v>108</v>
      </c>
      <c r="J91" t="s">
        <v>109</v>
      </c>
      <c r="K91" t="s">
        <v>123</v>
      </c>
      <c r="L91" s="2">
        <v>45658</v>
      </c>
      <c r="M91" t="s">
        <v>109</v>
      </c>
      <c r="N91">
        <v>0</v>
      </c>
      <c r="O91" t="s">
        <v>111</v>
      </c>
      <c r="P91" t="s">
        <v>112</v>
      </c>
      <c r="Q91" t="s">
        <v>113</v>
      </c>
    </row>
    <row r="92" spans="1:17" x14ac:dyDescent="0.3">
      <c r="A92" t="s">
        <v>17</v>
      </c>
      <c r="B92">
        <v>68</v>
      </c>
      <c r="C92" t="s">
        <v>34</v>
      </c>
      <c r="D92" s="2">
        <v>45679</v>
      </c>
      <c r="E92" s="3">
        <f t="shared" si="1"/>
        <v>45658</v>
      </c>
      <c r="F92" t="s">
        <v>194</v>
      </c>
      <c r="H92" s="4">
        <v>-0.05</v>
      </c>
      <c r="I92" t="s">
        <v>31</v>
      </c>
      <c r="J92" t="s">
        <v>79</v>
      </c>
      <c r="K92" t="s">
        <v>195</v>
      </c>
      <c r="L92" s="2">
        <v>45658</v>
      </c>
      <c r="M92" t="s">
        <v>79</v>
      </c>
      <c r="N92">
        <v>0</v>
      </c>
      <c r="O92" t="s">
        <v>31</v>
      </c>
      <c r="P92" t="s">
        <v>34</v>
      </c>
      <c r="Q92">
        <v>0</v>
      </c>
    </row>
    <row r="93" spans="1:17" x14ac:dyDescent="0.3">
      <c r="A93" t="s">
        <v>17</v>
      </c>
      <c r="B93">
        <v>63</v>
      </c>
      <c r="C93" t="s">
        <v>18</v>
      </c>
      <c r="D93" s="2">
        <v>45680</v>
      </c>
      <c r="E93" s="3">
        <f t="shared" si="1"/>
        <v>45658</v>
      </c>
      <c r="F93" t="s">
        <v>196</v>
      </c>
      <c r="G93" t="s">
        <v>125</v>
      </c>
      <c r="H93" s="4">
        <v>600</v>
      </c>
      <c r="I93" t="s">
        <v>21</v>
      </c>
      <c r="J93" t="s">
        <v>22</v>
      </c>
      <c r="K93" t="s">
        <v>197</v>
      </c>
      <c r="L93" s="2">
        <v>45658</v>
      </c>
      <c r="M93" t="s">
        <v>24</v>
      </c>
      <c r="N93" t="s">
        <v>25</v>
      </c>
      <c r="O93" t="s">
        <v>26</v>
      </c>
      <c r="P93" t="s">
        <v>18</v>
      </c>
      <c r="Q93" t="s">
        <v>27</v>
      </c>
    </row>
    <row r="94" spans="1:17" x14ac:dyDescent="0.3">
      <c r="A94" t="s">
        <v>17</v>
      </c>
      <c r="B94">
        <v>66</v>
      </c>
      <c r="C94" t="s">
        <v>134</v>
      </c>
      <c r="D94" s="2">
        <v>45680</v>
      </c>
      <c r="E94" s="3">
        <f t="shared" si="1"/>
        <v>45658</v>
      </c>
      <c r="F94" t="s">
        <v>198</v>
      </c>
      <c r="G94" t="s">
        <v>136</v>
      </c>
      <c r="H94" s="4">
        <v>5333.5</v>
      </c>
      <c r="I94" t="s">
        <v>137</v>
      </c>
      <c r="J94" t="s">
        <v>138</v>
      </c>
      <c r="K94" t="s">
        <v>139</v>
      </c>
      <c r="L94" s="2">
        <v>45658</v>
      </c>
      <c r="M94" t="s">
        <v>140</v>
      </c>
      <c r="N94" t="s">
        <v>141</v>
      </c>
      <c r="O94" t="s">
        <v>111</v>
      </c>
      <c r="P94" t="s">
        <v>134</v>
      </c>
      <c r="Q94">
        <v>0</v>
      </c>
    </row>
    <row r="95" spans="1:17" x14ac:dyDescent="0.3">
      <c r="A95" t="s">
        <v>17</v>
      </c>
      <c r="B95">
        <v>66</v>
      </c>
      <c r="C95" t="s">
        <v>134</v>
      </c>
      <c r="D95" s="2">
        <v>45680</v>
      </c>
      <c r="E95" s="3">
        <f t="shared" si="1"/>
        <v>45658</v>
      </c>
      <c r="F95" t="s">
        <v>199</v>
      </c>
      <c r="G95" t="s">
        <v>136</v>
      </c>
      <c r="H95" s="4">
        <v>4194</v>
      </c>
      <c r="I95" t="s">
        <v>137</v>
      </c>
      <c r="J95" t="s">
        <v>138</v>
      </c>
      <c r="K95" t="s">
        <v>139</v>
      </c>
      <c r="L95" s="2">
        <v>45658</v>
      </c>
      <c r="M95" t="s">
        <v>140</v>
      </c>
      <c r="N95" t="s">
        <v>141</v>
      </c>
      <c r="O95" t="s">
        <v>111</v>
      </c>
      <c r="P95" t="s">
        <v>134</v>
      </c>
      <c r="Q95">
        <v>0</v>
      </c>
    </row>
    <row r="96" spans="1:17" x14ac:dyDescent="0.3">
      <c r="A96" t="s">
        <v>17</v>
      </c>
      <c r="B96">
        <v>68</v>
      </c>
      <c r="C96" t="s">
        <v>34</v>
      </c>
      <c r="D96" s="2">
        <v>45680</v>
      </c>
      <c r="E96" s="3">
        <f t="shared" si="1"/>
        <v>45658</v>
      </c>
      <c r="F96" t="s">
        <v>200</v>
      </c>
      <c r="G96" t="s">
        <v>122</v>
      </c>
      <c r="H96" s="4">
        <v>43.83</v>
      </c>
      <c r="I96" t="s">
        <v>108</v>
      </c>
      <c r="J96" t="s">
        <v>109</v>
      </c>
      <c r="K96" t="s">
        <v>123</v>
      </c>
      <c r="L96" s="2">
        <v>45658</v>
      </c>
      <c r="M96" t="s">
        <v>109</v>
      </c>
      <c r="N96">
        <v>0</v>
      </c>
      <c r="O96" t="s">
        <v>111</v>
      </c>
      <c r="P96" t="s">
        <v>112</v>
      </c>
      <c r="Q96" t="s">
        <v>113</v>
      </c>
    </row>
    <row r="97" spans="1:17" x14ac:dyDescent="0.3">
      <c r="A97" t="s">
        <v>17</v>
      </c>
      <c r="B97">
        <v>67</v>
      </c>
      <c r="C97" t="s">
        <v>28</v>
      </c>
      <c r="D97" s="2">
        <v>45681</v>
      </c>
      <c r="E97" s="3">
        <f t="shared" si="1"/>
        <v>45658</v>
      </c>
      <c r="F97" t="s">
        <v>201</v>
      </c>
      <c r="G97" t="s">
        <v>67</v>
      </c>
      <c r="H97" s="4">
        <v>184.35</v>
      </c>
      <c r="I97" t="s">
        <v>31</v>
      </c>
      <c r="J97" t="s">
        <v>68</v>
      </c>
      <c r="K97" t="s">
        <v>202</v>
      </c>
      <c r="L97" s="2">
        <v>45658</v>
      </c>
      <c r="M97" t="s">
        <v>68</v>
      </c>
      <c r="N97">
        <v>0</v>
      </c>
      <c r="O97" t="s">
        <v>31</v>
      </c>
      <c r="P97" t="s">
        <v>28</v>
      </c>
      <c r="Q97">
        <v>0</v>
      </c>
    </row>
    <row r="98" spans="1:17" x14ac:dyDescent="0.3">
      <c r="A98" t="s">
        <v>17</v>
      </c>
      <c r="B98">
        <v>67</v>
      </c>
      <c r="C98" t="s">
        <v>28</v>
      </c>
      <c r="D98" s="2">
        <v>45681</v>
      </c>
      <c r="E98" s="3">
        <f t="shared" si="1"/>
        <v>45658</v>
      </c>
      <c r="F98" t="s">
        <v>203</v>
      </c>
      <c r="H98" s="4">
        <v>-21.18</v>
      </c>
      <c r="I98" t="s">
        <v>31</v>
      </c>
      <c r="J98" t="s">
        <v>60</v>
      </c>
      <c r="L98" s="2">
        <v>45658</v>
      </c>
      <c r="M98" t="s">
        <v>60</v>
      </c>
      <c r="N98">
        <v>0</v>
      </c>
      <c r="O98" t="s">
        <v>31</v>
      </c>
      <c r="P98" t="s">
        <v>28</v>
      </c>
      <c r="Q98">
        <v>0</v>
      </c>
    </row>
    <row r="99" spans="1:17" x14ac:dyDescent="0.3">
      <c r="A99" t="s">
        <v>17</v>
      </c>
      <c r="B99">
        <v>67</v>
      </c>
      <c r="C99" t="s">
        <v>28</v>
      </c>
      <c r="D99" s="2">
        <v>45681</v>
      </c>
      <c r="E99" s="3">
        <f t="shared" si="1"/>
        <v>45658</v>
      </c>
      <c r="F99" t="s">
        <v>203</v>
      </c>
      <c r="H99" s="4">
        <v>-48.66</v>
      </c>
      <c r="I99" t="s">
        <v>31</v>
      </c>
      <c r="J99" t="s">
        <v>60</v>
      </c>
      <c r="L99" s="2">
        <v>45658</v>
      </c>
      <c r="M99" t="s">
        <v>60</v>
      </c>
      <c r="N99">
        <v>0</v>
      </c>
      <c r="O99" t="s">
        <v>31</v>
      </c>
      <c r="P99" t="s">
        <v>28</v>
      </c>
      <c r="Q99">
        <v>0</v>
      </c>
    </row>
    <row r="100" spans="1:17" x14ac:dyDescent="0.3">
      <c r="A100" t="s">
        <v>17</v>
      </c>
      <c r="B100">
        <v>67</v>
      </c>
      <c r="C100" t="s">
        <v>28</v>
      </c>
      <c r="D100" s="2">
        <v>45681</v>
      </c>
      <c r="E100" s="3">
        <f t="shared" si="1"/>
        <v>45658</v>
      </c>
      <c r="F100" t="s">
        <v>203</v>
      </c>
      <c r="H100" s="4">
        <v>-82.34</v>
      </c>
      <c r="I100" t="s">
        <v>31</v>
      </c>
      <c r="J100" t="s">
        <v>60</v>
      </c>
      <c r="L100" s="2">
        <v>45658</v>
      </c>
      <c r="M100" t="s">
        <v>60</v>
      </c>
      <c r="N100">
        <v>0</v>
      </c>
      <c r="O100" t="s">
        <v>31</v>
      </c>
      <c r="P100" t="s">
        <v>28</v>
      </c>
      <c r="Q100">
        <v>0</v>
      </c>
    </row>
    <row r="101" spans="1:17" x14ac:dyDescent="0.3">
      <c r="A101" t="s">
        <v>17</v>
      </c>
      <c r="B101">
        <v>67</v>
      </c>
      <c r="C101" t="s">
        <v>28</v>
      </c>
      <c r="D101" s="2">
        <v>45681</v>
      </c>
      <c r="E101" s="3">
        <f t="shared" si="1"/>
        <v>45658</v>
      </c>
      <c r="F101" t="s">
        <v>203</v>
      </c>
      <c r="H101" s="4">
        <v>-13.88</v>
      </c>
      <c r="I101" t="s">
        <v>31</v>
      </c>
      <c r="J101" t="s">
        <v>60</v>
      </c>
      <c r="L101" s="2">
        <v>45658</v>
      </c>
      <c r="M101" t="s">
        <v>60</v>
      </c>
      <c r="N101">
        <v>0</v>
      </c>
      <c r="O101" t="s">
        <v>31</v>
      </c>
      <c r="P101" t="s">
        <v>28</v>
      </c>
      <c r="Q101">
        <v>0</v>
      </c>
    </row>
    <row r="102" spans="1:17" x14ac:dyDescent="0.3">
      <c r="A102" t="s">
        <v>17</v>
      </c>
      <c r="B102">
        <v>67</v>
      </c>
      <c r="C102" t="s">
        <v>28</v>
      </c>
      <c r="D102" s="2">
        <v>45681</v>
      </c>
      <c r="E102" s="3">
        <f t="shared" si="1"/>
        <v>45658</v>
      </c>
      <c r="F102" t="s">
        <v>203</v>
      </c>
      <c r="H102" s="4">
        <v>-44.48</v>
      </c>
      <c r="I102" t="s">
        <v>31</v>
      </c>
      <c r="J102" t="s">
        <v>60</v>
      </c>
      <c r="L102" s="2">
        <v>45658</v>
      </c>
      <c r="M102" t="s">
        <v>60</v>
      </c>
      <c r="N102">
        <v>0</v>
      </c>
      <c r="O102" t="s">
        <v>31</v>
      </c>
      <c r="P102" t="s">
        <v>28</v>
      </c>
      <c r="Q102">
        <v>0</v>
      </c>
    </row>
    <row r="103" spans="1:17" x14ac:dyDescent="0.3">
      <c r="A103" t="s">
        <v>17</v>
      </c>
      <c r="B103">
        <v>67</v>
      </c>
      <c r="C103" t="s">
        <v>28</v>
      </c>
      <c r="D103" s="2">
        <v>45681</v>
      </c>
      <c r="E103" s="3">
        <f t="shared" si="1"/>
        <v>45658</v>
      </c>
      <c r="F103" t="s">
        <v>203</v>
      </c>
      <c r="H103" s="4">
        <v>-43.2</v>
      </c>
      <c r="I103" t="s">
        <v>31</v>
      </c>
      <c r="J103" t="s">
        <v>60</v>
      </c>
      <c r="L103" s="2">
        <v>45658</v>
      </c>
      <c r="M103" t="s">
        <v>60</v>
      </c>
      <c r="N103">
        <v>0</v>
      </c>
      <c r="O103" t="s">
        <v>31</v>
      </c>
      <c r="P103" t="s">
        <v>28</v>
      </c>
      <c r="Q103">
        <v>0</v>
      </c>
    </row>
    <row r="104" spans="1:17" x14ac:dyDescent="0.3">
      <c r="A104" t="s">
        <v>17</v>
      </c>
      <c r="B104">
        <v>67</v>
      </c>
      <c r="C104" t="s">
        <v>28</v>
      </c>
      <c r="D104" s="2">
        <v>45681</v>
      </c>
      <c r="E104" s="3">
        <f t="shared" si="1"/>
        <v>45658</v>
      </c>
      <c r="F104" t="s">
        <v>203</v>
      </c>
      <c r="H104" s="4">
        <v>-88.99</v>
      </c>
      <c r="I104" t="s">
        <v>31</v>
      </c>
      <c r="J104" t="s">
        <v>60</v>
      </c>
      <c r="L104" s="2">
        <v>45658</v>
      </c>
      <c r="M104" t="s">
        <v>60</v>
      </c>
      <c r="N104">
        <v>0</v>
      </c>
      <c r="O104" t="s">
        <v>31</v>
      </c>
      <c r="P104" t="s">
        <v>28</v>
      </c>
      <c r="Q104">
        <v>0</v>
      </c>
    </row>
    <row r="105" spans="1:17" x14ac:dyDescent="0.3">
      <c r="A105" t="s">
        <v>17</v>
      </c>
      <c r="B105">
        <v>67</v>
      </c>
      <c r="C105" t="s">
        <v>28</v>
      </c>
      <c r="D105" s="2">
        <v>45681</v>
      </c>
      <c r="E105" s="3">
        <f t="shared" si="1"/>
        <v>45658</v>
      </c>
      <c r="F105" t="s">
        <v>203</v>
      </c>
      <c r="H105" s="4">
        <v>-41.72</v>
      </c>
      <c r="I105" t="s">
        <v>31</v>
      </c>
      <c r="J105" t="s">
        <v>60</v>
      </c>
      <c r="L105" s="2">
        <v>45658</v>
      </c>
      <c r="M105" t="s">
        <v>60</v>
      </c>
      <c r="N105">
        <v>0</v>
      </c>
      <c r="O105" t="s">
        <v>31</v>
      </c>
      <c r="P105" t="s">
        <v>28</v>
      </c>
      <c r="Q105">
        <v>0</v>
      </c>
    </row>
    <row r="106" spans="1:17" x14ac:dyDescent="0.3">
      <c r="A106" t="s">
        <v>17</v>
      </c>
      <c r="B106">
        <v>67</v>
      </c>
      <c r="C106" t="s">
        <v>28</v>
      </c>
      <c r="D106" s="2">
        <v>45682</v>
      </c>
      <c r="E106" s="3">
        <f t="shared" si="1"/>
        <v>45658</v>
      </c>
      <c r="F106" t="s">
        <v>204</v>
      </c>
      <c r="G106" t="s">
        <v>205</v>
      </c>
      <c r="H106" s="4">
        <v>1000</v>
      </c>
      <c r="I106" t="s">
        <v>31</v>
      </c>
      <c r="J106" t="s">
        <v>32</v>
      </c>
      <c r="K106" t="s">
        <v>206</v>
      </c>
      <c r="L106" s="2">
        <v>45658</v>
      </c>
      <c r="M106" t="s">
        <v>32</v>
      </c>
      <c r="N106">
        <v>0</v>
      </c>
      <c r="O106" t="s">
        <v>31</v>
      </c>
      <c r="P106" t="s">
        <v>28</v>
      </c>
      <c r="Q106">
        <v>0</v>
      </c>
    </row>
    <row r="107" spans="1:17" x14ac:dyDescent="0.3">
      <c r="A107" t="s">
        <v>17</v>
      </c>
      <c r="B107">
        <v>67</v>
      </c>
      <c r="C107" t="s">
        <v>28</v>
      </c>
      <c r="D107" s="2">
        <v>45682</v>
      </c>
      <c r="E107" s="3">
        <f t="shared" si="1"/>
        <v>45658</v>
      </c>
      <c r="F107" t="s">
        <v>207</v>
      </c>
      <c r="G107" t="s">
        <v>208</v>
      </c>
      <c r="H107" s="4">
        <v>500</v>
      </c>
      <c r="I107" t="s">
        <v>31</v>
      </c>
      <c r="J107" t="s">
        <v>32</v>
      </c>
      <c r="K107" t="s">
        <v>206</v>
      </c>
      <c r="L107" s="2">
        <v>45658</v>
      </c>
      <c r="M107" t="s">
        <v>32</v>
      </c>
      <c r="N107">
        <v>0</v>
      </c>
      <c r="O107" t="s">
        <v>31</v>
      </c>
      <c r="P107" t="s">
        <v>28</v>
      </c>
      <c r="Q107">
        <v>0</v>
      </c>
    </row>
    <row r="108" spans="1:17" x14ac:dyDescent="0.3">
      <c r="A108" t="s">
        <v>17</v>
      </c>
      <c r="B108">
        <v>67</v>
      </c>
      <c r="C108" t="s">
        <v>28</v>
      </c>
      <c r="D108" s="2">
        <v>45685</v>
      </c>
      <c r="E108" s="3">
        <f t="shared" si="1"/>
        <v>45658</v>
      </c>
      <c r="F108" t="s">
        <v>209</v>
      </c>
      <c r="G108" t="s">
        <v>210</v>
      </c>
      <c r="H108" s="4">
        <v>11.99</v>
      </c>
      <c r="I108" t="s">
        <v>31</v>
      </c>
      <c r="J108" t="s">
        <v>74</v>
      </c>
      <c r="K108" t="s">
        <v>211</v>
      </c>
      <c r="L108" s="2">
        <v>45658</v>
      </c>
      <c r="M108" t="s">
        <v>76</v>
      </c>
      <c r="N108">
        <v>0</v>
      </c>
      <c r="O108" t="s">
        <v>31</v>
      </c>
      <c r="P108" t="s">
        <v>28</v>
      </c>
      <c r="Q108">
        <v>0</v>
      </c>
    </row>
    <row r="109" spans="1:17" x14ac:dyDescent="0.3">
      <c r="A109" t="s">
        <v>17</v>
      </c>
      <c r="B109">
        <v>67</v>
      </c>
      <c r="C109" t="s">
        <v>28</v>
      </c>
      <c r="D109" s="2">
        <v>45685</v>
      </c>
      <c r="E109" s="3">
        <f t="shared" si="1"/>
        <v>45658</v>
      </c>
      <c r="F109" t="s">
        <v>209</v>
      </c>
      <c r="G109" t="s">
        <v>210</v>
      </c>
      <c r="H109" s="4">
        <v>21.78</v>
      </c>
      <c r="I109" t="s">
        <v>31</v>
      </c>
      <c r="J109" t="s">
        <v>74</v>
      </c>
      <c r="K109" t="s">
        <v>212</v>
      </c>
      <c r="L109" s="2">
        <v>45658</v>
      </c>
      <c r="M109" t="s">
        <v>76</v>
      </c>
      <c r="N109">
        <v>0</v>
      </c>
      <c r="O109" t="s">
        <v>31</v>
      </c>
      <c r="P109" t="s">
        <v>28</v>
      </c>
      <c r="Q109">
        <v>0</v>
      </c>
    </row>
    <row r="110" spans="1:17" x14ac:dyDescent="0.3">
      <c r="A110" t="s">
        <v>17</v>
      </c>
      <c r="B110">
        <v>67</v>
      </c>
      <c r="C110" t="s">
        <v>28</v>
      </c>
      <c r="D110" s="2">
        <v>45685</v>
      </c>
      <c r="E110" s="3">
        <f t="shared" si="1"/>
        <v>45658</v>
      </c>
      <c r="F110" t="s">
        <v>213</v>
      </c>
      <c r="G110" t="s">
        <v>214</v>
      </c>
      <c r="H110" s="4">
        <v>89.99</v>
      </c>
      <c r="I110" t="s">
        <v>104</v>
      </c>
      <c r="J110" t="s">
        <v>74</v>
      </c>
      <c r="K110" t="s">
        <v>215</v>
      </c>
      <c r="L110" s="2">
        <v>45658</v>
      </c>
      <c r="M110" t="s">
        <v>76</v>
      </c>
      <c r="N110">
        <v>0</v>
      </c>
      <c r="O110" t="s">
        <v>104</v>
      </c>
      <c r="P110" t="s">
        <v>28</v>
      </c>
      <c r="Q110">
        <v>0</v>
      </c>
    </row>
    <row r="111" spans="1:17" x14ac:dyDescent="0.3">
      <c r="A111" t="s">
        <v>17</v>
      </c>
      <c r="B111">
        <v>66</v>
      </c>
      <c r="C111" t="s">
        <v>134</v>
      </c>
      <c r="D111" s="2">
        <v>45685</v>
      </c>
      <c r="E111" s="3">
        <f t="shared" si="1"/>
        <v>45658</v>
      </c>
      <c r="F111" t="s">
        <v>216</v>
      </c>
      <c r="G111" t="s">
        <v>217</v>
      </c>
      <c r="H111" s="4">
        <v>2643.63</v>
      </c>
      <c r="I111" t="s">
        <v>108</v>
      </c>
      <c r="J111" t="s">
        <v>218</v>
      </c>
      <c r="K111" t="s">
        <v>219</v>
      </c>
      <c r="L111" s="2">
        <v>45658</v>
      </c>
      <c r="M111" t="s">
        <v>220</v>
      </c>
      <c r="N111">
        <v>0</v>
      </c>
      <c r="O111" t="s">
        <v>111</v>
      </c>
      <c r="P111" t="s">
        <v>134</v>
      </c>
      <c r="Q111">
        <v>0</v>
      </c>
    </row>
    <row r="112" spans="1:17" x14ac:dyDescent="0.3">
      <c r="A112" t="s">
        <v>17</v>
      </c>
      <c r="B112">
        <v>68</v>
      </c>
      <c r="C112" t="s">
        <v>34</v>
      </c>
      <c r="D112" s="2">
        <v>45685</v>
      </c>
      <c r="E112" s="3">
        <f t="shared" si="1"/>
        <v>45658</v>
      </c>
      <c r="F112" t="s">
        <v>209</v>
      </c>
      <c r="G112" t="s">
        <v>210</v>
      </c>
      <c r="H112" s="4">
        <v>16.28</v>
      </c>
      <c r="I112" t="s">
        <v>31</v>
      </c>
      <c r="J112" t="s">
        <v>79</v>
      </c>
      <c r="K112" t="s">
        <v>221</v>
      </c>
      <c r="L112" s="2">
        <v>45658</v>
      </c>
      <c r="M112" t="s">
        <v>79</v>
      </c>
      <c r="N112">
        <v>0</v>
      </c>
      <c r="O112" t="s">
        <v>31</v>
      </c>
      <c r="P112" t="s">
        <v>34</v>
      </c>
      <c r="Q112">
        <v>0</v>
      </c>
    </row>
    <row r="113" spans="1:17" x14ac:dyDescent="0.3">
      <c r="A113" t="s">
        <v>17</v>
      </c>
      <c r="B113">
        <v>66</v>
      </c>
      <c r="C113" t="s">
        <v>134</v>
      </c>
      <c r="D113" s="2">
        <v>45685</v>
      </c>
      <c r="E113" s="3">
        <f t="shared" si="1"/>
        <v>45658</v>
      </c>
      <c r="F113" t="s">
        <v>213</v>
      </c>
      <c r="G113" t="s">
        <v>222</v>
      </c>
      <c r="H113" s="4">
        <v>126</v>
      </c>
      <c r="I113" t="s">
        <v>104</v>
      </c>
      <c r="J113" t="s">
        <v>223</v>
      </c>
      <c r="K113" t="s">
        <v>224</v>
      </c>
      <c r="L113" s="2">
        <v>45658</v>
      </c>
      <c r="M113" t="s">
        <v>223</v>
      </c>
      <c r="N113">
        <v>0</v>
      </c>
      <c r="O113" t="s">
        <v>104</v>
      </c>
      <c r="P113" t="s">
        <v>134</v>
      </c>
      <c r="Q113">
        <v>0</v>
      </c>
    </row>
    <row r="114" spans="1:17" x14ac:dyDescent="0.3">
      <c r="A114" t="s">
        <v>17</v>
      </c>
      <c r="B114">
        <v>64</v>
      </c>
      <c r="C114" t="s">
        <v>83</v>
      </c>
      <c r="D114" s="2">
        <v>45685</v>
      </c>
      <c r="E114" s="3">
        <f t="shared" si="1"/>
        <v>45658</v>
      </c>
      <c r="F114" t="s">
        <v>209</v>
      </c>
      <c r="G114" t="s">
        <v>210</v>
      </c>
      <c r="H114" s="4">
        <v>109.64</v>
      </c>
      <c r="I114" t="s">
        <v>31</v>
      </c>
      <c r="J114" t="s">
        <v>91</v>
      </c>
      <c r="K114" t="s">
        <v>225</v>
      </c>
      <c r="L114" s="2">
        <v>45658</v>
      </c>
      <c r="M114" t="s">
        <v>93</v>
      </c>
      <c r="N114">
        <v>0</v>
      </c>
      <c r="O114" t="s">
        <v>31</v>
      </c>
      <c r="P114" t="s">
        <v>83</v>
      </c>
      <c r="Q114">
        <v>0</v>
      </c>
    </row>
    <row r="115" spans="1:17" x14ac:dyDescent="0.3">
      <c r="A115" t="s">
        <v>17</v>
      </c>
      <c r="B115">
        <v>68</v>
      </c>
      <c r="C115" t="s">
        <v>34</v>
      </c>
      <c r="D115" s="2">
        <v>45685</v>
      </c>
      <c r="E115" s="3">
        <f t="shared" si="1"/>
        <v>45658</v>
      </c>
      <c r="F115" t="s">
        <v>226</v>
      </c>
      <c r="G115" t="s">
        <v>122</v>
      </c>
      <c r="H115" s="4">
        <v>207.04</v>
      </c>
      <c r="I115" t="s">
        <v>108</v>
      </c>
      <c r="J115" t="s">
        <v>109</v>
      </c>
      <c r="K115" t="s">
        <v>123</v>
      </c>
      <c r="L115" s="2">
        <v>45658</v>
      </c>
      <c r="M115" t="s">
        <v>109</v>
      </c>
      <c r="N115">
        <v>0</v>
      </c>
      <c r="O115" t="s">
        <v>111</v>
      </c>
      <c r="P115" t="s">
        <v>112</v>
      </c>
      <c r="Q115" t="s">
        <v>113</v>
      </c>
    </row>
    <row r="116" spans="1:17" x14ac:dyDescent="0.3">
      <c r="A116" t="s">
        <v>17</v>
      </c>
      <c r="B116">
        <v>67</v>
      </c>
      <c r="C116" t="s">
        <v>28</v>
      </c>
      <c r="D116" s="2">
        <v>45686</v>
      </c>
      <c r="E116" s="3">
        <f t="shared" si="1"/>
        <v>45658</v>
      </c>
      <c r="F116" t="s">
        <v>227</v>
      </c>
      <c r="G116" t="s">
        <v>119</v>
      </c>
      <c r="H116" s="4">
        <v>978.75</v>
      </c>
      <c r="I116" t="s">
        <v>31</v>
      </c>
      <c r="J116" t="s">
        <v>68</v>
      </c>
      <c r="K116" t="s">
        <v>228</v>
      </c>
      <c r="L116" s="2">
        <v>45658</v>
      </c>
      <c r="M116" t="s">
        <v>68</v>
      </c>
      <c r="N116">
        <v>0</v>
      </c>
      <c r="O116" t="s">
        <v>31</v>
      </c>
      <c r="P116" t="s">
        <v>28</v>
      </c>
      <c r="Q116">
        <v>0</v>
      </c>
    </row>
    <row r="117" spans="1:17" x14ac:dyDescent="0.3">
      <c r="A117" t="s">
        <v>17</v>
      </c>
      <c r="B117">
        <v>68</v>
      </c>
      <c r="C117" t="s">
        <v>34</v>
      </c>
      <c r="D117" s="2">
        <v>45686</v>
      </c>
      <c r="E117" s="3">
        <f t="shared" si="1"/>
        <v>45658</v>
      </c>
      <c r="F117" t="s">
        <v>229</v>
      </c>
      <c r="G117" t="s">
        <v>122</v>
      </c>
      <c r="H117" s="4">
        <v>52.14</v>
      </c>
      <c r="I117" t="s">
        <v>108</v>
      </c>
      <c r="J117" t="s">
        <v>109</v>
      </c>
      <c r="K117" t="s">
        <v>123</v>
      </c>
      <c r="L117" s="2">
        <v>45658</v>
      </c>
      <c r="M117" t="s">
        <v>109</v>
      </c>
      <c r="N117">
        <v>0</v>
      </c>
      <c r="O117" t="s">
        <v>111</v>
      </c>
      <c r="P117" t="s">
        <v>112</v>
      </c>
      <c r="Q117" t="s">
        <v>113</v>
      </c>
    </row>
    <row r="118" spans="1:17" x14ac:dyDescent="0.3">
      <c r="A118" t="s">
        <v>17</v>
      </c>
      <c r="B118">
        <v>63</v>
      </c>
      <c r="C118" t="s">
        <v>18</v>
      </c>
      <c r="D118" s="2">
        <v>45687</v>
      </c>
      <c r="E118" s="3">
        <f t="shared" si="1"/>
        <v>45658</v>
      </c>
      <c r="F118" t="s">
        <v>230</v>
      </c>
      <c r="G118" t="s">
        <v>125</v>
      </c>
      <c r="H118" s="4">
        <v>1440</v>
      </c>
      <c r="I118" t="s">
        <v>21</v>
      </c>
      <c r="J118" t="s">
        <v>22</v>
      </c>
      <c r="K118" t="s">
        <v>231</v>
      </c>
      <c r="L118" s="2">
        <v>45658</v>
      </c>
      <c r="M118" t="s">
        <v>24</v>
      </c>
      <c r="N118" t="s">
        <v>25</v>
      </c>
      <c r="O118" t="s">
        <v>26</v>
      </c>
      <c r="P118" t="s">
        <v>18</v>
      </c>
      <c r="Q118" t="s">
        <v>27</v>
      </c>
    </row>
    <row r="119" spans="1:17" x14ac:dyDescent="0.3">
      <c r="A119" t="s">
        <v>17</v>
      </c>
      <c r="B119">
        <v>63</v>
      </c>
      <c r="C119" t="s">
        <v>18</v>
      </c>
      <c r="D119" s="2">
        <v>45687</v>
      </c>
      <c r="E119" s="3">
        <f t="shared" si="1"/>
        <v>45658</v>
      </c>
      <c r="F119" t="s">
        <v>232</v>
      </c>
      <c r="G119" t="s">
        <v>125</v>
      </c>
      <c r="H119" s="4">
        <v>600</v>
      </c>
      <c r="I119" t="s">
        <v>21</v>
      </c>
      <c r="J119" t="s">
        <v>22</v>
      </c>
      <c r="K119" t="s">
        <v>233</v>
      </c>
      <c r="L119" s="2">
        <v>45658</v>
      </c>
      <c r="M119" t="s">
        <v>24</v>
      </c>
      <c r="N119" t="s">
        <v>25</v>
      </c>
      <c r="O119" t="s">
        <v>26</v>
      </c>
      <c r="P119" t="s">
        <v>18</v>
      </c>
      <c r="Q119" t="s">
        <v>27</v>
      </c>
    </row>
    <row r="120" spans="1:17" x14ac:dyDescent="0.3">
      <c r="A120" t="s">
        <v>17</v>
      </c>
      <c r="B120">
        <v>63</v>
      </c>
      <c r="C120" t="s">
        <v>18</v>
      </c>
      <c r="D120" s="2">
        <v>45688</v>
      </c>
      <c r="E120" s="3">
        <f t="shared" si="1"/>
        <v>45658</v>
      </c>
      <c r="F120" t="s">
        <v>234</v>
      </c>
      <c r="G120" t="s">
        <v>235</v>
      </c>
      <c r="H120" s="4">
        <v>43520.79</v>
      </c>
      <c r="I120" t="s">
        <v>21</v>
      </c>
      <c r="J120" t="s">
        <v>236</v>
      </c>
      <c r="K120" t="s">
        <v>237</v>
      </c>
      <c r="L120" s="2">
        <v>45658</v>
      </c>
      <c r="M120" t="s">
        <v>238</v>
      </c>
      <c r="N120" t="s">
        <v>25</v>
      </c>
      <c r="O120" t="s">
        <v>26</v>
      </c>
      <c r="P120" t="s">
        <v>18</v>
      </c>
      <c r="Q120" t="s">
        <v>239</v>
      </c>
    </row>
    <row r="121" spans="1:17" x14ac:dyDescent="0.3">
      <c r="A121" t="s">
        <v>17</v>
      </c>
      <c r="B121">
        <v>63</v>
      </c>
      <c r="C121" t="s">
        <v>18</v>
      </c>
      <c r="D121" s="2">
        <v>45688</v>
      </c>
      <c r="E121" s="3">
        <f t="shared" si="1"/>
        <v>45658</v>
      </c>
      <c r="F121" t="s">
        <v>240</v>
      </c>
      <c r="G121" t="s">
        <v>235</v>
      </c>
      <c r="H121" s="4">
        <v>9388.9599999999991</v>
      </c>
      <c r="I121" t="s">
        <v>241</v>
      </c>
      <c r="J121" t="s">
        <v>236</v>
      </c>
      <c r="K121" t="s">
        <v>237</v>
      </c>
      <c r="L121" s="2">
        <v>45658</v>
      </c>
      <c r="M121" t="s">
        <v>238</v>
      </c>
      <c r="N121" t="s">
        <v>242</v>
      </c>
      <c r="O121" t="s">
        <v>26</v>
      </c>
      <c r="P121" t="s">
        <v>18</v>
      </c>
      <c r="Q121" t="s">
        <v>239</v>
      </c>
    </row>
    <row r="122" spans="1:17" x14ac:dyDescent="0.3">
      <c r="A122" t="s">
        <v>17</v>
      </c>
      <c r="B122">
        <v>67</v>
      </c>
      <c r="C122" t="s">
        <v>28</v>
      </c>
      <c r="D122" s="2">
        <v>45688</v>
      </c>
      <c r="E122" s="3">
        <f t="shared" si="1"/>
        <v>45658</v>
      </c>
      <c r="F122" t="s">
        <v>243</v>
      </c>
      <c r="G122" t="s">
        <v>244</v>
      </c>
      <c r="H122" s="4">
        <v>29.99</v>
      </c>
      <c r="I122" t="s">
        <v>47</v>
      </c>
      <c r="J122" t="s">
        <v>74</v>
      </c>
      <c r="K122" t="s">
        <v>245</v>
      </c>
      <c r="L122" s="2">
        <v>45658</v>
      </c>
      <c r="M122" t="s">
        <v>76</v>
      </c>
      <c r="N122">
        <v>0</v>
      </c>
      <c r="O122" t="s">
        <v>26</v>
      </c>
      <c r="P122" t="s">
        <v>28</v>
      </c>
      <c r="Q122">
        <v>0</v>
      </c>
    </row>
    <row r="123" spans="1:17" x14ac:dyDescent="0.3">
      <c r="A123" t="s">
        <v>17</v>
      </c>
      <c r="B123">
        <v>67</v>
      </c>
      <c r="C123" t="s">
        <v>28</v>
      </c>
      <c r="D123" s="2">
        <v>45688</v>
      </c>
      <c r="E123" s="3">
        <f t="shared" si="1"/>
        <v>45658</v>
      </c>
      <c r="F123" t="s">
        <v>243</v>
      </c>
      <c r="G123" t="s">
        <v>246</v>
      </c>
      <c r="H123" s="4">
        <v>21.78</v>
      </c>
      <c r="I123" t="s">
        <v>47</v>
      </c>
      <c r="J123" t="s">
        <v>74</v>
      </c>
      <c r="K123" t="s">
        <v>247</v>
      </c>
      <c r="L123" s="2">
        <v>45658</v>
      </c>
      <c r="M123" t="s">
        <v>76</v>
      </c>
      <c r="N123">
        <v>0</v>
      </c>
      <c r="O123" t="s">
        <v>26</v>
      </c>
      <c r="P123" t="s">
        <v>28</v>
      </c>
      <c r="Q123">
        <v>0</v>
      </c>
    </row>
    <row r="124" spans="1:17" x14ac:dyDescent="0.3">
      <c r="A124" t="s">
        <v>17</v>
      </c>
      <c r="B124">
        <v>67</v>
      </c>
      <c r="C124" t="s">
        <v>28</v>
      </c>
      <c r="D124" s="2">
        <v>45688</v>
      </c>
      <c r="E124" s="3">
        <f t="shared" si="1"/>
        <v>45658</v>
      </c>
      <c r="F124" t="s">
        <v>243</v>
      </c>
      <c r="G124" t="s">
        <v>248</v>
      </c>
      <c r="H124" s="4">
        <v>30</v>
      </c>
      <c r="I124" t="s">
        <v>47</v>
      </c>
      <c r="J124" t="s">
        <v>74</v>
      </c>
      <c r="K124" t="s">
        <v>249</v>
      </c>
      <c r="L124" s="2">
        <v>45658</v>
      </c>
      <c r="M124" t="s">
        <v>76</v>
      </c>
      <c r="N124">
        <v>0</v>
      </c>
      <c r="O124" t="s">
        <v>26</v>
      </c>
      <c r="P124" t="s">
        <v>28</v>
      </c>
      <c r="Q124">
        <v>0</v>
      </c>
    </row>
    <row r="125" spans="1:17" x14ac:dyDescent="0.3">
      <c r="A125" t="s">
        <v>17</v>
      </c>
      <c r="B125">
        <v>63</v>
      </c>
      <c r="C125" t="s">
        <v>18</v>
      </c>
      <c r="D125" s="2">
        <v>45688</v>
      </c>
      <c r="E125" s="3">
        <f t="shared" si="1"/>
        <v>45658</v>
      </c>
      <c r="F125" t="s">
        <v>250</v>
      </c>
      <c r="G125" t="s">
        <v>251</v>
      </c>
      <c r="H125" s="4">
        <v>1440</v>
      </c>
      <c r="I125" t="s">
        <v>21</v>
      </c>
      <c r="J125" t="s">
        <v>22</v>
      </c>
      <c r="K125" t="s">
        <v>252</v>
      </c>
      <c r="L125" s="2">
        <v>45658</v>
      </c>
      <c r="M125" t="s">
        <v>24</v>
      </c>
      <c r="N125" t="s">
        <v>25</v>
      </c>
      <c r="O125" t="s">
        <v>26</v>
      </c>
      <c r="P125" t="s">
        <v>18</v>
      </c>
      <c r="Q125" t="s">
        <v>27</v>
      </c>
    </row>
    <row r="126" spans="1:17" x14ac:dyDescent="0.3">
      <c r="A126" t="s">
        <v>17</v>
      </c>
      <c r="B126">
        <v>66</v>
      </c>
      <c r="C126" t="s">
        <v>134</v>
      </c>
      <c r="D126" s="2">
        <v>45688</v>
      </c>
      <c r="E126" s="3">
        <f t="shared" si="1"/>
        <v>45658</v>
      </c>
      <c r="F126" t="s">
        <v>253</v>
      </c>
      <c r="G126" t="s">
        <v>254</v>
      </c>
      <c r="H126" s="4">
        <v>1500</v>
      </c>
      <c r="I126" t="s">
        <v>108</v>
      </c>
      <c r="J126" t="s">
        <v>255</v>
      </c>
      <c r="K126" t="s">
        <v>256</v>
      </c>
      <c r="L126" s="2">
        <v>45658</v>
      </c>
      <c r="M126" t="s">
        <v>257</v>
      </c>
      <c r="N126">
        <v>0</v>
      </c>
      <c r="O126" t="s">
        <v>111</v>
      </c>
      <c r="P126" t="s">
        <v>134</v>
      </c>
      <c r="Q126">
        <v>0</v>
      </c>
    </row>
    <row r="127" spans="1:17" x14ac:dyDescent="0.3">
      <c r="A127" t="s">
        <v>17</v>
      </c>
      <c r="B127">
        <v>67</v>
      </c>
      <c r="C127" t="s">
        <v>28</v>
      </c>
      <c r="D127" s="2">
        <v>45688</v>
      </c>
      <c r="E127" s="3">
        <f t="shared" si="1"/>
        <v>45658</v>
      </c>
      <c r="F127" t="s">
        <v>258</v>
      </c>
      <c r="G127" t="s">
        <v>259</v>
      </c>
      <c r="H127" s="4">
        <v>16833.400000000001</v>
      </c>
      <c r="I127" t="s">
        <v>31</v>
      </c>
      <c r="J127" t="s">
        <v>32</v>
      </c>
      <c r="K127" t="s">
        <v>260</v>
      </c>
      <c r="L127" s="2">
        <v>45658</v>
      </c>
      <c r="M127" t="s">
        <v>32</v>
      </c>
      <c r="N127">
        <v>0</v>
      </c>
      <c r="O127" t="s">
        <v>31</v>
      </c>
      <c r="P127" t="s">
        <v>28</v>
      </c>
      <c r="Q127">
        <v>0</v>
      </c>
    </row>
    <row r="128" spans="1:17" x14ac:dyDescent="0.3">
      <c r="A128" t="s">
        <v>17</v>
      </c>
      <c r="B128">
        <v>68</v>
      </c>
      <c r="C128" t="s">
        <v>34</v>
      </c>
      <c r="D128" s="2">
        <v>45688</v>
      </c>
      <c r="E128" s="3">
        <f t="shared" si="1"/>
        <v>45658</v>
      </c>
      <c r="F128" t="s">
        <v>243</v>
      </c>
      <c r="G128" t="s">
        <v>246</v>
      </c>
      <c r="H128" s="4">
        <v>71.13</v>
      </c>
      <c r="I128" t="s">
        <v>47</v>
      </c>
      <c r="J128" t="s">
        <v>79</v>
      </c>
      <c r="K128" t="s">
        <v>261</v>
      </c>
      <c r="L128" s="2">
        <v>45658</v>
      </c>
      <c r="M128" t="s">
        <v>79</v>
      </c>
      <c r="N128">
        <v>0</v>
      </c>
      <c r="O128" t="s">
        <v>26</v>
      </c>
      <c r="P128" t="s">
        <v>34</v>
      </c>
      <c r="Q128">
        <v>0</v>
      </c>
    </row>
    <row r="129" spans="1:17" x14ac:dyDescent="0.3">
      <c r="A129" t="s">
        <v>17</v>
      </c>
      <c r="B129">
        <v>68</v>
      </c>
      <c r="C129" t="s">
        <v>34</v>
      </c>
      <c r="D129" s="2">
        <v>45688</v>
      </c>
      <c r="E129" s="3">
        <f t="shared" si="1"/>
        <v>45658</v>
      </c>
      <c r="F129" t="s">
        <v>243</v>
      </c>
      <c r="G129" t="s">
        <v>246</v>
      </c>
      <c r="H129" s="4">
        <v>10.69</v>
      </c>
      <c r="I129" t="s">
        <v>47</v>
      </c>
      <c r="J129" t="s">
        <v>79</v>
      </c>
      <c r="K129" t="s">
        <v>262</v>
      </c>
      <c r="L129" s="2">
        <v>45658</v>
      </c>
      <c r="M129" t="s">
        <v>79</v>
      </c>
      <c r="N129">
        <v>0</v>
      </c>
      <c r="O129" t="s">
        <v>26</v>
      </c>
      <c r="P129" t="s">
        <v>34</v>
      </c>
      <c r="Q129">
        <v>0</v>
      </c>
    </row>
    <row r="130" spans="1:17" x14ac:dyDescent="0.3">
      <c r="A130" t="s">
        <v>17</v>
      </c>
      <c r="B130">
        <v>68</v>
      </c>
      <c r="C130" t="s">
        <v>34</v>
      </c>
      <c r="D130" s="2">
        <v>45688</v>
      </c>
      <c r="E130" s="3">
        <f t="shared" si="1"/>
        <v>45658</v>
      </c>
      <c r="F130" t="s">
        <v>243</v>
      </c>
      <c r="G130" t="s">
        <v>246</v>
      </c>
      <c r="H130" s="4">
        <v>-56.41</v>
      </c>
      <c r="I130" t="s">
        <v>47</v>
      </c>
      <c r="J130" t="s">
        <v>79</v>
      </c>
      <c r="K130" t="s">
        <v>263</v>
      </c>
      <c r="L130" s="2">
        <v>45658</v>
      </c>
      <c r="M130" t="s">
        <v>79</v>
      </c>
      <c r="N130">
        <v>0</v>
      </c>
      <c r="O130" t="s">
        <v>26</v>
      </c>
      <c r="P130" t="s">
        <v>34</v>
      </c>
      <c r="Q130">
        <v>0</v>
      </c>
    </row>
    <row r="131" spans="1:17" x14ac:dyDescent="0.3">
      <c r="A131" t="s">
        <v>17</v>
      </c>
      <c r="B131">
        <v>68</v>
      </c>
      <c r="C131" t="s">
        <v>34</v>
      </c>
      <c r="D131" s="2">
        <v>45688</v>
      </c>
      <c r="E131" s="3">
        <f t="shared" ref="E131:E194" si="2">IF($D131="","",DATE(YEAR($D131),MONTH($D131),1))</f>
        <v>45658</v>
      </c>
      <c r="F131" t="s">
        <v>243</v>
      </c>
      <c r="G131" t="s">
        <v>246</v>
      </c>
      <c r="H131" s="4">
        <v>38.19</v>
      </c>
      <c r="I131" t="s">
        <v>47</v>
      </c>
      <c r="J131" t="s">
        <v>79</v>
      </c>
      <c r="K131" t="s">
        <v>264</v>
      </c>
      <c r="L131" s="2">
        <v>45658</v>
      </c>
      <c r="M131" t="s">
        <v>79</v>
      </c>
      <c r="N131">
        <v>0</v>
      </c>
      <c r="O131" t="s">
        <v>26</v>
      </c>
      <c r="P131" t="s">
        <v>34</v>
      </c>
      <c r="Q131">
        <v>0</v>
      </c>
    </row>
    <row r="132" spans="1:17" x14ac:dyDescent="0.3">
      <c r="A132" t="s">
        <v>17</v>
      </c>
      <c r="B132">
        <v>68</v>
      </c>
      <c r="C132" t="s">
        <v>34</v>
      </c>
      <c r="D132" s="2">
        <v>45688</v>
      </c>
      <c r="E132" s="3">
        <f t="shared" si="2"/>
        <v>45658</v>
      </c>
      <c r="F132" t="s">
        <v>265</v>
      </c>
      <c r="G132" t="s">
        <v>266</v>
      </c>
      <c r="H132" s="4">
        <v>1291.55</v>
      </c>
      <c r="I132" t="s">
        <v>31</v>
      </c>
      <c r="J132" t="s">
        <v>79</v>
      </c>
      <c r="K132" t="s">
        <v>267</v>
      </c>
      <c r="L132" s="2">
        <v>45658</v>
      </c>
      <c r="M132" t="s">
        <v>79</v>
      </c>
      <c r="N132">
        <v>0</v>
      </c>
      <c r="O132" t="s">
        <v>31</v>
      </c>
      <c r="P132" t="s">
        <v>34</v>
      </c>
      <c r="Q132">
        <v>0</v>
      </c>
    </row>
    <row r="133" spans="1:17" x14ac:dyDescent="0.3">
      <c r="A133" t="s">
        <v>17</v>
      </c>
      <c r="B133">
        <v>68</v>
      </c>
      <c r="C133" t="s">
        <v>34</v>
      </c>
      <c r="D133" s="2">
        <v>45688</v>
      </c>
      <c r="E133" s="3">
        <f t="shared" si="2"/>
        <v>45658</v>
      </c>
      <c r="F133" t="s">
        <v>268</v>
      </c>
      <c r="G133" t="s">
        <v>190</v>
      </c>
      <c r="H133" s="4">
        <v>111</v>
      </c>
      <c r="I133" t="s">
        <v>137</v>
      </c>
      <c r="J133" t="s">
        <v>79</v>
      </c>
      <c r="K133" t="s">
        <v>269</v>
      </c>
      <c r="L133" s="2">
        <v>45658</v>
      </c>
      <c r="M133" t="s">
        <v>79</v>
      </c>
      <c r="N133" t="s">
        <v>141</v>
      </c>
      <c r="O133" t="s">
        <v>141</v>
      </c>
      <c r="P133" t="s">
        <v>34</v>
      </c>
      <c r="Q133">
        <v>0</v>
      </c>
    </row>
    <row r="134" spans="1:17" x14ac:dyDescent="0.3">
      <c r="A134" t="s">
        <v>17</v>
      </c>
      <c r="B134">
        <v>68</v>
      </c>
      <c r="C134" t="s">
        <v>34</v>
      </c>
      <c r="D134" s="2">
        <v>45688</v>
      </c>
      <c r="E134" s="3">
        <f t="shared" si="2"/>
        <v>45658</v>
      </c>
      <c r="F134" t="s">
        <v>268</v>
      </c>
      <c r="G134" t="s">
        <v>190</v>
      </c>
      <c r="H134" s="4">
        <v>36</v>
      </c>
      <c r="I134" t="s">
        <v>137</v>
      </c>
      <c r="J134" t="s">
        <v>79</v>
      </c>
      <c r="K134" t="s">
        <v>269</v>
      </c>
      <c r="L134" s="2">
        <v>45658</v>
      </c>
      <c r="M134" t="s">
        <v>79</v>
      </c>
      <c r="N134" t="s">
        <v>141</v>
      </c>
      <c r="O134" t="s">
        <v>141</v>
      </c>
      <c r="P134" t="s">
        <v>34</v>
      </c>
      <c r="Q134">
        <v>0</v>
      </c>
    </row>
    <row r="135" spans="1:17" x14ac:dyDescent="0.3">
      <c r="A135" t="s">
        <v>17</v>
      </c>
      <c r="B135">
        <v>63</v>
      </c>
      <c r="C135" t="s">
        <v>18</v>
      </c>
      <c r="D135" s="2">
        <v>45688</v>
      </c>
      <c r="E135" s="3">
        <f t="shared" si="2"/>
        <v>45658</v>
      </c>
      <c r="F135" t="s">
        <v>270</v>
      </c>
      <c r="G135" t="s">
        <v>271</v>
      </c>
      <c r="H135" s="4">
        <v>4718</v>
      </c>
      <c r="I135" t="s">
        <v>21</v>
      </c>
      <c r="J135" t="s">
        <v>272</v>
      </c>
      <c r="K135" t="s">
        <v>273</v>
      </c>
      <c r="L135" s="2">
        <v>45658</v>
      </c>
      <c r="M135" t="s">
        <v>272</v>
      </c>
      <c r="N135" t="s">
        <v>25</v>
      </c>
      <c r="O135" t="s">
        <v>26</v>
      </c>
      <c r="P135" t="s">
        <v>18</v>
      </c>
      <c r="Q135" t="s">
        <v>274</v>
      </c>
    </row>
    <row r="136" spans="1:17" x14ac:dyDescent="0.3">
      <c r="A136" t="s">
        <v>17</v>
      </c>
      <c r="B136">
        <v>67</v>
      </c>
      <c r="C136" t="s">
        <v>28</v>
      </c>
      <c r="D136" s="2">
        <v>45688</v>
      </c>
      <c r="E136" s="3">
        <f t="shared" si="2"/>
        <v>45658</v>
      </c>
      <c r="F136" t="s">
        <v>275</v>
      </c>
      <c r="G136" t="s">
        <v>67</v>
      </c>
      <c r="H136" s="4">
        <v>568.6</v>
      </c>
      <c r="I136" t="s">
        <v>31</v>
      </c>
      <c r="J136" t="s">
        <v>68</v>
      </c>
      <c r="K136" t="s">
        <v>276</v>
      </c>
      <c r="L136" s="2">
        <v>45658</v>
      </c>
      <c r="M136" t="s">
        <v>68</v>
      </c>
      <c r="N136">
        <v>0</v>
      </c>
      <c r="O136" t="s">
        <v>31</v>
      </c>
      <c r="P136" t="s">
        <v>28</v>
      </c>
      <c r="Q136">
        <v>0</v>
      </c>
    </row>
    <row r="137" spans="1:17" x14ac:dyDescent="0.3">
      <c r="A137" t="s">
        <v>17</v>
      </c>
      <c r="B137">
        <v>67</v>
      </c>
      <c r="C137" t="s">
        <v>28</v>
      </c>
      <c r="D137" s="2">
        <v>45688</v>
      </c>
      <c r="E137" s="3">
        <f t="shared" si="2"/>
        <v>45658</v>
      </c>
      <c r="F137" t="s">
        <v>277</v>
      </c>
      <c r="G137" t="s">
        <v>67</v>
      </c>
      <c r="H137" s="4">
        <v>325.25</v>
      </c>
      <c r="I137" t="s">
        <v>31</v>
      </c>
      <c r="J137" t="s">
        <v>68</v>
      </c>
      <c r="K137" t="s">
        <v>278</v>
      </c>
      <c r="L137" s="2">
        <v>45658</v>
      </c>
      <c r="M137" t="s">
        <v>68</v>
      </c>
      <c r="N137">
        <v>0</v>
      </c>
      <c r="O137" t="s">
        <v>31</v>
      </c>
      <c r="P137" t="s">
        <v>28</v>
      </c>
      <c r="Q137">
        <v>0</v>
      </c>
    </row>
    <row r="138" spans="1:17" x14ac:dyDescent="0.3">
      <c r="A138" t="s">
        <v>17</v>
      </c>
      <c r="B138">
        <v>67</v>
      </c>
      <c r="C138" t="s">
        <v>28</v>
      </c>
      <c r="D138" s="2">
        <v>45688</v>
      </c>
      <c r="E138" s="3">
        <f t="shared" si="2"/>
        <v>45658</v>
      </c>
      <c r="F138" t="s">
        <v>279</v>
      </c>
      <c r="G138" t="s">
        <v>280</v>
      </c>
      <c r="H138" s="4">
        <v>700</v>
      </c>
      <c r="I138" t="s">
        <v>47</v>
      </c>
      <c r="J138" t="s">
        <v>48</v>
      </c>
      <c r="K138" t="s">
        <v>281</v>
      </c>
      <c r="L138" s="2">
        <v>45658</v>
      </c>
      <c r="M138" t="s">
        <v>50</v>
      </c>
      <c r="N138">
        <v>0</v>
      </c>
      <c r="O138" t="s">
        <v>26</v>
      </c>
      <c r="P138" t="s">
        <v>28</v>
      </c>
      <c r="Q138">
        <v>0</v>
      </c>
    </row>
    <row r="139" spans="1:17" x14ac:dyDescent="0.3">
      <c r="A139" t="s">
        <v>17</v>
      </c>
      <c r="B139">
        <v>67</v>
      </c>
      <c r="C139" t="s">
        <v>28</v>
      </c>
      <c r="D139" s="2">
        <v>45688</v>
      </c>
      <c r="E139" s="3">
        <f t="shared" si="2"/>
        <v>45658</v>
      </c>
      <c r="F139" t="s">
        <v>282</v>
      </c>
      <c r="G139" t="s">
        <v>283</v>
      </c>
      <c r="H139" s="4">
        <v>150</v>
      </c>
      <c r="I139" t="s">
        <v>31</v>
      </c>
      <c r="J139" t="s">
        <v>48</v>
      </c>
      <c r="K139" t="s">
        <v>284</v>
      </c>
      <c r="L139" s="2">
        <v>45658</v>
      </c>
      <c r="M139" t="s">
        <v>50</v>
      </c>
      <c r="N139">
        <v>0</v>
      </c>
      <c r="O139" t="s">
        <v>31</v>
      </c>
      <c r="P139" t="s">
        <v>28</v>
      </c>
      <c r="Q139">
        <v>0</v>
      </c>
    </row>
    <row r="140" spans="1:17" x14ac:dyDescent="0.3">
      <c r="A140" t="s">
        <v>17</v>
      </c>
      <c r="B140">
        <v>64</v>
      </c>
      <c r="C140" t="s">
        <v>83</v>
      </c>
      <c r="D140" s="2">
        <v>45688</v>
      </c>
      <c r="E140" s="3">
        <f t="shared" si="2"/>
        <v>45658</v>
      </c>
      <c r="F140" t="s">
        <v>243</v>
      </c>
      <c r="G140" t="s">
        <v>246</v>
      </c>
      <c r="H140" s="4">
        <v>45.06</v>
      </c>
      <c r="I140" t="s">
        <v>47</v>
      </c>
      <c r="J140" t="s">
        <v>87</v>
      </c>
      <c r="K140" t="s">
        <v>285</v>
      </c>
      <c r="L140" s="2">
        <v>45658</v>
      </c>
      <c r="M140" t="s">
        <v>89</v>
      </c>
      <c r="N140">
        <v>0</v>
      </c>
      <c r="O140" t="s">
        <v>26</v>
      </c>
      <c r="P140" t="s">
        <v>83</v>
      </c>
      <c r="Q140">
        <v>0</v>
      </c>
    </row>
    <row r="141" spans="1:17" x14ac:dyDescent="0.3">
      <c r="A141" t="s">
        <v>17</v>
      </c>
      <c r="B141">
        <v>64</v>
      </c>
      <c r="C141" t="s">
        <v>83</v>
      </c>
      <c r="D141" s="2">
        <v>45688</v>
      </c>
      <c r="E141" s="3">
        <f t="shared" si="2"/>
        <v>45658</v>
      </c>
      <c r="F141" t="s">
        <v>243</v>
      </c>
      <c r="G141" t="s">
        <v>246</v>
      </c>
      <c r="H141" s="4">
        <v>85.6</v>
      </c>
      <c r="I141" t="s">
        <v>47</v>
      </c>
      <c r="J141" t="s">
        <v>87</v>
      </c>
      <c r="K141" t="s">
        <v>285</v>
      </c>
      <c r="L141" s="2">
        <v>45658</v>
      </c>
      <c r="M141" t="s">
        <v>89</v>
      </c>
      <c r="N141">
        <v>0</v>
      </c>
      <c r="O141" t="s">
        <v>26</v>
      </c>
      <c r="P141" t="s">
        <v>83</v>
      </c>
      <c r="Q141">
        <v>0</v>
      </c>
    </row>
    <row r="142" spans="1:17" x14ac:dyDescent="0.3">
      <c r="A142" t="s">
        <v>17</v>
      </c>
      <c r="B142">
        <v>64</v>
      </c>
      <c r="C142" t="s">
        <v>83</v>
      </c>
      <c r="D142" s="2">
        <v>45688</v>
      </c>
      <c r="E142" s="3">
        <f t="shared" si="2"/>
        <v>45658</v>
      </c>
      <c r="F142" t="s">
        <v>243</v>
      </c>
      <c r="G142" t="s">
        <v>246</v>
      </c>
      <c r="H142" s="4">
        <v>18.989999999999998</v>
      </c>
      <c r="I142" t="s">
        <v>47</v>
      </c>
      <c r="J142" t="s">
        <v>87</v>
      </c>
      <c r="K142" t="s">
        <v>285</v>
      </c>
      <c r="L142" s="2">
        <v>45658</v>
      </c>
      <c r="M142" t="s">
        <v>89</v>
      </c>
      <c r="N142">
        <v>0</v>
      </c>
      <c r="O142" t="s">
        <v>26</v>
      </c>
      <c r="P142" t="s">
        <v>83</v>
      </c>
      <c r="Q142">
        <v>0</v>
      </c>
    </row>
    <row r="143" spans="1:17" x14ac:dyDescent="0.3">
      <c r="A143" t="s">
        <v>17</v>
      </c>
      <c r="B143">
        <v>64</v>
      </c>
      <c r="C143" t="s">
        <v>83</v>
      </c>
      <c r="D143" s="2">
        <v>45688</v>
      </c>
      <c r="E143" s="3">
        <f t="shared" si="2"/>
        <v>45658</v>
      </c>
      <c r="F143" t="s">
        <v>243</v>
      </c>
      <c r="G143" t="s">
        <v>246</v>
      </c>
      <c r="H143" s="4">
        <v>10.99</v>
      </c>
      <c r="I143" t="s">
        <v>47</v>
      </c>
      <c r="J143" t="s">
        <v>87</v>
      </c>
      <c r="K143" t="s">
        <v>285</v>
      </c>
      <c r="L143" s="2">
        <v>45658</v>
      </c>
      <c r="M143" t="s">
        <v>89</v>
      </c>
      <c r="N143">
        <v>0</v>
      </c>
      <c r="O143" t="s">
        <v>26</v>
      </c>
      <c r="P143" t="s">
        <v>83</v>
      </c>
      <c r="Q143">
        <v>0</v>
      </c>
    </row>
    <row r="144" spans="1:17" x14ac:dyDescent="0.3">
      <c r="A144" t="s">
        <v>17</v>
      </c>
      <c r="B144">
        <v>64</v>
      </c>
      <c r="C144" t="s">
        <v>83</v>
      </c>
      <c r="D144" s="2">
        <v>45688</v>
      </c>
      <c r="E144" s="3">
        <f t="shared" si="2"/>
        <v>45658</v>
      </c>
      <c r="F144" t="s">
        <v>243</v>
      </c>
      <c r="G144" t="s">
        <v>246</v>
      </c>
      <c r="H144" s="4">
        <v>10.119999999999999</v>
      </c>
      <c r="I144" t="s">
        <v>47</v>
      </c>
      <c r="J144" t="s">
        <v>87</v>
      </c>
      <c r="K144" t="s">
        <v>285</v>
      </c>
      <c r="L144" s="2">
        <v>45658</v>
      </c>
      <c r="M144" t="s">
        <v>89</v>
      </c>
      <c r="N144">
        <v>0</v>
      </c>
      <c r="O144" t="s">
        <v>26</v>
      </c>
      <c r="P144" t="s">
        <v>83</v>
      </c>
      <c r="Q144">
        <v>0</v>
      </c>
    </row>
    <row r="145" spans="1:17" x14ac:dyDescent="0.3">
      <c r="A145" t="s">
        <v>17</v>
      </c>
      <c r="B145">
        <v>64</v>
      </c>
      <c r="C145" t="s">
        <v>83</v>
      </c>
      <c r="D145" s="2">
        <v>45688</v>
      </c>
      <c r="E145" s="3">
        <f t="shared" si="2"/>
        <v>45658</v>
      </c>
      <c r="F145" t="s">
        <v>243</v>
      </c>
      <c r="G145" t="s">
        <v>246</v>
      </c>
      <c r="H145" s="4">
        <v>28.98</v>
      </c>
      <c r="I145" t="s">
        <v>47</v>
      </c>
      <c r="J145" t="s">
        <v>87</v>
      </c>
      <c r="K145" t="s">
        <v>285</v>
      </c>
      <c r="L145" s="2">
        <v>45658</v>
      </c>
      <c r="M145" t="s">
        <v>89</v>
      </c>
      <c r="N145">
        <v>0</v>
      </c>
      <c r="O145" t="s">
        <v>26</v>
      </c>
      <c r="P145" t="s">
        <v>83</v>
      </c>
      <c r="Q145">
        <v>0</v>
      </c>
    </row>
    <row r="146" spans="1:17" x14ac:dyDescent="0.3">
      <c r="A146" t="s">
        <v>17</v>
      </c>
      <c r="B146">
        <v>64</v>
      </c>
      <c r="C146" t="s">
        <v>83</v>
      </c>
      <c r="D146" s="2">
        <v>45688</v>
      </c>
      <c r="E146" s="3">
        <f t="shared" si="2"/>
        <v>45658</v>
      </c>
      <c r="F146" t="s">
        <v>243</v>
      </c>
      <c r="G146" t="s">
        <v>246</v>
      </c>
      <c r="H146" s="4">
        <v>96.7</v>
      </c>
      <c r="I146" t="s">
        <v>47</v>
      </c>
      <c r="J146" t="s">
        <v>87</v>
      </c>
      <c r="K146" t="s">
        <v>286</v>
      </c>
      <c r="L146" s="2">
        <v>45658</v>
      </c>
      <c r="M146" t="s">
        <v>89</v>
      </c>
      <c r="N146">
        <v>0</v>
      </c>
      <c r="O146" t="s">
        <v>26</v>
      </c>
      <c r="P146" t="s">
        <v>83</v>
      </c>
      <c r="Q146">
        <v>0</v>
      </c>
    </row>
    <row r="147" spans="1:17" x14ac:dyDescent="0.3">
      <c r="A147" t="s">
        <v>17</v>
      </c>
      <c r="B147">
        <v>64</v>
      </c>
      <c r="C147" t="s">
        <v>83</v>
      </c>
      <c r="D147" s="2">
        <v>45688</v>
      </c>
      <c r="E147" s="3">
        <f t="shared" si="2"/>
        <v>45658</v>
      </c>
      <c r="F147" t="s">
        <v>243</v>
      </c>
      <c r="G147" t="s">
        <v>246</v>
      </c>
      <c r="H147" s="4">
        <v>14.35</v>
      </c>
      <c r="I147" t="s">
        <v>47</v>
      </c>
      <c r="J147" t="s">
        <v>87</v>
      </c>
      <c r="K147" t="s">
        <v>285</v>
      </c>
      <c r="L147" s="2">
        <v>45658</v>
      </c>
      <c r="M147" t="s">
        <v>89</v>
      </c>
      <c r="N147">
        <v>0</v>
      </c>
      <c r="O147" t="s">
        <v>26</v>
      </c>
      <c r="P147" t="s">
        <v>83</v>
      </c>
      <c r="Q147">
        <v>0</v>
      </c>
    </row>
    <row r="148" spans="1:17" x14ac:dyDescent="0.3">
      <c r="A148" t="s">
        <v>17</v>
      </c>
      <c r="B148">
        <v>64</v>
      </c>
      <c r="C148" t="s">
        <v>83</v>
      </c>
      <c r="D148" s="2">
        <v>45688</v>
      </c>
      <c r="E148" s="3">
        <f t="shared" si="2"/>
        <v>45658</v>
      </c>
      <c r="F148" t="s">
        <v>243</v>
      </c>
      <c r="G148" t="s">
        <v>246</v>
      </c>
      <c r="H148" s="4">
        <v>37.380000000000003</v>
      </c>
      <c r="I148" t="s">
        <v>47</v>
      </c>
      <c r="J148" t="s">
        <v>87</v>
      </c>
      <c r="K148" t="s">
        <v>285</v>
      </c>
      <c r="L148" s="2">
        <v>45658</v>
      </c>
      <c r="M148" t="s">
        <v>89</v>
      </c>
      <c r="N148">
        <v>0</v>
      </c>
      <c r="O148" t="s">
        <v>26</v>
      </c>
      <c r="P148" t="s">
        <v>83</v>
      </c>
      <c r="Q148">
        <v>0</v>
      </c>
    </row>
    <row r="149" spans="1:17" x14ac:dyDescent="0.3">
      <c r="A149" t="s">
        <v>17</v>
      </c>
      <c r="B149">
        <v>64</v>
      </c>
      <c r="C149" t="s">
        <v>83</v>
      </c>
      <c r="D149" s="2">
        <v>45688</v>
      </c>
      <c r="E149" s="3">
        <f t="shared" si="2"/>
        <v>45658</v>
      </c>
      <c r="F149" t="s">
        <v>243</v>
      </c>
      <c r="G149" t="s">
        <v>246</v>
      </c>
      <c r="H149" s="4">
        <v>47.46</v>
      </c>
      <c r="I149" t="s">
        <v>47</v>
      </c>
      <c r="J149" t="s">
        <v>87</v>
      </c>
      <c r="K149" t="s">
        <v>285</v>
      </c>
      <c r="L149" s="2">
        <v>45658</v>
      </c>
      <c r="M149" t="s">
        <v>89</v>
      </c>
      <c r="N149">
        <v>0</v>
      </c>
      <c r="O149" t="s">
        <v>26</v>
      </c>
      <c r="P149" t="s">
        <v>83</v>
      </c>
      <c r="Q149">
        <v>0</v>
      </c>
    </row>
    <row r="150" spans="1:17" x14ac:dyDescent="0.3">
      <c r="A150" t="s">
        <v>17</v>
      </c>
      <c r="B150">
        <v>64</v>
      </c>
      <c r="C150" t="s">
        <v>83</v>
      </c>
      <c r="D150" s="2">
        <v>45688</v>
      </c>
      <c r="E150" s="3">
        <f t="shared" si="2"/>
        <v>45658</v>
      </c>
      <c r="F150" t="s">
        <v>243</v>
      </c>
      <c r="G150" t="s">
        <v>246</v>
      </c>
      <c r="H150" s="4">
        <v>67.87</v>
      </c>
      <c r="I150" t="s">
        <v>47</v>
      </c>
      <c r="J150" t="s">
        <v>87</v>
      </c>
      <c r="K150" t="s">
        <v>285</v>
      </c>
      <c r="L150" s="2">
        <v>45658</v>
      </c>
      <c r="M150" t="s">
        <v>89</v>
      </c>
      <c r="N150">
        <v>0</v>
      </c>
      <c r="O150" t="s">
        <v>26</v>
      </c>
      <c r="P150" t="s">
        <v>83</v>
      </c>
      <c r="Q150">
        <v>0</v>
      </c>
    </row>
    <row r="151" spans="1:17" x14ac:dyDescent="0.3">
      <c r="A151" t="s">
        <v>17</v>
      </c>
      <c r="B151">
        <v>64</v>
      </c>
      <c r="C151" t="s">
        <v>83</v>
      </c>
      <c r="D151" s="2">
        <v>45688</v>
      </c>
      <c r="E151" s="3">
        <f t="shared" si="2"/>
        <v>45658</v>
      </c>
      <c r="F151" t="s">
        <v>243</v>
      </c>
      <c r="G151" t="s">
        <v>246</v>
      </c>
      <c r="H151" s="4">
        <v>128.55000000000001</v>
      </c>
      <c r="I151" t="s">
        <v>47</v>
      </c>
      <c r="J151" t="s">
        <v>87</v>
      </c>
      <c r="K151" t="s">
        <v>287</v>
      </c>
      <c r="L151" s="2">
        <v>45658</v>
      </c>
      <c r="M151" t="s">
        <v>89</v>
      </c>
      <c r="N151">
        <v>0</v>
      </c>
      <c r="O151" t="s">
        <v>26</v>
      </c>
      <c r="P151" t="s">
        <v>83</v>
      </c>
      <c r="Q151">
        <v>0</v>
      </c>
    </row>
    <row r="152" spans="1:17" x14ac:dyDescent="0.3">
      <c r="A152" t="s">
        <v>17</v>
      </c>
      <c r="B152">
        <v>64</v>
      </c>
      <c r="C152" t="s">
        <v>83</v>
      </c>
      <c r="D152" s="2">
        <v>45688</v>
      </c>
      <c r="E152" s="3">
        <f t="shared" si="2"/>
        <v>45658</v>
      </c>
      <c r="F152" t="s">
        <v>243</v>
      </c>
      <c r="G152" t="s">
        <v>246</v>
      </c>
      <c r="H152" s="4">
        <v>87.39</v>
      </c>
      <c r="I152" t="s">
        <v>47</v>
      </c>
      <c r="J152" t="s">
        <v>87</v>
      </c>
      <c r="K152" t="s">
        <v>287</v>
      </c>
      <c r="L152" s="2">
        <v>45658</v>
      </c>
      <c r="M152" t="s">
        <v>89</v>
      </c>
      <c r="N152">
        <v>0</v>
      </c>
      <c r="O152" t="s">
        <v>26</v>
      </c>
      <c r="P152" t="s">
        <v>83</v>
      </c>
      <c r="Q152">
        <v>0</v>
      </c>
    </row>
    <row r="153" spans="1:17" x14ac:dyDescent="0.3">
      <c r="A153" t="s">
        <v>17</v>
      </c>
      <c r="B153">
        <v>64</v>
      </c>
      <c r="C153" t="s">
        <v>83</v>
      </c>
      <c r="D153" s="2">
        <v>45688</v>
      </c>
      <c r="E153" s="3">
        <f t="shared" si="2"/>
        <v>45658</v>
      </c>
      <c r="F153" t="s">
        <v>243</v>
      </c>
      <c r="G153" t="s">
        <v>246</v>
      </c>
      <c r="H153" s="4">
        <v>123.15</v>
      </c>
      <c r="I153" t="s">
        <v>47</v>
      </c>
      <c r="J153" t="s">
        <v>87</v>
      </c>
      <c r="K153" t="s">
        <v>287</v>
      </c>
      <c r="L153" s="2">
        <v>45658</v>
      </c>
      <c r="M153" t="s">
        <v>89</v>
      </c>
      <c r="N153">
        <v>0</v>
      </c>
      <c r="O153" t="s">
        <v>26</v>
      </c>
      <c r="P153" t="s">
        <v>83</v>
      </c>
      <c r="Q153">
        <v>0</v>
      </c>
    </row>
    <row r="154" spans="1:17" x14ac:dyDescent="0.3">
      <c r="A154" t="s">
        <v>17</v>
      </c>
      <c r="B154">
        <v>64</v>
      </c>
      <c r="C154" t="s">
        <v>83</v>
      </c>
      <c r="D154" s="2">
        <v>45688</v>
      </c>
      <c r="E154" s="3">
        <f t="shared" si="2"/>
        <v>45658</v>
      </c>
      <c r="F154" t="s">
        <v>243</v>
      </c>
      <c r="G154" t="s">
        <v>246</v>
      </c>
      <c r="H154" s="4">
        <v>18.170000000000002</v>
      </c>
      <c r="I154" t="s">
        <v>47</v>
      </c>
      <c r="J154" t="s">
        <v>91</v>
      </c>
      <c r="K154" t="s">
        <v>285</v>
      </c>
      <c r="L154" s="2">
        <v>45658</v>
      </c>
      <c r="M154" t="s">
        <v>93</v>
      </c>
      <c r="N154">
        <v>0</v>
      </c>
      <c r="O154" t="s">
        <v>26</v>
      </c>
      <c r="P154" t="s">
        <v>83</v>
      </c>
      <c r="Q154">
        <v>0</v>
      </c>
    </row>
    <row r="155" spans="1:17" x14ac:dyDescent="0.3">
      <c r="A155" t="s">
        <v>17</v>
      </c>
      <c r="B155">
        <v>64</v>
      </c>
      <c r="C155" t="s">
        <v>83</v>
      </c>
      <c r="D155" s="2">
        <v>45688</v>
      </c>
      <c r="E155" s="3">
        <f t="shared" si="2"/>
        <v>45658</v>
      </c>
      <c r="F155" t="s">
        <v>243</v>
      </c>
      <c r="G155" t="s">
        <v>246</v>
      </c>
      <c r="H155" s="4">
        <v>34.79</v>
      </c>
      <c r="I155" t="s">
        <v>47</v>
      </c>
      <c r="J155" t="s">
        <v>91</v>
      </c>
      <c r="K155" t="s">
        <v>285</v>
      </c>
      <c r="L155" s="2">
        <v>45658</v>
      </c>
      <c r="M155" t="s">
        <v>93</v>
      </c>
      <c r="N155">
        <v>0</v>
      </c>
      <c r="O155" t="s">
        <v>26</v>
      </c>
      <c r="P155" t="s">
        <v>83</v>
      </c>
      <c r="Q155">
        <v>0</v>
      </c>
    </row>
    <row r="156" spans="1:17" x14ac:dyDescent="0.3">
      <c r="A156" t="s">
        <v>17</v>
      </c>
      <c r="B156">
        <v>64</v>
      </c>
      <c r="C156" t="s">
        <v>83</v>
      </c>
      <c r="D156" s="2">
        <v>45688</v>
      </c>
      <c r="E156" s="3">
        <f t="shared" si="2"/>
        <v>45658</v>
      </c>
      <c r="F156" t="s">
        <v>243</v>
      </c>
      <c r="G156" t="s">
        <v>246</v>
      </c>
      <c r="H156" s="4">
        <v>53.23</v>
      </c>
      <c r="I156" t="s">
        <v>47</v>
      </c>
      <c r="J156" t="s">
        <v>91</v>
      </c>
      <c r="K156" t="s">
        <v>285</v>
      </c>
      <c r="L156" s="2">
        <v>45658</v>
      </c>
      <c r="M156" t="s">
        <v>93</v>
      </c>
      <c r="N156">
        <v>0</v>
      </c>
      <c r="O156" t="s">
        <v>26</v>
      </c>
      <c r="P156" t="s">
        <v>83</v>
      </c>
      <c r="Q156">
        <v>0</v>
      </c>
    </row>
    <row r="157" spans="1:17" x14ac:dyDescent="0.3">
      <c r="A157" t="s">
        <v>17</v>
      </c>
      <c r="B157">
        <v>64</v>
      </c>
      <c r="C157" t="s">
        <v>83</v>
      </c>
      <c r="D157" s="2">
        <v>45688</v>
      </c>
      <c r="E157" s="3">
        <f t="shared" si="2"/>
        <v>45658</v>
      </c>
      <c r="F157" t="s">
        <v>243</v>
      </c>
      <c r="G157" t="s">
        <v>246</v>
      </c>
      <c r="H157" s="4">
        <v>45.68</v>
      </c>
      <c r="I157" t="s">
        <v>47</v>
      </c>
      <c r="J157" t="s">
        <v>91</v>
      </c>
      <c r="K157" t="s">
        <v>285</v>
      </c>
      <c r="L157" s="2">
        <v>45658</v>
      </c>
      <c r="M157" t="s">
        <v>93</v>
      </c>
      <c r="N157">
        <v>0</v>
      </c>
      <c r="O157" t="s">
        <v>26</v>
      </c>
      <c r="P157" t="s">
        <v>83</v>
      </c>
      <c r="Q157">
        <v>0</v>
      </c>
    </row>
    <row r="158" spans="1:17" x14ac:dyDescent="0.3">
      <c r="A158" t="s">
        <v>17</v>
      </c>
      <c r="B158">
        <v>64</v>
      </c>
      <c r="C158" t="s">
        <v>83</v>
      </c>
      <c r="D158" s="2">
        <v>45688</v>
      </c>
      <c r="E158" s="3">
        <f t="shared" si="2"/>
        <v>45658</v>
      </c>
      <c r="F158" t="s">
        <v>243</v>
      </c>
      <c r="G158" t="s">
        <v>246</v>
      </c>
      <c r="H158" s="4">
        <v>22.25</v>
      </c>
      <c r="I158" t="s">
        <v>47</v>
      </c>
      <c r="J158" t="s">
        <v>91</v>
      </c>
      <c r="K158" t="s">
        <v>285</v>
      </c>
      <c r="L158" s="2">
        <v>45658</v>
      </c>
      <c r="M158" t="s">
        <v>93</v>
      </c>
      <c r="N158">
        <v>0</v>
      </c>
      <c r="O158" t="s">
        <v>26</v>
      </c>
      <c r="P158" t="s">
        <v>83</v>
      </c>
      <c r="Q158">
        <v>0</v>
      </c>
    </row>
    <row r="159" spans="1:17" x14ac:dyDescent="0.3">
      <c r="A159" t="s">
        <v>17</v>
      </c>
      <c r="B159">
        <v>64</v>
      </c>
      <c r="C159" t="s">
        <v>83</v>
      </c>
      <c r="D159" s="2">
        <v>45688</v>
      </c>
      <c r="E159" s="3">
        <f t="shared" si="2"/>
        <v>45658</v>
      </c>
      <c r="F159" t="s">
        <v>243</v>
      </c>
      <c r="G159" t="s">
        <v>246</v>
      </c>
      <c r="H159" s="4">
        <v>11.13</v>
      </c>
      <c r="I159" t="s">
        <v>47</v>
      </c>
      <c r="J159" t="s">
        <v>91</v>
      </c>
      <c r="K159" t="s">
        <v>285</v>
      </c>
      <c r="L159" s="2">
        <v>45658</v>
      </c>
      <c r="M159" t="s">
        <v>93</v>
      </c>
      <c r="N159">
        <v>0</v>
      </c>
      <c r="O159" t="s">
        <v>26</v>
      </c>
      <c r="P159" t="s">
        <v>83</v>
      </c>
      <c r="Q159">
        <v>0</v>
      </c>
    </row>
    <row r="160" spans="1:17" x14ac:dyDescent="0.3">
      <c r="A160" t="s">
        <v>17</v>
      </c>
      <c r="B160">
        <v>64</v>
      </c>
      <c r="C160" t="s">
        <v>83</v>
      </c>
      <c r="D160" s="2">
        <v>45688</v>
      </c>
      <c r="E160" s="3">
        <f t="shared" si="2"/>
        <v>45658</v>
      </c>
      <c r="F160" t="s">
        <v>243</v>
      </c>
      <c r="G160" t="s">
        <v>246</v>
      </c>
      <c r="H160" s="4">
        <v>3.76</v>
      </c>
      <c r="I160" t="s">
        <v>137</v>
      </c>
      <c r="J160" t="s">
        <v>91</v>
      </c>
      <c r="K160" t="s">
        <v>288</v>
      </c>
      <c r="L160" s="2">
        <v>45658</v>
      </c>
      <c r="M160" t="s">
        <v>93</v>
      </c>
      <c r="N160" t="s">
        <v>141</v>
      </c>
      <c r="O160" t="s">
        <v>141</v>
      </c>
      <c r="P160" t="s">
        <v>83</v>
      </c>
      <c r="Q160">
        <v>0</v>
      </c>
    </row>
    <row r="161" spans="1:17" x14ac:dyDescent="0.3">
      <c r="A161" t="s">
        <v>17</v>
      </c>
      <c r="B161">
        <v>68</v>
      </c>
      <c r="C161" t="s">
        <v>34</v>
      </c>
      <c r="D161" s="2">
        <v>45688</v>
      </c>
      <c r="E161" s="3">
        <f t="shared" si="2"/>
        <v>45658</v>
      </c>
      <c r="F161" t="s">
        <v>243</v>
      </c>
      <c r="G161" t="s">
        <v>246</v>
      </c>
      <c r="H161" s="4">
        <v>789</v>
      </c>
      <c r="I161" t="s">
        <v>47</v>
      </c>
      <c r="J161" t="s">
        <v>109</v>
      </c>
      <c r="K161" t="s">
        <v>285</v>
      </c>
      <c r="L161" s="2">
        <v>45658</v>
      </c>
      <c r="M161" t="s">
        <v>109</v>
      </c>
      <c r="N161">
        <v>0</v>
      </c>
      <c r="O161" t="s">
        <v>26</v>
      </c>
      <c r="P161" t="s">
        <v>112</v>
      </c>
      <c r="Q161" t="s">
        <v>113</v>
      </c>
    </row>
    <row r="162" spans="1:17" x14ac:dyDescent="0.3">
      <c r="A162" t="s">
        <v>17</v>
      </c>
      <c r="B162">
        <v>68</v>
      </c>
      <c r="C162" t="s">
        <v>34</v>
      </c>
      <c r="D162" s="2">
        <v>45688</v>
      </c>
      <c r="E162" s="3">
        <f t="shared" si="2"/>
        <v>45658</v>
      </c>
      <c r="F162" t="s">
        <v>243</v>
      </c>
      <c r="G162" t="s">
        <v>246</v>
      </c>
      <c r="H162" s="4">
        <v>152.28</v>
      </c>
      <c r="I162" t="s">
        <v>47</v>
      </c>
      <c r="J162" t="s">
        <v>109</v>
      </c>
      <c r="K162" t="s">
        <v>289</v>
      </c>
      <c r="L162" s="2">
        <v>45658</v>
      </c>
      <c r="M162" t="s">
        <v>109</v>
      </c>
      <c r="N162">
        <v>0</v>
      </c>
      <c r="O162" t="s">
        <v>26</v>
      </c>
      <c r="P162" t="s">
        <v>112</v>
      </c>
      <c r="Q162" t="s">
        <v>113</v>
      </c>
    </row>
    <row r="163" spans="1:17" x14ac:dyDescent="0.3">
      <c r="A163" t="s">
        <v>17</v>
      </c>
      <c r="B163">
        <v>68</v>
      </c>
      <c r="C163" t="s">
        <v>34</v>
      </c>
      <c r="D163" s="2">
        <v>45688</v>
      </c>
      <c r="E163" s="3">
        <f t="shared" si="2"/>
        <v>45658</v>
      </c>
      <c r="F163" t="s">
        <v>290</v>
      </c>
      <c r="G163" t="s">
        <v>291</v>
      </c>
      <c r="H163" s="4">
        <v>1023.54</v>
      </c>
      <c r="I163" t="s">
        <v>47</v>
      </c>
      <c r="J163" t="s">
        <v>109</v>
      </c>
      <c r="K163" t="s">
        <v>292</v>
      </c>
      <c r="L163" s="2">
        <v>45658</v>
      </c>
      <c r="M163" t="s">
        <v>109</v>
      </c>
      <c r="N163">
        <v>0</v>
      </c>
      <c r="O163" t="s">
        <v>26</v>
      </c>
      <c r="P163" t="s">
        <v>112</v>
      </c>
      <c r="Q163" t="s">
        <v>113</v>
      </c>
    </row>
    <row r="164" spans="1:17" x14ac:dyDescent="0.3">
      <c r="A164" t="s">
        <v>17</v>
      </c>
      <c r="B164">
        <v>68</v>
      </c>
      <c r="C164" t="s">
        <v>34</v>
      </c>
      <c r="D164" s="2">
        <v>45688</v>
      </c>
      <c r="E164" s="3">
        <f t="shared" si="2"/>
        <v>45658</v>
      </c>
      <c r="F164" t="s">
        <v>293</v>
      </c>
      <c r="G164" t="s">
        <v>122</v>
      </c>
      <c r="H164" s="4">
        <v>1214.52</v>
      </c>
      <c r="I164" t="s">
        <v>108</v>
      </c>
      <c r="J164" t="s">
        <v>109</v>
      </c>
      <c r="K164" t="s">
        <v>123</v>
      </c>
      <c r="L164" s="2">
        <v>45658</v>
      </c>
      <c r="M164" t="s">
        <v>109</v>
      </c>
      <c r="N164">
        <v>0</v>
      </c>
      <c r="O164" t="s">
        <v>111</v>
      </c>
      <c r="P164" t="s">
        <v>112</v>
      </c>
      <c r="Q164" t="s">
        <v>113</v>
      </c>
    </row>
    <row r="165" spans="1:17" x14ac:dyDescent="0.3">
      <c r="A165" t="s">
        <v>17</v>
      </c>
      <c r="B165">
        <v>68</v>
      </c>
      <c r="C165" t="s">
        <v>34</v>
      </c>
      <c r="D165" s="2">
        <v>45688</v>
      </c>
      <c r="E165" s="3">
        <f t="shared" si="2"/>
        <v>45658</v>
      </c>
      <c r="F165" t="s">
        <v>294</v>
      </c>
      <c r="G165" t="s">
        <v>122</v>
      </c>
      <c r="H165" s="4">
        <v>29.56</v>
      </c>
      <c r="I165" t="s">
        <v>108</v>
      </c>
      <c r="J165" t="s">
        <v>109</v>
      </c>
      <c r="K165" t="s">
        <v>123</v>
      </c>
      <c r="L165" s="2">
        <v>45658</v>
      </c>
      <c r="M165" t="s">
        <v>109</v>
      </c>
      <c r="N165">
        <v>0</v>
      </c>
      <c r="O165" t="s">
        <v>111</v>
      </c>
      <c r="P165" t="s">
        <v>112</v>
      </c>
      <c r="Q165" t="s">
        <v>113</v>
      </c>
    </row>
    <row r="166" spans="1:17" x14ac:dyDescent="0.3">
      <c r="A166" t="s">
        <v>17</v>
      </c>
      <c r="B166">
        <v>65</v>
      </c>
      <c r="C166" t="s">
        <v>54</v>
      </c>
      <c r="D166" s="2">
        <v>45688</v>
      </c>
      <c r="E166" s="3">
        <f t="shared" si="2"/>
        <v>45658</v>
      </c>
      <c r="F166" t="s">
        <v>295</v>
      </c>
      <c r="H166" s="4">
        <v>574.39</v>
      </c>
      <c r="I166" t="s">
        <v>31</v>
      </c>
      <c r="J166" t="s">
        <v>296</v>
      </c>
      <c r="L166" s="2">
        <v>45658</v>
      </c>
      <c r="M166" t="s">
        <v>296</v>
      </c>
      <c r="N166">
        <v>0</v>
      </c>
      <c r="O166" t="s">
        <v>31</v>
      </c>
      <c r="P166" t="s">
        <v>54</v>
      </c>
      <c r="Q166">
        <v>0</v>
      </c>
    </row>
    <row r="167" spans="1:17" x14ac:dyDescent="0.3">
      <c r="A167" t="s">
        <v>17</v>
      </c>
      <c r="B167">
        <v>65</v>
      </c>
      <c r="C167" t="s">
        <v>54</v>
      </c>
      <c r="D167" s="2">
        <v>45688</v>
      </c>
      <c r="E167" s="3">
        <f t="shared" si="2"/>
        <v>45658</v>
      </c>
      <c r="F167" t="s">
        <v>295</v>
      </c>
      <c r="H167" s="4">
        <v>23940.66</v>
      </c>
      <c r="I167" t="s">
        <v>31</v>
      </c>
      <c r="J167" t="s">
        <v>296</v>
      </c>
      <c r="L167" s="2">
        <v>45658</v>
      </c>
      <c r="M167" t="s">
        <v>296</v>
      </c>
      <c r="N167">
        <v>0</v>
      </c>
      <c r="O167" t="s">
        <v>31</v>
      </c>
      <c r="P167" t="s">
        <v>54</v>
      </c>
      <c r="Q167">
        <v>0</v>
      </c>
    </row>
    <row r="168" spans="1:17" x14ac:dyDescent="0.3">
      <c r="A168" t="s">
        <v>17</v>
      </c>
      <c r="B168">
        <v>69</v>
      </c>
      <c r="C168" t="s">
        <v>297</v>
      </c>
      <c r="D168" s="2">
        <v>45688</v>
      </c>
      <c r="E168" s="3">
        <f t="shared" si="2"/>
        <v>45658</v>
      </c>
      <c r="F168" t="s">
        <v>298</v>
      </c>
      <c r="H168" s="4">
        <v>1954.72</v>
      </c>
      <c r="I168" t="s">
        <v>31</v>
      </c>
      <c r="J168" t="s">
        <v>299</v>
      </c>
      <c r="K168" t="s">
        <v>300</v>
      </c>
      <c r="L168" s="2">
        <v>45658</v>
      </c>
      <c r="M168" t="s">
        <v>301</v>
      </c>
      <c r="N168">
        <v>0</v>
      </c>
      <c r="O168" t="s">
        <v>31</v>
      </c>
      <c r="P168" t="s">
        <v>297</v>
      </c>
      <c r="Q168">
        <v>0</v>
      </c>
    </row>
    <row r="169" spans="1:17" x14ac:dyDescent="0.3">
      <c r="A169" t="s">
        <v>17</v>
      </c>
      <c r="B169">
        <v>67</v>
      </c>
      <c r="C169" t="s">
        <v>28</v>
      </c>
      <c r="D169" s="2">
        <v>45688</v>
      </c>
      <c r="E169" s="3">
        <f t="shared" si="2"/>
        <v>45658</v>
      </c>
      <c r="F169" t="s">
        <v>302</v>
      </c>
      <c r="H169" s="4">
        <v>839</v>
      </c>
      <c r="I169" t="s">
        <v>31</v>
      </c>
      <c r="J169" t="s">
        <v>74</v>
      </c>
      <c r="K169" t="s">
        <v>303</v>
      </c>
      <c r="L169" s="2">
        <v>45658</v>
      </c>
      <c r="M169" t="s">
        <v>76</v>
      </c>
      <c r="N169">
        <v>0</v>
      </c>
      <c r="O169" t="s">
        <v>31</v>
      </c>
      <c r="P169" t="s">
        <v>28</v>
      </c>
      <c r="Q169">
        <v>0</v>
      </c>
    </row>
    <row r="170" spans="1:17" x14ac:dyDescent="0.3">
      <c r="A170" t="s">
        <v>17</v>
      </c>
      <c r="B170">
        <v>67</v>
      </c>
      <c r="C170" t="s">
        <v>28</v>
      </c>
      <c r="D170" s="2">
        <v>45688</v>
      </c>
      <c r="E170" s="3">
        <f t="shared" si="2"/>
        <v>45658</v>
      </c>
      <c r="F170" t="s">
        <v>304</v>
      </c>
      <c r="H170" s="4">
        <v>2198.19</v>
      </c>
      <c r="I170" t="s">
        <v>31</v>
      </c>
      <c r="J170" t="s">
        <v>74</v>
      </c>
      <c r="K170" t="s">
        <v>305</v>
      </c>
      <c r="L170" s="2">
        <v>45658</v>
      </c>
      <c r="M170" t="s">
        <v>76</v>
      </c>
      <c r="N170">
        <v>0</v>
      </c>
      <c r="O170" t="s">
        <v>31</v>
      </c>
      <c r="P170" t="s">
        <v>28</v>
      </c>
      <c r="Q170">
        <v>0</v>
      </c>
    </row>
    <row r="171" spans="1:17" x14ac:dyDescent="0.3">
      <c r="A171" t="s">
        <v>17</v>
      </c>
      <c r="B171">
        <v>67</v>
      </c>
      <c r="C171" t="s">
        <v>28</v>
      </c>
      <c r="D171" s="2">
        <v>45688</v>
      </c>
      <c r="E171" s="3">
        <f t="shared" si="2"/>
        <v>45658</v>
      </c>
      <c r="F171" t="s">
        <v>306</v>
      </c>
      <c r="H171" s="4">
        <v>2721.88</v>
      </c>
      <c r="I171" t="s">
        <v>31</v>
      </c>
      <c r="J171" t="s">
        <v>74</v>
      </c>
      <c r="K171" t="s">
        <v>307</v>
      </c>
      <c r="L171" s="2">
        <v>45658</v>
      </c>
      <c r="M171" t="s">
        <v>76</v>
      </c>
      <c r="N171">
        <v>0</v>
      </c>
      <c r="O171" t="s">
        <v>31</v>
      </c>
      <c r="P171" t="s">
        <v>28</v>
      </c>
      <c r="Q171">
        <v>0</v>
      </c>
    </row>
    <row r="172" spans="1:17" x14ac:dyDescent="0.3">
      <c r="A172" t="s">
        <v>17</v>
      </c>
      <c r="B172">
        <v>67</v>
      </c>
      <c r="C172" t="s">
        <v>28</v>
      </c>
      <c r="D172" s="2">
        <v>45688</v>
      </c>
      <c r="E172" s="3">
        <f t="shared" si="2"/>
        <v>45658</v>
      </c>
      <c r="F172" t="s">
        <v>308</v>
      </c>
      <c r="H172" s="4">
        <v>13.65</v>
      </c>
      <c r="I172" t="s">
        <v>31</v>
      </c>
      <c r="J172" t="s">
        <v>74</v>
      </c>
      <c r="K172" t="s">
        <v>309</v>
      </c>
      <c r="L172" s="2">
        <v>45658</v>
      </c>
      <c r="M172" t="s">
        <v>76</v>
      </c>
      <c r="N172">
        <v>0</v>
      </c>
      <c r="O172" t="s">
        <v>31</v>
      </c>
      <c r="P172" t="s">
        <v>28</v>
      </c>
      <c r="Q172">
        <v>0</v>
      </c>
    </row>
    <row r="173" spans="1:17" x14ac:dyDescent="0.3">
      <c r="A173" t="s">
        <v>17</v>
      </c>
      <c r="B173">
        <v>67</v>
      </c>
      <c r="C173" t="s">
        <v>28</v>
      </c>
      <c r="D173" s="2">
        <v>45688</v>
      </c>
      <c r="E173" s="3">
        <f t="shared" si="2"/>
        <v>45658</v>
      </c>
      <c r="F173" t="s">
        <v>310</v>
      </c>
      <c r="H173" s="4">
        <v>1302.44</v>
      </c>
      <c r="I173" t="s">
        <v>31</v>
      </c>
      <c r="J173" t="s">
        <v>74</v>
      </c>
      <c r="K173" t="s">
        <v>311</v>
      </c>
      <c r="L173" s="2">
        <v>45658</v>
      </c>
      <c r="M173" t="s">
        <v>76</v>
      </c>
      <c r="N173">
        <v>0</v>
      </c>
      <c r="O173" t="s">
        <v>31</v>
      </c>
      <c r="P173" t="s">
        <v>28</v>
      </c>
      <c r="Q173">
        <v>0</v>
      </c>
    </row>
    <row r="174" spans="1:17" x14ac:dyDescent="0.3">
      <c r="A174" t="s">
        <v>17</v>
      </c>
      <c r="B174">
        <v>67</v>
      </c>
      <c r="C174" t="s">
        <v>28</v>
      </c>
      <c r="D174" s="2">
        <v>45688</v>
      </c>
      <c r="E174" s="3">
        <f t="shared" si="2"/>
        <v>45658</v>
      </c>
      <c r="F174" t="s">
        <v>312</v>
      </c>
      <c r="H174" s="4">
        <v>2268.23</v>
      </c>
      <c r="I174" t="s">
        <v>47</v>
      </c>
      <c r="J174" t="s">
        <v>74</v>
      </c>
      <c r="K174" t="s">
        <v>313</v>
      </c>
      <c r="L174" s="2">
        <v>45658</v>
      </c>
      <c r="M174" t="s">
        <v>76</v>
      </c>
      <c r="N174">
        <v>0</v>
      </c>
      <c r="O174" t="s">
        <v>26</v>
      </c>
      <c r="P174" t="s">
        <v>28</v>
      </c>
      <c r="Q174">
        <v>0</v>
      </c>
    </row>
    <row r="175" spans="1:17" x14ac:dyDescent="0.3">
      <c r="A175" t="s">
        <v>17</v>
      </c>
      <c r="B175">
        <v>67</v>
      </c>
      <c r="C175" t="s">
        <v>28</v>
      </c>
      <c r="D175" s="2">
        <v>45688</v>
      </c>
      <c r="E175" s="3">
        <f t="shared" si="2"/>
        <v>45658</v>
      </c>
      <c r="F175" t="s">
        <v>314</v>
      </c>
      <c r="H175" s="4">
        <v>9.99</v>
      </c>
      <c r="I175" t="s">
        <v>31</v>
      </c>
      <c r="J175" t="s">
        <v>74</v>
      </c>
      <c r="K175" t="s">
        <v>315</v>
      </c>
      <c r="L175" s="2">
        <v>45658</v>
      </c>
      <c r="M175" t="s">
        <v>76</v>
      </c>
      <c r="N175">
        <v>0</v>
      </c>
      <c r="O175" t="s">
        <v>31</v>
      </c>
      <c r="P175" t="s">
        <v>28</v>
      </c>
      <c r="Q175">
        <v>0</v>
      </c>
    </row>
    <row r="176" spans="1:17" x14ac:dyDescent="0.3">
      <c r="A176" t="s">
        <v>17</v>
      </c>
      <c r="B176">
        <v>67</v>
      </c>
      <c r="C176" t="s">
        <v>28</v>
      </c>
      <c r="D176" s="2">
        <v>45688</v>
      </c>
      <c r="E176" s="3">
        <f t="shared" si="2"/>
        <v>45658</v>
      </c>
      <c r="F176" t="s">
        <v>316</v>
      </c>
      <c r="H176" s="4">
        <v>664.18</v>
      </c>
      <c r="I176" t="s">
        <v>31</v>
      </c>
      <c r="J176" t="s">
        <v>74</v>
      </c>
      <c r="K176" t="s">
        <v>317</v>
      </c>
      <c r="L176" s="2">
        <v>45658</v>
      </c>
      <c r="M176" t="s">
        <v>76</v>
      </c>
      <c r="N176">
        <v>0</v>
      </c>
      <c r="O176" t="s">
        <v>31</v>
      </c>
      <c r="P176" t="s">
        <v>28</v>
      </c>
      <c r="Q176">
        <v>0</v>
      </c>
    </row>
    <row r="177" spans="1:17" x14ac:dyDescent="0.3">
      <c r="A177" t="s">
        <v>17</v>
      </c>
      <c r="B177">
        <v>67</v>
      </c>
      <c r="C177" t="s">
        <v>28</v>
      </c>
      <c r="D177" s="2">
        <v>45688</v>
      </c>
      <c r="E177" s="3">
        <f t="shared" si="2"/>
        <v>45658</v>
      </c>
      <c r="F177" t="s">
        <v>318</v>
      </c>
      <c r="H177" s="4">
        <v>500</v>
      </c>
      <c r="I177" t="s">
        <v>31</v>
      </c>
      <c r="J177" t="s">
        <v>32</v>
      </c>
      <c r="K177" t="s">
        <v>58</v>
      </c>
      <c r="L177" s="2">
        <v>45658</v>
      </c>
      <c r="M177" t="s">
        <v>32</v>
      </c>
      <c r="N177">
        <v>0</v>
      </c>
      <c r="O177" t="s">
        <v>31</v>
      </c>
      <c r="P177" t="s">
        <v>28</v>
      </c>
      <c r="Q177">
        <v>0</v>
      </c>
    </row>
    <row r="178" spans="1:17" x14ac:dyDescent="0.3">
      <c r="A178" t="s">
        <v>17</v>
      </c>
      <c r="B178">
        <v>68</v>
      </c>
      <c r="C178" t="s">
        <v>34</v>
      </c>
      <c r="D178" s="2">
        <v>45688</v>
      </c>
      <c r="E178" s="3">
        <f t="shared" si="2"/>
        <v>45658</v>
      </c>
      <c r="F178" t="s">
        <v>319</v>
      </c>
      <c r="H178" s="4">
        <v>0</v>
      </c>
      <c r="I178" t="s">
        <v>21</v>
      </c>
      <c r="J178" t="s">
        <v>79</v>
      </c>
      <c r="K178" t="s">
        <v>320</v>
      </c>
      <c r="L178" s="2">
        <v>45658</v>
      </c>
      <c r="M178" t="s">
        <v>79</v>
      </c>
      <c r="N178" t="s">
        <v>25</v>
      </c>
      <c r="O178" t="s">
        <v>81</v>
      </c>
      <c r="P178" t="s">
        <v>34</v>
      </c>
      <c r="Q178">
        <v>0</v>
      </c>
    </row>
    <row r="179" spans="1:17" x14ac:dyDescent="0.3">
      <c r="A179" t="s">
        <v>17</v>
      </c>
      <c r="B179">
        <v>63</v>
      </c>
      <c r="C179" t="s">
        <v>18</v>
      </c>
      <c r="D179" s="2">
        <v>45688</v>
      </c>
      <c r="E179" s="3">
        <f t="shared" si="2"/>
        <v>45658</v>
      </c>
      <c r="F179" t="s">
        <v>321</v>
      </c>
      <c r="H179" s="4">
        <v>10297.92</v>
      </c>
      <c r="I179" t="s">
        <v>47</v>
      </c>
      <c r="J179" t="s">
        <v>272</v>
      </c>
      <c r="K179" t="s">
        <v>322</v>
      </c>
      <c r="L179" s="2">
        <v>45658</v>
      </c>
      <c r="M179" t="s">
        <v>272</v>
      </c>
      <c r="N179">
        <v>0</v>
      </c>
      <c r="O179" t="s">
        <v>26</v>
      </c>
      <c r="P179" t="s">
        <v>18</v>
      </c>
      <c r="Q179" t="s">
        <v>274</v>
      </c>
    </row>
    <row r="180" spans="1:17" x14ac:dyDescent="0.3">
      <c r="A180" t="s">
        <v>17</v>
      </c>
      <c r="B180">
        <v>63</v>
      </c>
      <c r="C180" t="s">
        <v>18</v>
      </c>
      <c r="D180" s="2">
        <v>45688</v>
      </c>
      <c r="E180" s="3">
        <f t="shared" si="2"/>
        <v>45658</v>
      </c>
      <c r="F180" t="s">
        <v>323</v>
      </c>
      <c r="H180" s="4">
        <v>38242.51</v>
      </c>
      <c r="I180" t="s">
        <v>47</v>
      </c>
      <c r="J180" t="s">
        <v>272</v>
      </c>
      <c r="K180" t="s">
        <v>324</v>
      </c>
      <c r="L180" s="2">
        <v>45658</v>
      </c>
      <c r="M180" t="s">
        <v>272</v>
      </c>
      <c r="N180">
        <v>0</v>
      </c>
      <c r="O180" t="s">
        <v>26</v>
      </c>
      <c r="P180" t="s">
        <v>18</v>
      </c>
      <c r="Q180" t="s">
        <v>274</v>
      </c>
    </row>
    <row r="181" spans="1:17" x14ac:dyDescent="0.3">
      <c r="A181" t="s">
        <v>17</v>
      </c>
      <c r="B181">
        <v>63</v>
      </c>
      <c r="C181" t="s">
        <v>18</v>
      </c>
      <c r="D181" s="2">
        <v>45688</v>
      </c>
      <c r="E181" s="3">
        <f t="shared" si="2"/>
        <v>45658</v>
      </c>
      <c r="F181" t="s">
        <v>325</v>
      </c>
      <c r="H181" s="4">
        <v>2935.36</v>
      </c>
      <c r="I181" t="s">
        <v>47</v>
      </c>
      <c r="J181" t="s">
        <v>326</v>
      </c>
      <c r="K181" t="s">
        <v>327</v>
      </c>
      <c r="L181" s="2">
        <v>45658</v>
      </c>
      <c r="M181" t="s">
        <v>328</v>
      </c>
      <c r="N181">
        <v>0</v>
      </c>
      <c r="O181" t="s">
        <v>26</v>
      </c>
      <c r="P181" t="s">
        <v>18</v>
      </c>
      <c r="Q181" t="s">
        <v>329</v>
      </c>
    </row>
    <row r="182" spans="1:17" x14ac:dyDescent="0.3">
      <c r="A182" t="s">
        <v>17</v>
      </c>
      <c r="B182">
        <v>63</v>
      </c>
      <c r="C182" t="s">
        <v>18</v>
      </c>
      <c r="D182" s="2">
        <v>45688</v>
      </c>
      <c r="E182" s="3">
        <f t="shared" si="2"/>
        <v>45658</v>
      </c>
      <c r="F182" t="s">
        <v>330</v>
      </c>
      <c r="H182" s="4">
        <v>833.33</v>
      </c>
      <c r="I182" t="s">
        <v>47</v>
      </c>
      <c r="J182" t="s">
        <v>331</v>
      </c>
      <c r="K182" t="s">
        <v>332</v>
      </c>
      <c r="L182" s="2">
        <v>45658</v>
      </c>
      <c r="M182" t="s">
        <v>333</v>
      </c>
      <c r="N182">
        <v>0</v>
      </c>
      <c r="O182" t="s">
        <v>26</v>
      </c>
      <c r="P182" t="s">
        <v>18</v>
      </c>
      <c r="Q182" t="s">
        <v>18</v>
      </c>
    </row>
    <row r="183" spans="1:17" x14ac:dyDescent="0.3">
      <c r="A183" t="s">
        <v>17</v>
      </c>
      <c r="B183">
        <v>63</v>
      </c>
      <c r="C183" t="s">
        <v>18</v>
      </c>
      <c r="D183" s="2">
        <v>45688</v>
      </c>
      <c r="E183" s="3">
        <f t="shared" si="2"/>
        <v>45658</v>
      </c>
      <c r="F183" t="s">
        <v>334</v>
      </c>
      <c r="H183" s="4">
        <v>833.34</v>
      </c>
      <c r="I183" t="s">
        <v>47</v>
      </c>
      <c r="J183" t="s">
        <v>331</v>
      </c>
      <c r="K183" t="s">
        <v>335</v>
      </c>
      <c r="L183" s="2">
        <v>45658</v>
      </c>
      <c r="M183" t="s">
        <v>333</v>
      </c>
      <c r="N183">
        <v>0</v>
      </c>
      <c r="O183" t="s">
        <v>26</v>
      </c>
      <c r="P183" t="s">
        <v>18</v>
      </c>
      <c r="Q183" t="s">
        <v>18</v>
      </c>
    </row>
    <row r="184" spans="1:17" x14ac:dyDescent="0.3">
      <c r="A184" t="s">
        <v>17</v>
      </c>
      <c r="B184">
        <v>66</v>
      </c>
      <c r="C184" t="s">
        <v>134</v>
      </c>
      <c r="D184" s="2">
        <v>45688</v>
      </c>
      <c r="E184" s="3">
        <f t="shared" si="2"/>
        <v>45658</v>
      </c>
      <c r="F184" t="s">
        <v>336</v>
      </c>
      <c r="H184" s="4">
        <v>305.04000000000002</v>
      </c>
      <c r="I184" t="s">
        <v>47</v>
      </c>
      <c r="J184" t="s">
        <v>223</v>
      </c>
      <c r="K184" t="s">
        <v>337</v>
      </c>
      <c r="L184" s="2">
        <v>45658</v>
      </c>
      <c r="M184" t="s">
        <v>223</v>
      </c>
      <c r="N184">
        <v>0</v>
      </c>
      <c r="O184" t="s">
        <v>111</v>
      </c>
      <c r="P184" t="s">
        <v>134</v>
      </c>
      <c r="Q184">
        <v>0</v>
      </c>
    </row>
    <row r="185" spans="1:17" x14ac:dyDescent="0.3">
      <c r="A185" t="s">
        <v>17</v>
      </c>
      <c r="B185">
        <v>65</v>
      </c>
      <c r="C185" t="s">
        <v>54</v>
      </c>
      <c r="D185" s="2">
        <v>45688</v>
      </c>
      <c r="E185" s="3">
        <f t="shared" si="2"/>
        <v>45658</v>
      </c>
      <c r="F185" t="s">
        <v>295</v>
      </c>
      <c r="H185" s="4">
        <v>-606</v>
      </c>
      <c r="I185" t="s">
        <v>31</v>
      </c>
      <c r="J185" t="s">
        <v>155</v>
      </c>
      <c r="L185" s="2">
        <v>45658</v>
      </c>
      <c r="M185" t="s">
        <v>155</v>
      </c>
      <c r="N185">
        <v>0</v>
      </c>
      <c r="O185" t="s">
        <v>31</v>
      </c>
      <c r="P185" t="s">
        <v>54</v>
      </c>
      <c r="Q185">
        <v>0</v>
      </c>
    </row>
    <row r="186" spans="1:17" x14ac:dyDescent="0.3">
      <c r="A186" t="s">
        <v>17</v>
      </c>
      <c r="B186">
        <v>67</v>
      </c>
      <c r="C186" t="s">
        <v>28</v>
      </c>
      <c r="D186" s="2">
        <v>45688</v>
      </c>
      <c r="E186" s="3">
        <f t="shared" si="2"/>
        <v>45658</v>
      </c>
      <c r="F186" t="s">
        <v>338</v>
      </c>
      <c r="H186" s="4">
        <v>1062.5</v>
      </c>
      <c r="I186" t="s">
        <v>31</v>
      </c>
      <c r="J186" t="s">
        <v>60</v>
      </c>
      <c r="K186" t="s">
        <v>339</v>
      </c>
      <c r="L186" s="2">
        <v>45658</v>
      </c>
      <c r="M186" t="s">
        <v>60</v>
      </c>
      <c r="N186">
        <v>0</v>
      </c>
      <c r="O186" t="s">
        <v>31</v>
      </c>
      <c r="P186" t="s">
        <v>28</v>
      </c>
      <c r="Q186">
        <v>0</v>
      </c>
    </row>
    <row r="187" spans="1:17" x14ac:dyDescent="0.3">
      <c r="A187" t="s">
        <v>17</v>
      </c>
      <c r="B187">
        <v>67</v>
      </c>
      <c r="C187" t="s">
        <v>28</v>
      </c>
      <c r="D187" s="2">
        <v>45688</v>
      </c>
      <c r="E187" s="3">
        <f t="shared" si="2"/>
        <v>45658</v>
      </c>
      <c r="F187" t="s">
        <v>340</v>
      </c>
      <c r="H187" s="4">
        <v>-21.18</v>
      </c>
      <c r="I187" t="s">
        <v>31</v>
      </c>
      <c r="J187" t="s">
        <v>60</v>
      </c>
      <c r="L187" s="2">
        <v>45658</v>
      </c>
      <c r="M187" t="s">
        <v>60</v>
      </c>
      <c r="N187">
        <v>0</v>
      </c>
      <c r="O187" t="s">
        <v>31</v>
      </c>
      <c r="P187" t="s">
        <v>28</v>
      </c>
      <c r="Q187">
        <v>0</v>
      </c>
    </row>
    <row r="188" spans="1:17" x14ac:dyDescent="0.3">
      <c r="A188" t="s">
        <v>17</v>
      </c>
      <c r="B188">
        <v>67</v>
      </c>
      <c r="C188" t="s">
        <v>28</v>
      </c>
      <c r="D188" s="2">
        <v>45688</v>
      </c>
      <c r="E188" s="3">
        <f t="shared" si="2"/>
        <v>45658</v>
      </c>
      <c r="F188" t="s">
        <v>340</v>
      </c>
      <c r="H188" s="4">
        <v>-48.66</v>
      </c>
      <c r="I188" t="s">
        <v>31</v>
      </c>
      <c r="J188" t="s">
        <v>60</v>
      </c>
      <c r="L188" s="2">
        <v>45658</v>
      </c>
      <c r="M188" t="s">
        <v>60</v>
      </c>
      <c r="N188">
        <v>0</v>
      </c>
      <c r="O188" t="s">
        <v>31</v>
      </c>
      <c r="P188" t="s">
        <v>28</v>
      </c>
      <c r="Q188">
        <v>0</v>
      </c>
    </row>
    <row r="189" spans="1:17" x14ac:dyDescent="0.3">
      <c r="A189" t="s">
        <v>17</v>
      </c>
      <c r="B189">
        <v>67</v>
      </c>
      <c r="C189" t="s">
        <v>28</v>
      </c>
      <c r="D189" s="2">
        <v>45688</v>
      </c>
      <c r="E189" s="3">
        <f t="shared" si="2"/>
        <v>45658</v>
      </c>
      <c r="F189" t="s">
        <v>340</v>
      </c>
      <c r="H189" s="4">
        <v>-82.34</v>
      </c>
      <c r="I189" t="s">
        <v>31</v>
      </c>
      <c r="J189" t="s">
        <v>60</v>
      </c>
      <c r="L189" s="2">
        <v>45658</v>
      </c>
      <c r="M189" t="s">
        <v>60</v>
      </c>
      <c r="N189">
        <v>0</v>
      </c>
      <c r="O189" t="s">
        <v>31</v>
      </c>
      <c r="P189" t="s">
        <v>28</v>
      </c>
      <c r="Q189">
        <v>0</v>
      </c>
    </row>
    <row r="190" spans="1:17" x14ac:dyDescent="0.3">
      <c r="A190" t="s">
        <v>17</v>
      </c>
      <c r="B190">
        <v>67</v>
      </c>
      <c r="C190" t="s">
        <v>28</v>
      </c>
      <c r="D190" s="2">
        <v>45688</v>
      </c>
      <c r="E190" s="3">
        <f t="shared" si="2"/>
        <v>45658</v>
      </c>
      <c r="F190" t="s">
        <v>340</v>
      </c>
      <c r="H190" s="4">
        <v>-13.88</v>
      </c>
      <c r="I190" t="s">
        <v>31</v>
      </c>
      <c r="J190" t="s">
        <v>60</v>
      </c>
      <c r="L190" s="2">
        <v>45658</v>
      </c>
      <c r="M190" t="s">
        <v>60</v>
      </c>
      <c r="N190">
        <v>0</v>
      </c>
      <c r="O190" t="s">
        <v>31</v>
      </c>
      <c r="P190" t="s">
        <v>28</v>
      </c>
      <c r="Q190">
        <v>0</v>
      </c>
    </row>
    <row r="191" spans="1:17" x14ac:dyDescent="0.3">
      <c r="A191" t="s">
        <v>17</v>
      </c>
      <c r="B191">
        <v>67</v>
      </c>
      <c r="C191" t="s">
        <v>28</v>
      </c>
      <c r="D191" s="2">
        <v>45688</v>
      </c>
      <c r="E191" s="3">
        <f t="shared" si="2"/>
        <v>45658</v>
      </c>
      <c r="F191" t="s">
        <v>340</v>
      </c>
      <c r="H191" s="4">
        <v>-44.48</v>
      </c>
      <c r="I191" t="s">
        <v>31</v>
      </c>
      <c r="J191" t="s">
        <v>60</v>
      </c>
      <c r="L191" s="2">
        <v>45658</v>
      </c>
      <c r="M191" t="s">
        <v>60</v>
      </c>
      <c r="N191">
        <v>0</v>
      </c>
      <c r="O191" t="s">
        <v>31</v>
      </c>
      <c r="P191" t="s">
        <v>28</v>
      </c>
      <c r="Q191">
        <v>0</v>
      </c>
    </row>
    <row r="192" spans="1:17" x14ac:dyDescent="0.3">
      <c r="A192" t="s">
        <v>17</v>
      </c>
      <c r="B192">
        <v>67</v>
      </c>
      <c r="C192" t="s">
        <v>28</v>
      </c>
      <c r="D192" s="2">
        <v>45688</v>
      </c>
      <c r="E192" s="3">
        <f t="shared" si="2"/>
        <v>45658</v>
      </c>
      <c r="F192" t="s">
        <v>340</v>
      </c>
      <c r="H192" s="4">
        <v>-43.2</v>
      </c>
      <c r="I192" t="s">
        <v>31</v>
      </c>
      <c r="J192" t="s">
        <v>60</v>
      </c>
      <c r="L192" s="2">
        <v>45658</v>
      </c>
      <c r="M192" t="s">
        <v>60</v>
      </c>
      <c r="N192">
        <v>0</v>
      </c>
      <c r="O192" t="s">
        <v>31</v>
      </c>
      <c r="P192" t="s">
        <v>28</v>
      </c>
      <c r="Q192">
        <v>0</v>
      </c>
    </row>
    <row r="193" spans="1:17" x14ac:dyDescent="0.3">
      <c r="A193" t="s">
        <v>17</v>
      </c>
      <c r="B193">
        <v>67</v>
      </c>
      <c r="C193" t="s">
        <v>28</v>
      </c>
      <c r="D193" s="2">
        <v>45688</v>
      </c>
      <c r="E193" s="3">
        <f t="shared" si="2"/>
        <v>45658</v>
      </c>
      <c r="F193" t="s">
        <v>340</v>
      </c>
      <c r="H193" s="4">
        <v>-88.99</v>
      </c>
      <c r="I193" t="s">
        <v>31</v>
      </c>
      <c r="J193" t="s">
        <v>60</v>
      </c>
      <c r="L193" s="2">
        <v>45658</v>
      </c>
      <c r="M193" t="s">
        <v>60</v>
      </c>
      <c r="N193">
        <v>0</v>
      </c>
      <c r="O193" t="s">
        <v>31</v>
      </c>
      <c r="P193" t="s">
        <v>28</v>
      </c>
      <c r="Q193">
        <v>0</v>
      </c>
    </row>
    <row r="194" spans="1:17" x14ac:dyDescent="0.3">
      <c r="A194" t="s">
        <v>17</v>
      </c>
      <c r="B194">
        <v>67</v>
      </c>
      <c r="C194" t="s">
        <v>28</v>
      </c>
      <c r="D194" s="2">
        <v>45688</v>
      </c>
      <c r="E194" s="3">
        <f t="shared" si="2"/>
        <v>45658</v>
      </c>
      <c r="F194" t="s">
        <v>340</v>
      </c>
      <c r="H194" s="4">
        <v>-41.72</v>
      </c>
      <c r="I194" t="s">
        <v>31</v>
      </c>
      <c r="J194" t="s">
        <v>60</v>
      </c>
      <c r="L194" s="2">
        <v>45658</v>
      </c>
      <c r="M194" t="s">
        <v>60</v>
      </c>
      <c r="N194">
        <v>0</v>
      </c>
      <c r="O194" t="s">
        <v>31</v>
      </c>
      <c r="P194" t="s">
        <v>28</v>
      </c>
      <c r="Q194">
        <v>0</v>
      </c>
    </row>
    <row r="195" spans="1:17" x14ac:dyDescent="0.3">
      <c r="A195" t="s">
        <v>17</v>
      </c>
      <c r="B195">
        <v>67</v>
      </c>
      <c r="C195" t="s">
        <v>28</v>
      </c>
      <c r="D195" s="2">
        <v>45688</v>
      </c>
      <c r="E195" s="3">
        <f t="shared" ref="E195:E258" si="3">IF($D195="","",DATE(YEAR($D195),MONTH($D195),1))</f>
        <v>45658</v>
      </c>
      <c r="F195" t="s">
        <v>341</v>
      </c>
      <c r="H195" s="4">
        <v>501.9</v>
      </c>
      <c r="I195" t="s">
        <v>31</v>
      </c>
      <c r="J195" t="s">
        <v>60</v>
      </c>
      <c r="K195" t="s">
        <v>342</v>
      </c>
      <c r="L195" s="2">
        <v>45658</v>
      </c>
      <c r="M195" t="s">
        <v>60</v>
      </c>
      <c r="N195">
        <v>0</v>
      </c>
      <c r="O195" t="s">
        <v>31</v>
      </c>
      <c r="P195" t="s">
        <v>28</v>
      </c>
      <c r="Q195">
        <v>0</v>
      </c>
    </row>
    <row r="196" spans="1:17" x14ac:dyDescent="0.3">
      <c r="A196" t="s">
        <v>17</v>
      </c>
      <c r="B196">
        <v>68</v>
      </c>
      <c r="C196" t="s">
        <v>34</v>
      </c>
      <c r="D196" s="2">
        <v>45688</v>
      </c>
      <c r="E196" s="3">
        <f t="shared" si="3"/>
        <v>45658</v>
      </c>
      <c r="F196" t="s">
        <v>343</v>
      </c>
      <c r="H196" s="4">
        <v>389.69</v>
      </c>
      <c r="I196" t="s">
        <v>31</v>
      </c>
      <c r="J196" t="s">
        <v>37</v>
      </c>
      <c r="K196" t="s">
        <v>344</v>
      </c>
      <c r="L196" s="2">
        <v>45658</v>
      </c>
      <c r="M196" t="s">
        <v>37</v>
      </c>
      <c r="N196">
        <v>0</v>
      </c>
      <c r="O196" t="s">
        <v>31</v>
      </c>
      <c r="P196" t="s">
        <v>34</v>
      </c>
      <c r="Q196">
        <v>0</v>
      </c>
    </row>
    <row r="197" spans="1:17" x14ac:dyDescent="0.3">
      <c r="A197" t="s">
        <v>17</v>
      </c>
      <c r="B197">
        <v>69</v>
      </c>
      <c r="C197" t="s">
        <v>297</v>
      </c>
      <c r="D197" s="2">
        <v>45688</v>
      </c>
      <c r="E197" s="3">
        <f t="shared" si="3"/>
        <v>45658</v>
      </c>
      <c r="F197" t="s">
        <v>345</v>
      </c>
      <c r="H197" s="4">
        <v>66.72</v>
      </c>
      <c r="I197" t="s">
        <v>159</v>
      </c>
      <c r="J197" t="s">
        <v>346</v>
      </c>
      <c r="L197" s="2">
        <v>45658</v>
      </c>
      <c r="M197" t="s">
        <v>347</v>
      </c>
      <c r="N197">
        <v>0</v>
      </c>
      <c r="O197" t="s">
        <v>159</v>
      </c>
      <c r="P197" t="s">
        <v>297</v>
      </c>
      <c r="Q197">
        <v>0</v>
      </c>
    </row>
    <row r="198" spans="1:17" x14ac:dyDescent="0.3">
      <c r="A198" t="s">
        <v>17</v>
      </c>
      <c r="B198">
        <v>69</v>
      </c>
      <c r="C198" t="s">
        <v>297</v>
      </c>
      <c r="D198" s="2">
        <v>45688</v>
      </c>
      <c r="E198" s="3">
        <f t="shared" si="3"/>
        <v>45658</v>
      </c>
      <c r="F198" t="s">
        <v>345</v>
      </c>
      <c r="H198" s="4">
        <v>113.67</v>
      </c>
      <c r="I198" t="s">
        <v>137</v>
      </c>
      <c r="J198" t="s">
        <v>346</v>
      </c>
      <c r="L198" s="2">
        <v>45658</v>
      </c>
      <c r="M198" t="s">
        <v>347</v>
      </c>
      <c r="N198" t="s">
        <v>141</v>
      </c>
      <c r="O198" t="s">
        <v>141</v>
      </c>
      <c r="P198" t="s">
        <v>297</v>
      </c>
      <c r="Q198">
        <v>0</v>
      </c>
    </row>
    <row r="199" spans="1:17" x14ac:dyDescent="0.3">
      <c r="A199" t="s">
        <v>17</v>
      </c>
      <c r="B199">
        <v>69</v>
      </c>
      <c r="C199" t="s">
        <v>297</v>
      </c>
      <c r="D199" s="2">
        <v>45688</v>
      </c>
      <c r="E199" s="3">
        <f t="shared" si="3"/>
        <v>45658</v>
      </c>
      <c r="F199" t="s">
        <v>345</v>
      </c>
      <c r="H199" s="4">
        <v>148.66999999999999</v>
      </c>
      <c r="I199" t="s">
        <v>21</v>
      </c>
      <c r="J199" t="s">
        <v>346</v>
      </c>
      <c r="L199" s="2">
        <v>45658</v>
      </c>
      <c r="M199" t="s">
        <v>347</v>
      </c>
      <c r="N199" t="s">
        <v>25</v>
      </c>
      <c r="O199" t="s">
        <v>81</v>
      </c>
      <c r="P199" t="s">
        <v>297</v>
      </c>
      <c r="Q199">
        <v>0</v>
      </c>
    </row>
    <row r="200" spans="1:17" x14ac:dyDescent="0.3">
      <c r="A200" t="s">
        <v>17</v>
      </c>
      <c r="B200">
        <v>69</v>
      </c>
      <c r="C200" t="s">
        <v>297</v>
      </c>
      <c r="D200" s="2">
        <v>45688</v>
      </c>
      <c r="E200" s="3">
        <f t="shared" si="3"/>
        <v>45658</v>
      </c>
      <c r="F200" t="s">
        <v>345</v>
      </c>
      <c r="H200" s="4">
        <v>147.88999999999999</v>
      </c>
      <c r="I200" t="s">
        <v>108</v>
      </c>
      <c r="J200" t="s">
        <v>346</v>
      </c>
      <c r="L200" s="2">
        <v>45658</v>
      </c>
      <c r="M200" t="s">
        <v>347</v>
      </c>
      <c r="N200">
        <v>0</v>
      </c>
      <c r="O200" t="s">
        <v>111</v>
      </c>
      <c r="P200" t="s">
        <v>297</v>
      </c>
      <c r="Q200">
        <v>0</v>
      </c>
    </row>
    <row r="201" spans="1:17" x14ac:dyDescent="0.3">
      <c r="A201" t="s">
        <v>17</v>
      </c>
      <c r="B201">
        <v>69</v>
      </c>
      <c r="C201" t="s">
        <v>297</v>
      </c>
      <c r="D201" s="2">
        <v>45688</v>
      </c>
      <c r="E201" s="3">
        <f t="shared" si="3"/>
        <v>45658</v>
      </c>
      <c r="F201" t="s">
        <v>345</v>
      </c>
      <c r="H201" s="4">
        <v>246.28</v>
      </c>
      <c r="I201" t="s">
        <v>104</v>
      </c>
      <c r="J201" t="s">
        <v>346</v>
      </c>
      <c r="L201" s="2">
        <v>45658</v>
      </c>
      <c r="M201" t="s">
        <v>347</v>
      </c>
      <c r="N201">
        <v>0</v>
      </c>
      <c r="O201" t="s">
        <v>104</v>
      </c>
      <c r="P201" t="s">
        <v>297</v>
      </c>
      <c r="Q201">
        <v>0</v>
      </c>
    </row>
    <row r="202" spans="1:17" x14ac:dyDescent="0.3">
      <c r="A202" t="s">
        <v>17</v>
      </c>
      <c r="B202">
        <v>69</v>
      </c>
      <c r="C202" t="s">
        <v>297</v>
      </c>
      <c r="D202" s="2">
        <v>45688</v>
      </c>
      <c r="E202" s="3">
        <f t="shared" si="3"/>
        <v>45658</v>
      </c>
      <c r="F202" t="s">
        <v>345</v>
      </c>
      <c r="H202" s="4">
        <v>65.48</v>
      </c>
      <c r="I202" t="s">
        <v>348</v>
      </c>
      <c r="J202" t="s">
        <v>346</v>
      </c>
      <c r="L202" s="2">
        <v>45658</v>
      </c>
      <c r="M202" t="s">
        <v>347</v>
      </c>
      <c r="N202">
        <v>0</v>
      </c>
      <c r="O202" t="s">
        <v>348</v>
      </c>
      <c r="P202" t="s">
        <v>297</v>
      </c>
      <c r="Q202">
        <v>0</v>
      </c>
    </row>
    <row r="203" spans="1:17" x14ac:dyDescent="0.3">
      <c r="A203" t="s">
        <v>17</v>
      </c>
      <c r="B203">
        <v>69</v>
      </c>
      <c r="C203" t="s">
        <v>297</v>
      </c>
      <c r="D203" s="2">
        <v>45688</v>
      </c>
      <c r="E203" s="3">
        <f t="shared" si="3"/>
        <v>45658</v>
      </c>
      <c r="F203" t="s">
        <v>345</v>
      </c>
      <c r="H203" s="4">
        <v>166.9</v>
      </c>
      <c r="I203" t="s">
        <v>47</v>
      </c>
      <c r="J203" t="s">
        <v>346</v>
      </c>
      <c r="L203" s="2">
        <v>45658</v>
      </c>
      <c r="M203" t="s">
        <v>347</v>
      </c>
      <c r="N203">
        <v>0</v>
      </c>
      <c r="O203" t="s">
        <v>26</v>
      </c>
      <c r="P203" t="s">
        <v>297</v>
      </c>
      <c r="Q203">
        <v>0</v>
      </c>
    </row>
    <row r="204" spans="1:17" x14ac:dyDescent="0.3">
      <c r="A204" t="s">
        <v>17</v>
      </c>
      <c r="B204">
        <v>69</v>
      </c>
      <c r="C204" t="s">
        <v>297</v>
      </c>
      <c r="D204" s="2">
        <v>45688</v>
      </c>
      <c r="E204" s="3">
        <f t="shared" si="3"/>
        <v>45658</v>
      </c>
      <c r="F204" t="s">
        <v>345</v>
      </c>
      <c r="H204" s="4">
        <v>862.73</v>
      </c>
      <c r="I204" t="s">
        <v>31</v>
      </c>
      <c r="J204" t="s">
        <v>346</v>
      </c>
      <c r="L204" s="2">
        <v>45658</v>
      </c>
      <c r="M204" t="s">
        <v>347</v>
      </c>
      <c r="N204">
        <v>0</v>
      </c>
      <c r="O204" t="s">
        <v>31</v>
      </c>
      <c r="P204" t="s">
        <v>297</v>
      </c>
      <c r="Q204">
        <v>0</v>
      </c>
    </row>
    <row r="205" spans="1:17" x14ac:dyDescent="0.3">
      <c r="A205" t="s">
        <v>17</v>
      </c>
      <c r="B205">
        <v>69</v>
      </c>
      <c r="C205" t="s">
        <v>297</v>
      </c>
      <c r="D205" s="2">
        <v>45688</v>
      </c>
      <c r="E205" s="3">
        <f t="shared" si="3"/>
        <v>45658</v>
      </c>
      <c r="F205" t="s">
        <v>345</v>
      </c>
      <c r="H205" s="4">
        <v>238.77</v>
      </c>
      <c r="I205" t="s">
        <v>137</v>
      </c>
      <c r="J205" t="s">
        <v>349</v>
      </c>
      <c r="L205" s="2">
        <v>45658</v>
      </c>
      <c r="M205" t="s">
        <v>350</v>
      </c>
      <c r="N205" t="s">
        <v>141</v>
      </c>
      <c r="O205" t="s">
        <v>141</v>
      </c>
      <c r="P205" t="s">
        <v>297</v>
      </c>
      <c r="Q205">
        <v>0</v>
      </c>
    </row>
    <row r="206" spans="1:17" x14ac:dyDescent="0.3">
      <c r="A206" t="s">
        <v>17</v>
      </c>
      <c r="B206">
        <v>69</v>
      </c>
      <c r="C206" t="s">
        <v>297</v>
      </c>
      <c r="D206" s="2">
        <v>45688</v>
      </c>
      <c r="E206" s="3">
        <f t="shared" si="3"/>
        <v>45658</v>
      </c>
      <c r="F206" t="s">
        <v>345</v>
      </c>
      <c r="H206" s="4">
        <v>0</v>
      </c>
      <c r="I206" t="s">
        <v>47</v>
      </c>
      <c r="J206" t="s">
        <v>349</v>
      </c>
      <c r="L206" s="2">
        <v>45658</v>
      </c>
      <c r="M206" t="s">
        <v>350</v>
      </c>
      <c r="N206">
        <v>0</v>
      </c>
      <c r="O206" t="s">
        <v>26</v>
      </c>
      <c r="P206" t="s">
        <v>297</v>
      </c>
      <c r="Q206">
        <v>0</v>
      </c>
    </row>
    <row r="207" spans="1:17" x14ac:dyDescent="0.3">
      <c r="A207" t="s">
        <v>17</v>
      </c>
      <c r="B207">
        <v>69</v>
      </c>
      <c r="C207" t="s">
        <v>297</v>
      </c>
      <c r="D207" s="2">
        <v>45688</v>
      </c>
      <c r="E207" s="3">
        <f t="shared" si="3"/>
        <v>45658</v>
      </c>
      <c r="F207" t="s">
        <v>345</v>
      </c>
      <c r="H207" s="4">
        <v>269.64999999999998</v>
      </c>
      <c r="I207" t="s">
        <v>31</v>
      </c>
      <c r="J207" t="s">
        <v>349</v>
      </c>
      <c r="L207" s="2">
        <v>45658</v>
      </c>
      <c r="M207" t="s">
        <v>350</v>
      </c>
      <c r="N207">
        <v>0</v>
      </c>
      <c r="O207" t="s">
        <v>31</v>
      </c>
      <c r="P207" t="s">
        <v>297</v>
      </c>
      <c r="Q207">
        <v>0</v>
      </c>
    </row>
    <row r="208" spans="1:17" x14ac:dyDescent="0.3">
      <c r="A208" t="s">
        <v>17</v>
      </c>
      <c r="B208">
        <v>67</v>
      </c>
      <c r="C208" t="s">
        <v>28</v>
      </c>
      <c r="D208" s="2">
        <v>45688</v>
      </c>
      <c r="E208" s="3">
        <f t="shared" si="3"/>
        <v>45658</v>
      </c>
      <c r="F208" t="s">
        <v>351</v>
      </c>
      <c r="H208" s="4">
        <v>175</v>
      </c>
      <c r="I208" t="s">
        <v>108</v>
      </c>
      <c r="J208" t="s">
        <v>352</v>
      </c>
      <c r="K208" t="s">
        <v>353</v>
      </c>
      <c r="L208" s="2">
        <v>45658</v>
      </c>
      <c r="M208" t="s">
        <v>352</v>
      </c>
      <c r="N208">
        <v>0</v>
      </c>
      <c r="O208" t="s">
        <v>111</v>
      </c>
      <c r="P208" t="s">
        <v>28</v>
      </c>
      <c r="Q208">
        <v>0</v>
      </c>
    </row>
    <row r="209" spans="1:17" x14ac:dyDescent="0.3">
      <c r="A209" t="s">
        <v>17</v>
      </c>
      <c r="B209">
        <v>67</v>
      </c>
      <c r="C209" t="s">
        <v>28</v>
      </c>
      <c r="D209" s="2">
        <v>45688</v>
      </c>
      <c r="E209" s="3">
        <f t="shared" si="3"/>
        <v>45658</v>
      </c>
      <c r="F209" t="s">
        <v>354</v>
      </c>
      <c r="H209" s="4">
        <v>226.82</v>
      </c>
      <c r="I209" t="s">
        <v>31</v>
      </c>
      <c r="J209" t="s">
        <v>352</v>
      </c>
      <c r="K209" t="s">
        <v>355</v>
      </c>
      <c r="L209" s="2">
        <v>45658</v>
      </c>
      <c r="M209" t="s">
        <v>352</v>
      </c>
      <c r="N209">
        <v>0</v>
      </c>
      <c r="O209" t="s">
        <v>31</v>
      </c>
      <c r="P209" t="s">
        <v>28</v>
      </c>
      <c r="Q209">
        <v>0</v>
      </c>
    </row>
    <row r="210" spans="1:17" x14ac:dyDescent="0.3">
      <c r="A210" t="s">
        <v>17</v>
      </c>
      <c r="B210">
        <v>67</v>
      </c>
      <c r="C210" t="s">
        <v>28</v>
      </c>
      <c r="D210" s="2">
        <v>45688</v>
      </c>
      <c r="E210" s="3">
        <f t="shared" si="3"/>
        <v>45658</v>
      </c>
      <c r="F210" t="s">
        <v>356</v>
      </c>
      <c r="H210" s="4">
        <v>12.42</v>
      </c>
      <c r="I210" t="s">
        <v>47</v>
      </c>
      <c r="J210" t="s">
        <v>352</v>
      </c>
      <c r="K210" t="s">
        <v>357</v>
      </c>
      <c r="L210" s="2">
        <v>45658</v>
      </c>
      <c r="M210" t="s">
        <v>352</v>
      </c>
      <c r="N210">
        <v>0</v>
      </c>
      <c r="O210" t="s">
        <v>26</v>
      </c>
      <c r="P210" t="s">
        <v>28</v>
      </c>
      <c r="Q210">
        <v>0</v>
      </c>
    </row>
    <row r="211" spans="1:17" x14ac:dyDescent="0.3">
      <c r="A211" t="s">
        <v>17</v>
      </c>
      <c r="B211">
        <v>67</v>
      </c>
      <c r="C211" t="s">
        <v>28</v>
      </c>
      <c r="D211" s="2">
        <v>45688</v>
      </c>
      <c r="E211" s="3">
        <f t="shared" si="3"/>
        <v>45658</v>
      </c>
      <c r="F211" t="s">
        <v>358</v>
      </c>
      <c r="H211" s="4">
        <v>153</v>
      </c>
      <c r="I211" t="s">
        <v>47</v>
      </c>
      <c r="J211" t="s">
        <v>352</v>
      </c>
      <c r="K211" t="s">
        <v>359</v>
      </c>
      <c r="L211" s="2">
        <v>45658</v>
      </c>
      <c r="M211" t="s">
        <v>352</v>
      </c>
      <c r="N211">
        <v>0</v>
      </c>
      <c r="O211" t="s">
        <v>26</v>
      </c>
      <c r="P211" t="s">
        <v>28</v>
      </c>
      <c r="Q211">
        <v>0</v>
      </c>
    </row>
    <row r="212" spans="1:17" x14ac:dyDescent="0.3">
      <c r="A212" t="s">
        <v>17</v>
      </c>
      <c r="B212">
        <v>65</v>
      </c>
      <c r="C212" t="s">
        <v>54</v>
      </c>
      <c r="D212" s="2">
        <v>45688</v>
      </c>
      <c r="E212" s="3">
        <f t="shared" si="3"/>
        <v>45658</v>
      </c>
      <c r="F212" t="s">
        <v>295</v>
      </c>
      <c r="H212" s="4">
        <v>-30113.77</v>
      </c>
      <c r="I212" t="s">
        <v>31</v>
      </c>
      <c r="J212" t="s">
        <v>55</v>
      </c>
      <c r="L212" s="2">
        <v>45658</v>
      </c>
      <c r="M212" t="s">
        <v>55</v>
      </c>
      <c r="N212">
        <v>0</v>
      </c>
      <c r="O212" t="s">
        <v>31</v>
      </c>
      <c r="P212" t="s">
        <v>54</v>
      </c>
      <c r="Q212">
        <v>0</v>
      </c>
    </row>
    <row r="213" spans="1:17" x14ac:dyDescent="0.3">
      <c r="A213" t="s">
        <v>17</v>
      </c>
      <c r="B213">
        <v>69</v>
      </c>
      <c r="C213" t="s">
        <v>297</v>
      </c>
      <c r="D213" s="2">
        <v>45688</v>
      </c>
      <c r="E213" s="3">
        <f t="shared" si="3"/>
        <v>45658</v>
      </c>
      <c r="F213" t="s">
        <v>345</v>
      </c>
      <c r="H213" s="4">
        <v>15.83</v>
      </c>
      <c r="I213" t="s">
        <v>108</v>
      </c>
      <c r="J213" t="s">
        <v>360</v>
      </c>
      <c r="L213" s="2">
        <v>45658</v>
      </c>
      <c r="M213" t="s">
        <v>361</v>
      </c>
      <c r="N213">
        <v>0</v>
      </c>
      <c r="O213" t="s">
        <v>111</v>
      </c>
      <c r="P213" t="s">
        <v>297</v>
      </c>
      <c r="Q213">
        <v>0</v>
      </c>
    </row>
    <row r="214" spans="1:17" x14ac:dyDescent="0.3">
      <c r="A214" t="s">
        <v>17</v>
      </c>
      <c r="B214">
        <v>69</v>
      </c>
      <c r="C214" t="s">
        <v>297</v>
      </c>
      <c r="D214" s="2">
        <v>45688</v>
      </c>
      <c r="E214" s="3">
        <f t="shared" si="3"/>
        <v>45658</v>
      </c>
      <c r="F214" t="s">
        <v>345</v>
      </c>
      <c r="H214" s="4">
        <v>14.15</v>
      </c>
      <c r="I214" t="s">
        <v>31</v>
      </c>
      <c r="J214" t="s">
        <v>360</v>
      </c>
      <c r="L214" s="2">
        <v>45658</v>
      </c>
      <c r="M214" t="s">
        <v>361</v>
      </c>
      <c r="N214">
        <v>0</v>
      </c>
      <c r="O214" t="s">
        <v>31</v>
      </c>
      <c r="P214" t="s">
        <v>297</v>
      </c>
      <c r="Q214">
        <v>0</v>
      </c>
    </row>
    <row r="215" spans="1:17" x14ac:dyDescent="0.3">
      <c r="A215" t="s">
        <v>17</v>
      </c>
      <c r="B215">
        <v>63</v>
      </c>
      <c r="C215" t="s">
        <v>18</v>
      </c>
      <c r="D215" s="2">
        <v>45689</v>
      </c>
      <c r="E215" s="3">
        <f t="shared" si="3"/>
        <v>45689</v>
      </c>
      <c r="F215" t="s">
        <v>362</v>
      </c>
      <c r="G215" t="s">
        <v>363</v>
      </c>
      <c r="H215" s="4">
        <v>20718.400000000001</v>
      </c>
      <c r="I215" t="s">
        <v>116</v>
      </c>
      <c r="J215" t="s">
        <v>364</v>
      </c>
      <c r="K215" t="s">
        <v>365</v>
      </c>
      <c r="L215" s="2">
        <v>45689</v>
      </c>
      <c r="M215" t="s">
        <v>366</v>
      </c>
      <c r="N215">
        <v>0</v>
      </c>
      <c r="O215" t="s">
        <v>26</v>
      </c>
      <c r="P215" t="s">
        <v>18</v>
      </c>
      <c r="Q215" t="s">
        <v>367</v>
      </c>
    </row>
    <row r="216" spans="1:17" x14ac:dyDescent="0.3">
      <c r="A216" t="s">
        <v>17</v>
      </c>
      <c r="B216">
        <v>67</v>
      </c>
      <c r="C216" t="s">
        <v>28</v>
      </c>
      <c r="D216" s="2">
        <v>45689</v>
      </c>
      <c r="E216" s="3">
        <f t="shared" si="3"/>
        <v>45689</v>
      </c>
      <c r="F216" t="s">
        <v>368</v>
      </c>
      <c r="G216" t="s">
        <v>369</v>
      </c>
      <c r="H216" s="4">
        <v>543.53</v>
      </c>
      <c r="I216" t="s">
        <v>31</v>
      </c>
      <c r="J216" t="s">
        <v>74</v>
      </c>
      <c r="K216" s="5">
        <v>45474</v>
      </c>
      <c r="L216" s="2">
        <v>45689</v>
      </c>
      <c r="M216" t="s">
        <v>76</v>
      </c>
      <c r="N216">
        <v>0</v>
      </c>
      <c r="O216" t="s">
        <v>31</v>
      </c>
      <c r="P216" t="s">
        <v>28</v>
      </c>
      <c r="Q216">
        <v>0</v>
      </c>
    </row>
    <row r="217" spans="1:17" x14ac:dyDescent="0.3">
      <c r="A217" t="s">
        <v>17</v>
      </c>
      <c r="B217">
        <v>67</v>
      </c>
      <c r="C217" t="s">
        <v>28</v>
      </c>
      <c r="D217" s="2">
        <v>45689</v>
      </c>
      <c r="E217" s="3">
        <f t="shared" si="3"/>
        <v>45689</v>
      </c>
      <c r="F217" t="s">
        <v>370</v>
      </c>
      <c r="G217" t="s">
        <v>369</v>
      </c>
      <c r="H217" s="4">
        <v>543.53</v>
      </c>
      <c r="I217" t="s">
        <v>31</v>
      </c>
      <c r="J217" t="s">
        <v>74</v>
      </c>
      <c r="K217" s="5">
        <v>45566</v>
      </c>
      <c r="L217" s="2">
        <v>45689</v>
      </c>
      <c r="M217" t="s">
        <v>76</v>
      </c>
      <c r="N217">
        <v>0</v>
      </c>
      <c r="O217" t="s">
        <v>31</v>
      </c>
      <c r="P217" t="s">
        <v>28</v>
      </c>
      <c r="Q217">
        <v>0</v>
      </c>
    </row>
    <row r="218" spans="1:17" x14ac:dyDescent="0.3">
      <c r="A218" t="s">
        <v>17</v>
      </c>
      <c r="B218">
        <v>67</v>
      </c>
      <c r="C218" t="s">
        <v>28</v>
      </c>
      <c r="D218" s="2">
        <v>45689</v>
      </c>
      <c r="E218" s="3">
        <f t="shared" si="3"/>
        <v>45689</v>
      </c>
      <c r="F218" t="s">
        <v>371</v>
      </c>
      <c r="G218" t="s">
        <v>369</v>
      </c>
      <c r="H218" s="4">
        <v>543.53</v>
      </c>
      <c r="I218" t="s">
        <v>31</v>
      </c>
      <c r="J218" t="s">
        <v>74</v>
      </c>
      <c r="K218" s="5">
        <v>45505</v>
      </c>
      <c r="L218" s="2">
        <v>45689</v>
      </c>
      <c r="M218" t="s">
        <v>76</v>
      </c>
      <c r="N218">
        <v>0</v>
      </c>
      <c r="O218" t="s">
        <v>31</v>
      </c>
      <c r="P218" t="s">
        <v>28</v>
      </c>
      <c r="Q218">
        <v>0</v>
      </c>
    </row>
    <row r="219" spans="1:17" x14ac:dyDescent="0.3">
      <c r="A219" t="s">
        <v>17</v>
      </c>
      <c r="B219">
        <v>67</v>
      </c>
      <c r="C219" t="s">
        <v>28</v>
      </c>
      <c r="D219" s="2">
        <v>45689</v>
      </c>
      <c r="E219" s="3">
        <f t="shared" si="3"/>
        <v>45689</v>
      </c>
      <c r="F219" t="s">
        <v>372</v>
      </c>
      <c r="G219" t="s">
        <v>369</v>
      </c>
      <c r="H219" s="4">
        <v>543.53</v>
      </c>
      <c r="I219" t="s">
        <v>31</v>
      </c>
      <c r="J219" t="s">
        <v>74</v>
      </c>
      <c r="K219" s="5">
        <v>45444</v>
      </c>
      <c r="L219" s="2">
        <v>45689</v>
      </c>
      <c r="M219" t="s">
        <v>76</v>
      </c>
      <c r="N219">
        <v>0</v>
      </c>
      <c r="O219" t="s">
        <v>31</v>
      </c>
      <c r="P219" t="s">
        <v>28</v>
      </c>
      <c r="Q219">
        <v>0</v>
      </c>
    </row>
    <row r="220" spans="1:17" x14ac:dyDescent="0.3">
      <c r="A220" t="s">
        <v>17</v>
      </c>
      <c r="B220">
        <v>67</v>
      </c>
      <c r="C220" t="s">
        <v>28</v>
      </c>
      <c r="D220" s="2">
        <v>45689</v>
      </c>
      <c r="E220" s="3">
        <f t="shared" si="3"/>
        <v>45689</v>
      </c>
      <c r="F220" t="s">
        <v>373</v>
      </c>
      <c r="G220" t="s">
        <v>369</v>
      </c>
      <c r="H220" s="4">
        <v>543.53</v>
      </c>
      <c r="I220" t="s">
        <v>31</v>
      </c>
      <c r="J220" t="s">
        <v>74</v>
      </c>
      <c r="K220" s="5">
        <v>45566</v>
      </c>
      <c r="L220" s="2">
        <v>45689</v>
      </c>
      <c r="M220" t="s">
        <v>76</v>
      </c>
      <c r="N220">
        <v>0</v>
      </c>
      <c r="O220" t="s">
        <v>31</v>
      </c>
      <c r="P220" t="s">
        <v>28</v>
      </c>
      <c r="Q220">
        <v>0</v>
      </c>
    </row>
    <row r="221" spans="1:17" x14ac:dyDescent="0.3">
      <c r="A221" t="s">
        <v>17</v>
      </c>
      <c r="B221">
        <v>67</v>
      </c>
      <c r="C221" t="s">
        <v>28</v>
      </c>
      <c r="D221" s="2">
        <v>45689</v>
      </c>
      <c r="E221" s="3">
        <f t="shared" si="3"/>
        <v>45689</v>
      </c>
      <c r="F221" t="s">
        <v>374</v>
      </c>
      <c r="G221" t="s">
        <v>369</v>
      </c>
      <c r="H221" s="4">
        <v>544.02</v>
      </c>
      <c r="I221" t="s">
        <v>31</v>
      </c>
      <c r="J221" t="s">
        <v>74</v>
      </c>
      <c r="K221" s="5">
        <v>45658</v>
      </c>
      <c r="L221" s="2">
        <v>45689</v>
      </c>
      <c r="M221" t="s">
        <v>76</v>
      </c>
      <c r="N221">
        <v>0</v>
      </c>
      <c r="O221" t="s">
        <v>31</v>
      </c>
      <c r="P221" t="s">
        <v>28</v>
      </c>
      <c r="Q221">
        <v>0</v>
      </c>
    </row>
    <row r="222" spans="1:17" x14ac:dyDescent="0.3">
      <c r="A222" t="s">
        <v>17</v>
      </c>
      <c r="B222">
        <v>67</v>
      </c>
      <c r="C222" t="s">
        <v>28</v>
      </c>
      <c r="D222" s="2">
        <v>45689</v>
      </c>
      <c r="E222" s="3">
        <f t="shared" si="3"/>
        <v>45689</v>
      </c>
      <c r="F222" t="s">
        <v>375</v>
      </c>
      <c r="G222" t="s">
        <v>369</v>
      </c>
      <c r="H222" s="4">
        <v>625.35</v>
      </c>
      <c r="I222" t="s">
        <v>31</v>
      </c>
      <c r="J222" t="s">
        <v>74</v>
      </c>
      <c r="K222" s="5">
        <v>45597</v>
      </c>
      <c r="L222" s="2">
        <v>45689</v>
      </c>
      <c r="M222" t="s">
        <v>76</v>
      </c>
      <c r="N222">
        <v>0</v>
      </c>
      <c r="O222" t="s">
        <v>31</v>
      </c>
      <c r="P222" t="s">
        <v>28</v>
      </c>
      <c r="Q222">
        <v>0</v>
      </c>
    </row>
    <row r="223" spans="1:17" x14ac:dyDescent="0.3">
      <c r="A223" t="s">
        <v>17</v>
      </c>
      <c r="B223">
        <v>67</v>
      </c>
      <c r="C223" t="s">
        <v>28</v>
      </c>
      <c r="D223" s="2">
        <v>45689</v>
      </c>
      <c r="E223" s="3">
        <f t="shared" si="3"/>
        <v>45689</v>
      </c>
      <c r="F223" t="s">
        <v>376</v>
      </c>
      <c r="G223" t="s">
        <v>369</v>
      </c>
      <c r="H223" s="4">
        <v>667.68</v>
      </c>
      <c r="I223" t="s">
        <v>31</v>
      </c>
      <c r="J223" t="s">
        <v>74</v>
      </c>
      <c r="K223" s="5">
        <v>45627</v>
      </c>
      <c r="L223" s="2">
        <v>45689</v>
      </c>
      <c r="M223" t="s">
        <v>76</v>
      </c>
      <c r="N223">
        <v>0</v>
      </c>
      <c r="O223" t="s">
        <v>31</v>
      </c>
      <c r="P223" t="s">
        <v>28</v>
      </c>
      <c r="Q223">
        <v>0</v>
      </c>
    </row>
    <row r="224" spans="1:17" x14ac:dyDescent="0.3">
      <c r="A224" t="s">
        <v>17</v>
      </c>
      <c r="B224">
        <v>68</v>
      </c>
      <c r="C224" t="s">
        <v>34</v>
      </c>
      <c r="D224" s="2">
        <v>45689</v>
      </c>
      <c r="E224" s="3">
        <f t="shared" si="3"/>
        <v>45689</v>
      </c>
      <c r="F224" t="s">
        <v>377</v>
      </c>
      <c r="G224" t="s">
        <v>36</v>
      </c>
      <c r="H224" s="4">
        <v>65.33</v>
      </c>
      <c r="I224" t="s">
        <v>31</v>
      </c>
      <c r="J224" t="s">
        <v>37</v>
      </c>
      <c r="K224" t="s">
        <v>38</v>
      </c>
      <c r="L224" s="2">
        <v>45689</v>
      </c>
      <c r="M224" t="s">
        <v>37</v>
      </c>
      <c r="N224">
        <v>0</v>
      </c>
      <c r="O224" t="s">
        <v>31</v>
      </c>
      <c r="P224" t="s">
        <v>34</v>
      </c>
      <c r="Q224">
        <v>0</v>
      </c>
    </row>
    <row r="225" spans="1:17" x14ac:dyDescent="0.3">
      <c r="A225" t="s">
        <v>17</v>
      </c>
      <c r="B225">
        <v>68</v>
      </c>
      <c r="C225" t="s">
        <v>34</v>
      </c>
      <c r="D225" s="2">
        <v>45689</v>
      </c>
      <c r="E225" s="3">
        <f t="shared" si="3"/>
        <v>45689</v>
      </c>
      <c r="F225" t="s">
        <v>378</v>
      </c>
      <c r="G225" t="s">
        <v>40</v>
      </c>
      <c r="H225" s="4">
        <v>389.69</v>
      </c>
      <c r="I225" t="s">
        <v>31</v>
      </c>
      <c r="J225" t="s">
        <v>37</v>
      </c>
      <c r="K225" t="s">
        <v>379</v>
      </c>
      <c r="L225" s="2">
        <v>45689</v>
      </c>
      <c r="M225" t="s">
        <v>37</v>
      </c>
      <c r="N225">
        <v>0</v>
      </c>
      <c r="O225" t="s">
        <v>31</v>
      </c>
      <c r="P225" t="s">
        <v>34</v>
      </c>
      <c r="Q225">
        <v>0</v>
      </c>
    </row>
    <row r="226" spans="1:17" x14ac:dyDescent="0.3">
      <c r="A226" t="s">
        <v>17</v>
      </c>
      <c r="B226">
        <v>68</v>
      </c>
      <c r="C226" t="s">
        <v>34</v>
      </c>
      <c r="D226" s="2">
        <v>45689</v>
      </c>
      <c r="E226" s="3">
        <f t="shared" si="3"/>
        <v>45689</v>
      </c>
      <c r="F226" t="s">
        <v>380</v>
      </c>
      <c r="G226" t="s">
        <v>43</v>
      </c>
      <c r="H226" s="4">
        <v>269.93</v>
      </c>
      <c r="I226" t="s">
        <v>31</v>
      </c>
      <c r="J226" t="s">
        <v>37</v>
      </c>
      <c r="K226" t="s">
        <v>381</v>
      </c>
      <c r="L226" s="2">
        <v>45689</v>
      </c>
      <c r="M226" t="s">
        <v>37</v>
      </c>
      <c r="N226">
        <v>0</v>
      </c>
      <c r="O226" t="s">
        <v>31</v>
      </c>
      <c r="P226" t="s">
        <v>34</v>
      </c>
      <c r="Q226">
        <v>0</v>
      </c>
    </row>
    <row r="227" spans="1:17" x14ac:dyDescent="0.3">
      <c r="A227" t="s">
        <v>17</v>
      </c>
      <c r="B227">
        <v>67</v>
      </c>
      <c r="C227" t="s">
        <v>28</v>
      </c>
      <c r="D227" s="2">
        <v>45689</v>
      </c>
      <c r="E227" s="3">
        <f t="shared" si="3"/>
        <v>45689</v>
      </c>
      <c r="F227" t="s">
        <v>382</v>
      </c>
      <c r="G227" t="s">
        <v>46</v>
      </c>
      <c r="H227" s="4">
        <v>7500</v>
      </c>
      <c r="I227" t="s">
        <v>47</v>
      </c>
      <c r="J227" t="s">
        <v>48</v>
      </c>
      <c r="K227" t="s">
        <v>383</v>
      </c>
      <c r="L227" s="2">
        <v>45689</v>
      </c>
      <c r="M227" t="s">
        <v>50</v>
      </c>
      <c r="N227">
        <v>0</v>
      </c>
      <c r="O227" t="s">
        <v>26</v>
      </c>
      <c r="P227" t="s">
        <v>28</v>
      </c>
      <c r="Q227">
        <v>0</v>
      </c>
    </row>
    <row r="228" spans="1:17" x14ac:dyDescent="0.3">
      <c r="A228" t="s">
        <v>17</v>
      </c>
      <c r="B228">
        <v>67</v>
      </c>
      <c r="C228" t="s">
        <v>28</v>
      </c>
      <c r="D228" s="2">
        <v>45689</v>
      </c>
      <c r="E228" s="3">
        <f t="shared" si="3"/>
        <v>45689</v>
      </c>
      <c r="F228" t="s">
        <v>384</v>
      </c>
      <c r="G228" t="s">
        <v>52</v>
      </c>
      <c r="H228" s="4">
        <v>3292</v>
      </c>
      <c r="I228" t="s">
        <v>31</v>
      </c>
      <c r="J228" t="s">
        <v>48</v>
      </c>
      <c r="K228" t="s">
        <v>385</v>
      </c>
      <c r="L228" s="2">
        <v>45689</v>
      </c>
      <c r="M228" t="s">
        <v>50</v>
      </c>
      <c r="N228">
        <v>0</v>
      </c>
      <c r="O228" t="s">
        <v>31</v>
      </c>
      <c r="P228" t="s">
        <v>28</v>
      </c>
      <c r="Q228">
        <v>0</v>
      </c>
    </row>
    <row r="229" spans="1:17" x14ac:dyDescent="0.3">
      <c r="A229" t="s">
        <v>17</v>
      </c>
      <c r="B229">
        <v>65</v>
      </c>
      <c r="C229" t="s">
        <v>54</v>
      </c>
      <c r="D229" s="2">
        <v>45689</v>
      </c>
      <c r="E229" s="3">
        <f t="shared" si="3"/>
        <v>45689</v>
      </c>
      <c r="F229" t="s">
        <v>378</v>
      </c>
      <c r="G229" t="s">
        <v>40</v>
      </c>
      <c r="H229" s="4">
        <v>30113.77</v>
      </c>
      <c r="I229" t="s">
        <v>31</v>
      </c>
      <c r="J229" t="s">
        <v>55</v>
      </c>
      <c r="K229" t="s">
        <v>386</v>
      </c>
      <c r="L229" s="2">
        <v>45689</v>
      </c>
      <c r="M229" t="s">
        <v>55</v>
      </c>
      <c r="N229">
        <v>0</v>
      </c>
      <c r="O229" t="s">
        <v>31</v>
      </c>
      <c r="P229" t="s">
        <v>54</v>
      </c>
      <c r="Q229">
        <v>0</v>
      </c>
    </row>
    <row r="230" spans="1:17" x14ac:dyDescent="0.3">
      <c r="A230" t="s">
        <v>17</v>
      </c>
      <c r="B230">
        <v>68</v>
      </c>
      <c r="C230" t="s">
        <v>34</v>
      </c>
      <c r="D230" s="2">
        <v>45689</v>
      </c>
      <c r="E230" s="3">
        <f t="shared" si="3"/>
        <v>45689</v>
      </c>
      <c r="F230" t="s">
        <v>387</v>
      </c>
      <c r="G230" t="s">
        <v>122</v>
      </c>
      <c r="H230" s="4">
        <v>1054.3800000000001</v>
      </c>
      <c r="I230" t="s">
        <v>108</v>
      </c>
      <c r="J230" t="s">
        <v>109</v>
      </c>
      <c r="K230" t="s">
        <v>388</v>
      </c>
      <c r="L230" s="2">
        <v>45689</v>
      </c>
      <c r="M230" t="s">
        <v>109</v>
      </c>
      <c r="N230">
        <v>0</v>
      </c>
      <c r="O230" t="s">
        <v>111</v>
      </c>
      <c r="P230" t="s">
        <v>112</v>
      </c>
      <c r="Q230" t="s">
        <v>113</v>
      </c>
    </row>
    <row r="231" spans="1:17" x14ac:dyDescent="0.3">
      <c r="A231" t="s">
        <v>17</v>
      </c>
      <c r="B231">
        <v>68</v>
      </c>
      <c r="C231" t="s">
        <v>34</v>
      </c>
      <c r="D231" s="2">
        <v>45689</v>
      </c>
      <c r="E231" s="3">
        <f t="shared" si="3"/>
        <v>45689</v>
      </c>
      <c r="F231" t="s">
        <v>389</v>
      </c>
      <c r="G231" t="s">
        <v>122</v>
      </c>
      <c r="H231" s="4">
        <v>1760.91</v>
      </c>
      <c r="I231" t="s">
        <v>108</v>
      </c>
      <c r="J231" t="s">
        <v>109</v>
      </c>
      <c r="K231" t="s">
        <v>388</v>
      </c>
      <c r="L231" s="2">
        <v>45689</v>
      </c>
      <c r="M231" t="s">
        <v>109</v>
      </c>
      <c r="N231">
        <v>0</v>
      </c>
      <c r="O231" t="s">
        <v>111</v>
      </c>
      <c r="P231" t="s">
        <v>112</v>
      </c>
      <c r="Q231" t="s">
        <v>113</v>
      </c>
    </row>
    <row r="232" spans="1:17" x14ac:dyDescent="0.3">
      <c r="A232" t="s">
        <v>17</v>
      </c>
      <c r="B232">
        <v>68</v>
      </c>
      <c r="C232" t="s">
        <v>34</v>
      </c>
      <c r="D232" s="2">
        <v>45689</v>
      </c>
      <c r="E232" s="3">
        <f t="shared" si="3"/>
        <v>45689</v>
      </c>
      <c r="F232" t="s">
        <v>390</v>
      </c>
      <c r="G232" t="s">
        <v>122</v>
      </c>
      <c r="H232" s="4">
        <v>823.65</v>
      </c>
      <c r="I232" t="s">
        <v>108</v>
      </c>
      <c r="J232" t="s">
        <v>109</v>
      </c>
      <c r="K232" t="s">
        <v>388</v>
      </c>
      <c r="L232" s="2">
        <v>45689</v>
      </c>
      <c r="M232" t="s">
        <v>109</v>
      </c>
      <c r="N232">
        <v>0</v>
      </c>
      <c r="O232" t="s">
        <v>111</v>
      </c>
      <c r="P232" t="s">
        <v>112</v>
      </c>
      <c r="Q232" t="s">
        <v>113</v>
      </c>
    </row>
    <row r="233" spans="1:17" x14ac:dyDescent="0.3">
      <c r="A233" t="s">
        <v>17</v>
      </c>
      <c r="B233">
        <v>68</v>
      </c>
      <c r="C233" t="s">
        <v>34</v>
      </c>
      <c r="D233" s="2">
        <v>45689</v>
      </c>
      <c r="E233" s="3">
        <f t="shared" si="3"/>
        <v>45689</v>
      </c>
      <c r="F233" t="s">
        <v>391</v>
      </c>
      <c r="G233" t="s">
        <v>122</v>
      </c>
      <c r="H233" s="4">
        <v>839.17</v>
      </c>
      <c r="I233" t="s">
        <v>108</v>
      </c>
      <c r="J233" t="s">
        <v>109</v>
      </c>
      <c r="K233" t="s">
        <v>388</v>
      </c>
      <c r="L233" s="2">
        <v>45689</v>
      </c>
      <c r="M233" t="s">
        <v>109</v>
      </c>
      <c r="N233">
        <v>0</v>
      </c>
      <c r="O233" t="s">
        <v>111</v>
      </c>
      <c r="P233" t="s">
        <v>112</v>
      </c>
      <c r="Q233" t="s">
        <v>113</v>
      </c>
    </row>
    <row r="234" spans="1:17" x14ac:dyDescent="0.3">
      <c r="A234" t="s">
        <v>17</v>
      </c>
      <c r="B234">
        <v>63</v>
      </c>
      <c r="C234" t="s">
        <v>18</v>
      </c>
      <c r="D234" s="2">
        <v>45689</v>
      </c>
      <c r="E234" s="3">
        <f t="shared" si="3"/>
        <v>45689</v>
      </c>
      <c r="F234" t="s">
        <v>392</v>
      </c>
      <c r="H234" s="4">
        <v>-20826</v>
      </c>
      <c r="I234" t="s">
        <v>116</v>
      </c>
      <c r="J234" t="s">
        <v>364</v>
      </c>
      <c r="K234" t="s">
        <v>393</v>
      </c>
      <c r="L234" s="2">
        <v>45689</v>
      </c>
      <c r="M234" t="s">
        <v>366</v>
      </c>
      <c r="N234">
        <v>0</v>
      </c>
      <c r="O234" t="s">
        <v>26</v>
      </c>
      <c r="P234" t="s">
        <v>18</v>
      </c>
      <c r="Q234" t="s">
        <v>367</v>
      </c>
    </row>
    <row r="235" spans="1:17" x14ac:dyDescent="0.3">
      <c r="A235" t="s">
        <v>17</v>
      </c>
      <c r="B235">
        <v>67</v>
      </c>
      <c r="C235" t="s">
        <v>28</v>
      </c>
      <c r="D235" s="2">
        <v>45689</v>
      </c>
      <c r="E235" s="3">
        <f t="shared" si="3"/>
        <v>45689</v>
      </c>
      <c r="F235" t="s">
        <v>394</v>
      </c>
      <c r="H235" s="4">
        <v>-500</v>
      </c>
      <c r="I235" t="s">
        <v>31</v>
      </c>
      <c r="J235" t="s">
        <v>32</v>
      </c>
      <c r="K235" t="s">
        <v>58</v>
      </c>
      <c r="L235" s="2">
        <v>45689</v>
      </c>
      <c r="M235" t="s">
        <v>32</v>
      </c>
      <c r="N235">
        <v>0</v>
      </c>
      <c r="O235" t="s">
        <v>31</v>
      </c>
      <c r="P235" t="s">
        <v>28</v>
      </c>
      <c r="Q235">
        <v>0</v>
      </c>
    </row>
    <row r="236" spans="1:17" x14ac:dyDescent="0.3">
      <c r="A236" t="s">
        <v>17</v>
      </c>
      <c r="B236">
        <v>67</v>
      </c>
      <c r="C236" t="s">
        <v>28</v>
      </c>
      <c r="D236" s="2">
        <v>45689</v>
      </c>
      <c r="E236" s="3">
        <f t="shared" si="3"/>
        <v>45689</v>
      </c>
      <c r="F236" t="s">
        <v>395</v>
      </c>
      <c r="H236" s="4">
        <v>21.18</v>
      </c>
      <c r="I236" t="s">
        <v>31</v>
      </c>
      <c r="J236" t="s">
        <v>60</v>
      </c>
      <c r="L236" s="2">
        <v>45689</v>
      </c>
      <c r="M236" t="s">
        <v>60</v>
      </c>
      <c r="N236">
        <v>0</v>
      </c>
      <c r="O236" t="s">
        <v>31</v>
      </c>
      <c r="P236" t="s">
        <v>28</v>
      </c>
      <c r="Q236">
        <v>0</v>
      </c>
    </row>
    <row r="237" spans="1:17" x14ac:dyDescent="0.3">
      <c r="A237" t="s">
        <v>17</v>
      </c>
      <c r="B237">
        <v>67</v>
      </c>
      <c r="C237" t="s">
        <v>28</v>
      </c>
      <c r="D237" s="2">
        <v>45689</v>
      </c>
      <c r="E237" s="3">
        <f t="shared" si="3"/>
        <v>45689</v>
      </c>
      <c r="F237" t="s">
        <v>395</v>
      </c>
      <c r="H237" s="4">
        <v>48.66</v>
      </c>
      <c r="I237" t="s">
        <v>31</v>
      </c>
      <c r="J237" t="s">
        <v>60</v>
      </c>
      <c r="L237" s="2">
        <v>45689</v>
      </c>
      <c r="M237" t="s">
        <v>60</v>
      </c>
      <c r="N237">
        <v>0</v>
      </c>
      <c r="O237" t="s">
        <v>31</v>
      </c>
      <c r="P237" t="s">
        <v>28</v>
      </c>
      <c r="Q237">
        <v>0</v>
      </c>
    </row>
    <row r="238" spans="1:17" x14ac:dyDescent="0.3">
      <c r="A238" t="s">
        <v>17</v>
      </c>
      <c r="B238">
        <v>67</v>
      </c>
      <c r="C238" t="s">
        <v>28</v>
      </c>
      <c r="D238" s="2">
        <v>45689</v>
      </c>
      <c r="E238" s="3">
        <f t="shared" si="3"/>
        <v>45689</v>
      </c>
      <c r="F238" t="s">
        <v>395</v>
      </c>
      <c r="H238" s="4">
        <v>82.34</v>
      </c>
      <c r="I238" t="s">
        <v>31</v>
      </c>
      <c r="J238" t="s">
        <v>60</v>
      </c>
      <c r="L238" s="2">
        <v>45689</v>
      </c>
      <c r="M238" t="s">
        <v>60</v>
      </c>
      <c r="N238">
        <v>0</v>
      </c>
      <c r="O238" t="s">
        <v>31</v>
      </c>
      <c r="P238" t="s">
        <v>28</v>
      </c>
      <c r="Q238">
        <v>0</v>
      </c>
    </row>
    <row r="239" spans="1:17" x14ac:dyDescent="0.3">
      <c r="A239" t="s">
        <v>17</v>
      </c>
      <c r="B239">
        <v>67</v>
      </c>
      <c r="C239" t="s">
        <v>28</v>
      </c>
      <c r="D239" s="2">
        <v>45689</v>
      </c>
      <c r="E239" s="3">
        <f t="shared" si="3"/>
        <v>45689</v>
      </c>
      <c r="F239" t="s">
        <v>395</v>
      </c>
      <c r="H239" s="4">
        <v>13.88</v>
      </c>
      <c r="I239" t="s">
        <v>31</v>
      </c>
      <c r="J239" t="s">
        <v>60</v>
      </c>
      <c r="L239" s="2">
        <v>45689</v>
      </c>
      <c r="M239" t="s">
        <v>60</v>
      </c>
      <c r="N239">
        <v>0</v>
      </c>
      <c r="O239" t="s">
        <v>31</v>
      </c>
      <c r="P239" t="s">
        <v>28</v>
      </c>
      <c r="Q239">
        <v>0</v>
      </c>
    </row>
    <row r="240" spans="1:17" x14ac:dyDescent="0.3">
      <c r="A240" t="s">
        <v>17</v>
      </c>
      <c r="B240">
        <v>67</v>
      </c>
      <c r="C240" t="s">
        <v>28</v>
      </c>
      <c r="D240" s="2">
        <v>45689</v>
      </c>
      <c r="E240" s="3">
        <f t="shared" si="3"/>
        <v>45689</v>
      </c>
      <c r="F240" t="s">
        <v>395</v>
      </c>
      <c r="H240" s="4">
        <v>44.48</v>
      </c>
      <c r="I240" t="s">
        <v>31</v>
      </c>
      <c r="J240" t="s">
        <v>60</v>
      </c>
      <c r="L240" s="2">
        <v>45689</v>
      </c>
      <c r="M240" t="s">
        <v>60</v>
      </c>
      <c r="N240">
        <v>0</v>
      </c>
      <c r="O240" t="s">
        <v>31</v>
      </c>
      <c r="P240" t="s">
        <v>28</v>
      </c>
      <c r="Q240">
        <v>0</v>
      </c>
    </row>
    <row r="241" spans="1:17" x14ac:dyDescent="0.3">
      <c r="A241" t="s">
        <v>17</v>
      </c>
      <c r="B241">
        <v>67</v>
      </c>
      <c r="C241" t="s">
        <v>28</v>
      </c>
      <c r="D241" s="2">
        <v>45689</v>
      </c>
      <c r="E241" s="3">
        <f t="shared" si="3"/>
        <v>45689</v>
      </c>
      <c r="F241" t="s">
        <v>395</v>
      </c>
      <c r="H241" s="4">
        <v>43.2</v>
      </c>
      <c r="I241" t="s">
        <v>31</v>
      </c>
      <c r="J241" t="s">
        <v>60</v>
      </c>
      <c r="L241" s="2">
        <v>45689</v>
      </c>
      <c r="M241" t="s">
        <v>60</v>
      </c>
      <c r="N241">
        <v>0</v>
      </c>
      <c r="O241" t="s">
        <v>31</v>
      </c>
      <c r="P241" t="s">
        <v>28</v>
      </c>
      <c r="Q241">
        <v>0</v>
      </c>
    </row>
    <row r="242" spans="1:17" x14ac:dyDescent="0.3">
      <c r="A242" t="s">
        <v>17</v>
      </c>
      <c r="B242">
        <v>67</v>
      </c>
      <c r="C242" t="s">
        <v>28</v>
      </c>
      <c r="D242" s="2">
        <v>45689</v>
      </c>
      <c r="E242" s="3">
        <f t="shared" si="3"/>
        <v>45689</v>
      </c>
      <c r="F242" t="s">
        <v>395</v>
      </c>
      <c r="H242" s="4">
        <v>88.99</v>
      </c>
      <c r="I242" t="s">
        <v>31</v>
      </c>
      <c r="J242" t="s">
        <v>60</v>
      </c>
      <c r="L242" s="2">
        <v>45689</v>
      </c>
      <c r="M242" t="s">
        <v>60</v>
      </c>
      <c r="N242">
        <v>0</v>
      </c>
      <c r="O242" t="s">
        <v>31</v>
      </c>
      <c r="P242" t="s">
        <v>28</v>
      </c>
      <c r="Q242">
        <v>0</v>
      </c>
    </row>
    <row r="243" spans="1:17" x14ac:dyDescent="0.3">
      <c r="A243" t="s">
        <v>17</v>
      </c>
      <c r="B243">
        <v>67</v>
      </c>
      <c r="C243" t="s">
        <v>28</v>
      </c>
      <c r="D243" s="2">
        <v>45689</v>
      </c>
      <c r="E243" s="3">
        <f t="shared" si="3"/>
        <v>45689</v>
      </c>
      <c r="F243" t="s">
        <v>395</v>
      </c>
      <c r="H243" s="4">
        <v>41.72</v>
      </c>
      <c r="I243" t="s">
        <v>31</v>
      </c>
      <c r="J243" t="s">
        <v>60</v>
      </c>
      <c r="L243" s="2">
        <v>45689</v>
      </c>
      <c r="M243" t="s">
        <v>60</v>
      </c>
      <c r="N243">
        <v>0</v>
      </c>
      <c r="O243" t="s">
        <v>31</v>
      </c>
      <c r="P243" t="s">
        <v>28</v>
      </c>
      <c r="Q243">
        <v>0</v>
      </c>
    </row>
    <row r="244" spans="1:17" x14ac:dyDescent="0.3">
      <c r="A244" t="s">
        <v>17</v>
      </c>
      <c r="B244">
        <v>68</v>
      </c>
      <c r="C244" t="s">
        <v>34</v>
      </c>
      <c r="D244" s="2">
        <v>45689</v>
      </c>
      <c r="E244" s="3">
        <f t="shared" si="3"/>
        <v>45689</v>
      </c>
      <c r="F244" t="s">
        <v>396</v>
      </c>
      <c r="H244" s="4">
        <v>-389.69</v>
      </c>
      <c r="I244" t="s">
        <v>31</v>
      </c>
      <c r="J244" t="s">
        <v>37</v>
      </c>
      <c r="K244" t="s">
        <v>344</v>
      </c>
      <c r="L244" s="2">
        <v>45689</v>
      </c>
      <c r="M244" t="s">
        <v>37</v>
      </c>
      <c r="N244">
        <v>0</v>
      </c>
      <c r="O244" t="s">
        <v>31</v>
      </c>
      <c r="P244" t="s">
        <v>34</v>
      </c>
      <c r="Q244">
        <v>0</v>
      </c>
    </row>
    <row r="245" spans="1:17" x14ac:dyDescent="0.3">
      <c r="A245" t="s">
        <v>17</v>
      </c>
      <c r="B245">
        <v>67</v>
      </c>
      <c r="C245" t="s">
        <v>28</v>
      </c>
      <c r="D245" s="2">
        <v>45691</v>
      </c>
      <c r="E245" s="3">
        <f t="shared" si="3"/>
        <v>45689</v>
      </c>
      <c r="F245" t="s">
        <v>397</v>
      </c>
      <c r="G245" t="s">
        <v>398</v>
      </c>
      <c r="H245" s="4">
        <v>25000</v>
      </c>
      <c r="I245" t="s">
        <v>31</v>
      </c>
      <c r="J245" t="s">
        <v>399</v>
      </c>
      <c r="K245" t="s">
        <v>400</v>
      </c>
      <c r="L245" s="2">
        <v>45689</v>
      </c>
      <c r="M245" t="s">
        <v>401</v>
      </c>
      <c r="N245">
        <v>0</v>
      </c>
      <c r="O245" t="s">
        <v>31</v>
      </c>
      <c r="P245" t="s">
        <v>28</v>
      </c>
      <c r="Q245">
        <v>0</v>
      </c>
    </row>
    <row r="246" spans="1:17" x14ac:dyDescent="0.3">
      <c r="A246" t="s">
        <v>17</v>
      </c>
      <c r="B246">
        <v>67</v>
      </c>
      <c r="C246" t="s">
        <v>28</v>
      </c>
      <c r="D246" s="2">
        <v>45692</v>
      </c>
      <c r="E246" s="3">
        <f t="shared" si="3"/>
        <v>45689</v>
      </c>
      <c r="F246" t="s">
        <v>402</v>
      </c>
      <c r="G246" t="s">
        <v>369</v>
      </c>
      <c r="H246" s="4">
        <v>543.85</v>
      </c>
      <c r="I246" t="s">
        <v>31</v>
      </c>
      <c r="J246" t="s">
        <v>74</v>
      </c>
      <c r="K246" s="5">
        <v>45689</v>
      </c>
      <c r="L246" s="2">
        <v>45689</v>
      </c>
      <c r="M246" t="s">
        <v>76</v>
      </c>
      <c r="N246">
        <v>0</v>
      </c>
      <c r="O246" t="s">
        <v>31</v>
      </c>
      <c r="P246" t="s">
        <v>28</v>
      </c>
      <c r="Q246">
        <v>0</v>
      </c>
    </row>
    <row r="247" spans="1:17" x14ac:dyDescent="0.3">
      <c r="A247" t="s">
        <v>17</v>
      </c>
      <c r="B247">
        <v>67</v>
      </c>
      <c r="C247" t="s">
        <v>28</v>
      </c>
      <c r="D247" s="2">
        <v>45693</v>
      </c>
      <c r="E247" s="3">
        <f t="shared" si="3"/>
        <v>45689</v>
      </c>
      <c r="F247" t="s">
        <v>403</v>
      </c>
      <c r="G247" t="s">
        <v>101</v>
      </c>
      <c r="H247" s="4">
        <v>1245</v>
      </c>
      <c r="I247" t="s">
        <v>104</v>
      </c>
      <c r="J247" t="s">
        <v>74</v>
      </c>
      <c r="K247" t="s">
        <v>404</v>
      </c>
      <c r="L247" s="2">
        <v>45689</v>
      </c>
      <c r="M247" t="s">
        <v>76</v>
      </c>
      <c r="N247">
        <v>0</v>
      </c>
      <c r="O247" t="s">
        <v>104</v>
      </c>
      <c r="P247" t="s">
        <v>28</v>
      </c>
      <c r="Q247">
        <v>0</v>
      </c>
    </row>
    <row r="248" spans="1:17" x14ac:dyDescent="0.3">
      <c r="A248" t="s">
        <v>17</v>
      </c>
      <c r="B248">
        <v>67</v>
      </c>
      <c r="C248" t="s">
        <v>28</v>
      </c>
      <c r="D248" s="2">
        <v>45693</v>
      </c>
      <c r="E248" s="3">
        <f t="shared" si="3"/>
        <v>45689</v>
      </c>
      <c r="F248" t="s">
        <v>403</v>
      </c>
      <c r="G248" t="s">
        <v>101</v>
      </c>
      <c r="H248" s="4">
        <v>1779.84</v>
      </c>
      <c r="I248" t="s">
        <v>31</v>
      </c>
      <c r="J248" t="s">
        <v>74</v>
      </c>
      <c r="K248" t="s">
        <v>405</v>
      </c>
      <c r="L248" s="2">
        <v>45689</v>
      </c>
      <c r="M248" t="s">
        <v>76</v>
      </c>
      <c r="N248">
        <v>0</v>
      </c>
      <c r="O248" t="s">
        <v>31</v>
      </c>
      <c r="P248" t="s">
        <v>28</v>
      </c>
      <c r="Q248">
        <v>0</v>
      </c>
    </row>
    <row r="249" spans="1:17" x14ac:dyDescent="0.3">
      <c r="A249" t="s">
        <v>17</v>
      </c>
      <c r="B249">
        <v>68</v>
      </c>
      <c r="C249" t="s">
        <v>34</v>
      </c>
      <c r="D249" s="2">
        <v>45693</v>
      </c>
      <c r="E249" s="3">
        <f t="shared" si="3"/>
        <v>45689</v>
      </c>
      <c r="F249" t="s">
        <v>403</v>
      </c>
      <c r="G249" t="s">
        <v>101</v>
      </c>
      <c r="H249" s="4">
        <v>31.4</v>
      </c>
      <c r="I249" t="s">
        <v>31</v>
      </c>
      <c r="J249" t="s">
        <v>79</v>
      </c>
      <c r="K249" t="s">
        <v>406</v>
      </c>
      <c r="L249" s="2">
        <v>45689</v>
      </c>
      <c r="M249" t="s">
        <v>79</v>
      </c>
      <c r="N249">
        <v>0</v>
      </c>
      <c r="O249" t="s">
        <v>31</v>
      </c>
      <c r="P249" t="s">
        <v>34</v>
      </c>
      <c r="Q249">
        <v>0</v>
      </c>
    </row>
    <row r="250" spans="1:17" x14ac:dyDescent="0.3">
      <c r="A250" t="s">
        <v>17</v>
      </c>
      <c r="B250">
        <v>63</v>
      </c>
      <c r="C250" t="s">
        <v>18</v>
      </c>
      <c r="D250" s="2">
        <v>45693</v>
      </c>
      <c r="E250" s="3">
        <f t="shared" si="3"/>
        <v>45689</v>
      </c>
      <c r="F250" t="s">
        <v>407</v>
      </c>
      <c r="G250" t="s">
        <v>408</v>
      </c>
      <c r="H250" s="4">
        <v>270</v>
      </c>
      <c r="I250" t="s">
        <v>21</v>
      </c>
      <c r="J250" t="s">
        <v>272</v>
      </c>
      <c r="K250" t="s">
        <v>409</v>
      </c>
      <c r="L250" s="2">
        <v>45689</v>
      </c>
      <c r="M250" t="s">
        <v>272</v>
      </c>
      <c r="N250" t="s">
        <v>25</v>
      </c>
      <c r="O250" t="s">
        <v>26</v>
      </c>
      <c r="P250" t="s">
        <v>18</v>
      </c>
      <c r="Q250" t="s">
        <v>274</v>
      </c>
    </row>
    <row r="251" spans="1:17" x14ac:dyDescent="0.3">
      <c r="A251" t="s">
        <v>17</v>
      </c>
      <c r="B251">
        <v>63</v>
      </c>
      <c r="C251" t="s">
        <v>18</v>
      </c>
      <c r="D251" s="2">
        <v>45693</v>
      </c>
      <c r="E251" s="3">
        <f t="shared" si="3"/>
        <v>45689</v>
      </c>
      <c r="F251" t="s">
        <v>410</v>
      </c>
      <c r="G251" t="s">
        <v>408</v>
      </c>
      <c r="H251" s="4">
        <v>70</v>
      </c>
      <c r="I251" t="s">
        <v>21</v>
      </c>
      <c r="J251" t="s">
        <v>272</v>
      </c>
      <c r="K251" t="s">
        <v>409</v>
      </c>
      <c r="L251" s="2">
        <v>45689</v>
      </c>
      <c r="M251" t="s">
        <v>272</v>
      </c>
      <c r="N251" t="s">
        <v>25</v>
      </c>
      <c r="O251" t="s">
        <v>26</v>
      </c>
      <c r="P251" t="s">
        <v>18</v>
      </c>
      <c r="Q251" t="s">
        <v>274</v>
      </c>
    </row>
    <row r="252" spans="1:17" x14ac:dyDescent="0.3">
      <c r="A252" t="s">
        <v>17</v>
      </c>
      <c r="B252">
        <v>67</v>
      </c>
      <c r="C252" t="s">
        <v>28</v>
      </c>
      <c r="D252" s="2">
        <v>45693</v>
      </c>
      <c r="E252" s="3">
        <f t="shared" si="3"/>
        <v>45689</v>
      </c>
      <c r="F252" t="s">
        <v>411</v>
      </c>
      <c r="G252" t="s">
        <v>119</v>
      </c>
      <c r="H252" s="4">
        <v>927.5</v>
      </c>
      <c r="I252" t="s">
        <v>31</v>
      </c>
      <c r="J252" t="s">
        <v>68</v>
      </c>
      <c r="K252" t="s">
        <v>412</v>
      </c>
      <c r="L252" s="2">
        <v>45689</v>
      </c>
      <c r="M252" t="s">
        <v>68</v>
      </c>
      <c r="N252">
        <v>0</v>
      </c>
      <c r="O252" t="s">
        <v>31</v>
      </c>
      <c r="P252" t="s">
        <v>28</v>
      </c>
      <c r="Q252">
        <v>0</v>
      </c>
    </row>
    <row r="253" spans="1:17" x14ac:dyDescent="0.3">
      <c r="A253" t="s">
        <v>17</v>
      </c>
      <c r="B253">
        <v>68</v>
      </c>
      <c r="C253" t="s">
        <v>34</v>
      </c>
      <c r="D253" s="2">
        <v>45693</v>
      </c>
      <c r="E253" s="3">
        <f t="shared" si="3"/>
        <v>45689</v>
      </c>
      <c r="F253" t="s">
        <v>413</v>
      </c>
      <c r="G253" t="s">
        <v>122</v>
      </c>
      <c r="H253" s="4">
        <v>99.72</v>
      </c>
      <c r="I253" t="s">
        <v>108</v>
      </c>
      <c r="J253" t="s">
        <v>109</v>
      </c>
      <c r="K253" t="s">
        <v>123</v>
      </c>
      <c r="L253" s="2">
        <v>45689</v>
      </c>
      <c r="M253" t="s">
        <v>109</v>
      </c>
      <c r="N253">
        <v>0</v>
      </c>
      <c r="O253" t="s">
        <v>111</v>
      </c>
      <c r="P253" t="s">
        <v>112</v>
      </c>
      <c r="Q253" t="s">
        <v>113</v>
      </c>
    </row>
    <row r="254" spans="1:17" x14ac:dyDescent="0.3">
      <c r="A254" t="s">
        <v>17</v>
      </c>
      <c r="B254">
        <v>68</v>
      </c>
      <c r="C254" t="s">
        <v>34</v>
      </c>
      <c r="D254" s="2">
        <v>45693</v>
      </c>
      <c r="E254" s="3">
        <f t="shared" si="3"/>
        <v>45689</v>
      </c>
      <c r="F254" t="s">
        <v>414</v>
      </c>
      <c r="G254" t="s">
        <v>122</v>
      </c>
      <c r="H254" s="4">
        <v>105.74</v>
      </c>
      <c r="I254" t="s">
        <v>108</v>
      </c>
      <c r="J254" t="s">
        <v>109</v>
      </c>
      <c r="K254" t="s">
        <v>388</v>
      </c>
      <c r="L254" s="2">
        <v>45689</v>
      </c>
      <c r="M254" t="s">
        <v>109</v>
      </c>
      <c r="N254">
        <v>0</v>
      </c>
      <c r="O254" t="s">
        <v>111</v>
      </c>
      <c r="P254" t="s">
        <v>112</v>
      </c>
      <c r="Q254" t="s">
        <v>113</v>
      </c>
    </row>
    <row r="255" spans="1:17" x14ac:dyDescent="0.3">
      <c r="A255" t="s">
        <v>17</v>
      </c>
      <c r="B255">
        <v>63</v>
      </c>
      <c r="C255" t="s">
        <v>18</v>
      </c>
      <c r="D255" s="2">
        <v>45694</v>
      </c>
      <c r="E255" s="3">
        <f t="shared" si="3"/>
        <v>45689</v>
      </c>
      <c r="F255" t="s">
        <v>415</v>
      </c>
      <c r="G255" t="s">
        <v>125</v>
      </c>
      <c r="H255" s="4">
        <v>600</v>
      </c>
      <c r="I255" t="s">
        <v>21</v>
      </c>
      <c r="J255" t="s">
        <v>22</v>
      </c>
      <c r="K255" t="s">
        <v>416</v>
      </c>
      <c r="L255" s="2">
        <v>45689</v>
      </c>
      <c r="M255" t="s">
        <v>24</v>
      </c>
      <c r="N255" t="s">
        <v>25</v>
      </c>
      <c r="O255" t="s">
        <v>26</v>
      </c>
      <c r="P255" t="s">
        <v>18</v>
      </c>
      <c r="Q255" t="s">
        <v>27</v>
      </c>
    </row>
    <row r="256" spans="1:17" x14ac:dyDescent="0.3">
      <c r="A256" t="s">
        <v>17</v>
      </c>
      <c r="B256">
        <v>63</v>
      </c>
      <c r="C256" t="s">
        <v>18</v>
      </c>
      <c r="D256" s="2">
        <v>45694</v>
      </c>
      <c r="E256" s="3">
        <f t="shared" si="3"/>
        <v>45689</v>
      </c>
      <c r="F256" t="s">
        <v>417</v>
      </c>
      <c r="G256" t="s">
        <v>408</v>
      </c>
      <c r="H256" s="4">
        <v>1450</v>
      </c>
      <c r="I256" t="s">
        <v>21</v>
      </c>
      <c r="J256" t="s">
        <v>272</v>
      </c>
      <c r="K256" t="s">
        <v>409</v>
      </c>
      <c r="L256" s="2">
        <v>45689</v>
      </c>
      <c r="M256" t="s">
        <v>272</v>
      </c>
      <c r="N256" t="s">
        <v>25</v>
      </c>
      <c r="O256" t="s">
        <v>26</v>
      </c>
      <c r="P256" t="s">
        <v>18</v>
      </c>
      <c r="Q256" t="s">
        <v>274</v>
      </c>
    </row>
    <row r="257" spans="1:17" x14ac:dyDescent="0.3">
      <c r="A257" t="s">
        <v>17</v>
      </c>
      <c r="B257">
        <v>66</v>
      </c>
      <c r="C257" t="s">
        <v>134</v>
      </c>
      <c r="D257" s="2">
        <v>45695</v>
      </c>
      <c r="E257" s="3">
        <f t="shared" si="3"/>
        <v>45689</v>
      </c>
      <c r="F257" t="s">
        <v>418</v>
      </c>
      <c r="G257" t="s">
        <v>419</v>
      </c>
      <c r="H257" s="4">
        <v>300</v>
      </c>
      <c r="I257" t="s">
        <v>137</v>
      </c>
      <c r="J257" t="s">
        <v>255</v>
      </c>
      <c r="K257" t="s">
        <v>420</v>
      </c>
      <c r="L257" s="2">
        <v>45689</v>
      </c>
      <c r="M257" t="s">
        <v>257</v>
      </c>
      <c r="N257" t="s">
        <v>141</v>
      </c>
      <c r="O257" t="s">
        <v>111</v>
      </c>
      <c r="P257" t="s">
        <v>134</v>
      </c>
      <c r="Q257">
        <v>0</v>
      </c>
    </row>
    <row r="258" spans="1:17" x14ac:dyDescent="0.3">
      <c r="A258" t="s">
        <v>17</v>
      </c>
      <c r="B258">
        <v>63</v>
      </c>
      <c r="C258" t="s">
        <v>18</v>
      </c>
      <c r="D258" s="2">
        <v>45695</v>
      </c>
      <c r="E258" s="3">
        <f t="shared" si="3"/>
        <v>45689</v>
      </c>
      <c r="F258" t="s">
        <v>421</v>
      </c>
      <c r="G258" t="s">
        <v>408</v>
      </c>
      <c r="H258" s="4">
        <v>1990</v>
      </c>
      <c r="I258" t="s">
        <v>21</v>
      </c>
      <c r="J258" t="s">
        <v>272</v>
      </c>
      <c r="K258" t="s">
        <v>409</v>
      </c>
      <c r="L258" s="2">
        <v>45689</v>
      </c>
      <c r="M258" t="s">
        <v>272</v>
      </c>
      <c r="N258" t="s">
        <v>25</v>
      </c>
      <c r="O258" t="s">
        <v>26</v>
      </c>
      <c r="P258" t="s">
        <v>18</v>
      </c>
      <c r="Q258" t="s">
        <v>274</v>
      </c>
    </row>
    <row r="259" spans="1:17" x14ac:dyDescent="0.3">
      <c r="A259" t="s">
        <v>17</v>
      </c>
      <c r="B259">
        <v>68</v>
      </c>
      <c r="C259" t="s">
        <v>34</v>
      </c>
      <c r="D259" s="2">
        <v>45695</v>
      </c>
      <c r="E259" s="3">
        <f t="shared" ref="E259:E322" si="4">IF($D259="","",DATE(YEAR($D259),MONTH($D259),1))</f>
        <v>45689</v>
      </c>
      <c r="F259" t="s">
        <v>422</v>
      </c>
      <c r="G259" t="s">
        <v>122</v>
      </c>
      <c r="H259" s="4">
        <v>49.87</v>
      </c>
      <c r="I259" t="s">
        <v>108</v>
      </c>
      <c r="J259" t="s">
        <v>109</v>
      </c>
      <c r="K259" t="s">
        <v>123</v>
      </c>
      <c r="L259" s="2">
        <v>45689</v>
      </c>
      <c r="M259" t="s">
        <v>109</v>
      </c>
      <c r="N259">
        <v>0</v>
      </c>
      <c r="O259" t="s">
        <v>111</v>
      </c>
      <c r="P259" t="s">
        <v>112</v>
      </c>
      <c r="Q259" t="s">
        <v>113</v>
      </c>
    </row>
    <row r="260" spans="1:17" x14ac:dyDescent="0.3">
      <c r="A260" t="s">
        <v>17</v>
      </c>
      <c r="B260">
        <v>67</v>
      </c>
      <c r="C260" t="s">
        <v>28</v>
      </c>
      <c r="D260" s="2">
        <v>45695</v>
      </c>
      <c r="E260" s="3">
        <f t="shared" si="4"/>
        <v>45689</v>
      </c>
      <c r="F260" t="s">
        <v>423</v>
      </c>
      <c r="H260" s="4">
        <v>2531.84</v>
      </c>
      <c r="I260" t="s">
        <v>31</v>
      </c>
      <c r="J260" t="s">
        <v>64</v>
      </c>
      <c r="K260" t="s">
        <v>424</v>
      </c>
      <c r="L260" s="2">
        <v>45689</v>
      </c>
      <c r="M260" t="s">
        <v>64</v>
      </c>
      <c r="N260">
        <v>0</v>
      </c>
      <c r="O260" t="s">
        <v>31</v>
      </c>
      <c r="P260" t="s">
        <v>28</v>
      </c>
      <c r="Q260">
        <v>0</v>
      </c>
    </row>
    <row r="261" spans="1:17" x14ac:dyDescent="0.3">
      <c r="A261" t="s">
        <v>17</v>
      </c>
      <c r="B261">
        <v>67</v>
      </c>
      <c r="C261" t="s">
        <v>28</v>
      </c>
      <c r="D261" s="2">
        <v>45695</v>
      </c>
      <c r="E261" s="3">
        <f t="shared" si="4"/>
        <v>45689</v>
      </c>
      <c r="F261" t="s">
        <v>425</v>
      </c>
      <c r="H261" s="4">
        <v>-88.99</v>
      </c>
      <c r="I261" t="s">
        <v>31</v>
      </c>
      <c r="J261" t="s">
        <v>60</v>
      </c>
      <c r="L261" s="2">
        <v>45689</v>
      </c>
      <c r="M261" t="s">
        <v>60</v>
      </c>
      <c r="N261">
        <v>0</v>
      </c>
      <c r="O261" t="s">
        <v>31</v>
      </c>
      <c r="P261" t="s">
        <v>28</v>
      </c>
      <c r="Q261">
        <v>0</v>
      </c>
    </row>
    <row r="262" spans="1:17" x14ac:dyDescent="0.3">
      <c r="A262" t="s">
        <v>17</v>
      </c>
      <c r="B262">
        <v>67</v>
      </c>
      <c r="C262" t="s">
        <v>28</v>
      </c>
      <c r="D262" s="2">
        <v>45695</v>
      </c>
      <c r="E262" s="3">
        <f t="shared" si="4"/>
        <v>45689</v>
      </c>
      <c r="F262" t="s">
        <v>425</v>
      </c>
      <c r="H262" s="4">
        <v>-41.72</v>
      </c>
      <c r="I262" t="s">
        <v>31</v>
      </c>
      <c r="J262" t="s">
        <v>60</v>
      </c>
      <c r="L262" s="2">
        <v>45689</v>
      </c>
      <c r="M262" t="s">
        <v>60</v>
      </c>
      <c r="N262">
        <v>0</v>
      </c>
      <c r="O262" t="s">
        <v>31</v>
      </c>
      <c r="P262" t="s">
        <v>28</v>
      </c>
      <c r="Q262">
        <v>0</v>
      </c>
    </row>
    <row r="263" spans="1:17" x14ac:dyDescent="0.3">
      <c r="A263" t="s">
        <v>17</v>
      </c>
      <c r="B263">
        <v>67</v>
      </c>
      <c r="C263" t="s">
        <v>28</v>
      </c>
      <c r="D263" s="2">
        <v>45695</v>
      </c>
      <c r="E263" s="3">
        <f t="shared" si="4"/>
        <v>45689</v>
      </c>
      <c r="F263" t="s">
        <v>425</v>
      </c>
      <c r="H263" s="4">
        <v>-44.48</v>
      </c>
      <c r="I263" t="s">
        <v>31</v>
      </c>
      <c r="J263" t="s">
        <v>60</v>
      </c>
      <c r="L263" s="2">
        <v>45689</v>
      </c>
      <c r="M263" t="s">
        <v>60</v>
      </c>
      <c r="N263">
        <v>0</v>
      </c>
      <c r="O263" t="s">
        <v>31</v>
      </c>
      <c r="P263" t="s">
        <v>28</v>
      </c>
      <c r="Q263">
        <v>0</v>
      </c>
    </row>
    <row r="264" spans="1:17" x14ac:dyDescent="0.3">
      <c r="A264" t="s">
        <v>17</v>
      </c>
      <c r="B264">
        <v>67</v>
      </c>
      <c r="C264" t="s">
        <v>28</v>
      </c>
      <c r="D264" s="2">
        <v>45695</v>
      </c>
      <c r="E264" s="3">
        <f t="shared" si="4"/>
        <v>45689</v>
      </c>
      <c r="F264" t="s">
        <v>425</v>
      </c>
      <c r="H264" s="4">
        <v>-43.2</v>
      </c>
      <c r="I264" t="s">
        <v>31</v>
      </c>
      <c r="J264" t="s">
        <v>60</v>
      </c>
      <c r="L264" s="2">
        <v>45689</v>
      </c>
      <c r="M264" t="s">
        <v>60</v>
      </c>
      <c r="N264">
        <v>0</v>
      </c>
      <c r="O264" t="s">
        <v>31</v>
      </c>
      <c r="P264" t="s">
        <v>28</v>
      </c>
      <c r="Q264">
        <v>0</v>
      </c>
    </row>
    <row r="265" spans="1:17" x14ac:dyDescent="0.3">
      <c r="A265" t="s">
        <v>17</v>
      </c>
      <c r="B265">
        <v>67</v>
      </c>
      <c r="C265" t="s">
        <v>28</v>
      </c>
      <c r="D265" s="2">
        <v>45695</v>
      </c>
      <c r="E265" s="3">
        <f t="shared" si="4"/>
        <v>45689</v>
      </c>
      <c r="F265" t="s">
        <v>425</v>
      </c>
      <c r="H265" s="4">
        <v>-21.18</v>
      </c>
      <c r="I265" t="s">
        <v>31</v>
      </c>
      <c r="J265" t="s">
        <v>60</v>
      </c>
      <c r="L265" s="2">
        <v>45689</v>
      </c>
      <c r="M265" t="s">
        <v>60</v>
      </c>
      <c r="N265">
        <v>0</v>
      </c>
      <c r="O265" t="s">
        <v>31</v>
      </c>
      <c r="P265" t="s">
        <v>28</v>
      </c>
      <c r="Q265">
        <v>0</v>
      </c>
    </row>
    <row r="266" spans="1:17" x14ac:dyDescent="0.3">
      <c r="A266" t="s">
        <v>17</v>
      </c>
      <c r="B266">
        <v>67</v>
      </c>
      <c r="C266" t="s">
        <v>28</v>
      </c>
      <c r="D266" s="2">
        <v>45695</v>
      </c>
      <c r="E266" s="3">
        <f t="shared" si="4"/>
        <v>45689</v>
      </c>
      <c r="F266" t="s">
        <v>425</v>
      </c>
      <c r="H266" s="4">
        <v>-48.66</v>
      </c>
      <c r="I266" t="s">
        <v>31</v>
      </c>
      <c r="J266" t="s">
        <v>60</v>
      </c>
      <c r="L266" s="2">
        <v>45689</v>
      </c>
      <c r="M266" t="s">
        <v>60</v>
      </c>
      <c r="N266">
        <v>0</v>
      </c>
      <c r="O266" t="s">
        <v>31</v>
      </c>
      <c r="P266" t="s">
        <v>28</v>
      </c>
      <c r="Q266">
        <v>0</v>
      </c>
    </row>
    <row r="267" spans="1:17" x14ac:dyDescent="0.3">
      <c r="A267" t="s">
        <v>17</v>
      </c>
      <c r="B267">
        <v>67</v>
      </c>
      <c r="C267" t="s">
        <v>28</v>
      </c>
      <c r="D267" s="2">
        <v>45695</v>
      </c>
      <c r="E267" s="3">
        <f t="shared" si="4"/>
        <v>45689</v>
      </c>
      <c r="F267" t="s">
        <v>425</v>
      </c>
      <c r="H267" s="4">
        <v>-82.34</v>
      </c>
      <c r="I267" t="s">
        <v>31</v>
      </c>
      <c r="J267" t="s">
        <v>60</v>
      </c>
      <c r="L267" s="2">
        <v>45689</v>
      </c>
      <c r="M267" t="s">
        <v>60</v>
      </c>
      <c r="N267">
        <v>0</v>
      </c>
      <c r="O267" t="s">
        <v>31</v>
      </c>
      <c r="P267" t="s">
        <v>28</v>
      </c>
      <c r="Q267">
        <v>0</v>
      </c>
    </row>
    <row r="268" spans="1:17" x14ac:dyDescent="0.3">
      <c r="A268" t="s">
        <v>17</v>
      </c>
      <c r="B268">
        <v>67</v>
      </c>
      <c r="C268" t="s">
        <v>28</v>
      </c>
      <c r="D268" s="2">
        <v>45695</v>
      </c>
      <c r="E268" s="3">
        <f t="shared" si="4"/>
        <v>45689</v>
      </c>
      <c r="F268" t="s">
        <v>425</v>
      </c>
      <c r="H268" s="4">
        <v>-13.88</v>
      </c>
      <c r="I268" t="s">
        <v>31</v>
      </c>
      <c r="J268" t="s">
        <v>60</v>
      </c>
      <c r="L268" s="2">
        <v>45689</v>
      </c>
      <c r="M268" t="s">
        <v>60</v>
      </c>
      <c r="N268">
        <v>0</v>
      </c>
      <c r="O268" t="s">
        <v>31</v>
      </c>
      <c r="P268" t="s">
        <v>28</v>
      </c>
      <c r="Q268">
        <v>0</v>
      </c>
    </row>
    <row r="269" spans="1:17" x14ac:dyDescent="0.3">
      <c r="A269" t="s">
        <v>17</v>
      </c>
      <c r="B269">
        <v>68</v>
      </c>
      <c r="C269" t="s">
        <v>34</v>
      </c>
      <c r="D269" s="2">
        <v>45698</v>
      </c>
      <c r="E269" s="3">
        <f t="shared" si="4"/>
        <v>45689</v>
      </c>
      <c r="F269" t="s">
        <v>426</v>
      </c>
      <c r="G269" t="s">
        <v>131</v>
      </c>
      <c r="H269" s="4">
        <v>1034.31</v>
      </c>
      <c r="I269" t="s">
        <v>31</v>
      </c>
      <c r="J269" t="s">
        <v>79</v>
      </c>
      <c r="K269" t="s">
        <v>132</v>
      </c>
      <c r="L269" s="2">
        <v>45689</v>
      </c>
      <c r="M269" t="s">
        <v>79</v>
      </c>
      <c r="N269">
        <v>0</v>
      </c>
      <c r="O269" t="s">
        <v>31</v>
      </c>
      <c r="P269" t="s">
        <v>34</v>
      </c>
      <c r="Q269">
        <v>0</v>
      </c>
    </row>
    <row r="270" spans="1:17" x14ac:dyDescent="0.3">
      <c r="A270" t="s">
        <v>17</v>
      </c>
      <c r="B270">
        <v>68</v>
      </c>
      <c r="C270" t="s">
        <v>34</v>
      </c>
      <c r="D270" s="2">
        <v>45699</v>
      </c>
      <c r="E270" s="3">
        <f t="shared" si="4"/>
        <v>45689</v>
      </c>
      <c r="F270" t="s">
        <v>427</v>
      </c>
      <c r="G270" t="s">
        <v>122</v>
      </c>
      <c r="H270" s="4">
        <v>24.36</v>
      </c>
      <c r="I270" t="s">
        <v>108</v>
      </c>
      <c r="J270" t="s">
        <v>109</v>
      </c>
      <c r="K270" t="s">
        <v>123</v>
      </c>
      <c r="L270" s="2">
        <v>45689</v>
      </c>
      <c r="M270" t="s">
        <v>109</v>
      </c>
      <c r="N270">
        <v>0</v>
      </c>
      <c r="O270" t="s">
        <v>111</v>
      </c>
      <c r="P270" t="s">
        <v>112</v>
      </c>
      <c r="Q270" t="s">
        <v>113</v>
      </c>
    </row>
    <row r="271" spans="1:17" x14ac:dyDescent="0.3">
      <c r="A271" t="s">
        <v>17</v>
      </c>
      <c r="B271">
        <v>67</v>
      </c>
      <c r="C271" t="s">
        <v>28</v>
      </c>
      <c r="D271" s="2">
        <v>45699</v>
      </c>
      <c r="E271" s="3">
        <f t="shared" si="4"/>
        <v>45689</v>
      </c>
      <c r="F271" t="s">
        <v>428</v>
      </c>
      <c r="G271" t="s">
        <v>158</v>
      </c>
      <c r="H271" s="4">
        <v>21.78</v>
      </c>
      <c r="I271" t="s">
        <v>159</v>
      </c>
      <c r="J271" t="s">
        <v>74</v>
      </c>
      <c r="K271" t="s">
        <v>429</v>
      </c>
      <c r="L271" s="2">
        <v>45689</v>
      </c>
      <c r="M271" t="s">
        <v>76</v>
      </c>
      <c r="N271">
        <v>0</v>
      </c>
      <c r="O271" t="s">
        <v>159</v>
      </c>
      <c r="P271" t="s">
        <v>28</v>
      </c>
      <c r="Q271">
        <v>0</v>
      </c>
    </row>
    <row r="272" spans="1:17" x14ac:dyDescent="0.3">
      <c r="A272" t="s">
        <v>17</v>
      </c>
      <c r="B272">
        <v>64</v>
      </c>
      <c r="C272" t="s">
        <v>83</v>
      </c>
      <c r="D272" s="2">
        <v>45699</v>
      </c>
      <c r="E272" s="3">
        <f t="shared" si="4"/>
        <v>45689</v>
      </c>
      <c r="F272" t="s">
        <v>428</v>
      </c>
      <c r="G272" t="s">
        <v>158</v>
      </c>
      <c r="H272" s="4">
        <v>13.86</v>
      </c>
      <c r="I272" t="s">
        <v>159</v>
      </c>
      <c r="J272" t="s">
        <v>87</v>
      </c>
      <c r="K272" t="s">
        <v>430</v>
      </c>
      <c r="L272" s="2">
        <v>45689</v>
      </c>
      <c r="M272" t="s">
        <v>89</v>
      </c>
      <c r="N272">
        <v>0</v>
      </c>
      <c r="O272" t="s">
        <v>159</v>
      </c>
      <c r="P272" t="s">
        <v>83</v>
      </c>
      <c r="Q272">
        <v>0</v>
      </c>
    </row>
    <row r="273" spans="1:17" x14ac:dyDescent="0.3">
      <c r="A273" t="s">
        <v>17</v>
      </c>
      <c r="B273">
        <v>64</v>
      </c>
      <c r="C273" t="s">
        <v>83</v>
      </c>
      <c r="D273" s="2">
        <v>45699</v>
      </c>
      <c r="E273" s="3">
        <f t="shared" si="4"/>
        <v>45689</v>
      </c>
      <c r="F273" t="s">
        <v>428</v>
      </c>
      <c r="G273" t="s">
        <v>158</v>
      </c>
      <c r="H273" s="4">
        <v>119.84</v>
      </c>
      <c r="I273" t="s">
        <v>159</v>
      </c>
      <c r="J273" t="s">
        <v>91</v>
      </c>
      <c r="K273" t="s">
        <v>165</v>
      </c>
      <c r="L273" s="2">
        <v>45689</v>
      </c>
      <c r="M273" t="s">
        <v>93</v>
      </c>
      <c r="N273">
        <v>0</v>
      </c>
      <c r="O273" t="s">
        <v>159</v>
      </c>
      <c r="P273" t="s">
        <v>83</v>
      </c>
      <c r="Q273">
        <v>0</v>
      </c>
    </row>
    <row r="274" spans="1:17" x14ac:dyDescent="0.3">
      <c r="A274" t="s">
        <v>17</v>
      </c>
      <c r="B274">
        <v>64</v>
      </c>
      <c r="C274" t="s">
        <v>83</v>
      </c>
      <c r="D274" s="2">
        <v>45699</v>
      </c>
      <c r="E274" s="3">
        <f t="shared" si="4"/>
        <v>45689</v>
      </c>
      <c r="F274" t="s">
        <v>428</v>
      </c>
      <c r="G274" t="s">
        <v>158</v>
      </c>
      <c r="H274" s="4">
        <v>61.26</v>
      </c>
      <c r="I274" t="s">
        <v>159</v>
      </c>
      <c r="J274" t="s">
        <v>91</v>
      </c>
      <c r="K274" t="s">
        <v>165</v>
      </c>
      <c r="L274" s="2">
        <v>45689</v>
      </c>
      <c r="M274" t="s">
        <v>93</v>
      </c>
      <c r="N274">
        <v>0</v>
      </c>
      <c r="O274" t="s">
        <v>159</v>
      </c>
      <c r="P274" t="s">
        <v>83</v>
      </c>
      <c r="Q274">
        <v>0</v>
      </c>
    </row>
    <row r="275" spans="1:17" x14ac:dyDescent="0.3">
      <c r="A275" t="s">
        <v>17</v>
      </c>
      <c r="B275">
        <v>64</v>
      </c>
      <c r="C275" t="s">
        <v>83</v>
      </c>
      <c r="D275" s="2">
        <v>45699</v>
      </c>
      <c r="E275" s="3">
        <f t="shared" si="4"/>
        <v>45689</v>
      </c>
      <c r="F275" t="s">
        <v>428</v>
      </c>
      <c r="G275" t="s">
        <v>158</v>
      </c>
      <c r="H275" s="4">
        <v>86.35</v>
      </c>
      <c r="I275" t="s">
        <v>159</v>
      </c>
      <c r="J275" t="s">
        <v>91</v>
      </c>
      <c r="K275" t="s">
        <v>165</v>
      </c>
      <c r="L275" s="2">
        <v>45689</v>
      </c>
      <c r="M275" t="s">
        <v>93</v>
      </c>
      <c r="N275">
        <v>0</v>
      </c>
      <c r="O275" t="s">
        <v>159</v>
      </c>
      <c r="P275" t="s">
        <v>83</v>
      </c>
      <c r="Q275">
        <v>0</v>
      </c>
    </row>
    <row r="276" spans="1:17" x14ac:dyDescent="0.3">
      <c r="A276" t="s">
        <v>17</v>
      </c>
      <c r="B276">
        <v>64</v>
      </c>
      <c r="C276" t="s">
        <v>83</v>
      </c>
      <c r="D276" s="2">
        <v>45699</v>
      </c>
      <c r="E276" s="3">
        <f t="shared" si="4"/>
        <v>45689</v>
      </c>
      <c r="F276" t="s">
        <v>428</v>
      </c>
      <c r="G276" t="s">
        <v>158</v>
      </c>
      <c r="H276" s="4">
        <v>106.14</v>
      </c>
      <c r="I276" t="s">
        <v>159</v>
      </c>
      <c r="J276" t="s">
        <v>91</v>
      </c>
      <c r="K276" t="s">
        <v>165</v>
      </c>
      <c r="L276" s="2">
        <v>45689</v>
      </c>
      <c r="M276" t="s">
        <v>93</v>
      </c>
      <c r="N276">
        <v>0</v>
      </c>
      <c r="O276" t="s">
        <v>159</v>
      </c>
      <c r="P276" t="s">
        <v>83</v>
      </c>
      <c r="Q276">
        <v>0</v>
      </c>
    </row>
    <row r="277" spans="1:17" x14ac:dyDescent="0.3">
      <c r="A277" t="s">
        <v>17</v>
      </c>
      <c r="B277">
        <v>64</v>
      </c>
      <c r="C277" t="s">
        <v>83</v>
      </c>
      <c r="D277" s="2">
        <v>45699</v>
      </c>
      <c r="E277" s="3">
        <f t="shared" si="4"/>
        <v>45689</v>
      </c>
      <c r="F277" t="s">
        <v>428</v>
      </c>
      <c r="G277" t="s">
        <v>158</v>
      </c>
      <c r="H277" s="4">
        <v>69.790000000000006</v>
      </c>
      <c r="I277" t="s">
        <v>159</v>
      </c>
      <c r="J277" t="s">
        <v>91</v>
      </c>
      <c r="K277" t="s">
        <v>165</v>
      </c>
      <c r="L277" s="2">
        <v>45689</v>
      </c>
      <c r="M277" t="s">
        <v>93</v>
      </c>
      <c r="N277">
        <v>0</v>
      </c>
      <c r="O277" t="s">
        <v>159</v>
      </c>
      <c r="P277" t="s">
        <v>83</v>
      </c>
      <c r="Q277">
        <v>0</v>
      </c>
    </row>
    <row r="278" spans="1:17" x14ac:dyDescent="0.3">
      <c r="A278" t="s">
        <v>17</v>
      </c>
      <c r="B278">
        <v>63</v>
      </c>
      <c r="C278" t="s">
        <v>18</v>
      </c>
      <c r="D278" s="2">
        <v>45700</v>
      </c>
      <c r="E278" s="3">
        <f t="shared" si="4"/>
        <v>45689</v>
      </c>
      <c r="F278" t="s">
        <v>431</v>
      </c>
      <c r="G278" t="s">
        <v>125</v>
      </c>
      <c r="H278" s="4">
        <v>300</v>
      </c>
      <c r="I278" t="s">
        <v>21</v>
      </c>
      <c r="J278" t="s">
        <v>22</v>
      </c>
      <c r="K278" t="s">
        <v>432</v>
      </c>
      <c r="L278" s="2">
        <v>45689</v>
      </c>
      <c r="M278" t="s">
        <v>24</v>
      </c>
      <c r="N278" t="s">
        <v>25</v>
      </c>
      <c r="O278" t="s">
        <v>26</v>
      </c>
      <c r="P278" t="s">
        <v>18</v>
      </c>
      <c r="Q278" t="s">
        <v>27</v>
      </c>
    </row>
    <row r="279" spans="1:17" x14ac:dyDescent="0.3">
      <c r="A279" t="s">
        <v>17</v>
      </c>
      <c r="B279">
        <v>67</v>
      </c>
      <c r="C279" t="s">
        <v>28</v>
      </c>
      <c r="D279" s="2">
        <v>45700</v>
      </c>
      <c r="E279" s="3">
        <f t="shared" si="4"/>
        <v>45689</v>
      </c>
      <c r="F279" t="s">
        <v>433</v>
      </c>
      <c r="G279" t="s">
        <v>119</v>
      </c>
      <c r="H279" s="4">
        <v>1113.75</v>
      </c>
      <c r="I279" t="s">
        <v>31</v>
      </c>
      <c r="J279" t="s">
        <v>68</v>
      </c>
      <c r="K279" t="s">
        <v>434</v>
      </c>
      <c r="L279" s="2">
        <v>45689</v>
      </c>
      <c r="M279" t="s">
        <v>68</v>
      </c>
      <c r="N279">
        <v>0</v>
      </c>
      <c r="O279" t="s">
        <v>31</v>
      </c>
      <c r="P279" t="s">
        <v>28</v>
      </c>
      <c r="Q279">
        <v>0</v>
      </c>
    </row>
    <row r="280" spans="1:17" x14ac:dyDescent="0.3">
      <c r="A280" t="s">
        <v>17</v>
      </c>
      <c r="B280">
        <v>68</v>
      </c>
      <c r="C280" t="s">
        <v>34</v>
      </c>
      <c r="D280" s="2">
        <v>45700</v>
      </c>
      <c r="E280" s="3">
        <f t="shared" si="4"/>
        <v>45689</v>
      </c>
      <c r="F280" t="s">
        <v>435</v>
      </c>
      <c r="G280" t="s">
        <v>122</v>
      </c>
      <c r="H280" s="4">
        <v>134.24</v>
      </c>
      <c r="I280" t="s">
        <v>108</v>
      </c>
      <c r="J280" t="s">
        <v>109</v>
      </c>
      <c r="K280" t="s">
        <v>123</v>
      </c>
      <c r="L280" s="2">
        <v>45689</v>
      </c>
      <c r="M280" t="s">
        <v>109</v>
      </c>
      <c r="N280">
        <v>0</v>
      </c>
      <c r="O280" t="s">
        <v>111</v>
      </c>
      <c r="P280" t="s">
        <v>112</v>
      </c>
      <c r="Q280" t="s">
        <v>113</v>
      </c>
    </row>
    <row r="281" spans="1:17" x14ac:dyDescent="0.3">
      <c r="A281" t="s">
        <v>17</v>
      </c>
      <c r="B281">
        <v>68</v>
      </c>
      <c r="C281" t="s">
        <v>34</v>
      </c>
      <c r="D281" s="2">
        <v>45700</v>
      </c>
      <c r="E281" s="3">
        <f t="shared" si="4"/>
        <v>45689</v>
      </c>
      <c r="F281" t="s">
        <v>436</v>
      </c>
      <c r="G281" t="s">
        <v>122</v>
      </c>
      <c r="H281" s="4">
        <v>90.44</v>
      </c>
      <c r="I281" t="s">
        <v>108</v>
      </c>
      <c r="J281" t="s">
        <v>109</v>
      </c>
      <c r="K281" t="s">
        <v>388</v>
      </c>
      <c r="L281" s="2">
        <v>45689</v>
      </c>
      <c r="M281" t="s">
        <v>109</v>
      </c>
      <c r="N281">
        <v>0</v>
      </c>
      <c r="O281" t="s">
        <v>111</v>
      </c>
      <c r="P281" t="s">
        <v>112</v>
      </c>
      <c r="Q281" t="s">
        <v>113</v>
      </c>
    </row>
    <row r="282" spans="1:17" x14ac:dyDescent="0.3">
      <c r="A282" t="s">
        <v>17</v>
      </c>
      <c r="B282">
        <v>68</v>
      </c>
      <c r="C282" t="s">
        <v>34</v>
      </c>
      <c r="D282" s="2">
        <v>45700</v>
      </c>
      <c r="E282" s="3">
        <f t="shared" si="4"/>
        <v>45689</v>
      </c>
      <c r="F282" t="s">
        <v>437</v>
      </c>
      <c r="G282" t="s">
        <v>122</v>
      </c>
      <c r="H282" s="4">
        <v>1257.42</v>
      </c>
      <c r="I282" t="s">
        <v>108</v>
      </c>
      <c r="J282" t="s">
        <v>109</v>
      </c>
      <c r="K282" t="s">
        <v>123</v>
      </c>
      <c r="L282" s="2">
        <v>45689</v>
      </c>
      <c r="M282" t="s">
        <v>109</v>
      </c>
      <c r="N282">
        <v>0</v>
      </c>
      <c r="O282" t="s">
        <v>111</v>
      </c>
      <c r="P282" t="s">
        <v>112</v>
      </c>
      <c r="Q282" t="s">
        <v>113</v>
      </c>
    </row>
    <row r="283" spans="1:17" x14ac:dyDescent="0.3">
      <c r="A283" t="s">
        <v>17</v>
      </c>
      <c r="B283">
        <v>67</v>
      </c>
      <c r="C283" t="s">
        <v>28</v>
      </c>
      <c r="D283" s="2">
        <v>45701</v>
      </c>
      <c r="E283" s="3">
        <f t="shared" si="4"/>
        <v>45689</v>
      </c>
      <c r="F283" t="s">
        <v>438</v>
      </c>
      <c r="G283" t="s">
        <v>439</v>
      </c>
      <c r="H283" s="4">
        <v>2500</v>
      </c>
      <c r="I283" t="s">
        <v>31</v>
      </c>
      <c r="J283" t="s">
        <v>48</v>
      </c>
      <c r="K283" t="s">
        <v>440</v>
      </c>
      <c r="L283" s="2">
        <v>45689</v>
      </c>
      <c r="M283" t="s">
        <v>50</v>
      </c>
      <c r="N283">
        <v>0</v>
      </c>
      <c r="O283" t="s">
        <v>31</v>
      </c>
      <c r="P283" t="s">
        <v>28</v>
      </c>
      <c r="Q283">
        <v>0</v>
      </c>
    </row>
    <row r="284" spans="1:17" x14ac:dyDescent="0.3">
      <c r="A284" t="s">
        <v>17</v>
      </c>
      <c r="B284">
        <v>65</v>
      </c>
      <c r="C284" t="s">
        <v>54</v>
      </c>
      <c r="D284" s="2">
        <v>45702</v>
      </c>
      <c r="E284" s="3">
        <f t="shared" si="4"/>
        <v>45689</v>
      </c>
      <c r="F284" t="s">
        <v>441</v>
      </c>
      <c r="G284" t="s">
        <v>154</v>
      </c>
      <c r="H284" s="4">
        <v>740.48</v>
      </c>
      <c r="I284" t="s">
        <v>31</v>
      </c>
      <c r="J284" t="s">
        <v>155</v>
      </c>
      <c r="K284" t="s">
        <v>442</v>
      </c>
      <c r="L284" s="2">
        <v>45689</v>
      </c>
      <c r="M284" t="s">
        <v>155</v>
      </c>
      <c r="N284">
        <v>0</v>
      </c>
      <c r="O284" t="s">
        <v>31</v>
      </c>
      <c r="P284" t="s">
        <v>54</v>
      </c>
      <c r="Q284">
        <v>0</v>
      </c>
    </row>
    <row r="285" spans="1:17" x14ac:dyDescent="0.3">
      <c r="A285" t="s">
        <v>17</v>
      </c>
      <c r="B285">
        <v>67</v>
      </c>
      <c r="C285" t="s">
        <v>28</v>
      </c>
      <c r="D285" s="2">
        <v>45702</v>
      </c>
      <c r="E285" s="3">
        <f t="shared" si="4"/>
        <v>45689</v>
      </c>
      <c r="F285" t="s">
        <v>443</v>
      </c>
      <c r="G285" t="s">
        <v>67</v>
      </c>
      <c r="H285" s="4">
        <v>334.68</v>
      </c>
      <c r="I285" t="s">
        <v>31</v>
      </c>
      <c r="J285" t="s">
        <v>68</v>
      </c>
      <c r="K285" t="s">
        <v>444</v>
      </c>
      <c r="L285" s="2">
        <v>45689</v>
      </c>
      <c r="M285" t="s">
        <v>68</v>
      </c>
      <c r="N285">
        <v>0</v>
      </c>
      <c r="O285" t="s">
        <v>31</v>
      </c>
      <c r="P285" t="s">
        <v>28</v>
      </c>
      <c r="Q285">
        <v>0</v>
      </c>
    </row>
    <row r="286" spans="1:17" x14ac:dyDescent="0.3">
      <c r="A286" t="s">
        <v>17</v>
      </c>
      <c r="B286">
        <v>64</v>
      </c>
      <c r="C286" t="s">
        <v>83</v>
      </c>
      <c r="D286" s="2">
        <v>45702</v>
      </c>
      <c r="E286" s="3">
        <f t="shared" si="4"/>
        <v>45689</v>
      </c>
      <c r="F286" t="s">
        <v>445</v>
      </c>
      <c r="G286" t="s">
        <v>101</v>
      </c>
      <c r="H286" s="4">
        <v>33.979999999999997</v>
      </c>
      <c r="I286" t="s">
        <v>31</v>
      </c>
      <c r="J286" t="s">
        <v>87</v>
      </c>
      <c r="K286" t="s">
        <v>446</v>
      </c>
      <c r="L286" s="2">
        <v>45689</v>
      </c>
      <c r="M286" t="s">
        <v>89</v>
      </c>
      <c r="N286">
        <v>0</v>
      </c>
      <c r="O286" t="s">
        <v>31</v>
      </c>
      <c r="P286" t="s">
        <v>83</v>
      </c>
      <c r="Q286">
        <v>0</v>
      </c>
    </row>
    <row r="287" spans="1:17" x14ac:dyDescent="0.3">
      <c r="A287" t="s">
        <v>17</v>
      </c>
      <c r="B287">
        <v>64</v>
      </c>
      <c r="C287" t="s">
        <v>83</v>
      </c>
      <c r="D287" s="2">
        <v>45702</v>
      </c>
      <c r="E287" s="3">
        <f t="shared" si="4"/>
        <v>45689</v>
      </c>
      <c r="F287" t="s">
        <v>445</v>
      </c>
      <c r="G287" t="s">
        <v>101</v>
      </c>
      <c r="H287" s="4">
        <v>111.66</v>
      </c>
      <c r="I287" t="s">
        <v>31</v>
      </c>
      <c r="J287" t="s">
        <v>87</v>
      </c>
      <c r="K287" t="s">
        <v>447</v>
      </c>
      <c r="L287" s="2">
        <v>45689</v>
      </c>
      <c r="M287" t="s">
        <v>89</v>
      </c>
      <c r="N287">
        <v>0</v>
      </c>
      <c r="O287" t="s">
        <v>31</v>
      </c>
      <c r="P287" t="s">
        <v>83</v>
      </c>
      <c r="Q287">
        <v>0</v>
      </c>
    </row>
    <row r="288" spans="1:17" x14ac:dyDescent="0.3">
      <c r="A288" t="s">
        <v>17</v>
      </c>
      <c r="B288">
        <v>64</v>
      </c>
      <c r="C288" t="s">
        <v>83</v>
      </c>
      <c r="D288" s="2">
        <v>45702</v>
      </c>
      <c r="E288" s="3">
        <f t="shared" si="4"/>
        <v>45689</v>
      </c>
      <c r="F288" t="s">
        <v>445</v>
      </c>
      <c r="G288" t="s">
        <v>101</v>
      </c>
      <c r="H288" s="4">
        <v>31.22</v>
      </c>
      <c r="I288" t="s">
        <v>31</v>
      </c>
      <c r="J288" t="s">
        <v>91</v>
      </c>
      <c r="K288" t="s">
        <v>448</v>
      </c>
      <c r="L288" s="2">
        <v>45689</v>
      </c>
      <c r="M288" t="s">
        <v>93</v>
      </c>
      <c r="N288">
        <v>0</v>
      </c>
      <c r="O288" t="s">
        <v>31</v>
      </c>
      <c r="P288" t="s">
        <v>83</v>
      </c>
      <c r="Q288">
        <v>0</v>
      </c>
    </row>
    <row r="289" spans="1:17" x14ac:dyDescent="0.3">
      <c r="A289" t="s">
        <v>17</v>
      </c>
      <c r="B289">
        <v>64</v>
      </c>
      <c r="C289" t="s">
        <v>83</v>
      </c>
      <c r="D289" s="2">
        <v>45702</v>
      </c>
      <c r="E289" s="3">
        <f t="shared" si="4"/>
        <v>45689</v>
      </c>
      <c r="F289" t="s">
        <v>445</v>
      </c>
      <c r="G289" t="s">
        <v>101</v>
      </c>
      <c r="H289" s="4">
        <v>42.53</v>
      </c>
      <c r="I289" t="s">
        <v>31</v>
      </c>
      <c r="J289" t="s">
        <v>91</v>
      </c>
      <c r="K289" t="s">
        <v>449</v>
      </c>
      <c r="L289" s="2">
        <v>45689</v>
      </c>
      <c r="M289" t="s">
        <v>93</v>
      </c>
      <c r="N289">
        <v>0</v>
      </c>
      <c r="O289" t="s">
        <v>31</v>
      </c>
      <c r="P289" t="s">
        <v>83</v>
      </c>
      <c r="Q289">
        <v>0</v>
      </c>
    </row>
    <row r="290" spans="1:17" x14ac:dyDescent="0.3">
      <c r="A290" t="s">
        <v>17</v>
      </c>
      <c r="B290">
        <v>64</v>
      </c>
      <c r="C290" t="s">
        <v>83</v>
      </c>
      <c r="D290" s="2">
        <v>45702</v>
      </c>
      <c r="E290" s="3">
        <f t="shared" si="4"/>
        <v>45689</v>
      </c>
      <c r="F290" t="s">
        <v>445</v>
      </c>
      <c r="G290" t="s">
        <v>101</v>
      </c>
      <c r="H290" s="4">
        <v>13.55</v>
      </c>
      <c r="I290" t="s">
        <v>31</v>
      </c>
      <c r="J290" t="s">
        <v>91</v>
      </c>
      <c r="K290" t="s">
        <v>450</v>
      </c>
      <c r="L290" s="2">
        <v>45689</v>
      </c>
      <c r="M290" t="s">
        <v>93</v>
      </c>
      <c r="N290">
        <v>0</v>
      </c>
      <c r="O290" t="s">
        <v>31</v>
      </c>
      <c r="P290" t="s">
        <v>83</v>
      </c>
      <c r="Q290">
        <v>0</v>
      </c>
    </row>
    <row r="291" spans="1:17" x14ac:dyDescent="0.3">
      <c r="A291" t="s">
        <v>17</v>
      </c>
      <c r="B291">
        <v>64</v>
      </c>
      <c r="C291" t="s">
        <v>83</v>
      </c>
      <c r="D291" s="2">
        <v>45702</v>
      </c>
      <c r="E291" s="3">
        <f t="shared" si="4"/>
        <v>45689</v>
      </c>
      <c r="F291" t="s">
        <v>445</v>
      </c>
      <c r="G291" t="s">
        <v>101</v>
      </c>
      <c r="H291" s="4">
        <v>6.72</v>
      </c>
      <c r="I291" t="s">
        <v>31</v>
      </c>
      <c r="J291" t="s">
        <v>91</v>
      </c>
      <c r="K291" t="s">
        <v>451</v>
      </c>
      <c r="L291" s="2">
        <v>45689</v>
      </c>
      <c r="M291" t="s">
        <v>93</v>
      </c>
      <c r="N291">
        <v>0</v>
      </c>
      <c r="O291" t="s">
        <v>31</v>
      </c>
      <c r="P291" t="s">
        <v>83</v>
      </c>
      <c r="Q291">
        <v>0</v>
      </c>
    </row>
    <row r="292" spans="1:17" x14ac:dyDescent="0.3">
      <c r="A292" t="s">
        <v>17</v>
      </c>
      <c r="B292">
        <v>64</v>
      </c>
      <c r="C292" t="s">
        <v>83</v>
      </c>
      <c r="D292" s="2">
        <v>45702</v>
      </c>
      <c r="E292" s="3">
        <f t="shared" si="4"/>
        <v>45689</v>
      </c>
      <c r="F292" t="s">
        <v>445</v>
      </c>
      <c r="G292" t="s">
        <v>101</v>
      </c>
      <c r="H292" s="4">
        <v>10.7</v>
      </c>
      <c r="I292" t="s">
        <v>31</v>
      </c>
      <c r="J292" t="s">
        <v>91</v>
      </c>
      <c r="K292" t="s">
        <v>452</v>
      </c>
      <c r="L292" s="2">
        <v>45689</v>
      </c>
      <c r="M292" t="s">
        <v>93</v>
      </c>
      <c r="N292">
        <v>0</v>
      </c>
      <c r="O292" t="s">
        <v>31</v>
      </c>
      <c r="P292" t="s">
        <v>83</v>
      </c>
      <c r="Q292">
        <v>0</v>
      </c>
    </row>
    <row r="293" spans="1:17" x14ac:dyDescent="0.3">
      <c r="A293" t="s">
        <v>17</v>
      </c>
      <c r="B293">
        <v>68</v>
      </c>
      <c r="C293" t="s">
        <v>34</v>
      </c>
      <c r="D293" s="2">
        <v>45702</v>
      </c>
      <c r="E293" s="3">
        <f t="shared" si="4"/>
        <v>45689</v>
      </c>
      <c r="F293" t="s">
        <v>453</v>
      </c>
      <c r="G293" t="s">
        <v>122</v>
      </c>
      <c r="H293" s="4">
        <v>18.91</v>
      </c>
      <c r="I293" t="s">
        <v>108</v>
      </c>
      <c r="J293" t="s">
        <v>109</v>
      </c>
      <c r="K293" t="s">
        <v>123</v>
      </c>
      <c r="L293" s="2">
        <v>45689</v>
      </c>
      <c r="M293" t="s">
        <v>109</v>
      </c>
      <c r="N293">
        <v>0</v>
      </c>
      <c r="O293" t="s">
        <v>111</v>
      </c>
      <c r="P293" t="s">
        <v>112</v>
      </c>
      <c r="Q293" t="s">
        <v>113</v>
      </c>
    </row>
    <row r="294" spans="1:17" x14ac:dyDescent="0.3">
      <c r="A294" t="s">
        <v>17</v>
      </c>
      <c r="B294">
        <v>64</v>
      </c>
      <c r="C294" t="s">
        <v>83</v>
      </c>
      <c r="D294" s="2">
        <v>45703</v>
      </c>
      <c r="E294" s="3">
        <f t="shared" si="4"/>
        <v>45689</v>
      </c>
      <c r="F294" t="s">
        <v>454</v>
      </c>
      <c r="G294" t="s">
        <v>174</v>
      </c>
      <c r="H294" s="4">
        <v>47.58</v>
      </c>
      <c r="I294" t="s">
        <v>31</v>
      </c>
      <c r="J294" t="s">
        <v>87</v>
      </c>
      <c r="K294" t="s">
        <v>455</v>
      </c>
      <c r="L294" s="2">
        <v>45689</v>
      </c>
      <c r="M294" t="s">
        <v>89</v>
      </c>
      <c r="N294">
        <v>0</v>
      </c>
      <c r="O294" t="s">
        <v>31</v>
      </c>
      <c r="P294" t="s">
        <v>83</v>
      </c>
      <c r="Q294">
        <v>0</v>
      </c>
    </row>
    <row r="295" spans="1:17" x14ac:dyDescent="0.3">
      <c r="A295" t="s">
        <v>17</v>
      </c>
      <c r="B295">
        <v>64</v>
      </c>
      <c r="C295" t="s">
        <v>83</v>
      </c>
      <c r="D295" s="2">
        <v>45703</v>
      </c>
      <c r="E295" s="3">
        <f t="shared" si="4"/>
        <v>45689</v>
      </c>
      <c r="F295" t="s">
        <v>454</v>
      </c>
      <c r="G295" t="s">
        <v>174</v>
      </c>
      <c r="H295" s="4">
        <v>85.43</v>
      </c>
      <c r="I295" t="s">
        <v>31</v>
      </c>
      <c r="J295" t="s">
        <v>91</v>
      </c>
      <c r="K295" t="s">
        <v>456</v>
      </c>
      <c r="L295" s="2">
        <v>45689</v>
      </c>
      <c r="M295" t="s">
        <v>93</v>
      </c>
      <c r="N295">
        <v>0</v>
      </c>
      <c r="O295" t="s">
        <v>31</v>
      </c>
      <c r="P295" t="s">
        <v>83</v>
      </c>
      <c r="Q295">
        <v>0</v>
      </c>
    </row>
    <row r="296" spans="1:17" x14ac:dyDescent="0.3">
      <c r="A296" t="s">
        <v>17</v>
      </c>
      <c r="B296">
        <v>66</v>
      </c>
      <c r="C296" t="s">
        <v>134</v>
      </c>
      <c r="D296" s="2">
        <v>45705</v>
      </c>
      <c r="E296" s="3">
        <f t="shared" si="4"/>
        <v>45689</v>
      </c>
      <c r="F296" t="s">
        <v>457</v>
      </c>
      <c r="G296" t="s">
        <v>458</v>
      </c>
      <c r="H296" s="4">
        <v>2960.54</v>
      </c>
      <c r="I296" t="s">
        <v>104</v>
      </c>
      <c r="J296" t="s">
        <v>138</v>
      </c>
      <c r="K296" t="s">
        <v>459</v>
      </c>
      <c r="L296" s="2">
        <v>45689</v>
      </c>
      <c r="M296" t="s">
        <v>140</v>
      </c>
      <c r="N296">
        <v>0</v>
      </c>
      <c r="O296" t="s">
        <v>104</v>
      </c>
      <c r="P296" t="s">
        <v>134</v>
      </c>
      <c r="Q296">
        <v>0</v>
      </c>
    </row>
    <row r="297" spans="1:17" x14ac:dyDescent="0.3">
      <c r="A297" t="s">
        <v>17</v>
      </c>
      <c r="B297">
        <v>66</v>
      </c>
      <c r="C297" t="s">
        <v>134</v>
      </c>
      <c r="D297" s="2">
        <v>45705</v>
      </c>
      <c r="E297" s="3">
        <f t="shared" si="4"/>
        <v>45689</v>
      </c>
      <c r="F297" t="s">
        <v>460</v>
      </c>
      <c r="G297" t="s">
        <v>458</v>
      </c>
      <c r="H297" s="4">
        <v>533.03</v>
      </c>
      <c r="I297" t="s">
        <v>104</v>
      </c>
      <c r="J297" t="s">
        <v>138</v>
      </c>
      <c r="K297" t="s">
        <v>459</v>
      </c>
      <c r="L297" s="2">
        <v>45689</v>
      </c>
      <c r="M297" t="s">
        <v>140</v>
      </c>
      <c r="N297">
        <v>0</v>
      </c>
      <c r="O297" t="s">
        <v>104</v>
      </c>
      <c r="P297" t="s">
        <v>134</v>
      </c>
      <c r="Q297">
        <v>0</v>
      </c>
    </row>
    <row r="298" spans="1:17" x14ac:dyDescent="0.3">
      <c r="A298" t="s">
        <v>17</v>
      </c>
      <c r="B298">
        <v>64</v>
      </c>
      <c r="C298" t="s">
        <v>83</v>
      </c>
      <c r="D298" s="2">
        <v>45706</v>
      </c>
      <c r="E298" s="3">
        <f t="shared" si="4"/>
        <v>45689</v>
      </c>
      <c r="F298" t="s">
        <v>461</v>
      </c>
      <c r="G298" t="s">
        <v>462</v>
      </c>
      <c r="H298" s="4">
        <v>88.32</v>
      </c>
      <c r="I298" t="s">
        <v>31</v>
      </c>
      <c r="J298" t="s">
        <v>87</v>
      </c>
      <c r="K298" t="s">
        <v>463</v>
      </c>
      <c r="L298" s="2">
        <v>45689</v>
      </c>
      <c r="M298" t="s">
        <v>89</v>
      </c>
      <c r="N298">
        <v>0</v>
      </c>
      <c r="O298" t="s">
        <v>31</v>
      </c>
      <c r="P298" t="s">
        <v>83</v>
      </c>
      <c r="Q298">
        <v>0</v>
      </c>
    </row>
    <row r="299" spans="1:17" x14ac:dyDescent="0.3">
      <c r="A299" t="s">
        <v>17</v>
      </c>
      <c r="B299">
        <v>64</v>
      </c>
      <c r="C299" t="s">
        <v>83</v>
      </c>
      <c r="D299" s="2">
        <v>45706</v>
      </c>
      <c r="E299" s="3">
        <f t="shared" si="4"/>
        <v>45689</v>
      </c>
      <c r="F299" t="s">
        <v>461</v>
      </c>
      <c r="G299" t="s">
        <v>462</v>
      </c>
      <c r="H299" s="4">
        <v>56.02</v>
      </c>
      <c r="I299" t="s">
        <v>31</v>
      </c>
      <c r="J299" t="s">
        <v>87</v>
      </c>
      <c r="K299" t="s">
        <v>464</v>
      </c>
      <c r="L299" s="2">
        <v>45689</v>
      </c>
      <c r="M299" t="s">
        <v>89</v>
      </c>
      <c r="N299">
        <v>0</v>
      </c>
      <c r="O299" t="s">
        <v>31</v>
      </c>
      <c r="P299" t="s">
        <v>83</v>
      </c>
      <c r="Q299">
        <v>0</v>
      </c>
    </row>
    <row r="300" spans="1:17" x14ac:dyDescent="0.3">
      <c r="A300" t="s">
        <v>17</v>
      </c>
      <c r="B300">
        <v>64</v>
      </c>
      <c r="C300" t="s">
        <v>83</v>
      </c>
      <c r="D300" s="2">
        <v>45706</v>
      </c>
      <c r="E300" s="3">
        <f t="shared" si="4"/>
        <v>45689</v>
      </c>
      <c r="F300" t="s">
        <v>461</v>
      </c>
      <c r="G300" t="s">
        <v>462</v>
      </c>
      <c r="H300" s="4">
        <v>36.700000000000003</v>
      </c>
      <c r="I300" t="s">
        <v>31</v>
      </c>
      <c r="J300" t="s">
        <v>87</v>
      </c>
      <c r="K300" t="s">
        <v>465</v>
      </c>
      <c r="L300" s="2">
        <v>45689</v>
      </c>
      <c r="M300" t="s">
        <v>89</v>
      </c>
      <c r="N300">
        <v>0</v>
      </c>
      <c r="O300" t="s">
        <v>31</v>
      </c>
      <c r="P300" t="s">
        <v>83</v>
      </c>
      <c r="Q300">
        <v>0</v>
      </c>
    </row>
    <row r="301" spans="1:17" x14ac:dyDescent="0.3">
      <c r="A301" t="s">
        <v>17</v>
      </c>
      <c r="B301">
        <v>68</v>
      </c>
      <c r="C301" t="s">
        <v>34</v>
      </c>
      <c r="D301" s="2">
        <v>45707</v>
      </c>
      <c r="E301" s="3">
        <f t="shared" si="4"/>
        <v>45689</v>
      </c>
      <c r="F301" t="s">
        <v>466</v>
      </c>
      <c r="G301" t="s">
        <v>222</v>
      </c>
      <c r="H301" s="4">
        <v>21.58</v>
      </c>
      <c r="I301" t="s">
        <v>104</v>
      </c>
      <c r="J301" t="s">
        <v>79</v>
      </c>
      <c r="K301" t="s">
        <v>467</v>
      </c>
      <c r="L301" s="2">
        <v>45689</v>
      </c>
      <c r="M301" t="s">
        <v>79</v>
      </c>
      <c r="N301">
        <v>0</v>
      </c>
      <c r="O301" t="s">
        <v>104</v>
      </c>
      <c r="P301" t="s">
        <v>34</v>
      </c>
      <c r="Q301">
        <v>0</v>
      </c>
    </row>
    <row r="302" spans="1:17" x14ac:dyDescent="0.3">
      <c r="A302" t="s">
        <v>17</v>
      </c>
      <c r="B302">
        <v>66</v>
      </c>
      <c r="C302" t="s">
        <v>134</v>
      </c>
      <c r="D302" s="2">
        <v>45707</v>
      </c>
      <c r="E302" s="3">
        <f t="shared" si="4"/>
        <v>45689</v>
      </c>
      <c r="F302" t="s">
        <v>466</v>
      </c>
      <c r="G302" t="s">
        <v>222</v>
      </c>
      <c r="H302" s="4">
        <v>38.299999999999997</v>
      </c>
      <c r="I302" t="s">
        <v>104</v>
      </c>
      <c r="J302" t="s">
        <v>223</v>
      </c>
      <c r="K302" t="s">
        <v>468</v>
      </c>
      <c r="L302" s="2">
        <v>45689</v>
      </c>
      <c r="M302" t="s">
        <v>223</v>
      </c>
      <c r="N302">
        <v>0</v>
      </c>
      <c r="O302" t="s">
        <v>104</v>
      </c>
      <c r="P302" t="s">
        <v>134</v>
      </c>
      <c r="Q302">
        <v>0</v>
      </c>
    </row>
    <row r="303" spans="1:17" x14ac:dyDescent="0.3">
      <c r="A303" t="s">
        <v>17</v>
      </c>
      <c r="B303">
        <v>66</v>
      </c>
      <c r="C303" t="s">
        <v>134</v>
      </c>
      <c r="D303" s="2">
        <v>45707</v>
      </c>
      <c r="E303" s="3">
        <f t="shared" si="4"/>
        <v>45689</v>
      </c>
      <c r="F303" t="s">
        <v>466</v>
      </c>
      <c r="G303" t="s">
        <v>222</v>
      </c>
      <c r="H303" s="4">
        <v>66.25</v>
      </c>
      <c r="I303" t="s">
        <v>104</v>
      </c>
      <c r="J303" t="s">
        <v>223</v>
      </c>
      <c r="K303" t="s">
        <v>468</v>
      </c>
      <c r="L303" s="2">
        <v>45689</v>
      </c>
      <c r="M303" t="s">
        <v>223</v>
      </c>
      <c r="N303">
        <v>0</v>
      </c>
      <c r="O303" t="s">
        <v>104</v>
      </c>
      <c r="P303" t="s">
        <v>134</v>
      </c>
      <c r="Q303">
        <v>0</v>
      </c>
    </row>
    <row r="304" spans="1:17" x14ac:dyDescent="0.3">
      <c r="A304" t="s">
        <v>17</v>
      </c>
      <c r="B304">
        <v>66</v>
      </c>
      <c r="C304" t="s">
        <v>134</v>
      </c>
      <c r="D304" s="2">
        <v>45707</v>
      </c>
      <c r="E304" s="3">
        <f t="shared" si="4"/>
        <v>45689</v>
      </c>
      <c r="F304" t="s">
        <v>466</v>
      </c>
      <c r="G304" t="s">
        <v>222</v>
      </c>
      <c r="H304" s="4">
        <v>90</v>
      </c>
      <c r="I304" t="s">
        <v>104</v>
      </c>
      <c r="J304" t="s">
        <v>223</v>
      </c>
      <c r="K304" t="s">
        <v>468</v>
      </c>
      <c r="L304" s="2">
        <v>45689</v>
      </c>
      <c r="M304" t="s">
        <v>223</v>
      </c>
      <c r="N304">
        <v>0</v>
      </c>
      <c r="O304" t="s">
        <v>104</v>
      </c>
      <c r="P304" t="s">
        <v>134</v>
      </c>
      <c r="Q304">
        <v>0</v>
      </c>
    </row>
    <row r="305" spans="1:17" x14ac:dyDescent="0.3">
      <c r="A305" t="s">
        <v>17</v>
      </c>
      <c r="B305">
        <v>66</v>
      </c>
      <c r="C305" t="s">
        <v>134</v>
      </c>
      <c r="D305" s="2">
        <v>45707</v>
      </c>
      <c r="E305" s="3">
        <f t="shared" si="4"/>
        <v>45689</v>
      </c>
      <c r="F305" t="s">
        <v>466</v>
      </c>
      <c r="G305" t="s">
        <v>222</v>
      </c>
      <c r="H305" s="4">
        <v>68</v>
      </c>
      <c r="I305" t="s">
        <v>104</v>
      </c>
      <c r="J305" t="s">
        <v>223</v>
      </c>
      <c r="K305" t="s">
        <v>468</v>
      </c>
      <c r="L305" s="2">
        <v>45689</v>
      </c>
      <c r="M305" t="s">
        <v>223</v>
      </c>
      <c r="N305">
        <v>0</v>
      </c>
      <c r="O305" t="s">
        <v>104</v>
      </c>
      <c r="P305" t="s">
        <v>134</v>
      </c>
      <c r="Q305">
        <v>0</v>
      </c>
    </row>
    <row r="306" spans="1:17" x14ac:dyDescent="0.3">
      <c r="A306" t="s">
        <v>17</v>
      </c>
      <c r="B306">
        <v>66</v>
      </c>
      <c r="C306" t="s">
        <v>134</v>
      </c>
      <c r="D306" s="2">
        <v>45707</v>
      </c>
      <c r="E306" s="3">
        <f t="shared" si="4"/>
        <v>45689</v>
      </c>
      <c r="F306" t="s">
        <v>466</v>
      </c>
      <c r="G306" t="s">
        <v>222</v>
      </c>
      <c r="H306" s="4">
        <v>78</v>
      </c>
      <c r="I306" t="s">
        <v>104</v>
      </c>
      <c r="J306" t="s">
        <v>223</v>
      </c>
      <c r="K306" t="s">
        <v>468</v>
      </c>
      <c r="L306" s="2">
        <v>45689</v>
      </c>
      <c r="M306" t="s">
        <v>223</v>
      </c>
      <c r="N306">
        <v>0</v>
      </c>
      <c r="O306" t="s">
        <v>104</v>
      </c>
      <c r="P306" t="s">
        <v>134</v>
      </c>
      <c r="Q306">
        <v>0</v>
      </c>
    </row>
    <row r="307" spans="1:17" x14ac:dyDescent="0.3">
      <c r="A307" t="s">
        <v>17</v>
      </c>
      <c r="B307">
        <v>66</v>
      </c>
      <c r="C307" t="s">
        <v>134</v>
      </c>
      <c r="D307" s="2">
        <v>45707</v>
      </c>
      <c r="E307" s="3">
        <f t="shared" si="4"/>
        <v>45689</v>
      </c>
      <c r="F307" t="s">
        <v>466</v>
      </c>
      <c r="G307" t="s">
        <v>222</v>
      </c>
      <c r="H307" s="4">
        <v>48</v>
      </c>
      <c r="I307" t="s">
        <v>104</v>
      </c>
      <c r="J307" t="s">
        <v>223</v>
      </c>
      <c r="K307" t="s">
        <v>468</v>
      </c>
      <c r="L307" s="2">
        <v>45689</v>
      </c>
      <c r="M307" t="s">
        <v>223</v>
      </c>
      <c r="N307">
        <v>0</v>
      </c>
      <c r="O307" t="s">
        <v>104</v>
      </c>
      <c r="P307" t="s">
        <v>134</v>
      </c>
      <c r="Q307">
        <v>0</v>
      </c>
    </row>
    <row r="308" spans="1:17" x14ac:dyDescent="0.3">
      <c r="A308" t="s">
        <v>17</v>
      </c>
      <c r="B308">
        <v>66</v>
      </c>
      <c r="C308" t="s">
        <v>134</v>
      </c>
      <c r="D308" s="2">
        <v>45707</v>
      </c>
      <c r="E308" s="3">
        <f t="shared" si="4"/>
        <v>45689</v>
      </c>
      <c r="F308" t="s">
        <v>466</v>
      </c>
      <c r="G308" t="s">
        <v>222</v>
      </c>
      <c r="H308" s="4">
        <v>124.85</v>
      </c>
      <c r="I308" t="s">
        <v>104</v>
      </c>
      <c r="J308" t="s">
        <v>223</v>
      </c>
      <c r="K308" t="s">
        <v>468</v>
      </c>
      <c r="L308" s="2">
        <v>45689</v>
      </c>
      <c r="M308" t="s">
        <v>223</v>
      </c>
      <c r="N308">
        <v>0</v>
      </c>
      <c r="O308" t="s">
        <v>104</v>
      </c>
      <c r="P308" t="s">
        <v>134</v>
      </c>
      <c r="Q308">
        <v>0</v>
      </c>
    </row>
    <row r="309" spans="1:17" x14ac:dyDescent="0.3">
      <c r="A309" t="s">
        <v>17</v>
      </c>
      <c r="B309">
        <v>66</v>
      </c>
      <c r="C309" t="s">
        <v>134</v>
      </c>
      <c r="D309" s="2">
        <v>45707</v>
      </c>
      <c r="E309" s="3">
        <f t="shared" si="4"/>
        <v>45689</v>
      </c>
      <c r="F309" t="s">
        <v>466</v>
      </c>
      <c r="G309" t="s">
        <v>222</v>
      </c>
      <c r="H309" s="4">
        <v>82.09</v>
      </c>
      <c r="I309" t="s">
        <v>104</v>
      </c>
      <c r="J309" t="s">
        <v>223</v>
      </c>
      <c r="K309" t="s">
        <v>468</v>
      </c>
      <c r="L309" s="2">
        <v>45689</v>
      </c>
      <c r="M309" t="s">
        <v>223</v>
      </c>
      <c r="N309">
        <v>0</v>
      </c>
      <c r="O309" t="s">
        <v>104</v>
      </c>
      <c r="P309" t="s">
        <v>134</v>
      </c>
      <c r="Q309">
        <v>0</v>
      </c>
    </row>
    <row r="310" spans="1:17" x14ac:dyDescent="0.3">
      <c r="A310" t="s">
        <v>17</v>
      </c>
      <c r="B310">
        <v>66</v>
      </c>
      <c r="C310" t="s">
        <v>134</v>
      </c>
      <c r="D310" s="2">
        <v>45707</v>
      </c>
      <c r="E310" s="3">
        <f t="shared" si="4"/>
        <v>45689</v>
      </c>
      <c r="F310" t="s">
        <v>466</v>
      </c>
      <c r="G310" t="s">
        <v>222</v>
      </c>
      <c r="H310" s="4">
        <v>40</v>
      </c>
      <c r="I310" t="s">
        <v>104</v>
      </c>
      <c r="J310" t="s">
        <v>223</v>
      </c>
      <c r="K310" t="s">
        <v>468</v>
      </c>
      <c r="L310" s="2">
        <v>45689</v>
      </c>
      <c r="M310" t="s">
        <v>223</v>
      </c>
      <c r="N310">
        <v>0</v>
      </c>
      <c r="O310" t="s">
        <v>104</v>
      </c>
      <c r="P310" t="s">
        <v>134</v>
      </c>
      <c r="Q310">
        <v>0</v>
      </c>
    </row>
    <row r="311" spans="1:17" x14ac:dyDescent="0.3">
      <c r="A311" t="s">
        <v>17</v>
      </c>
      <c r="B311">
        <v>67</v>
      </c>
      <c r="C311" t="s">
        <v>28</v>
      </c>
      <c r="D311" s="2">
        <v>45707</v>
      </c>
      <c r="E311" s="3">
        <f t="shared" si="4"/>
        <v>45689</v>
      </c>
      <c r="F311" t="s">
        <v>469</v>
      </c>
      <c r="G311" t="s">
        <v>119</v>
      </c>
      <c r="H311" s="4">
        <v>607.5</v>
      </c>
      <c r="I311" t="s">
        <v>31</v>
      </c>
      <c r="J311" t="s">
        <v>68</v>
      </c>
      <c r="K311" t="s">
        <v>470</v>
      </c>
      <c r="L311" s="2">
        <v>45689</v>
      </c>
      <c r="M311" t="s">
        <v>68</v>
      </c>
      <c r="N311">
        <v>0</v>
      </c>
      <c r="O311" t="s">
        <v>31</v>
      </c>
      <c r="P311" t="s">
        <v>28</v>
      </c>
      <c r="Q311">
        <v>0</v>
      </c>
    </row>
    <row r="312" spans="1:17" x14ac:dyDescent="0.3">
      <c r="A312" t="s">
        <v>17</v>
      </c>
      <c r="B312">
        <v>68</v>
      </c>
      <c r="C312" t="s">
        <v>34</v>
      </c>
      <c r="D312" s="2">
        <v>45707</v>
      </c>
      <c r="E312" s="3">
        <f t="shared" si="4"/>
        <v>45689</v>
      </c>
      <c r="F312" t="s">
        <v>471</v>
      </c>
      <c r="G312" t="s">
        <v>122</v>
      </c>
      <c r="H312" s="4">
        <v>528.41999999999996</v>
      </c>
      <c r="I312" t="s">
        <v>108</v>
      </c>
      <c r="J312" t="s">
        <v>109</v>
      </c>
      <c r="K312" t="s">
        <v>388</v>
      </c>
      <c r="L312" s="2">
        <v>45689</v>
      </c>
      <c r="M312" t="s">
        <v>109</v>
      </c>
      <c r="N312">
        <v>0</v>
      </c>
      <c r="O312" t="s">
        <v>111</v>
      </c>
      <c r="P312" t="s">
        <v>112</v>
      </c>
      <c r="Q312" t="s">
        <v>113</v>
      </c>
    </row>
    <row r="313" spans="1:17" x14ac:dyDescent="0.3">
      <c r="A313" t="s">
        <v>17</v>
      </c>
      <c r="B313">
        <v>68</v>
      </c>
      <c r="C313" t="s">
        <v>34</v>
      </c>
      <c r="D313" s="2">
        <v>45707</v>
      </c>
      <c r="E313" s="3">
        <f t="shared" si="4"/>
        <v>45689</v>
      </c>
      <c r="F313" t="s">
        <v>472</v>
      </c>
      <c r="G313" t="s">
        <v>122</v>
      </c>
      <c r="H313" s="4">
        <v>269.39999999999998</v>
      </c>
      <c r="I313" t="s">
        <v>108</v>
      </c>
      <c r="J313" t="s">
        <v>109</v>
      </c>
      <c r="K313" t="s">
        <v>123</v>
      </c>
      <c r="L313" s="2">
        <v>45689</v>
      </c>
      <c r="M313" t="s">
        <v>109</v>
      </c>
      <c r="N313">
        <v>0</v>
      </c>
      <c r="O313" t="s">
        <v>111</v>
      </c>
      <c r="P313" t="s">
        <v>112</v>
      </c>
      <c r="Q313" t="s">
        <v>113</v>
      </c>
    </row>
    <row r="314" spans="1:17" x14ac:dyDescent="0.3">
      <c r="A314" t="s">
        <v>17</v>
      </c>
      <c r="B314">
        <v>67</v>
      </c>
      <c r="C314" t="s">
        <v>28</v>
      </c>
      <c r="D314" s="2">
        <v>45709</v>
      </c>
      <c r="E314" s="3">
        <f t="shared" si="4"/>
        <v>45689</v>
      </c>
      <c r="F314" t="s">
        <v>473</v>
      </c>
      <c r="G314" t="s">
        <v>67</v>
      </c>
      <c r="H314" s="4">
        <v>180.65</v>
      </c>
      <c r="I314" t="s">
        <v>31</v>
      </c>
      <c r="J314" t="s">
        <v>68</v>
      </c>
      <c r="K314" t="s">
        <v>474</v>
      </c>
      <c r="L314" s="2">
        <v>45689</v>
      </c>
      <c r="M314" t="s">
        <v>68</v>
      </c>
      <c r="N314">
        <v>0</v>
      </c>
      <c r="O314" t="s">
        <v>31</v>
      </c>
      <c r="P314" t="s">
        <v>28</v>
      </c>
      <c r="Q314">
        <v>0</v>
      </c>
    </row>
    <row r="315" spans="1:17" x14ac:dyDescent="0.3">
      <c r="A315" t="s">
        <v>17</v>
      </c>
      <c r="B315">
        <v>67</v>
      </c>
      <c r="C315" t="s">
        <v>28</v>
      </c>
      <c r="D315" s="2">
        <v>45709</v>
      </c>
      <c r="E315" s="3">
        <f t="shared" si="4"/>
        <v>45689</v>
      </c>
      <c r="F315" t="s">
        <v>475</v>
      </c>
      <c r="H315" s="4">
        <v>-44.48</v>
      </c>
      <c r="I315" t="s">
        <v>31</v>
      </c>
      <c r="J315" t="s">
        <v>60</v>
      </c>
      <c r="L315" s="2">
        <v>45689</v>
      </c>
      <c r="M315" t="s">
        <v>60</v>
      </c>
      <c r="N315">
        <v>0</v>
      </c>
      <c r="O315" t="s">
        <v>31</v>
      </c>
      <c r="P315" t="s">
        <v>28</v>
      </c>
      <c r="Q315">
        <v>0</v>
      </c>
    </row>
    <row r="316" spans="1:17" x14ac:dyDescent="0.3">
      <c r="A316" t="s">
        <v>17</v>
      </c>
      <c r="B316">
        <v>67</v>
      </c>
      <c r="C316" t="s">
        <v>28</v>
      </c>
      <c r="D316" s="2">
        <v>45709</v>
      </c>
      <c r="E316" s="3">
        <f t="shared" si="4"/>
        <v>45689</v>
      </c>
      <c r="F316" t="s">
        <v>475</v>
      </c>
      <c r="H316" s="4">
        <v>-43.2</v>
      </c>
      <c r="I316" t="s">
        <v>31</v>
      </c>
      <c r="J316" t="s">
        <v>60</v>
      </c>
      <c r="L316" s="2">
        <v>45689</v>
      </c>
      <c r="M316" t="s">
        <v>60</v>
      </c>
      <c r="N316">
        <v>0</v>
      </c>
      <c r="O316" t="s">
        <v>31</v>
      </c>
      <c r="P316" t="s">
        <v>28</v>
      </c>
      <c r="Q316">
        <v>0</v>
      </c>
    </row>
    <row r="317" spans="1:17" x14ac:dyDescent="0.3">
      <c r="A317" t="s">
        <v>17</v>
      </c>
      <c r="B317">
        <v>67</v>
      </c>
      <c r="C317" t="s">
        <v>28</v>
      </c>
      <c r="D317" s="2">
        <v>45709</v>
      </c>
      <c r="E317" s="3">
        <f t="shared" si="4"/>
        <v>45689</v>
      </c>
      <c r="F317" t="s">
        <v>475</v>
      </c>
      <c r="H317" s="4">
        <v>-88.99</v>
      </c>
      <c r="I317" t="s">
        <v>31</v>
      </c>
      <c r="J317" t="s">
        <v>60</v>
      </c>
      <c r="L317" s="2">
        <v>45689</v>
      </c>
      <c r="M317" t="s">
        <v>60</v>
      </c>
      <c r="N317">
        <v>0</v>
      </c>
      <c r="O317" t="s">
        <v>31</v>
      </c>
      <c r="P317" t="s">
        <v>28</v>
      </c>
      <c r="Q317">
        <v>0</v>
      </c>
    </row>
    <row r="318" spans="1:17" x14ac:dyDescent="0.3">
      <c r="A318" t="s">
        <v>17</v>
      </c>
      <c r="B318">
        <v>67</v>
      </c>
      <c r="C318" t="s">
        <v>28</v>
      </c>
      <c r="D318" s="2">
        <v>45709</v>
      </c>
      <c r="E318" s="3">
        <f t="shared" si="4"/>
        <v>45689</v>
      </c>
      <c r="F318" t="s">
        <v>475</v>
      </c>
      <c r="H318" s="4">
        <v>-41.72</v>
      </c>
      <c r="I318" t="s">
        <v>31</v>
      </c>
      <c r="J318" t="s">
        <v>60</v>
      </c>
      <c r="L318" s="2">
        <v>45689</v>
      </c>
      <c r="M318" t="s">
        <v>60</v>
      </c>
      <c r="N318">
        <v>0</v>
      </c>
      <c r="O318" t="s">
        <v>31</v>
      </c>
      <c r="P318" t="s">
        <v>28</v>
      </c>
      <c r="Q318">
        <v>0</v>
      </c>
    </row>
    <row r="319" spans="1:17" x14ac:dyDescent="0.3">
      <c r="A319" t="s">
        <v>17</v>
      </c>
      <c r="B319">
        <v>67</v>
      </c>
      <c r="C319" t="s">
        <v>28</v>
      </c>
      <c r="D319" s="2">
        <v>45709</v>
      </c>
      <c r="E319" s="3">
        <f t="shared" si="4"/>
        <v>45689</v>
      </c>
      <c r="F319" t="s">
        <v>475</v>
      </c>
      <c r="H319" s="4">
        <v>-16.12</v>
      </c>
      <c r="I319" t="s">
        <v>31</v>
      </c>
      <c r="J319" t="s">
        <v>60</v>
      </c>
      <c r="L319" s="2">
        <v>45689</v>
      </c>
      <c r="M319" t="s">
        <v>60</v>
      </c>
      <c r="N319">
        <v>0</v>
      </c>
      <c r="O319" t="s">
        <v>31</v>
      </c>
      <c r="P319" t="s">
        <v>28</v>
      </c>
      <c r="Q319">
        <v>0</v>
      </c>
    </row>
    <row r="320" spans="1:17" x14ac:dyDescent="0.3">
      <c r="A320" t="s">
        <v>17</v>
      </c>
      <c r="B320">
        <v>67</v>
      </c>
      <c r="C320" t="s">
        <v>28</v>
      </c>
      <c r="D320" s="2">
        <v>45709</v>
      </c>
      <c r="E320" s="3">
        <f t="shared" si="4"/>
        <v>45689</v>
      </c>
      <c r="F320" t="s">
        <v>475</v>
      </c>
      <c r="H320" s="4">
        <v>-48.66</v>
      </c>
      <c r="I320" t="s">
        <v>31</v>
      </c>
      <c r="J320" t="s">
        <v>60</v>
      </c>
      <c r="L320" s="2">
        <v>45689</v>
      </c>
      <c r="M320" t="s">
        <v>60</v>
      </c>
      <c r="N320">
        <v>0</v>
      </c>
      <c r="O320" t="s">
        <v>31</v>
      </c>
      <c r="P320" t="s">
        <v>28</v>
      </c>
      <c r="Q320">
        <v>0</v>
      </c>
    </row>
    <row r="321" spans="1:17" x14ac:dyDescent="0.3">
      <c r="A321" t="s">
        <v>17</v>
      </c>
      <c r="B321">
        <v>67</v>
      </c>
      <c r="C321" t="s">
        <v>28</v>
      </c>
      <c r="D321" s="2">
        <v>45709</v>
      </c>
      <c r="E321" s="3">
        <f t="shared" si="4"/>
        <v>45689</v>
      </c>
      <c r="F321" t="s">
        <v>475</v>
      </c>
      <c r="H321" s="4">
        <v>-48.76</v>
      </c>
      <c r="I321" t="s">
        <v>31</v>
      </c>
      <c r="J321" t="s">
        <v>60</v>
      </c>
      <c r="L321" s="2">
        <v>45689</v>
      </c>
      <c r="M321" t="s">
        <v>60</v>
      </c>
      <c r="N321">
        <v>0</v>
      </c>
      <c r="O321" t="s">
        <v>31</v>
      </c>
      <c r="P321" t="s">
        <v>28</v>
      </c>
      <c r="Q321">
        <v>0</v>
      </c>
    </row>
    <row r="322" spans="1:17" x14ac:dyDescent="0.3">
      <c r="A322" t="s">
        <v>17</v>
      </c>
      <c r="B322">
        <v>67</v>
      </c>
      <c r="C322" t="s">
        <v>28</v>
      </c>
      <c r="D322" s="2">
        <v>45709</v>
      </c>
      <c r="E322" s="3">
        <f t="shared" si="4"/>
        <v>45689</v>
      </c>
      <c r="F322" t="s">
        <v>475</v>
      </c>
      <c r="H322" s="4">
        <v>-13.88</v>
      </c>
      <c r="I322" t="s">
        <v>31</v>
      </c>
      <c r="J322" t="s">
        <v>60</v>
      </c>
      <c r="L322" s="2">
        <v>45689</v>
      </c>
      <c r="M322" t="s">
        <v>60</v>
      </c>
      <c r="N322">
        <v>0</v>
      </c>
      <c r="O322" t="s">
        <v>31</v>
      </c>
      <c r="P322" t="s">
        <v>28</v>
      </c>
      <c r="Q322">
        <v>0</v>
      </c>
    </row>
    <row r="323" spans="1:17" x14ac:dyDescent="0.3">
      <c r="A323" t="s">
        <v>17</v>
      </c>
      <c r="B323">
        <v>64</v>
      </c>
      <c r="C323" t="s">
        <v>83</v>
      </c>
      <c r="D323" s="2">
        <v>45711</v>
      </c>
      <c r="E323" s="3">
        <f t="shared" ref="E323:E386" si="5">IF($D323="","",DATE(YEAR($D323),MONTH($D323),1))</f>
        <v>45689</v>
      </c>
      <c r="F323" t="s">
        <v>476</v>
      </c>
      <c r="G323" t="s">
        <v>73</v>
      </c>
      <c r="H323" s="4">
        <v>616.02</v>
      </c>
      <c r="I323" t="s">
        <v>31</v>
      </c>
      <c r="J323" t="s">
        <v>91</v>
      </c>
      <c r="K323" t="s">
        <v>477</v>
      </c>
      <c r="L323" s="2">
        <v>45689</v>
      </c>
      <c r="M323" t="s">
        <v>93</v>
      </c>
      <c r="N323">
        <v>0</v>
      </c>
      <c r="O323" t="s">
        <v>31</v>
      </c>
      <c r="P323" t="s">
        <v>83</v>
      </c>
      <c r="Q323">
        <v>0</v>
      </c>
    </row>
    <row r="324" spans="1:17" x14ac:dyDescent="0.3">
      <c r="A324" t="s">
        <v>17</v>
      </c>
      <c r="B324">
        <v>64</v>
      </c>
      <c r="C324" t="s">
        <v>83</v>
      </c>
      <c r="D324" s="2">
        <v>45711</v>
      </c>
      <c r="E324" s="3">
        <f t="shared" si="5"/>
        <v>45689</v>
      </c>
      <c r="F324" t="s">
        <v>476</v>
      </c>
      <c r="G324" t="s">
        <v>73</v>
      </c>
      <c r="H324" s="4">
        <v>139.07</v>
      </c>
      <c r="I324" t="s">
        <v>348</v>
      </c>
      <c r="J324" t="s">
        <v>87</v>
      </c>
      <c r="K324" t="s">
        <v>478</v>
      </c>
      <c r="L324" s="2">
        <v>45689</v>
      </c>
      <c r="M324" t="s">
        <v>89</v>
      </c>
      <c r="N324">
        <v>0</v>
      </c>
      <c r="O324" t="s">
        <v>348</v>
      </c>
      <c r="P324" t="s">
        <v>83</v>
      </c>
      <c r="Q324">
        <v>0</v>
      </c>
    </row>
    <row r="325" spans="1:17" x14ac:dyDescent="0.3">
      <c r="A325" t="s">
        <v>17</v>
      </c>
      <c r="B325">
        <v>67</v>
      </c>
      <c r="C325" t="s">
        <v>28</v>
      </c>
      <c r="D325" s="2">
        <v>45712</v>
      </c>
      <c r="E325" s="3">
        <f t="shared" si="5"/>
        <v>45689</v>
      </c>
      <c r="F325" t="s">
        <v>479</v>
      </c>
      <c r="G325" t="s">
        <v>205</v>
      </c>
      <c r="H325" s="4">
        <v>1370</v>
      </c>
      <c r="I325" t="s">
        <v>31</v>
      </c>
      <c r="J325" t="s">
        <v>32</v>
      </c>
      <c r="K325" t="s">
        <v>480</v>
      </c>
      <c r="L325" s="2">
        <v>45689</v>
      </c>
      <c r="M325" t="s">
        <v>32</v>
      </c>
      <c r="N325">
        <v>0</v>
      </c>
      <c r="O325" t="s">
        <v>31</v>
      </c>
      <c r="P325" t="s">
        <v>28</v>
      </c>
      <c r="Q325">
        <v>0</v>
      </c>
    </row>
    <row r="326" spans="1:17" x14ac:dyDescent="0.3">
      <c r="A326" t="s">
        <v>17</v>
      </c>
      <c r="B326">
        <v>67</v>
      </c>
      <c r="C326" t="s">
        <v>28</v>
      </c>
      <c r="D326" s="2">
        <v>45712</v>
      </c>
      <c r="E326" s="3">
        <f t="shared" si="5"/>
        <v>45689</v>
      </c>
      <c r="F326" t="s">
        <v>481</v>
      </c>
      <c r="G326" t="s">
        <v>208</v>
      </c>
      <c r="H326" s="4">
        <v>610</v>
      </c>
      <c r="I326" t="s">
        <v>31</v>
      </c>
      <c r="J326" t="s">
        <v>32</v>
      </c>
      <c r="K326" t="s">
        <v>482</v>
      </c>
      <c r="L326" s="2">
        <v>45689</v>
      </c>
      <c r="M326" t="s">
        <v>32</v>
      </c>
      <c r="N326">
        <v>0</v>
      </c>
      <c r="O326" t="s">
        <v>31</v>
      </c>
      <c r="P326" t="s">
        <v>28</v>
      </c>
      <c r="Q326">
        <v>0</v>
      </c>
    </row>
    <row r="327" spans="1:17" x14ac:dyDescent="0.3">
      <c r="A327" t="s">
        <v>17</v>
      </c>
      <c r="B327">
        <v>63</v>
      </c>
      <c r="C327" t="s">
        <v>18</v>
      </c>
      <c r="D327" s="2">
        <v>45712</v>
      </c>
      <c r="E327" s="3">
        <f t="shared" si="5"/>
        <v>45689</v>
      </c>
      <c r="F327" t="s">
        <v>483</v>
      </c>
      <c r="G327" t="s">
        <v>408</v>
      </c>
      <c r="H327" s="4">
        <v>75</v>
      </c>
      <c r="I327" t="s">
        <v>21</v>
      </c>
      <c r="J327" t="s">
        <v>272</v>
      </c>
      <c r="K327" t="s">
        <v>409</v>
      </c>
      <c r="L327" s="2">
        <v>45689</v>
      </c>
      <c r="M327" t="s">
        <v>272</v>
      </c>
      <c r="N327" t="s">
        <v>25</v>
      </c>
      <c r="O327" t="s">
        <v>26</v>
      </c>
      <c r="P327" t="s">
        <v>18</v>
      </c>
      <c r="Q327" t="s">
        <v>274</v>
      </c>
    </row>
    <row r="328" spans="1:17" x14ac:dyDescent="0.3">
      <c r="A328" t="s">
        <v>17</v>
      </c>
      <c r="B328">
        <v>68</v>
      </c>
      <c r="C328" t="s">
        <v>34</v>
      </c>
      <c r="D328" s="2">
        <v>45712</v>
      </c>
      <c r="E328" s="3">
        <f t="shared" si="5"/>
        <v>45689</v>
      </c>
      <c r="F328" t="s">
        <v>484</v>
      </c>
      <c r="G328" t="s">
        <v>107</v>
      </c>
      <c r="H328" s="4">
        <v>35.53</v>
      </c>
      <c r="I328" t="s">
        <v>108</v>
      </c>
      <c r="J328" t="s">
        <v>109</v>
      </c>
      <c r="K328" t="s">
        <v>110</v>
      </c>
      <c r="L328" s="2">
        <v>45689</v>
      </c>
      <c r="M328" t="s">
        <v>109</v>
      </c>
      <c r="N328">
        <v>0</v>
      </c>
      <c r="O328" t="s">
        <v>111</v>
      </c>
      <c r="P328" t="s">
        <v>112</v>
      </c>
      <c r="Q328" t="s">
        <v>113</v>
      </c>
    </row>
    <row r="329" spans="1:17" x14ac:dyDescent="0.3">
      <c r="A329" t="s">
        <v>17</v>
      </c>
      <c r="B329">
        <v>68</v>
      </c>
      <c r="C329" t="s">
        <v>34</v>
      </c>
      <c r="D329" s="2">
        <v>45713</v>
      </c>
      <c r="E329" s="3">
        <f t="shared" si="5"/>
        <v>45689</v>
      </c>
      <c r="F329" t="s">
        <v>485</v>
      </c>
      <c r="G329" t="s">
        <v>122</v>
      </c>
      <c r="H329" s="4">
        <v>47.56</v>
      </c>
      <c r="I329" t="s">
        <v>108</v>
      </c>
      <c r="J329" t="s">
        <v>109</v>
      </c>
      <c r="K329" t="s">
        <v>123</v>
      </c>
      <c r="L329" s="2">
        <v>45689</v>
      </c>
      <c r="M329" t="s">
        <v>109</v>
      </c>
      <c r="N329">
        <v>0</v>
      </c>
      <c r="O329" t="s">
        <v>111</v>
      </c>
      <c r="P329" t="s">
        <v>112</v>
      </c>
      <c r="Q329" t="s">
        <v>113</v>
      </c>
    </row>
    <row r="330" spans="1:17" x14ac:dyDescent="0.3">
      <c r="A330" t="s">
        <v>17</v>
      </c>
      <c r="B330">
        <v>67</v>
      </c>
      <c r="C330" t="s">
        <v>28</v>
      </c>
      <c r="D330" s="2">
        <v>45714</v>
      </c>
      <c r="E330" s="3">
        <f t="shared" si="5"/>
        <v>45689</v>
      </c>
      <c r="F330" t="s">
        <v>486</v>
      </c>
      <c r="G330" t="s">
        <v>119</v>
      </c>
      <c r="H330" s="4">
        <v>675</v>
      </c>
      <c r="I330" t="s">
        <v>31</v>
      </c>
      <c r="J330" t="s">
        <v>68</v>
      </c>
      <c r="K330" t="s">
        <v>487</v>
      </c>
      <c r="L330" s="2">
        <v>45689</v>
      </c>
      <c r="M330" t="s">
        <v>68</v>
      </c>
      <c r="N330">
        <v>0</v>
      </c>
      <c r="O330" t="s">
        <v>31</v>
      </c>
      <c r="P330" t="s">
        <v>28</v>
      </c>
      <c r="Q330">
        <v>0</v>
      </c>
    </row>
    <row r="331" spans="1:17" x14ac:dyDescent="0.3">
      <c r="A331" t="s">
        <v>17</v>
      </c>
      <c r="B331">
        <v>67</v>
      </c>
      <c r="C331" t="s">
        <v>28</v>
      </c>
      <c r="D331" s="2">
        <v>45714</v>
      </c>
      <c r="E331" s="3">
        <f t="shared" si="5"/>
        <v>45689</v>
      </c>
      <c r="F331" t="s">
        <v>488</v>
      </c>
      <c r="G331" t="s">
        <v>67</v>
      </c>
      <c r="H331" s="4">
        <v>191.16</v>
      </c>
      <c r="I331" t="s">
        <v>31</v>
      </c>
      <c r="J331" t="s">
        <v>68</v>
      </c>
      <c r="K331" t="s">
        <v>489</v>
      </c>
      <c r="L331" s="2">
        <v>45689</v>
      </c>
      <c r="M331" t="s">
        <v>68</v>
      </c>
      <c r="N331">
        <v>0</v>
      </c>
      <c r="O331" t="s">
        <v>31</v>
      </c>
      <c r="P331" t="s">
        <v>28</v>
      </c>
      <c r="Q331">
        <v>0</v>
      </c>
    </row>
    <row r="332" spans="1:17" x14ac:dyDescent="0.3">
      <c r="A332" t="s">
        <v>17</v>
      </c>
      <c r="B332">
        <v>68</v>
      </c>
      <c r="C332" t="s">
        <v>34</v>
      </c>
      <c r="D332" s="2">
        <v>45714</v>
      </c>
      <c r="E332" s="3">
        <f t="shared" si="5"/>
        <v>45689</v>
      </c>
      <c r="F332" t="s">
        <v>490</v>
      </c>
      <c r="G332" t="s">
        <v>122</v>
      </c>
      <c r="H332" s="4">
        <v>43.5</v>
      </c>
      <c r="I332" t="s">
        <v>108</v>
      </c>
      <c r="J332" t="s">
        <v>109</v>
      </c>
      <c r="K332" t="s">
        <v>123</v>
      </c>
      <c r="L332" s="2">
        <v>45689</v>
      </c>
      <c r="M332" t="s">
        <v>109</v>
      </c>
      <c r="N332">
        <v>0</v>
      </c>
      <c r="O332" t="s">
        <v>111</v>
      </c>
      <c r="P332" t="s">
        <v>112</v>
      </c>
      <c r="Q332" t="s">
        <v>113</v>
      </c>
    </row>
    <row r="333" spans="1:17" x14ac:dyDescent="0.3">
      <c r="A333" t="s">
        <v>17</v>
      </c>
      <c r="B333">
        <v>68</v>
      </c>
      <c r="C333" t="s">
        <v>34</v>
      </c>
      <c r="D333" s="2">
        <v>45714</v>
      </c>
      <c r="E333" s="3">
        <f t="shared" si="5"/>
        <v>45689</v>
      </c>
      <c r="G333" t="s">
        <v>491</v>
      </c>
      <c r="H333" s="4">
        <v>-119.57</v>
      </c>
      <c r="I333" t="s">
        <v>492</v>
      </c>
      <c r="J333" t="s">
        <v>109</v>
      </c>
      <c r="K333" t="s">
        <v>493</v>
      </c>
      <c r="L333" s="2">
        <v>45689</v>
      </c>
      <c r="M333" t="s">
        <v>109</v>
      </c>
      <c r="N333">
        <v>0</v>
      </c>
      <c r="O333" t="s">
        <v>494</v>
      </c>
      <c r="P333" t="s">
        <v>112</v>
      </c>
      <c r="Q333" t="s">
        <v>113</v>
      </c>
    </row>
    <row r="334" spans="1:17" x14ac:dyDescent="0.3">
      <c r="A334" t="s">
        <v>17</v>
      </c>
      <c r="B334">
        <v>63</v>
      </c>
      <c r="C334" t="s">
        <v>18</v>
      </c>
      <c r="D334" s="2">
        <v>45715</v>
      </c>
      <c r="E334" s="3">
        <f t="shared" si="5"/>
        <v>45689</v>
      </c>
      <c r="F334" t="s">
        <v>495</v>
      </c>
      <c r="G334" t="s">
        <v>125</v>
      </c>
      <c r="H334" s="4">
        <v>600</v>
      </c>
      <c r="I334" t="s">
        <v>21</v>
      </c>
      <c r="J334" t="s">
        <v>22</v>
      </c>
      <c r="K334" t="s">
        <v>496</v>
      </c>
      <c r="L334" s="2">
        <v>45689</v>
      </c>
      <c r="M334" t="s">
        <v>24</v>
      </c>
      <c r="N334" t="s">
        <v>25</v>
      </c>
      <c r="O334" t="s">
        <v>26</v>
      </c>
      <c r="P334" t="s">
        <v>18</v>
      </c>
      <c r="Q334" t="s">
        <v>27</v>
      </c>
    </row>
    <row r="335" spans="1:17" x14ac:dyDescent="0.3">
      <c r="A335" t="s">
        <v>17</v>
      </c>
      <c r="B335">
        <v>63</v>
      </c>
      <c r="C335" t="s">
        <v>18</v>
      </c>
      <c r="D335" s="2">
        <v>45716</v>
      </c>
      <c r="E335" s="3">
        <f t="shared" si="5"/>
        <v>45689</v>
      </c>
      <c r="F335" t="s">
        <v>497</v>
      </c>
      <c r="G335" t="s">
        <v>235</v>
      </c>
      <c r="H335" s="4">
        <v>679.23</v>
      </c>
      <c r="I335" t="s">
        <v>241</v>
      </c>
      <c r="J335" t="s">
        <v>236</v>
      </c>
      <c r="K335" t="s">
        <v>237</v>
      </c>
      <c r="L335" s="2">
        <v>45689</v>
      </c>
      <c r="M335" t="s">
        <v>238</v>
      </c>
      <c r="N335" t="s">
        <v>242</v>
      </c>
      <c r="O335" t="s">
        <v>26</v>
      </c>
      <c r="P335" t="s">
        <v>18</v>
      </c>
      <c r="Q335" t="s">
        <v>239</v>
      </c>
    </row>
    <row r="336" spans="1:17" x14ac:dyDescent="0.3">
      <c r="A336" t="s">
        <v>17</v>
      </c>
      <c r="B336">
        <v>63</v>
      </c>
      <c r="C336" t="s">
        <v>18</v>
      </c>
      <c r="D336" s="2">
        <v>45716</v>
      </c>
      <c r="E336" s="3">
        <f t="shared" si="5"/>
        <v>45689</v>
      </c>
      <c r="F336" t="s">
        <v>498</v>
      </c>
      <c r="G336" t="s">
        <v>235</v>
      </c>
      <c r="H336" s="4">
        <v>12166.8</v>
      </c>
      <c r="I336" t="s">
        <v>21</v>
      </c>
      <c r="J336" t="s">
        <v>236</v>
      </c>
      <c r="K336" t="s">
        <v>237</v>
      </c>
      <c r="L336" s="2">
        <v>45689</v>
      </c>
      <c r="M336" t="s">
        <v>238</v>
      </c>
      <c r="N336" t="s">
        <v>25</v>
      </c>
      <c r="O336" t="s">
        <v>26</v>
      </c>
      <c r="P336" t="s">
        <v>18</v>
      </c>
      <c r="Q336" t="s">
        <v>239</v>
      </c>
    </row>
    <row r="337" spans="1:17" x14ac:dyDescent="0.3">
      <c r="A337" t="s">
        <v>17</v>
      </c>
      <c r="B337">
        <v>67</v>
      </c>
      <c r="C337" t="s">
        <v>28</v>
      </c>
      <c r="D337" s="2">
        <v>45716</v>
      </c>
      <c r="E337" s="3">
        <f t="shared" si="5"/>
        <v>45689</v>
      </c>
      <c r="F337" t="s">
        <v>499</v>
      </c>
      <c r="G337" t="s">
        <v>248</v>
      </c>
      <c r="H337" s="4">
        <v>30</v>
      </c>
      <c r="I337" t="s">
        <v>47</v>
      </c>
      <c r="J337" t="s">
        <v>74</v>
      </c>
      <c r="K337" t="s">
        <v>249</v>
      </c>
      <c r="L337" s="2">
        <v>45689</v>
      </c>
      <c r="M337" t="s">
        <v>76</v>
      </c>
      <c r="N337">
        <v>0</v>
      </c>
      <c r="O337" t="s">
        <v>26</v>
      </c>
      <c r="P337" t="s">
        <v>28</v>
      </c>
      <c r="Q337">
        <v>0</v>
      </c>
    </row>
    <row r="338" spans="1:17" x14ac:dyDescent="0.3">
      <c r="A338" t="s">
        <v>17</v>
      </c>
      <c r="B338">
        <v>67</v>
      </c>
      <c r="C338" t="s">
        <v>28</v>
      </c>
      <c r="D338" s="2">
        <v>45716</v>
      </c>
      <c r="E338" s="3">
        <f t="shared" si="5"/>
        <v>45689</v>
      </c>
      <c r="F338" t="s">
        <v>500</v>
      </c>
      <c r="G338" t="s">
        <v>210</v>
      </c>
      <c r="H338" s="4">
        <v>21.78</v>
      </c>
      <c r="I338" t="s">
        <v>31</v>
      </c>
      <c r="J338" t="s">
        <v>74</v>
      </c>
      <c r="K338" t="s">
        <v>212</v>
      </c>
      <c r="L338" s="2">
        <v>45689</v>
      </c>
      <c r="M338" t="s">
        <v>76</v>
      </c>
      <c r="N338">
        <v>0</v>
      </c>
      <c r="O338" t="s">
        <v>31</v>
      </c>
      <c r="P338" t="s">
        <v>28</v>
      </c>
      <c r="Q338">
        <v>0</v>
      </c>
    </row>
    <row r="339" spans="1:17" x14ac:dyDescent="0.3">
      <c r="A339" t="s">
        <v>17</v>
      </c>
      <c r="B339">
        <v>67</v>
      </c>
      <c r="C339" t="s">
        <v>28</v>
      </c>
      <c r="D339" s="2">
        <v>45716</v>
      </c>
      <c r="E339" s="3">
        <f t="shared" si="5"/>
        <v>45689</v>
      </c>
      <c r="F339" t="s">
        <v>500</v>
      </c>
      <c r="G339" t="s">
        <v>210</v>
      </c>
      <c r="H339" s="4">
        <v>11.99</v>
      </c>
      <c r="I339" t="s">
        <v>31</v>
      </c>
      <c r="J339" t="s">
        <v>74</v>
      </c>
      <c r="K339" t="s">
        <v>211</v>
      </c>
      <c r="L339" s="2">
        <v>45689</v>
      </c>
      <c r="M339" t="s">
        <v>76</v>
      </c>
      <c r="N339">
        <v>0</v>
      </c>
      <c r="O339" t="s">
        <v>31</v>
      </c>
      <c r="P339" t="s">
        <v>28</v>
      </c>
      <c r="Q339">
        <v>0</v>
      </c>
    </row>
    <row r="340" spans="1:17" x14ac:dyDescent="0.3">
      <c r="A340" t="s">
        <v>17</v>
      </c>
      <c r="B340">
        <v>67</v>
      </c>
      <c r="C340" t="s">
        <v>28</v>
      </c>
      <c r="D340" s="2">
        <v>45716</v>
      </c>
      <c r="E340" s="3">
        <f t="shared" si="5"/>
        <v>45689</v>
      </c>
      <c r="F340" t="s">
        <v>500</v>
      </c>
      <c r="G340" t="s">
        <v>501</v>
      </c>
      <c r="H340" s="4">
        <v>107.79</v>
      </c>
      <c r="I340" t="s">
        <v>31</v>
      </c>
      <c r="J340" t="s">
        <v>74</v>
      </c>
      <c r="K340" t="s">
        <v>502</v>
      </c>
      <c r="L340" s="2">
        <v>45689</v>
      </c>
      <c r="M340" t="s">
        <v>76</v>
      </c>
      <c r="N340">
        <v>0</v>
      </c>
      <c r="O340" t="s">
        <v>31</v>
      </c>
      <c r="P340" t="s">
        <v>28</v>
      </c>
      <c r="Q340">
        <v>0</v>
      </c>
    </row>
    <row r="341" spans="1:17" x14ac:dyDescent="0.3">
      <c r="A341" t="s">
        <v>17</v>
      </c>
      <c r="B341">
        <v>67</v>
      </c>
      <c r="C341" t="s">
        <v>28</v>
      </c>
      <c r="D341" s="2">
        <v>45716</v>
      </c>
      <c r="E341" s="3">
        <f t="shared" si="5"/>
        <v>45689</v>
      </c>
      <c r="F341" t="s">
        <v>503</v>
      </c>
      <c r="G341" t="s">
        <v>259</v>
      </c>
      <c r="H341" s="4">
        <v>11810.98</v>
      </c>
      <c r="I341" t="s">
        <v>31</v>
      </c>
      <c r="J341" t="s">
        <v>32</v>
      </c>
      <c r="K341" t="s">
        <v>504</v>
      </c>
      <c r="L341" s="2">
        <v>45689</v>
      </c>
      <c r="M341" t="s">
        <v>32</v>
      </c>
      <c r="N341">
        <v>0</v>
      </c>
      <c r="O341" t="s">
        <v>31</v>
      </c>
      <c r="P341" t="s">
        <v>28</v>
      </c>
      <c r="Q341">
        <v>0</v>
      </c>
    </row>
    <row r="342" spans="1:17" x14ac:dyDescent="0.3">
      <c r="A342" t="s">
        <v>17</v>
      </c>
      <c r="B342">
        <v>68</v>
      </c>
      <c r="C342" t="s">
        <v>34</v>
      </c>
      <c r="D342" s="2">
        <v>45716</v>
      </c>
      <c r="E342" s="3">
        <f t="shared" si="5"/>
        <v>45689</v>
      </c>
      <c r="F342" t="s">
        <v>499</v>
      </c>
      <c r="G342" t="s">
        <v>246</v>
      </c>
      <c r="H342" s="4">
        <v>365</v>
      </c>
      <c r="I342" t="s">
        <v>47</v>
      </c>
      <c r="J342" t="s">
        <v>79</v>
      </c>
      <c r="K342" t="s">
        <v>505</v>
      </c>
      <c r="L342" s="2">
        <v>45689</v>
      </c>
      <c r="M342" t="s">
        <v>79</v>
      </c>
      <c r="N342">
        <v>0</v>
      </c>
      <c r="O342" t="s">
        <v>26</v>
      </c>
      <c r="P342" t="s">
        <v>34</v>
      </c>
      <c r="Q342">
        <v>0</v>
      </c>
    </row>
    <row r="343" spans="1:17" x14ac:dyDescent="0.3">
      <c r="A343" t="s">
        <v>17</v>
      </c>
      <c r="B343">
        <v>68</v>
      </c>
      <c r="C343" t="s">
        <v>34</v>
      </c>
      <c r="D343" s="2">
        <v>45716</v>
      </c>
      <c r="E343" s="3">
        <f t="shared" si="5"/>
        <v>45689</v>
      </c>
      <c r="F343" t="s">
        <v>499</v>
      </c>
      <c r="G343" t="s">
        <v>246</v>
      </c>
      <c r="H343" s="4">
        <v>93.62</v>
      </c>
      <c r="I343" t="s">
        <v>47</v>
      </c>
      <c r="J343" t="s">
        <v>79</v>
      </c>
      <c r="K343" t="s">
        <v>506</v>
      </c>
      <c r="L343" s="2">
        <v>45689</v>
      </c>
      <c r="M343" t="s">
        <v>79</v>
      </c>
      <c r="N343">
        <v>0</v>
      </c>
      <c r="O343" t="s">
        <v>26</v>
      </c>
      <c r="P343" t="s">
        <v>34</v>
      </c>
      <c r="Q343">
        <v>0</v>
      </c>
    </row>
    <row r="344" spans="1:17" x14ac:dyDescent="0.3">
      <c r="A344" t="s">
        <v>17</v>
      </c>
      <c r="B344">
        <v>68</v>
      </c>
      <c r="C344" t="s">
        <v>34</v>
      </c>
      <c r="D344" s="2">
        <v>45716</v>
      </c>
      <c r="E344" s="3">
        <f t="shared" si="5"/>
        <v>45689</v>
      </c>
      <c r="F344" t="s">
        <v>499</v>
      </c>
      <c r="G344" t="s">
        <v>246</v>
      </c>
      <c r="H344" s="4">
        <v>93.62</v>
      </c>
      <c r="I344" t="s">
        <v>47</v>
      </c>
      <c r="J344" t="s">
        <v>79</v>
      </c>
      <c r="K344" t="s">
        <v>507</v>
      </c>
      <c r="L344" s="2">
        <v>45689</v>
      </c>
      <c r="M344" t="s">
        <v>79</v>
      </c>
      <c r="N344">
        <v>0</v>
      </c>
      <c r="O344" t="s">
        <v>26</v>
      </c>
      <c r="P344" t="s">
        <v>34</v>
      </c>
      <c r="Q344">
        <v>0</v>
      </c>
    </row>
    <row r="345" spans="1:17" x14ac:dyDescent="0.3">
      <c r="A345" t="s">
        <v>17</v>
      </c>
      <c r="B345">
        <v>68</v>
      </c>
      <c r="C345" t="s">
        <v>34</v>
      </c>
      <c r="D345" s="2">
        <v>45716</v>
      </c>
      <c r="E345" s="3">
        <f t="shared" si="5"/>
        <v>45689</v>
      </c>
      <c r="F345" t="s">
        <v>499</v>
      </c>
      <c r="G345" t="s">
        <v>246</v>
      </c>
      <c r="H345" s="4">
        <v>23.36</v>
      </c>
      <c r="I345" t="s">
        <v>47</v>
      </c>
      <c r="J345" t="s">
        <v>79</v>
      </c>
      <c r="K345" t="s">
        <v>508</v>
      </c>
      <c r="L345" s="2">
        <v>45689</v>
      </c>
      <c r="M345" t="s">
        <v>79</v>
      </c>
      <c r="N345">
        <v>0</v>
      </c>
      <c r="O345" t="s">
        <v>26</v>
      </c>
      <c r="P345" t="s">
        <v>34</v>
      </c>
      <c r="Q345">
        <v>0</v>
      </c>
    </row>
    <row r="346" spans="1:17" x14ac:dyDescent="0.3">
      <c r="A346" t="s">
        <v>17</v>
      </c>
      <c r="B346">
        <v>68</v>
      </c>
      <c r="C346" t="s">
        <v>34</v>
      </c>
      <c r="D346" s="2">
        <v>45716</v>
      </c>
      <c r="E346" s="3">
        <f t="shared" si="5"/>
        <v>45689</v>
      </c>
      <c r="F346" t="s">
        <v>509</v>
      </c>
      <c r="G346" t="s">
        <v>266</v>
      </c>
      <c r="H346" s="4">
        <v>252.1</v>
      </c>
      <c r="I346" t="s">
        <v>31</v>
      </c>
      <c r="J346" t="s">
        <v>79</v>
      </c>
      <c r="K346" t="s">
        <v>510</v>
      </c>
      <c r="L346" s="2">
        <v>45689</v>
      </c>
      <c r="M346" t="s">
        <v>79</v>
      </c>
      <c r="N346">
        <v>0</v>
      </c>
      <c r="O346" t="s">
        <v>31</v>
      </c>
      <c r="P346" t="s">
        <v>34</v>
      </c>
      <c r="Q346">
        <v>0</v>
      </c>
    </row>
    <row r="347" spans="1:17" x14ac:dyDescent="0.3">
      <c r="A347" t="s">
        <v>17</v>
      </c>
      <c r="B347">
        <v>64</v>
      </c>
      <c r="C347" t="s">
        <v>83</v>
      </c>
      <c r="D347" s="2">
        <v>45716</v>
      </c>
      <c r="E347" s="3">
        <f t="shared" si="5"/>
        <v>45689</v>
      </c>
      <c r="F347" t="s">
        <v>499</v>
      </c>
      <c r="G347" t="s">
        <v>246</v>
      </c>
      <c r="H347" s="4">
        <v>5</v>
      </c>
      <c r="I347" t="s">
        <v>47</v>
      </c>
      <c r="J347" t="s">
        <v>511</v>
      </c>
      <c r="K347" t="s">
        <v>512</v>
      </c>
      <c r="L347" s="2">
        <v>45689</v>
      </c>
      <c r="M347" t="s">
        <v>513</v>
      </c>
      <c r="N347">
        <v>0</v>
      </c>
      <c r="O347" t="s">
        <v>26</v>
      </c>
      <c r="P347" t="s">
        <v>83</v>
      </c>
      <c r="Q347">
        <v>0</v>
      </c>
    </row>
    <row r="348" spans="1:17" x14ac:dyDescent="0.3">
      <c r="A348" t="s">
        <v>17</v>
      </c>
      <c r="B348">
        <v>64</v>
      </c>
      <c r="C348" t="s">
        <v>83</v>
      </c>
      <c r="D348" s="2">
        <v>45716</v>
      </c>
      <c r="E348" s="3">
        <f t="shared" si="5"/>
        <v>45689</v>
      </c>
      <c r="F348" t="s">
        <v>514</v>
      </c>
      <c r="G348" t="s">
        <v>78</v>
      </c>
      <c r="H348" s="4">
        <v>244.75</v>
      </c>
      <c r="I348" t="s">
        <v>21</v>
      </c>
      <c r="J348" t="s">
        <v>84</v>
      </c>
      <c r="K348" t="s">
        <v>515</v>
      </c>
      <c r="L348" s="2">
        <v>45689</v>
      </c>
      <c r="M348" t="s">
        <v>86</v>
      </c>
      <c r="N348" t="s">
        <v>25</v>
      </c>
      <c r="O348" t="s">
        <v>81</v>
      </c>
      <c r="P348" t="s">
        <v>83</v>
      </c>
      <c r="Q348">
        <v>0</v>
      </c>
    </row>
    <row r="349" spans="1:17" x14ac:dyDescent="0.3">
      <c r="A349" t="s">
        <v>17</v>
      </c>
      <c r="B349">
        <v>64</v>
      </c>
      <c r="C349" t="s">
        <v>83</v>
      </c>
      <c r="D349" s="2">
        <v>45716</v>
      </c>
      <c r="E349" s="3">
        <f t="shared" si="5"/>
        <v>45689</v>
      </c>
      <c r="F349" t="s">
        <v>514</v>
      </c>
      <c r="G349" t="s">
        <v>78</v>
      </c>
      <c r="H349" s="4">
        <v>157.02000000000001</v>
      </c>
      <c r="I349" t="s">
        <v>21</v>
      </c>
      <c r="J349" t="s">
        <v>84</v>
      </c>
      <c r="K349" t="s">
        <v>515</v>
      </c>
      <c r="L349" s="2">
        <v>45689</v>
      </c>
      <c r="M349" t="s">
        <v>86</v>
      </c>
      <c r="N349" t="s">
        <v>25</v>
      </c>
      <c r="O349" t="s">
        <v>81</v>
      </c>
      <c r="P349" t="s">
        <v>83</v>
      </c>
      <c r="Q349">
        <v>0</v>
      </c>
    </row>
    <row r="350" spans="1:17" x14ac:dyDescent="0.3">
      <c r="A350" t="s">
        <v>17</v>
      </c>
      <c r="B350">
        <v>64</v>
      </c>
      <c r="C350" t="s">
        <v>83</v>
      </c>
      <c r="D350" s="2">
        <v>45716</v>
      </c>
      <c r="E350" s="3">
        <f t="shared" si="5"/>
        <v>45689</v>
      </c>
      <c r="F350" t="s">
        <v>514</v>
      </c>
      <c r="G350" t="s">
        <v>78</v>
      </c>
      <c r="H350" s="4">
        <v>590.29999999999995</v>
      </c>
      <c r="I350" t="s">
        <v>21</v>
      </c>
      <c r="J350" t="s">
        <v>84</v>
      </c>
      <c r="K350" t="s">
        <v>516</v>
      </c>
      <c r="L350" s="2">
        <v>45689</v>
      </c>
      <c r="M350" t="s">
        <v>86</v>
      </c>
      <c r="N350" t="s">
        <v>25</v>
      </c>
      <c r="O350" t="s">
        <v>81</v>
      </c>
      <c r="P350" t="s">
        <v>83</v>
      </c>
      <c r="Q350">
        <v>0</v>
      </c>
    </row>
    <row r="351" spans="1:17" x14ac:dyDescent="0.3">
      <c r="A351" t="s">
        <v>17</v>
      </c>
      <c r="B351">
        <v>64</v>
      </c>
      <c r="C351" t="s">
        <v>83</v>
      </c>
      <c r="D351" s="2">
        <v>45716</v>
      </c>
      <c r="E351" s="3">
        <f t="shared" si="5"/>
        <v>45689</v>
      </c>
      <c r="F351" t="s">
        <v>514</v>
      </c>
      <c r="G351" t="s">
        <v>78</v>
      </c>
      <c r="H351" s="4">
        <v>130.29</v>
      </c>
      <c r="I351" t="s">
        <v>21</v>
      </c>
      <c r="J351" t="s">
        <v>84</v>
      </c>
      <c r="K351" t="s">
        <v>516</v>
      </c>
      <c r="L351" s="2">
        <v>45689</v>
      </c>
      <c r="M351" t="s">
        <v>86</v>
      </c>
      <c r="N351" t="s">
        <v>25</v>
      </c>
      <c r="O351" t="s">
        <v>81</v>
      </c>
      <c r="P351" t="s">
        <v>83</v>
      </c>
      <c r="Q351">
        <v>0</v>
      </c>
    </row>
    <row r="352" spans="1:17" x14ac:dyDescent="0.3">
      <c r="A352" t="s">
        <v>17</v>
      </c>
      <c r="B352">
        <v>67</v>
      </c>
      <c r="C352" t="s">
        <v>28</v>
      </c>
      <c r="D352" s="2">
        <v>45716</v>
      </c>
      <c r="E352" s="3">
        <f t="shared" si="5"/>
        <v>45689</v>
      </c>
      <c r="F352" t="s">
        <v>517</v>
      </c>
      <c r="G352" t="s">
        <v>119</v>
      </c>
      <c r="H352" s="4">
        <v>371.25</v>
      </c>
      <c r="I352" t="s">
        <v>31</v>
      </c>
      <c r="J352" t="s">
        <v>68</v>
      </c>
      <c r="K352" t="s">
        <v>518</v>
      </c>
      <c r="L352" s="2">
        <v>45689</v>
      </c>
      <c r="M352" t="s">
        <v>68</v>
      </c>
      <c r="N352">
        <v>0</v>
      </c>
      <c r="O352" t="s">
        <v>31</v>
      </c>
      <c r="P352" t="s">
        <v>28</v>
      </c>
      <c r="Q352">
        <v>0</v>
      </c>
    </row>
    <row r="353" spans="1:17" x14ac:dyDescent="0.3">
      <c r="A353" t="s">
        <v>17</v>
      </c>
      <c r="B353">
        <v>67</v>
      </c>
      <c r="C353" t="s">
        <v>28</v>
      </c>
      <c r="D353" s="2">
        <v>45716</v>
      </c>
      <c r="E353" s="3">
        <f t="shared" si="5"/>
        <v>45689</v>
      </c>
      <c r="F353" t="s">
        <v>519</v>
      </c>
      <c r="G353" t="s">
        <v>67</v>
      </c>
      <c r="H353" s="4">
        <v>296.95</v>
      </c>
      <c r="I353" t="s">
        <v>31</v>
      </c>
      <c r="J353" t="s">
        <v>68</v>
      </c>
      <c r="K353" t="s">
        <v>520</v>
      </c>
      <c r="L353" s="2">
        <v>45689</v>
      </c>
      <c r="M353" t="s">
        <v>68</v>
      </c>
      <c r="N353">
        <v>0</v>
      </c>
      <c r="O353" t="s">
        <v>31</v>
      </c>
      <c r="P353" t="s">
        <v>28</v>
      </c>
      <c r="Q353">
        <v>0</v>
      </c>
    </row>
    <row r="354" spans="1:17" x14ac:dyDescent="0.3">
      <c r="A354" t="s">
        <v>17</v>
      </c>
      <c r="B354">
        <v>67</v>
      </c>
      <c r="C354" t="s">
        <v>28</v>
      </c>
      <c r="D354" s="2">
        <v>45716</v>
      </c>
      <c r="E354" s="3">
        <f t="shared" si="5"/>
        <v>45689</v>
      </c>
      <c r="F354" t="s">
        <v>521</v>
      </c>
      <c r="G354" t="s">
        <v>283</v>
      </c>
      <c r="H354" s="4">
        <v>150</v>
      </c>
      <c r="I354" t="s">
        <v>31</v>
      </c>
      <c r="J354" t="s">
        <v>48</v>
      </c>
      <c r="K354" t="s">
        <v>522</v>
      </c>
      <c r="L354" s="2">
        <v>45689</v>
      </c>
      <c r="M354" t="s">
        <v>50</v>
      </c>
      <c r="N354">
        <v>0</v>
      </c>
      <c r="O354" t="s">
        <v>31</v>
      </c>
      <c r="P354" t="s">
        <v>28</v>
      </c>
      <c r="Q354">
        <v>0</v>
      </c>
    </row>
    <row r="355" spans="1:17" x14ac:dyDescent="0.3">
      <c r="A355" t="s">
        <v>17</v>
      </c>
      <c r="B355">
        <v>64</v>
      </c>
      <c r="C355" t="s">
        <v>83</v>
      </c>
      <c r="D355" s="2">
        <v>45716</v>
      </c>
      <c r="E355" s="3">
        <f t="shared" si="5"/>
        <v>45689</v>
      </c>
      <c r="F355" t="s">
        <v>523</v>
      </c>
      <c r="G355" t="s">
        <v>524</v>
      </c>
      <c r="H355" s="4">
        <v>29.46</v>
      </c>
      <c r="I355" t="s">
        <v>137</v>
      </c>
      <c r="J355" t="s">
        <v>87</v>
      </c>
      <c r="K355" t="s">
        <v>525</v>
      </c>
      <c r="L355" s="2">
        <v>45689</v>
      </c>
      <c r="M355" t="s">
        <v>89</v>
      </c>
      <c r="N355" t="s">
        <v>141</v>
      </c>
      <c r="O355" t="s">
        <v>141</v>
      </c>
      <c r="P355" t="s">
        <v>83</v>
      </c>
      <c r="Q355">
        <v>0</v>
      </c>
    </row>
    <row r="356" spans="1:17" x14ac:dyDescent="0.3">
      <c r="A356" t="s">
        <v>17</v>
      </c>
      <c r="B356">
        <v>64</v>
      </c>
      <c r="C356" t="s">
        <v>83</v>
      </c>
      <c r="D356" s="2">
        <v>45716</v>
      </c>
      <c r="E356" s="3">
        <f t="shared" si="5"/>
        <v>45689</v>
      </c>
      <c r="F356" t="s">
        <v>523</v>
      </c>
      <c r="G356" t="s">
        <v>524</v>
      </c>
      <c r="H356" s="4">
        <v>20.2</v>
      </c>
      <c r="I356" t="s">
        <v>137</v>
      </c>
      <c r="J356" t="s">
        <v>87</v>
      </c>
      <c r="K356" t="s">
        <v>525</v>
      </c>
      <c r="L356" s="2">
        <v>45689</v>
      </c>
      <c r="M356" t="s">
        <v>89</v>
      </c>
      <c r="N356" t="s">
        <v>141</v>
      </c>
      <c r="O356" t="s">
        <v>141</v>
      </c>
      <c r="P356" t="s">
        <v>83</v>
      </c>
      <c r="Q356">
        <v>0</v>
      </c>
    </row>
    <row r="357" spans="1:17" x14ac:dyDescent="0.3">
      <c r="A357" t="s">
        <v>17</v>
      </c>
      <c r="B357">
        <v>64</v>
      </c>
      <c r="C357" t="s">
        <v>83</v>
      </c>
      <c r="D357" s="2">
        <v>45716</v>
      </c>
      <c r="E357" s="3">
        <f t="shared" si="5"/>
        <v>45689</v>
      </c>
      <c r="F357" t="s">
        <v>499</v>
      </c>
      <c r="G357" t="s">
        <v>246</v>
      </c>
      <c r="H357" s="4">
        <v>78.31</v>
      </c>
      <c r="I357" t="s">
        <v>47</v>
      </c>
      <c r="J357" t="s">
        <v>87</v>
      </c>
      <c r="K357" t="s">
        <v>289</v>
      </c>
      <c r="L357" s="2">
        <v>45689</v>
      </c>
      <c r="M357" t="s">
        <v>89</v>
      </c>
      <c r="N357">
        <v>0</v>
      </c>
      <c r="O357" t="s">
        <v>26</v>
      </c>
      <c r="P357" t="s">
        <v>83</v>
      </c>
      <c r="Q357">
        <v>0</v>
      </c>
    </row>
    <row r="358" spans="1:17" x14ac:dyDescent="0.3">
      <c r="A358" t="s">
        <v>17</v>
      </c>
      <c r="B358">
        <v>64</v>
      </c>
      <c r="C358" t="s">
        <v>83</v>
      </c>
      <c r="D358" s="2">
        <v>45716</v>
      </c>
      <c r="E358" s="3">
        <f t="shared" si="5"/>
        <v>45689</v>
      </c>
      <c r="F358" t="s">
        <v>499</v>
      </c>
      <c r="G358" t="s">
        <v>246</v>
      </c>
      <c r="H358" s="4">
        <v>120.08</v>
      </c>
      <c r="I358" t="s">
        <v>47</v>
      </c>
      <c r="J358" t="s">
        <v>87</v>
      </c>
      <c r="K358" t="s">
        <v>526</v>
      </c>
      <c r="L358" s="2">
        <v>45689</v>
      </c>
      <c r="M358" t="s">
        <v>89</v>
      </c>
      <c r="N358">
        <v>0</v>
      </c>
      <c r="O358" t="s">
        <v>26</v>
      </c>
      <c r="P358" t="s">
        <v>83</v>
      </c>
      <c r="Q358">
        <v>0</v>
      </c>
    </row>
    <row r="359" spans="1:17" x14ac:dyDescent="0.3">
      <c r="A359" t="s">
        <v>17</v>
      </c>
      <c r="B359">
        <v>64</v>
      </c>
      <c r="C359" t="s">
        <v>83</v>
      </c>
      <c r="D359" s="2">
        <v>45716</v>
      </c>
      <c r="E359" s="3">
        <f t="shared" si="5"/>
        <v>45689</v>
      </c>
      <c r="F359" t="s">
        <v>499</v>
      </c>
      <c r="G359" t="s">
        <v>246</v>
      </c>
      <c r="H359" s="4">
        <v>106.07</v>
      </c>
      <c r="I359" t="s">
        <v>47</v>
      </c>
      <c r="J359" t="s">
        <v>87</v>
      </c>
      <c r="K359" t="s">
        <v>526</v>
      </c>
      <c r="L359" s="2">
        <v>45689</v>
      </c>
      <c r="M359" t="s">
        <v>89</v>
      </c>
      <c r="N359">
        <v>0</v>
      </c>
      <c r="O359" t="s">
        <v>26</v>
      </c>
      <c r="P359" t="s">
        <v>83</v>
      </c>
      <c r="Q359">
        <v>0</v>
      </c>
    </row>
    <row r="360" spans="1:17" x14ac:dyDescent="0.3">
      <c r="A360" t="s">
        <v>17</v>
      </c>
      <c r="B360">
        <v>64</v>
      </c>
      <c r="C360" t="s">
        <v>83</v>
      </c>
      <c r="D360" s="2">
        <v>45716</v>
      </c>
      <c r="E360" s="3">
        <f t="shared" si="5"/>
        <v>45689</v>
      </c>
      <c r="F360" t="s">
        <v>499</v>
      </c>
      <c r="G360" t="s">
        <v>246</v>
      </c>
      <c r="H360" s="4">
        <v>117.37</v>
      </c>
      <c r="I360" t="s">
        <v>47</v>
      </c>
      <c r="J360" t="s">
        <v>87</v>
      </c>
      <c r="K360" t="s">
        <v>527</v>
      </c>
      <c r="L360" s="2">
        <v>45689</v>
      </c>
      <c r="M360" t="s">
        <v>89</v>
      </c>
      <c r="N360">
        <v>0</v>
      </c>
      <c r="O360" t="s">
        <v>26</v>
      </c>
      <c r="P360" t="s">
        <v>83</v>
      </c>
      <c r="Q360">
        <v>0</v>
      </c>
    </row>
    <row r="361" spans="1:17" x14ac:dyDescent="0.3">
      <c r="A361" t="s">
        <v>17</v>
      </c>
      <c r="B361">
        <v>64</v>
      </c>
      <c r="C361" t="s">
        <v>83</v>
      </c>
      <c r="D361" s="2">
        <v>45716</v>
      </c>
      <c r="E361" s="3">
        <f t="shared" si="5"/>
        <v>45689</v>
      </c>
      <c r="F361" t="s">
        <v>500</v>
      </c>
      <c r="G361" t="s">
        <v>210</v>
      </c>
      <c r="H361" s="4">
        <v>21.54</v>
      </c>
      <c r="I361" t="s">
        <v>31</v>
      </c>
      <c r="J361" t="s">
        <v>87</v>
      </c>
      <c r="K361" t="s">
        <v>528</v>
      </c>
      <c r="L361" s="2">
        <v>45689</v>
      </c>
      <c r="M361" t="s">
        <v>89</v>
      </c>
      <c r="N361">
        <v>0</v>
      </c>
      <c r="O361" t="s">
        <v>31</v>
      </c>
      <c r="P361" t="s">
        <v>83</v>
      </c>
      <c r="Q361">
        <v>0</v>
      </c>
    </row>
    <row r="362" spans="1:17" x14ac:dyDescent="0.3">
      <c r="A362" t="s">
        <v>17</v>
      </c>
      <c r="B362">
        <v>64</v>
      </c>
      <c r="C362" t="s">
        <v>83</v>
      </c>
      <c r="D362" s="2">
        <v>45716</v>
      </c>
      <c r="E362" s="3">
        <f t="shared" si="5"/>
        <v>45689</v>
      </c>
      <c r="F362" t="s">
        <v>500</v>
      </c>
      <c r="G362" t="s">
        <v>210</v>
      </c>
      <c r="H362" s="4">
        <v>14.58</v>
      </c>
      <c r="I362" t="s">
        <v>31</v>
      </c>
      <c r="J362" t="s">
        <v>87</v>
      </c>
      <c r="K362" t="s">
        <v>529</v>
      </c>
      <c r="L362" s="2">
        <v>45689</v>
      </c>
      <c r="M362" t="s">
        <v>89</v>
      </c>
      <c r="N362">
        <v>0</v>
      </c>
      <c r="O362" t="s">
        <v>31</v>
      </c>
      <c r="P362" t="s">
        <v>83</v>
      </c>
      <c r="Q362">
        <v>0</v>
      </c>
    </row>
    <row r="363" spans="1:17" x14ac:dyDescent="0.3">
      <c r="A363" t="s">
        <v>17</v>
      </c>
      <c r="B363">
        <v>64</v>
      </c>
      <c r="C363" t="s">
        <v>83</v>
      </c>
      <c r="D363" s="2">
        <v>45716</v>
      </c>
      <c r="E363" s="3">
        <f t="shared" si="5"/>
        <v>45689</v>
      </c>
      <c r="F363" t="s">
        <v>499</v>
      </c>
      <c r="G363" t="s">
        <v>246</v>
      </c>
      <c r="H363" s="4">
        <v>466.96</v>
      </c>
      <c r="I363" t="s">
        <v>47</v>
      </c>
      <c r="J363" t="s">
        <v>530</v>
      </c>
      <c r="K363" t="s">
        <v>527</v>
      </c>
      <c r="L363" s="2">
        <v>45689</v>
      </c>
      <c r="M363" t="s">
        <v>531</v>
      </c>
      <c r="N363">
        <v>0</v>
      </c>
      <c r="O363" t="s">
        <v>26</v>
      </c>
      <c r="P363" t="s">
        <v>83</v>
      </c>
      <c r="Q363">
        <v>0</v>
      </c>
    </row>
    <row r="364" spans="1:17" x14ac:dyDescent="0.3">
      <c r="A364" t="s">
        <v>17</v>
      </c>
      <c r="B364">
        <v>64</v>
      </c>
      <c r="C364" t="s">
        <v>83</v>
      </c>
      <c r="D364" s="2">
        <v>45716</v>
      </c>
      <c r="E364" s="3">
        <f t="shared" si="5"/>
        <v>45689</v>
      </c>
      <c r="F364" t="s">
        <v>499</v>
      </c>
      <c r="G364" t="s">
        <v>246</v>
      </c>
      <c r="H364" s="4">
        <v>27.22</v>
      </c>
      <c r="I364" t="s">
        <v>47</v>
      </c>
      <c r="J364" t="s">
        <v>91</v>
      </c>
      <c r="K364" t="s">
        <v>532</v>
      </c>
      <c r="L364" s="2">
        <v>45689</v>
      </c>
      <c r="M364" t="s">
        <v>93</v>
      </c>
      <c r="N364">
        <v>0</v>
      </c>
      <c r="O364" t="s">
        <v>26</v>
      </c>
      <c r="P364" t="s">
        <v>83</v>
      </c>
      <c r="Q364">
        <v>0</v>
      </c>
    </row>
    <row r="365" spans="1:17" x14ac:dyDescent="0.3">
      <c r="A365" t="s">
        <v>17</v>
      </c>
      <c r="B365">
        <v>64</v>
      </c>
      <c r="C365" t="s">
        <v>83</v>
      </c>
      <c r="D365" s="2">
        <v>45716</v>
      </c>
      <c r="E365" s="3">
        <f t="shared" si="5"/>
        <v>45689</v>
      </c>
      <c r="F365" t="s">
        <v>500</v>
      </c>
      <c r="G365" t="s">
        <v>210</v>
      </c>
      <c r="H365" s="4">
        <v>181.99</v>
      </c>
      <c r="I365" t="s">
        <v>31</v>
      </c>
      <c r="J365" t="s">
        <v>91</v>
      </c>
      <c r="K365" t="s">
        <v>533</v>
      </c>
      <c r="L365" s="2">
        <v>45689</v>
      </c>
      <c r="M365" t="s">
        <v>93</v>
      </c>
      <c r="N365">
        <v>0</v>
      </c>
      <c r="O365" t="s">
        <v>31</v>
      </c>
      <c r="P365" t="s">
        <v>83</v>
      </c>
      <c r="Q365">
        <v>0</v>
      </c>
    </row>
    <row r="366" spans="1:17" x14ac:dyDescent="0.3">
      <c r="A366" t="s">
        <v>17</v>
      </c>
      <c r="B366">
        <v>64</v>
      </c>
      <c r="C366" t="s">
        <v>83</v>
      </c>
      <c r="D366" s="2">
        <v>45716</v>
      </c>
      <c r="E366" s="3">
        <f t="shared" si="5"/>
        <v>45689</v>
      </c>
      <c r="F366" t="s">
        <v>500</v>
      </c>
      <c r="G366" t="s">
        <v>210</v>
      </c>
      <c r="H366" s="4">
        <v>46.04</v>
      </c>
      <c r="I366" t="s">
        <v>31</v>
      </c>
      <c r="J366" t="s">
        <v>91</v>
      </c>
      <c r="K366" t="s">
        <v>225</v>
      </c>
      <c r="L366" s="2">
        <v>45689</v>
      </c>
      <c r="M366" t="s">
        <v>93</v>
      </c>
      <c r="N366">
        <v>0</v>
      </c>
      <c r="O366" t="s">
        <v>31</v>
      </c>
      <c r="P366" t="s">
        <v>83</v>
      </c>
      <c r="Q366">
        <v>0</v>
      </c>
    </row>
    <row r="367" spans="1:17" x14ac:dyDescent="0.3">
      <c r="A367" t="s">
        <v>17</v>
      </c>
      <c r="B367">
        <v>64</v>
      </c>
      <c r="C367" t="s">
        <v>83</v>
      </c>
      <c r="D367" s="2">
        <v>45716</v>
      </c>
      <c r="E367" s="3">
        <f t="shared" si="5"/>
        <v>45689</v>
      </c>
      <c r="F367" t="s">
        <v>500</v>
      </c>
      <c r="G367" t="s">
        <v>210</v>
      </c>
      <c r="H367" s="4">
        <v>371.26</v>
      </c>
      <c r="I367" t="s">
        <v>31</v>
      </c>
      <c r="J367" t="s">
        <v>91</v>
      </c>
      <c r="K367" t="s">
        <v>534</v>
      </c>
      <c r="L367" s="2">
        <v>45689</v>
      </c>
      <c r="M367" t="s">
        <v>93</v>
      </c>
      <c r="N367">
        <v>0</v>
      </c>
      <c r="O367" t="s">
        <v>31</v>
      </c>
      <c r="P367" t="s">
        <v>83</v>
      </c>
      <c r="Q367">
        <v>0</v>
      </c>
    </row>
    <row r="368" spans="1:17" x14ac:dyDescent="0.3">
      <c r="A368" t="s">
        <v>17</v>
      </c>
      <c r="B368">
        <v>68</v>
      </c>
      <c r="C368" t="s">
        <v>34</v>
      </c>
      <c r="D368" s="2">
        <v>45716</v>
      </c>
      <c r="E368" s="3">
        <f t="shared" si="5"/>
        <v>45689</v>
      </c>
      <c r="F368" t="s">
        <v>499</v>
      </c>
      <c r="G368" t="s">
        <v>246</v>
      </c>
      <c r="H368" s="4">
        <v>1023.54</v>
      </c>
      <c r="I368" t="s">
        <v>47</v>
      </c>
      <c r="J368" t="s">
        <v>109</v>
      </c>
      <c r="K368" t="s">
        <v>535</v>
      </c>
      <c r="L368" s="2">
        <v>45689</v>
      </c>
      <c r="M368" t="s">
        <v>109</v>
      </c>
      <c r="N368">
        <v>0</v>
      </c>
      <c r="O368" t="s">
        <v>26</v>
      </c>
      <c r="P368" t="s">
        <v>112</v>
      </c>
      <c r="Q368" t="s">
        <v>113</v>
      </c>
    </row>
    <row r="369" spans="1:17" x14ac:dyDescent="0.3">
      <c r="A369" t="s">
        <v>17</v>
      </c>
      <c r="B369">
        <v>68</v>
      </c>
      <c r="C369" t="s">
        <v>34</v>
      </c>
      <c r="D369" s="2">
        <v>45716</v>
      </c>
      <c r="E369" s="3">
        <f t="shared" si="5"/>
        <v>45689</v>
      </c>
      <c r="F369" t="s">
        <v>499</v>
      </c>
      <c r="G369" t="s">
        <v>246</v>
      </c>
      <c r="H369" s="4">
        <v>-1023.54</v>
      </c>
      <c r="I369" t="s">
        <v>47</v>
      </c>
      <c r="J369" t="s">
        <v>109</v>
      </c>
      <c r="K369" t="s">
        <v>535</v>
      </c>
      <c r="L369" s="2">
        <v>45689</v>
      </c>
      <c r="M369" t="s">
        <v>109</v>
      </c>
      <c r="N369">
        <v>0</v>
      </c>
      <c r="O369" t="s">
        <v>26</v>
      </c>
      <c r="P369" t="s">
        <v>112</v>
      </c>
      <c r="Q369" t="s">
        <v>113</v>
      </c>
    </row>
    <row r="370" spans="1:17" x14ac:dyDescent="0.3">
      <c r="A370" t="s">
        <v>17</v>
      </c>
      <c r="B370">
        <v>68</v>
      </c>
      <c r="C370" t="s">
        <v>34</v>
      </c>
      <c r="D370" s="2">
        <v>45716</v>
      </c>
      <c r="E370" s="3">
        <f t="shared" si="5"/>
        <v>45689</v>
      </c>
      <c r="F370" t="s">
        <v>536</v>
      </c>
      <c r="G370" t="s">
        <v>122</v>
      </c>
      <c r="H370" s="4">
        <v>1617.25</v>
      </c>
      <c r="I370" t="s">
        <v>108</v>
      </c>
      <c r="J370" t="s">
        <v>109</v>
      </c>
      <c r="K370" t="s">
        <v>388</v>
      </c>
      <c r="L370" s="2">
        <v>45689</v>
      </c>
      <c r="M370" t="s">
        <v>109</v>
      </c>
      <c r="N370">
        <v>0</v>
      </c>
      <c r="O370" t="s">
        <v>111</v>
      </c>
      <c r="P370" t="s">
        <v>112</v>
      </c>
      <c r="Q370" t="s">
        <v>113</v>
      </c>
    </row>
    <row r="371" spans="1:17" x14ac:dyDescent="0.3">
      <c r="A371" t="s">
        <v>17</v>
      </c>
      <c r="B371">
        <v>68</v>
      </c>
      <c r="C371" t="s">
        <v>34</v>
      </c>
      <c r="D371" s="2">
        <v>45716</v>
      </c>
      <c r="E371" s="3">
        <f t="shared" si="5"/>
        <v>45689</v>
      </c>
      <c r="F371" t="s">
        <v>537</v>
      </c>
      <c r="G371" t="s">
        <v>122</v>
      </c>
      <c r="H371" s="4">
        <v>863.56</v>
      </c>
      <c r="I371" t="s">
        <v>108</v>
      </c>
      <c r="J371" t="s">
        <v>109</v>
      </c>
      <c r="K371" t="s">
        <v>123</v>
      </c>
      <c r="L371" s="2">
        <v>45689</v>
      </c>
      <c r="M371" t="s">
        <v>109</v>
      </c>
      <c r="N371">
        <v>0</v>
      </c>
      <c r="O371" t="s">
        <v>111</v>
      </c>
      <c r="P371" t="s">
        <v>112</v>
      </c>
      <c r="Q371" t="s">
        <v>113</v>
      </c>
    </row>
    <row r="372" spans="1:17" x14ac:dyDescent="0.3">
      <c r="A372" t="s">
        <v>17</v>
      </c>
      <c r="B372">
        <v>65</v>
      </c>
      <c r="C372" t="s">
        <v>54</v>
      </c>
      <c r="D372" s="2">
        <v>45716</v>
      </c>
      <c r="E372" s="3">
        <f t="shared" si="5"/>
        <v>45689</v>
      </c>
      <c r="F372" t="s">
        <v>538</v>
      </c>
      <c r="H372" s="4">
        <v>576.6</v>
      </c>
      <c r="I372" t="s">
        <v>31</v>
      </c>
      <c r="J372" t="s">
        <v>296</v>
      </c>
      <c r="L372" s="2">
        <v>45689</v>
      </c>
      <c r="M372" t="s">
        <v>296</v>
      </c>
      <c r="N372">
        <v>0</v>
      </c>
      <c r="O372" t="s">
        <v>31</v>
      </c>
      <c r="P372" t="s">
        <v>54</v>
      </c>
      <c r="Q372">
        <v>0</v>
      </c>
    </row>
    <row r="373" spans="1:17" x14ac:dyDescent="0.3">
      <c r="A373" t="s">
        <v>17</v>
      </c>
      <c r="B373">
        <v>65</v>
      </c>
      <c r="C373" t="s">
        <v>54</v>
      </c>
      <c r="D373" s="2">
        <v>45716</v>
      </c>
      <c r="E373" s="3">
        <f t="shared" si="5"/>
        <v>45689</v>
      </c>
      <c r="F373" t="s">
        <v>538</v>
      </c>
      <c r="H373" s="4">
        <v>23940.66</v>
      </c>
      <c r="I373" t="s">
        <v>31</v>
      </c>
      <c r="J373" t="s">
        <v>296</v>
      </c>
      <c r="L373" s="2">
        <v>45689</v>
      </c>
      <c r="M373" t="s">
        <v>296</v>
      </c>
      <c r="N373">
        <v>0</v>
      </c>
      <c r="O373" t="s">
        <v>31</v>
      </c>
      <c r="P373" t="s">
        <v>54</v>
      </c>
      <c r="Q373">
        <v>0</v>
      </c>
    </row>
    <row r="374" spans="1:17" x14ac:dyDescent="0.3">
      <c r="A374" t="s">
        <v>17</v>
      </c>
      <c r="B374">
        <v>69</v>
      </c>
      <c r="C374" t="s">
        <v>297</v>
      </c>
      <c r="D374" s="2">
        <v>45716</v>
      </c>
      <c r="E374" s="3">
        <f t="shared" si="5"/>
        <v>45689</v>
      </c>
      <c r="F374" t="s">
        <v>539</v>
      </c>
      <c r="H374" s="4">
        <v>1954.72</v>
      </c>
      <c r="I374" t="s">
        <v>31</v>
      </c>
      <c r="J374" t="s">
        <v>299</v>
      </c>
      <c r="K374" t="s">
        <v>300</v>
      </c>
      <c r="L374" s="2">
        <v>45689</v>
      </c>
      <c r="M374" t="s">
        <v>301</v>
      </c>
      <c r="N374">
        <v>0</v>
      </c>
      <c r="O374" t="s">
        <v>31</v>
      </c>
      <c r="P374" t="s">
        <v>297</v>
      </c>
      <c r="Q374">
        <v>0</v>
      </c>
    </row>
    <row r="375" spans="1:17" x14ac:dyDescent="0.3">
      <c r="A375" t="s">
        <v>17</v>
      </c>
      <c r="B375">
        <v>67</v>
      </c>
      <c r="C375" t="s">
        <v>28</v>
      </c>
      <c r="D375" s="2">
        <v>45716</v>
      </c>
      <c r="E375" s="3">
        <f t="shared" si="5"/>
        <v>45689</v>
      </c>
      <c r="F375" t="s">
        <v>540</v>
      </c>
      <c r="H375" s="4">
        <v>3019.92</v>
      </c>
      <c r="I375" t="s">
        <v>31</v>
      </c>
      <c r="J375" t="s">
        <v>74</v>
      </c>
      <c r="K375" t="s">
        <v>541</v>
      </c>
      <c r="L375" s="2">
        <v>45689</v>
      </c>
      <c r="M375" t="s">
        <v>76</v>
      </c>
      <c r="N375">
        <v>0</v>
      </c>
      <c r="O375" t="s">
        <v>31</v>
      </c>
      <c r="P375" t="s">
        <v>28</v>
      </c>
      <c r="Q375">
        <v>0</v>
      </c>
    </row>
    <row r="376" spans="1:17" x14ac:dyDescent="0.3">
      <c r="A376" t="s">
        <v>17</v>
      </c>
      <c r="B376">
        <v>67</v>
      </c>
      <c r="C376" t="s">
        <v>28</v>
      </c>
      <c r="D376" s="2">
        <v>45716</v>
      </c>
      <c r="E376" s="3">
        <f t="shared" si="5"/>
        <v>45689</v>
      </c>
      <c r="F376" t="s">
        <v>542</v>
      </c>
      <c r="H376" s="4">
        <v>839</v>
      </c>
      <c r="I376" t="s">
        <v>31</v>
      </c>
      <c r="J376" t="s">
        <v>74</v>
      </c>
      <c r="K376" t="s">
        <v>303</v>
      </c>
      <c r="L376" s="2">
        <v>45689</v>
      </c>
      <c r="M376" t="s">
        <v>76</v>
      </c>
      <c r="N376">
        <v>0</v>
      </c>
      <c r="O376" t="s">
        <v>31</v>
      </c>
      <c r="P376" t="s">
        <v>28</v>
      </c>
      <c r="Q376">
        <v>0</v>
      </c>
    </row>
    <row r="377" spans="1:17" x14ac:dyDescent="0.3">
      <c r="A377" t="s">
        <v>17</v>
      </c>
      <c r="B377">
        <v>67</v>
      </c>
      <c r="C377" t="s">
        <v>28</v>
      </c>
      <c r="D377" s="2">
        <v>45716</v>
      </c>
      <c r="E377" s="3">
        <f t="shared" si="5"/>
        <v>45689</v>
      </c>
      <c r="F377" t="s">
        <v>543</v>
      </c>
      <c r="H377" s="4">
        <v>9.99</v>
      </c>
      <c r="I377" t="s">
        <v>31</v>
      </c>
      <c r="J377" t="s">
        <v>74</v>
      </c>
      <c r="K377" t="s">
        <v>315</v>
      </c>
      <c r="L377" s="2">
        <v>45689</v>
      </c>
      <c r="M377" t="s">
        <v>76</v>
      </c>
      <c r="N377">
        <v>0</v>
      </c>
      <c r="O377" t="s">
        <v>31</v>
      </c>
      <c r="P377" t="s">
        <v>28</v>
      </c>
      <c r="Q377">
        <v>0</v>
      </c>
    </row>
    <row r="378" spans="1:17" x14ac:dyDescent="0.3">
      <c r="A378" t="s">
        <v>17</v>
      </c>
      <c r="B378">
        <v>67</v>
      </c>
      <c r="C378" t="s">
        <v>28</v>
      </c>
      <c r="D378" s="2">
        <v>45716</v>
      </c>
      <c r="E378" s="3">
        <f t="shared" si="5"/>
        <v>45689</v>
      </c>
      <c r="F378" t="s">
        <v>544</v>
      </c>
      <c r="H378" s="4">
        <v>2198.19</v>
      </c>
      <c r="I378" t="s">
        <v>31</v>
      </c>
      <c r="J378" t="s">
        <v>74</v>
      </c>
      <c r="K378" t="s">
        <v>545</v>
      </c>
      <c r="L378" s="2">
        <v>45689</v>
      </c>
      <c r="M378" t="s">
        <v>76</v>
      </c>
      <c r="N378">
        <v>0</v>
      </c>
      <c r="O378" t="s">
        <v>31</v>
      </c>
      <c r="P378" t="s">
        <v>28</v>
      </c>
      <c r="Q378">
        <v>0</v>
      </c>
    </row>
    <row r="379" spans="1:17" x14ac:dyDescent="0.3">
      <c r="A379" t="s">
        <v>17</v>
      </c>
      <c r="B379">
        <v>67</v>
      </c>
      <c r="C379" t="s">
        <v>28</v>
      </c>
      <c r="D379" s="2">
        <v>45716</v>
      </c>
      <c r="E379" s="3">
        <f t="shared" si="5"/>
        <v>45689</v>
      </c>
      <c r="F379" t="s">
        <v>546</v>
      </c>
      <c r="H379" s="4">
        <v>664.18</v>
      </c>
      <c r="I379" t="s">
        <v>31</v>
      </c>
      <c r="J379" t="s">
        <v>74</v>
      </c>
      <c r="K379" t="s">
        <v>547</v>
      </c>
      <c r="L379" s="2">
        <v>45689</v>
      </c>
      <c r="M379" t="s">
        <v>76</v>
      </c>
      <c r="N379">
        <v>0</v>
      </c>
      <c r="O379" t="s">
        <v>31</v>
      </c>
      <c r="P379" t="s">
        <v>28</v>
      </c>
      <c r="Q379">
        <v>0</v>
      </c>
    </row>
    <row r="380" spans="1:17" x14ac:dyDescent="0.3">
      <c r="A380" t="s">
        <v>17</v>
      </c>
      <c r="B380">
        <v>67</v>
      </c>
      <c r="C380" t="s">
        <v>28</v>
      </c>
      <c r="D380" s="2">
        <v>45716</v>
      </c>
      <c r="E380" s="3">
        <f t="shared" si="5"/>
        <v>45689</v>
      </c>
      <c r="F380" t="s">
        <v>548</v>
      </c>
      <c r="H380" s="4">
        <v>2721.88</v>
      </c>
      <c r="I380" t="s">
        <v>31</v>
      </c>
      <c r="J380" t="s">
        <v>74</v>
      </c>
      <c r="K380" t="s">
        <v>307</v>
      </c>
      <c r="L380" s="2">
        <v>45689</v>
      </c>
      <c r="M380" t="s">
        <v>76</v>
      </c>
      <c r="N380">
        <v>0</v>
      </c>
      <c r="O380" t="s">
        <v>31</v>
      </c>
      <c r="P380" t="s">
        <v>28</v>
      </c>
      <c r="Q380">
        <v>0</v>
      </c>
    </row>
    <row r="381" spans="1:17" x14ac:dyDescent="0.3">
      <c r="A381" t="s">
        <v>17</v>
      </c>
      <c r="B381">
        <v>67</v>
      </c>
      <c r="C381" t="s">
        <v>28</v>
      </c>
      <c r="D381" s="2">
        <v>45716</v>
      </c>
      <c r="E381" s="3">
        <f t="shared" si="5"/>
        <v>45689</v>
      </c>
      <c r="F381" t="s">
        <v>549</v>
      </c>
      <c r="H381" s="4">
        <v>13.65</v>
      </c>
      <c r="I381" t="s">
        <v>31</v>
      </c>
      <c r="J381" t="s">
        <v>74</v>
      </c>
      <c r="K381" t="s">
        <v>550</v>
      </c>
      <c r="L381" s="2">
        <v>45689</v>
      </c>
      <c r="M381" t="s">
        <v>76</v>
      </c>
      <c r="N381">
        <v>0</v>
      </c>
      <c r="O381" t="s">
        <v>31</v>
      </c>
      <c r="P381" t="s">
        <v>28</v>
      </c>
      <c r="Q381">
        <v>0</v>
      </c>
    </row>
    <row r="382" spans="1:17" x14ac:dyDescent="0.3">
      <c r="A382" t="s">
        <v>17</v>
      </c>
      <c r="B382">
        <v>67</v>
      </c>
      <c r="C382" t="s">
        <v>28</v>
      </c>
      <c r="D382" s="2">
        <v>45716</v>
      </c>
      <c r="E382" s="3">
        <f t="shared" si="5"/>
        <v>45689</v>
      </c>
      <c r="F382" t="s">
        <v>551</v>
      </c>
      <c r="H382" s="4">
        <v>1302.44</v>
      </c>
      <c r="I382" t="s">
        <v>31</v>
      </c>
      <c r="J382" t="s">
        <v>74</v>
      </c>
      <c r="K382" t="s">
        <v>552</v>
      </c>
      <c r="L382" s="2">
        <v>45689</v>
      </c>
      <c r="M382" t="s">
        <v>76</v>
      </c>
      <c r="N382">
        <v>0</v>
      </c>
      <c r="O382" t="s">
        <v>31</v>
      </c>
      <c r="P382" t="s">
        <v>28</v>
      </c>
      <c r="Q382">
        <v>0</v>
      </c>
    </row>
    <row r="383" spans="1:17" x14ac:dyDescent="0.3">
      <c r="A383" t="s">
        <v>17</v>
      </c>
      <c r="B383">
        <v>67</v>
      </c>
      <c r="C383" t="s">
        <v>28</v>
      </c>
      <c r="D383" s="2">
        <v>45716</v>
      </c>
      <c r="E383" s="3">
        <f t="shared" si="5"/>
        <v>45689</v>
      </c>
      <c r="F383" t="s">
        <v>553</v>
      </c>
      <c r="H383" s="4">
        <v>2268.23</v>
      </c>
      <c r="I383" t="s">
        <v>47</v>
      </c>
      <c r="J383" t="s">
        <v>74</v>
      </c>
      <c r="K383" t="s">
        <v>554</v>
      </c>
      <c r="L383" s="2">
        <v>45689</v>
      </c>
      <c r="M383" t="s">
        <v>76</v>
      </c>
      <c r="N383">
        <v>0</v>
      </c>
      <c r="O383" t="s">
        <v>26</v>
      </c>
      <c r="P383" t="s">
        <v>28</v>
      </c>
      <c r="Q383">
        <v>0</v>
      </c>
    </row>
    <row r="384" spans="1:17" x14ac:dyDescent="0.3">
      <c r="A384" t="s">
        <v>17</v>
      </c>
      <c r="B384">
        <v>68</v>
      </c>
      <c r="C384" t="s">
        <v>34</v>
      </c>
      <c r="D384" s="2">
        <v>45716</v>
      </c>
      <c r="E384" s="3">
        <f t="shared" si="5"/>
        <v>45689</v>
      </c>
      <c r="F384" t="s">
        <v>555</v>
      </c>
      <c r="H384" s="4">
        <v>0</v>
      </c>
      <c r="I384" t="s">
        <v>21</v>
      </c>
      <c r="J384" t="s">
        <v>79</v>
      </c>
      <c r="K384" t="s">
        <v>320</v>
      </c>
      <c r="L384" s="2">
        <v>45689</v>
      </c>
      <c r="M384" t="s">
        <v>79</v>
      </c>
      <c r="N384" t="s">
        <v>25</v>
      </c>
      <c r="O384" t="s">
        <v>81</v>
      </c>
      <c r="P384" t="s">
        <v>34</v>
      </c>
      <c r="Q384">
        <v>0</v>
      </c>
    </row>
    <row r="385" spans="1:17" x14ac:dyDescent="0.3">
      <c r="A385" t="s">
        <v>17</v>
      </c>
      <c r="B385">
        <v>63</v>
      </c>
      <c r="C385" t="s">
        <v>18</v>
      </c>
      <c r="D385" s="2">
        <v>45716</v>
      </c>
      <c r="E385" s="3">
        <f t="shared" si="5"/>
        <v>45689</v>
      </c>
      <c r="F385" t="s">
        <v>556</v>
      </c>
      <c r="H385" s="4">
        <v>38242.449999999997</v>
      </c>
      <c r="I385" t="s">
        <v>47</v>
      </c>
      <c r="J385" t="s">
        <v>272</v>
      </c>
      <c r="K385" t="s">
        <v>324</v>
      </c>
      <c r="L385" s="2">
        <v>45689</v>
      </c>
      <c r="M385" t="s">
        <v>272</v>
      </c>
      <c r="N385">
        <v>0</v>
      </c>
      <c r="O385" t="s">
        <v>26</v>
      </c>
      <c r="P385" t="s">
        <v>18</v>
      </c>
      <c r="Q385" t="s">
        <v>274</v>
      </c>
    </row>
    <row r="386" spans="1:17" x14ac:dyDescent="0.3">
      <c r="A386" t="s">
        <v>17</v>
      </c>
      <c r="B386">
        <v>63</v>
      </c>
      <c r="C386" t="s">
        <v>18</v>
      </c>
      <c r="D386" s="2">
        <v>45716</v>
      </c>
      <c r="E386" s="3">
        <f t="shared" si="5"/>
        <v>45689</v>
      </c>
      <c r="F386" t="s">
        <v>557</v>
      </c>
      <c r="H386" s="4">
        <v>12496.96</v>
      </c>
      <c r="I386" t="s">
        <v>47</v>
      </c>
      <c r="J386" t="s">
        <v>326</v>
      </c>
      <c r="K386" t="s">
        <v>558</v>
      </c>
      <c r="L386" s="2">
        <v>45689</v>
      </c>
      <c r="M386" t="s">
        <v>328</v>
      </c>
      <c r="N386">
        <v>0</v>
      </c>
      <c r="O386" t="s">
        <v>26</v>
      </c>
      <c r="P386" t="s">
        <v>18</v>
      </c>
      <c r="Q386" t="s">
        <v>329</v>
      </c>
    </row>
    <row r="387" spans="1:17" x14ac:dyDescent="0.3">
      <c r="A387" t="s">
        <v>17</v>
      </c>
      <c r="B387">
        <v>63</v>
      </c>
      <c r="C387" t="s">
        <v>18</v>
      </c>
      <c r="D387" s="2">
        <v>45716</v>
      </c>
      <c r="E387" s="3">
        <f t="shared" ref="E387:E450" si="6">IF($D387="","",DATE(YEAR($D387),MONTH($D387),1))</f>
        <v>45689</v>
      </c>
      <c r="F387" t="s">
        <v>559</v>
      </c>
      <c r="H387" s="4">
        <v>833.33</v>
      </c>
      <c r="I387" t="s">
        <v>47</v>
      </c>
      <c r="J387" t="s">
        <v>331</v>
      </c>
      <c r="K387" t="s">
        <v>332</v>
      </c>
      <c r="L387" s="2">
        <v>45689</v>
      </c>
      <c r="M387" t="s">
        <v>333</v>
      </c>
      <c r="N387">
        <v>0</v>
      </c>
      <c r="O387" t="s">
        <v>26</v>
      </c>
      <c r="P387" t="s">
        <v>18</v>
      </c>
      <c r="Q387" t="s">
        <v>18</v>
      </c>
    </row>
    <row r="388" spans="1:17" x14ac:dyDescent="0.3">
      <c r="A388" t="s">
        <v>17</v>
      </c>
      <c r="B388">
        <v>63</v>
      </c>
      <c r="C388" t="s">
        <v>18</v>
      </c>
      <c r="D388" s="2">
        <v>45716</v>
      </c>
      <c r="E388" s="3">
        <f t="shared" si="6"/>
        <v>45689</v>
      </c>
      <c r="F388" t="s">
        <v>560</v>
      </c>
      <c r="H388" s="4">
        <v>833.33</v>
      </c>
      <c r="I388" t="s">
        <v>47</v>
      </c>
      <c r="J388" t="s">
        <v>331</v>
      </c>
      <c r="K388" t="s">
        <v>561</v>
      </c>
      <c r="L388" s="2">
        <v>45689</v>
      </c>
      <c r="M388" t="s">
        <v>333</v>
      </c>
      <c r="N388">
        <v>0</v>
      </c>
      <c r="O388" t="s">
        <v>26</v>
      </c>
      <c r="P388" t="s">
        <v>18</v>
      </c>
      <c r="Q388" t="s">
        <v>18</v>
      </c>
    </row>
    <row r="389" spans="1:17" x14ac:dyDescent="0.3">
      <c r="A389" t="s">
        <v>17</v>
      </c>
      <c r="B389">
        <v>66</v>
      </c>
      <c r="C389" t="s">
        <v>134</v>
      </c>
      <c r="D389" s="2">
        <v>45716</v>
      </c>
      <c r="E389" s="3">
        <f t="shared" si="6"/>
        <v>45689</v>
      </c>
      <c r="F389" t="s">
        <v>562</v>
      </c>
      <c r="H389" s="4">
        <v>697.61</v>
      </c>
      <c r="I389" t="s">
        <v>47</v>
      </c>
      <c r="J389" t="s">
        <v>223</v>
      </c>
      <c r="K389" t="s">
        <v>563</v>
      </c>
      <c r="L389" s="2">
        <v>45689</v>
      </c>
      <c r="M389" t="s">
        <v>223</v>
      </c>
      <c r="N389">
        <v>0</v>
      </c>
      <c r="O389" t="s">
        <v>111</v>
      </c>
      <c r="P389" t="s">
        <v>134</v>
      </c>
      <c r="Q389">
        <v>0</v>
      </c>
    </row>
    <row r="390" spans="1:17" x14ac:dyDescent="0.3">
      <c r="A390" t="s">
        <v>17</v>
      </c>
      <c r="B390">
        <v>65</v>
      </c>
      <c r="C390" t="s">
        <v>54</v>
      </c>
      <c r="D390" s="2">
        <v>45716</v>
      </c>
      <c r="E390" s="3">
        <f t="shared" si="6"/>
        <v>45689</v>
      </c>
      <c r="F390" t="s">
        <v>538</v>
      </c>
      <c r="H390" s="4">
        <v>-606</v>
      </c>
      <c r="I390" t="s">
        <v>31</v>
      </c>
      <c r="J390" t="s">
        <v>155</v>
      </c>
      <c r="L390" s="2">
        <v>45689</v>
      </c>
      <c r="M390" t="s">
        <v>155</v>
      </c>
      <c r="N390">
        <v>0</v>
      </c>
      <c r="O390" t="s">
        <v>31</v>
      </c>
      <c r="P390" t="s">
        <v>54</v>
      </c>
      <c r="Q390">
        <v>0</v>
      </c>
    </row>
    <row r="391" spans="1:17" x14ac:dyDescent="0.3">
      <c r="A391" t="s">
        <v>17</v>
      </c>
      <c r="B391">
        <v>67</v>
      </c>
      <c r="C391" t="s">
        <v>28</v>
      </c>
      <c r="D391" s="2">
        <v>45716</v>
      </c>
      <c r="E391" s="3">
        <f t="shared" si="6"/>
        <v>45689</v>
      </c>
      <c r="F391" t="s">
        <v>564</v>
      </c>
      <c r="H391" s="4">
        <v>1062.5</v>
      </c>
      <c r="I391" t="s">
        <v>31</v>
      </c>
      <c r="J391" t="s">
        <v>60</v>
      </c>
      <c r="K391" t="s">
        <v>339</v>
      </c>
      <c r="L391" s="2">
        <v>45689</v>
      </c>
      <c r="M391" t="s">
        <v>60</v>
      </c>
      <c r="N391">
        <v>0</v>
      </c>
      <c r="O391" t="s">
        <v>31</v>
      </c>
      <c r="P391" t="s">
        <v>28</v>
      </c>
      <c r="Q391">
        <v>0</v>
      </c>
    </row>
    <row r="392" spans="1:17" x14ac:dyDescent="0.3">
      <c r="A392" t="s">
        <v>17</v>
      </c>
      <c r="B392">
        <v>67</v>
      </c>
      <c r="C392" t="s">
        <v>28</v>
      </c>
      <c r="D392" s="2">
        <v>45716</v>
      </c>
      <c r="E392" s="3">
        <f t="shared" si="6"/>
        <v>45689</v>
      </c>
      <c r="F392" t="s">
        <v>565</v>
      </c>
      <c r="H392" s="4">
        <v>501.9</v>
      </c>
      <c r="I392" t="s">
        <v>31</v>
      </c>
      <c r="J392" t="s">
        <v>60</v>
      </c>
      <c r="K392" t="s">
        <v>342</v>
      </c>
      <c r="L392" s="2">
        <v>45689</v>
      </c>
      <c r="M392" t="s">
        <v>60</v>
      </c>
      <c r="N392">
        <v>0</v>
      </c>
      <c r="O392" t="s">
        <v>31</v>
      </c>
      <c r="P392" t="s">
        <v>28</v>
      </c>
      <c r="Q392">
        <v>0</v>
      </c>
    </row>
    <row r="393" spans="1:17" x14ac:dyDescent="0.3">
      <c r="A393" t="s">
        <v>17</v>
      </c>
      <c r="B393">
        <v>67</v>
      </c>
      <c r="C393" t="s">
        <v>28</v>
      </c>
      <c r="D393" s="2">
        <v>45716</v>
      </c>
      <c r="E393" s="3">
        <f t="shared" si="6"/>
        <v>45689</v>
      </c>
      <c r="F393" t="s">
        <v>566</v>
      </c>
      <c r="H393" s="4">
        <v>-37.299999999999997</v>
      </c>
      <c r="I393" t="s">
        <v>31</v>
      </c>
      <c r="J393" t="s">
        <v>60</v>
      </c>
      <c r="L393" s="2">
        <v>45689</v>
      </c>
      <c r="M393" t="s">
        <v>60</v>
      </c>
      <c r="N393">
        <v>0</v>
      </c>
      <c r="O393" t="s">
        <v>31</v>
      </c>
      <c r="P393" t="s">
        <v>28</v>
      </c>
      <c r="Q393">
        <v>0</v>
      </c>
    </row>
    <row r="394" spans="1:17" x14ac:dyDescent="0.3">
      <c r="A394" t="s">
        <v>17</v>
      </c>
      <c r="B394">
        <v>67</v>
      </c>
      <c r="C394" t="s">
        <v>28</v>
      </c>
      <c r="D394" s="2">
        <v>45716</v>
      </c>
      <c r="E394" s="3">
        <f t="shared" si="6"/>
        <v>45689</v>
      </c>
      <c r="F394" t="s">
        <v>566</v>
      </c>
      <c r="H394" s="4">
        <v>-48.66</v>
      </c>
      <c r="I394" t="s">
        <v>31</v>
      </c>
      <c r="J394" t="s">
        <v>60</v>
      </c>
      <c r="L394" s="2">
        <v>45689</v>
      </c>
      <c r="M394" t="s">
        <v>60</v>
      </c>
      <c r="N394">
        <v>0</v>
      </c>
      <c r="O394" t="s">
        <v>31</v>
      </c>
      <c r="P394" t="s">
        <v>28</v>
      </c>
      <c r="Q394">
        <v>0</v>
      </c>
    </row>
    <row r="395" spans="1:17" x14ac:dyDescent="0.3">
      <c r="A395" t="s">
        <v>17</v>
      </c>
      <c r="B395">
        <v>67</v>
      </c>
      <c r="C395" t="s">
        <v>28</v>
      </c>
      <c r="D395" s="2">
        <v>45716</v>
      </c>
      <c r="E395" s="3">
        <f t="shared" si="6"/>
        <v>45689</v>
      </c>
      <c r="F395" t="s">
        <v>566</v>
      </c>
      <c r="H395" s="4">
        <v>-54.44</v>
      </c>
      <c r="I395" t="s">
        <v>31</v>
      </c>
      <c r="J395" t="s">
        <v>60</v>
      </c>
      <c r="L395" s="2">
        <v>45689</v>
      </c>
      <c r="M395" t="s">
        <v>60</v>
      </c>
      <c r="N395">
        <v>0</v>
      </c>
      <c r="O395" t="s">
        <v>31</v>
      </c>
      <c r="P395" t="s">
        <v>28</v>
      </c>
      <c r="Q395">
        <v>0</v>
      </c>
    </row>
    <row r="396" spans="1:17" x14ac:dyDescent="0.3">
      <c r="A396" t="s">
        <v>17</v>
      </c>
      <c r="B396">
        <v>67</v>
      </c>
      <c r="C396" t="s">
        <v>28</v>
      </c>
      <c r="D396" s="2">
        <v>45716</v>
      </c>
      <c r="E396" s="3">
        <f t="shared" si="6"/>
        <v>45689</v>
      </c>
      <c r="F396" t="s">
        <v>566</v>
      </c>
      <c r="H396" s="4">
        <v>-13.88</v>
      </c>
      <c r="I396" t="s">
        <v>31</v>
      </c>
      <c r="J396" t="s">
        <v>60</v>
      </c>
      <c r="L396" s="2">
        <v>45689</v>
      </c>
      <c r="M396" t="s">
        <v>60</v>
      </c>
      <c r="N396">
        <v>0</v>
      </c>
      <c r="O396" t="s">
        <v>31</v>
      </c>
      <c r="P396" t="s">
        <v>28</v>
      </c>
      <c r="Q396">
        <v>0</v>
      </c>
    </row>
    <row r="397" spans="1:17" x14ac:dyDescent="0.3">
      <c r="A397" t="s">
        <v>17</v>
      </c>
      <c r="B397">
        <v>67</v>
      </c>
      <c r="C397" t="s">
        <v>28</v>
      </c>
      <c r="D397" s="2">
        <v>45716</v>
      </c>
      <c r="E397" s="3">
        <f t="shared" si="6"/>
        <v>45689</v>
      </c>
      <c r="F397" t="s">
        <v>566</v>
      </c>
      <c r="H397" s="4">
        <v>-44.48</v>
      </c>
      <c r="I397" t="s">
        <v>31</v>
      </c>
      <c r="J397" t="s">
        <v>60</v>
      </c>
      <c r="L397" s="2">
        <v>45689</v>
      </c>
      <c r="M397" t="s">
        <v>60</v>
      </c>
      <c r="N397">
        <v>0</v>
      </c>
      <c r="O397" t="s">
        <v>31</v>
      </c>
      <c r="P397" t="s">
        <v>28</v>
      </c>
      <c r="Q397">
        <v>0</v>
      </c>
    </row>
    <row r="398" spans="1:17" x14ac:dyDescent="0.3">
      <c r="A398" t="s">
        <v>17</v>
      </c>
      <c r="B398">
        <v>67</v>
      </c>
      <c r="C398" t="s">
        <v>28</v>
      </c>
      <c r="D398" s="2">
        <v>45716</v>
      </c>
      <c r="E398" s="3">
        <f t="shared" si="6"/>
        <v>45689</v>
      </c>
      <c r="F398" t="s">
        <v>566</v>
      </c>
      <c r="H398" s="4">
        <v>-43.2</v>
      </c>
      <c r="I398" t="s">
        <v>31</v>
      </c>
      <c r="J398" t="s">
        <v>60</v>
      </c>
      <c r="L398" s="2">
        <v>45689</v>
      </c>
      <c r="M398" t="s">
        <v>60</v>
      </c>
      <c r="N398">
        <v>0</v>
      </c>
      <c r="O398" t="s">
        <v>31</v>
      </c>
      <c r="P398" t="s">
        <v>28</v>
      </c>
      <c r="Q398">
        <v>0</v>
      </c>
    </row>
    <row r="399" spans="1:17" x14ac:dyDescent="0.3">
      <c r="A399" t="s">
        <v>17</v>
      </c>
      <c r="B399">
        <v>67</v>
      </c>
      <c r="C399" t="s">
        <v>28</v>
      </c>
      <c r="D399" s="2">
        <v>45716</v>
      </c>
      <c r="E399" s="3">
        <f t="shared" si="6"/>
        <v>45689</v>
      </c>
      <c r="F399" t="s">
        <v>566</v>
      </c>
      <c r="H399" s="4">
        <v>-88.99</v>
      </c>
      <c r="I399" t="s">
        <v>31</v>
      </c>
      <c r="J399" t="s">
        <v>60</v>
      </c>
      <c r="L399" s="2">
        <v>45689</v>
      </c>
      <c r="M399" t="s">
        <v>60</v>
      </c>
      <c r="N399">
        <v>0</v>
      </c>
      <c r="O399" t="s">
        <v>31</v>
      </c>
      <c r="P399" t="s">
        <v>28</v>
      </c>
      <c r="Q399">
        <v>0</v>
      </c>
    </row>
    <row r="400" spans="1:17" x14ac:dyDescent="0.3">
      <c r="A400" t="s">
        <v>17</v>
      </c>
      <c r="B400">
        <v>67</v>
      </c>
      <c r="C400" t="s">
        <v>28</v>
      </c>
      <c r="D400" s="2">
        <v>45716</v>
      </c>
      <c r="E400" s="3">
        <f t="shared" si="6"/>
        <v>45689</v>
      </c>
      <c r="F400" t="s">
        <v>566</v>
      </c>
      <c r="H400" s="4">
        <v>-41.72</v>
      </c>
      <c r="I400" t="s">
        <v>31</v>
      </c>
      <c r="J400" t="s">
        <v>60</v>
      </c>
      <c r="L400" s="2">
        <v>45689</v>
      </c>
      <c r="M400" t="s">
        <v>60</v>
      </c>
      <c r="N400">
        <v>0</v>
      </c>
      <c r="O400" t="s">
        <v>31</v>
      </c>
      <c r="P400" t="s">
        <v>28</v>
      </c>
      <c r="Q400">
        <v>0</v>
      </c>
    </row>
    <row r="401" spans="1:17" x14ac:dyDescent="0.3">
      <c r="A401" t="s">
        <v>17</v>
      </c>
      <c r="B401">
        <v>68</v>
      </c>
      <c r="C401" t="s">
        <v>34</v>
      </c>
      <c r="D401" s="2">
        <v>45716</v>
      </c>
      <c r="E401" s="3">
        <f t="shared" si="6"/>
        <v>45689</v>
      </c>
      <c r="F401" t="s">
        <v>567</v>
      </c>
      <c r="H401" s="4">
        <v>346.63</v>
      </c>
      <c r="I401" t="s">
        <v>31</v>
      </c>
      <c r="J401" t="s">
        <v>37</v>
      </c>
      <c r="K401" t="s">
        <v>568</v>
      </c>
      <c r="L401" s="2">
        <v>45689</v>
      </c>
      <c r="M401" t="s">
        <v>37</v>
      </c>
      <c r="N401">
        <v>0</v>
      </c>
      <c r="O401" t="s">
        <v>31</v>
      </c>
      <c r="P401" t="s">
        <v>34</v>
      </c>
      <c r="Q401">
        <v>0</v>
      </c>
    </row>
    <row r="402" spans="1:17" x14ac:dyDescent="0.3">
      <c r="A402" t="s">
        <v>17</v>
      </c>
      <c r="B402">
        <v>69</v>
      </c>
      <c r="C402" t="s">
        <v>297</v>
      </c>
      <c r="D402" s="2">
        <v>45716</v>
      </c>
      <c r="E402" s="3">
        <f t="shared" si="6"/>
        <v>45689</v>
      </c>
      <c r="F402" t="s">
        <v>569</v>
      </c>
      <c r="H402" s="4">
        <v>66.72</v>
      </c>
      <c r="I402" t="s">
        <v>159</v>
      </c>
      <c r="J402" t="s">
        <v>346</v>
      </c>
      <c r="L402" s="2">
        <v>45689</v>
      </c>
      <c r="M402" t="s">
        <v>347</v>
      </c>
      <c r="N402">
        <v>0</v>
      </c>
      <c r="O402" t="s">
        <v>159</v>
      </c>
      <c r="P402" t="s">
        <v>297</v>
      </c>
      <c r="Q402">
        <v>0</v>
      </c>
    </row>
    <row r="403" spans="1:17" x14ac:dyDescent="0.3">
      <c r="A403" t="s">
        <v>17</v>
      </c>
      <c r="B403">
        <v>69</v>
      </c>
      <c r="C403" t="s">
        <v>297</v>
      </c>
      <c r="D403" s="2">
        <v>45716</v>
      </c>
      <c r="E403" s="3">
        <f t="shared" si="6"/>
        <v>45689</v>
      </c>
      <c r="F403" t="s">
        <v>569</v>
      </c>
      <c r="H403" s="4">
        <v>113.67</v>
      </c>
      <c r="I403" t="s">
        <v>137</v>
      </c>
      <c r="J403" t="s">
        <v>346</v>
      </c>
      <c r="L403" s="2">
        <v>45689</v>
      </c>
      <c r="M403" t="s">
        <v>347</v>
      </c>
      <c r="N403" t="s">
        <v>141</v>
      </c>
      <c r="O403" t="s">
        <v>141</v>
      </c>
      <c r="P403" t="s">
        <v>297</v>
      </c>
      <c r="Q403">
        <v>0</v>
      </c>
    </row>
    <row r="404" spans="1:17" x14ac:dyDescent="0.3">
      <c r="A404" t="s">
        <v>17</v>
      </c>
      <c r="B404">
        <v>69</v>
      </c>
      <c r="C404" t="s">
        <v>297</v>
      </c>
      <c r="D404" s="2">
        <v>45716</v>
      </c>
      <c r="E404" s="3">
        <f t="shared" si="6"/>
        <v>45689</v>
      </c>
      <c r="F404" t="s">
        <v>569</v>
      </c>
      <c r="H404" s="4">
        <v>148.66999999999999</v>
      </c>
      <c r="I404" t="s">
        <v>21</v>
      </c>
      <c r="J404" t="s">
        <v>346</v>
      </c>
      <c r="L404" s="2">
        <v>45689</v>
      </c>
      <c r="M404" t="s">
        <v>347</v>
      </c>
      <c r="N404" t="s">
        <v>25</v>
      </c>
      <c r="O404" t="s">
        <v>81</v>
      </c>
      <c r="P404" t="s">
        <v>297</v>
      </c>
      <c r="Q404">
        <v>0</v>
      </c>
    </row>
    <row r="405" spans="1:17" x14ac:dyDescent="0.3">
      <c r="A405" t="s">
        <v>17</v>
      </c>
      <c r="B405">
        <v>69</v>
      </c>
      <c r="C405" t="s">
        <v>297</v>
      </c>
      <c r="D405" s="2">
        <v>45716</v>
      </c>
      <c r="E405" s="3">
        <f t="shared" si="6"/>
        <v>45689</v>
      </c>
      <c r="F405" t="s">
        <v>569</v>
      </c>
      <c r="H405" s="4">
        <v>147.88999999999999</v>
      </c>
      <c r="I405" t="s">
        <v>108</v>
      </c>
      <c r="J405" t="s">
        <v>346</v>
      </c>
      <c r="L405" s="2">
        <v>45689</v>
      </c>
      <c r="M405" t="s">
        <v>347</v>
      </c>
      <c r="N405">
        <v>0</v>
      </c>
      <c r="O405" t="s">
        <v>111</v>
      </c>
      <c r="P405" t="s">
        <v>297</v>
      </c>
      <c r="Q405">
        <v>0</v>
      </c>
    </row>
    <row r="406" spans="1:17" x14ac:dyDescent="0.3">
      <c r="A406" t="s">
        <v>17</v>
      </c>
      <c r="B406">
        <v>69</v>
      </c>
      <c r="C406" t="s">
        <v>297</v>
      </c>
      <c r="D406" s="2">
        <v>45716</v>
      </c>
      <c r="E406" s="3">
        <f t="shared" si="6"/>
        <v>45689</v>
      </c>
      <c r="F406" t="s">
        <v>569</v>
      </c>
      <c r="H406" s="4">
        <v>246.28</v>
      </c>
      <c r="I406" t="s">
        <v>104</v>
      </c>
      <c r="J406" t="s">
        <v>346</v>
      </c>
      <c r="L406" s="2">
        <v>45689</v>
      </c>
      <c r="M406" t="s">
        <v>347</v>
      </c>
      <c r="N406">
        <v>0</v>
      </c>
      <c r="O406" t="s">
        <v>104</v>
      </c>
      <c r="P406" t="s">
        <v>297</v>
      </c>
      <c r="Q406">
        <v>0</v>
      </c>
    </row>
    <row r="407" spans="1:17" x14ac:dyDescent="0.3">
      <c r="A407" t="s">
        <v>17</v>
      </c>
      <c r="B407">
        <v>69</v>
      </c>
      <c r="C407" t="s">
        <v>297</v>
      </c>
      <c r="D407" s="2">
        <v>45716</v>
      </c>
      <c r="E407" s="3">
        <f t="shared" si="6"/>
        <v>45689</v>
      </c>
      <c r="F407" t="s">
        <v>569</v>
      </c>
      <c r="H407" s="4">
        <v>65.48</v>
      </c>
      <c r="I407" t="s">
        <v>348</v>
      </c>
      <c r="J407" t="s">
        <v>346</v>
      </c>
      <c r="L407" s="2">
        <v>45689</v>
      </c>
      <c r="M407" t="s">
        <v>347</v>
      </c>
      <c r="N407">
        <v>0</v>
      </c>
      <c r="O407" t="s">
        <v>348</v>
      </c>
      <c r="P407" t="s">
        <v>297</v>
      </c>
      <c r="Q407">
        <v>0</v>
      </c>
    </row>
    <row r="408" spans="1:17" x14ac:dyDescent="0.3">
      <c r="A408" t="s">
        <v>17</v>
      </c>
      <c r="B408">
        <v>69</v>
      </c>
      <c r="C408" t="s">
        <v>297</v>
      </c>
      <c r="D408" s="2">
        <v>45716</v>
      </c>
      <c r="E408" s="3">
        <f t="shared" si="6"/>
        <v>45689</v>
      </c>
      <c r="F408" t="s">
        <v>569</v>
      </c>
      <c r="H408" s="4">
        <v>166.9</v>
      </c>
      <c r="I408" t="s">
        <v>47</v>
      </c>
      <c r="J408" t="s">
        <v>346</v>
      </c>
      <c r="L408" s="2">
        <v>45689</v>
      </c>
      <c r="M408" t="s">
        <v>347</v>
      </c>
      <c r="N408">
        <v>0</v>
      </c>
      <c r="O408" t="s">
        <v>26</v>
      </c>
      <c r="P408" t="s">
        <v>297</v>
      </c>
      <c r="Q408">
        <v>0</v>
      </c>
    </row>
    <row r="409" spans="1:17" x14ac:dyDescent="0.3">
      <c r="A409" t="s">
        <v>17</v>
      </c>
      <c r="B409">
        <v>69</v>
      </c>
      <c r="C409" t="s">
        <v>297</v>
      </c>
      <c r="D409" s="2">
        <v>45716</v>
      </c>
      <c r="E409" s="3">
        <f t="shared" si="6"/>
        <v>45689</v>
      </c>
      <c r="F409" t="s">
        <v>569</v>
      </c>
      <c r="H409" s="4">
        <v>862.73</v>
      </c>
      <c r="I409" t="s">
        <v>31</v>
      </c>
      <c r="J409" t="s">
        <v>346</v>
      </c>
      <c r="L409" s="2">
        <v>45689</v>
      </c>
      <c r="M409" t="s">
        <v>347</v>
      </c>
      <c r="N409">
        <v>0</v>
      </c>
      <c r="O409" t="s">
        <v>31</v>
      </c>
      <c r="P409" t="s">
        <v>297</v>
      </c>
      <c r="Q409">
        <v>0</v>
      </c>
    </row>
    <row r="410" spans="1:17" x14ac:dyDescent="0.3">
      <c r="A410" t="s">
        <v>17</v>
      </c>
      <c r="B410">
        <v>69</v>
      </c>
      <c r="C410" t="s">
        <v>297</v>
      </c>
      <c r="D410" s="2">
        <v>45716</v>
      </c>
      <c r="E410" s="3">
        <f t="shared" si="6"/>
        <v>45689</v>
      </c>
      <c r="F410" t="s">
        <v>569</v>
      </c>
      <c r="H410" s="4">
        <v>238.77</v>
      </c>
      <c r="I410" t="s">
        <v>137</v>
      </c>
      <c r="J410" t="s">
        <v>349</v>
      </c>
      <c r="L410" s="2">
        <v>45689</v>
      </c>
      <c r="M410" t="s">
        <v>350</v>
      </c>
      <c r="N410" t="s">
        <v>141</v>
      </c>
      <c r="O410" t="s">
        <v>141</v>
      </c>
      <c r="P410" t="s">
        <v>297</v>
      </c>
      <c r="Q410">
        <v>0</v>
      </c>
    </row>
    <row r="411" spans="1:17" x14ac:dyDescent="0.3">
      <c r="A411" t="s">
        <v>17</v>
      </c>
      <c r="B411">
        <v>69</v>
      </c>
      <c r="C411" t="s">
        <v>297</v>
      </c>
      <c r="D411" s="2">
        <v>45716</v>
      </c>
      <c r="E411" s="3">
        <f t="shared" si="6"/>
        <v>45689</v>
      </c>
      <c r="F411" t="s">
        <v>569</v>
      </c>
      <c r="H411" s="4">
        <v>0</v>
      </c>
      <c r="I411" t="s">
        <v>47</v>
      </c>
      <c r="J411" t="s">
        <v>349</v>
      </c>
      <c r="L411" s="2">
        <v>45689</v>
      </c>
      <c r="M411" t="s">
        <v>350</v>
      </c>
      <c r="N411">
        <v>0</v>
      </c>
      <c r="O411" t="s">
        <v>26</v>
      </c>
      <c r="P411" t="s">
        <v>297</v>
      </c>
      <c r="Q411">
        <v>0</v>
      </c>
    </row>
    <row r="412" spans="1:17" x14ac:dyDescent="0.3">
      <c r="A412" t="s">
        <v>17</v>
      </c>
      <c r="B412">
        <v>69</v>
      </c>
      <c r="C412" t="s">
        <v>297</v>
      </c>
      <c r="D412" s="2">
        <v>45716</v>
      </c>
      <c r="E412" s="3">
        <f t="shared" si="6"/>
        <v>45689</v>
      </c>
      <c r="F412" t="s">
        <v>569</v>
      </c>
      <c r="H412" s="4">
        <v>275.64</v>
      </c>
      <c r="I412" t="s">
        <v>31</v>
      </c>
      <c r="J412" t="s">
        <v>349</v>
      </c>
      <c r="L412" s="2">
        <v>45689</v>
      </c>
      <c r="M412" t="s">
        <v>350</v>
      </c>
      <c r="N412">
        <v>0</v>
      </c>
      <c r="O412" t="s">
        <v>31</v>
      </c>
      <c r="P412" t="s">
        <v>297</v>
      </c>
      <c r="Q412">
        <v>0</v>
      </c>
    </row>
    <row r="413" spans="1:17" x14ac:dyDescent="0.3">
      <c r="A413" t="s">
        <v>17</v>
      </c>
      <c r="B413">
        <v>67</v>
      </c>
      <c r="C413" t="s">
        <v>28</v>
      </c>
      <c r="D413" s="2">
        <v>45716</v>
      </c>
      <c r="E413" s="3">
        <f t="shared" si="6"/>
        <v>45689</v>
      </c>
      <c r="F413" t="s">
        <v>570</v>
      </c>
      <c r="H413" s="4">
        <v>226.82</v>
      </c>
      <c r="I413" t="s">
        <v>31</v>
      </c>
      <c r="J413" t="s">
        <v>352</v>
      </c>
      <c r="K413" t="s">
        <v>355</v>
      </c>
      <c r="L413" s="2">
        <v>45689</v>
      </c>
      <c r="M413" t="s">
        <v>352</v>
      </c>
      <c r="N413">
        <v>0</v>
      </c>
      <c r="O413" t="s">
        <v>31</v>
      </c>
      <c r="P413" t="s">
        <v>28</v>
      </c>
      <c r="Q413">
        <v>0</v>
      </c>
    </row>
    <row r="414" spans="1:17" x14ac:dyDescent="0.3">
      <c r="A414" t="s">
        <v>17</v>
      </c>
      <c r="B414">
        <v>67</v>
      </c>
      <c r="C414" t="s">
        <v>28</v>
      </c>
      <c r="D414" s="2">
        <v>45716</v>
      </c>
      <c r="E414" s="3">
        <f t="shared" si="6"/>
        <v>45689</v>
      </c>
      <c r="F414" t="s">
        <v>571</v>
      </c>
      <c r="H414" s="4">
        <v>12.38</v>
      </c>
      <c r="I414" t="s">
        <v>47</v>
      </c>
      <c r="J414" t="s">
        <v>352</v>
      </c>
      <c r="K414" t="s">
        <v>357</v>
      </c>
      <c r="L414" s="2">
        <v>45689</v>
      </c>
      <c r="M414" t="s">
        <v>352</v>
      </c>
      <c r="N414">
        <v>0</v>
      </c>
      <c r="O414" t="s">
        <v>26</v>
      </c>
      <c r="P414" t="s">
        <v>28</v>
      </c>
      <c r="Q414">
        <v>0</v>
      </c>
    </row>
    <row r="415" spans="1:17" x14ac:dyDescent="0.3">
      <c r="A415" t="s">
        <v>17</v>
      </c>
      <c r="B415">
        <v>67</v>
      </c>
      <c r="C415" t="s">
        <v>28</v>
      </c>
      <c r="D415" s="2">
        <v>45716</v>
      </c>
      <c r="E415" s="3">
        <f t="shared" si="6"/>
        <v>45689</v>
      </c>
      <c r="F415" t="s">
        <v>572</v>
      </c>
      <c r="H415" s="4">
        <v>175</v>
      </c>
      <c r="I415" t="s">
        <v>108</v>
      </c>
      <c r="J415" t="s">
        <v>352</v>
      </c>
      <c r="K415" t="s">
        <v>573</v>
      </c>
      <c r="L415" s="2">
        <v>45689</v>
      </c>
      <c r="M415" t="s">
        <v>352</v>
      </c>
      <c r="N415">
        <v>0</v>
      </c>
      <c r="O415" t="s">
        <v>111</v>
      </c>
      <c r="P415" t="s">
        <v>28</v>
      </c>
      <c r="Q415">
        <v>0</v>
      </c>
    </row>
    <row r="416" spans="1:17" x14ac:dyDescent="0.3">
      <c r="A416" t="s">
        <v>17</v>
      </c>
      <c r="B416">
        <v>67</v>
      </c>
      <c r="C416" t="s">
        <v>28</v>
      </c>
      <c r="D416" s="2">
        <v>45716</v>
      </c>
      <c r="E416" s="3">
        <f t="shared" si="6"/>
        <v>45689</v>
      </c>
      <c r="F416" t="s">
        <v>574</v>
      </c>
      <c r="H416" s="4">
        <v>153</v>
      </c>
      <c r="I416" t="s">
        <v>47</v>
      </c>
      <c r="J416" t="s">
        <v>352</v>
      </c>
      <c r="K416" t="s">
        <v>359</v>
      </c>
      <c r="L416" s="2">
        <v>45689</v>
      </c>
      <c r="M416" t="s">
        <v>352</v>
      </c>
      <c r="N416">
        <v>0</v>
      </c>
      <c r="O416" t="s">
        <v>26</v>
      </c>
      <c r="P416" t="s">
        <v>28</v>
      </c>
      <c r="Q416">
        <v>0</v>
      </c>
    </row>
    <row r="417" spans="1:17" x14ac:dyDescent="0.3">
      <c r="A417" t="s">
        <v>17</v>
      </c>
      <c r="B417">
        <v>65</v>
      </c>
      <c r="C417" t="s">
        <v>54</v>
      </c>
      <c r="D417" s="2">
        <v>45716</v>
      </c>
      <c r="E417" s="3">
        <f t="shared" si="6"/>
        <v>45689</v>
      </c>
      <c r="F417" t="s">
        <v>538</v>
      </c>
      <c r="H417" s="4">
        <v>-30113.77</v>
      </c>
      <c r="I417" t="s">
        <v>31</v>
      </c>
      <c r="J417" t="s">
        <v>55</v>
      </c>
      <c r="L417" s="2">
        <v>45689</v>
      </c>
      <c r="M417" t="s">
        <v>55</v>
      </c>
      <c r="N417">
        <v>0</v>
      </c>
      <c r="O417" t="s">
        <v>31</v>
      </c>
      <c r="P417" t="s">
        <v>54</v>
      </c>
      <c r="Q417">
        <v>0</v>
      </c>
    </row>
    <row r="418" spans="1:17" x14ac:dyDescent="0.3">
      <c r="A418" t="s">
        <v>17</v>
      </c>
      <c r="B418">
        <v>69</v>
      </c>
      <c r="C418" t="s">
        <v>297</v>
      </c>
      <c r="D418" s="2">
        <v>45716</v>
      </c>
      <c r="E418" s="3">
        <f t="shared" si="6"/>
        <v>45689</v>
      </c>
      <c r="F418" t="s">
        <v>569</v>
      </c>
      <c r="H418" s="4">
        <v>15.83</v>
      </c>
      <c r="I418" t="s">
        <v>108</v>
      </c>
      <c r="J418" t="s">
        <v>360</v>
      </c>
      <c r="L418" s="2">
        <v>45689</v>
      </c>
      <c r="M418" t="s">
        <v>361</v>
      </c>
      <c r="N418">
        <v>0</v>
      </c>
      <c r="O418" t="s">
        <v>111</v>
      </c>
      <c r="P418" t="s">
        <v>297</v>
      </c>
      <c r="Q418">
        <v>0</v>
      </c>
    </row>
    <row r="419" spans="1:17" x14ac:dyDescent="0.3">
      <c r="A419" t="s">
        <v>17</v>
      </c>
      <c r="B419">
        <v>69</v>
      </c>
      <c r="C419" t="s">
        <v>297</v>
      </c>
      <c r="D419" s="2">
        <v>45716</v>
      </c>
      <c r="E419" s="3">
        <f t="shared" si="6"/>
        <v>45689</v>
      </c>
      <c r="F419" t="s">
        <v>569</v>
      </c>
      <c r="H419" s="4">
        <v>14.15</v>
      </c>
      <c r="I419" t="s">
        <v>31</v>
      </c>
      <c r="J419" t="s">
        <v>360</v>
      </c>
      <c r="L419" s="2">
        <v>45689</v>
      </c>
      <c r="M419" t="s">
        <v>361</v>
      </c>
      <c r="N419">
        <v>0</v>
      </c>
      <c r="O419" t="s">
        <v>31</v>
      </c>
      <c r="P419" t="s">
        <v>297</v>
      </c>
      <c r="Q419">
        <v>0</v>
      </c>
    </row>
    <row r="420" spans="1:17" x14ac:dyDescent="0.3">
      <c r="A420" t="s">
        <v>17</v>
      </c>
      <c r="B420">
        <v>68</v>
      </c>
      <c r="C420" t="s">
        <v>34</v>
      </c>
      <c r="D420" s="2">
        <v>45717</v>
      </c>
      <c r="E420" s="3">
        <f t="shared" si="6"/>
        <v>45717</v>
      </c>
      <c r="F420" t="s">
        <v>575</v>
      </c>
      <c r="G420" t="s">
        <v>40</v>
      </c>
      <c r="H420" s="4">
        <v>400</v>
      </c>
      <c r="I420" t="s">
        <v>31</v>
      </c>
      <c r="J420" t="s">
        <v>79</v>
      </c>
      <c r="K420" t="s">
        <v>576</v>
      </c>
      <c r="L420" s="2">
        <v>45717</v>
      </c>
      <c r="M420" t="s">
        <v>79</v>
      </c>
      <c r="N420">
        <v>0</v>
      </c>
      <c r="O420" t="s">
        <v>31</v>
      </c>
      <c r="P420" t="s">
        <v>34</v>
      </c>
      <c r="Q420">
        <v>0</v>
      </c>
    </row>
    <row r="421" spans="1:17" x14ac:dyDescent="0.3">
      <c r="A421" t="s">
        <v>17</v>
      </c>
      <c r="B421">
        <v>67</v>
      </c>
      <c r="C421" t="s">
        <v>28</v>
      </c>
      <c r="D421" s="2">
        <v>45717</v>
      </c>
      <c r="E421" s="3">
        <f t="shared" si="6"/>
        <v>45717</v>
      </c>
      <c r="F421" t="s">
        <v>577</v>
      </c>
      <c r="G421" t="s">
        <v>578</v>
      </c>
      <c r="H421" s="4">
        <v>1973.84</v>
      </c>
      <c r="I421" t="s">
        <v>31</v>
      </c>
      <c r="J421" t="s">
        <v>60</v>
      </c>
      <c r="K421" t="s">
        <v>579</v>
      </c>
      <c r="L421" s="2">
        <v>45717</v>
      </c>
      <c r="M421" t="s">
        <v>60</v>
      </c>
      <c r="N421">
        <v>0</v>
      </c>
      <c r="O421" t="s">
        <v>31</v>
      </c>
      <c r="P421" t="s">
        <v>28</v>
      </c>
      <c r="Q421">
        <v>0</v>
      </c>
    </row>
    <row r="422" spans="1:17" x14ac:dyDescent="0.3">
      <c r="A422" t="s">
        <v>17</v>
      </c>
      <c r="B422">
        <v>68</v>
      </c>
      <c r="C422" t="s">
        <v>34</v>
      </c>
      <c r="D422" s="2">
        <v>45717</v>
      </c>
      <c r="E422" s="3">
        <f t="shared" si="6"/>
        <v>45717</v>
      </c>
      <c r="F422" t="s">
        <v>580</v>
      </c>
      <c r="G422" t="s">
        <v>36</v>
      </c>
      <c r="H422" s="4">
        <v>65.33</v>
      </c>
      <c r="I422" t="s">
        <v>31</v>
      </c>
      <c r="J422" t="s">
        <v>37</v>
      </c>
      <c r="K422" t="s">
        <v>38</v>
      </c>
      <c r="L422" s="2">
        <v>45717</v>
      </c>
      <c r="M422" t="s">
        <v>37</v>
      </c>
      <c r="N422">
        <v>0</v>
      </c>
      <c r="O422" t="s">
        <v>31</v>
      </c>
      <c r="P422" t="s">
        <v>34</v>
      </c>
      <c r="Q422">
        <v>0</v>
      </c>
    </row>
    <row r="423" spans="1:17" x14ac:dyDescent="0.3">
      <c r="A423" t="s">
        <v>17</v>
      </c>
      <c r="B423">
        <v>68</v>
      </c>
      <c r="C423" t="s">
        <v>34</v>
      </c>
      <c r="D423" s="2">
        <v>45717</v>
      </c>
      <c r="E423" s="3">
        <f t="shared" si="6"/>
        <v>45717</v>
      </c>
      <c r="F423" t="s">
        <v>575</v>
      </c>
      <c r="G423" t="s">
        <v>40</v>
      </c>
      <c r="H423" s="4">
        <v>346.63</v>
      </c>
      <c r="I423" t="s">
        <v>31</v>
      </c>
      <c r="J423" t="s">
        <v>37</v>
      </c>
      <c r="K423" t="s">
        <v>581</v>
      </c>
      <c r="L423" s="2">
        <v>45717</v>
      </c>
      <c r="M423" t="s">
        <v>37</v>
      </c>
      <c r="N423">
        <v>0</v>
      </c>
      <c r="O423" t="s">
        <v>31</v>
      </c>
      <c r="P423" t="s">
        <v>34</v>
      </c>
      <c r="Q423">
        <v>0</v>
      </c>
    </row>
    <row r="424" spans="1:17" x14ac:dyDescent="0.3">
      <c r="A424" t="s">
        <v>17</v>
      </c>
      <c r="B424">
        <v>68</v>
      </c>
      <c r="C424" t="s">
        <v>34</v>
      </c>
      <c r="D424" s="2">
        <v>45717</v>
      </c>
      <c r="E424" s="3">
        <f t="shared" si="6"/>
        <v>45717</v>
      </c>
      <c r="F424" t="s">
        <v>582</v>
      </c>
      <c r="G424" t="s">
        <v>43</v>
      </c>
      <c r="H424" s="4">
        <v>269.93</v>
      </c>
      <c r="I424" t="s">
        <v>31</v>
      </c>
      <c r="J424" t="s">
        <v>37</v>
      </c>
      <c r="K424" t="s">
        <v>583</v>
      </c>
      <c r="L424" s="2">
        <v>45717</v>
      </c>
      <c r="M424" t="s">
        <v>37</v>
      </c>
      <c r="N424">
        <v>0</v>
      </c>
      <c r="O424" t="s">
        <v>31</v>
      </c>
      <c r="P424" t="s">
        <v>34</v>
      </c>
      <c r="Q424">
        <v>0</v>
      </c>
    </row>
    <row r="425" spans="1:17" x14ac:dyDescent="0.3">
      <c r="A425" t="s">
        <v>17</v>
      </c>
      <c r="B425">
        <v>67</v>
      </c>
      <c r="C425" t="s">
        <v>28</v>
      </c>
      <c r="D425" s="2">
        <v>45717</v>
      </c>
      <c r="E425" s="3">
        <f t="shared" si="6"/>
        <v>45717</v>
      </c>
      <c r="F425" t="s">
        <v>584</v>
      </c>
      <c r="G425" t="s">
        <v>52</v>
      </c>
      <c r="H425" s="4">
        <v>3292</v>
      </c>
      <c r="I425" t="s">
        <v>31</v>
      </c>
      <c r="J425" t="s">
        <v>48</v>
      </c>
      <c r="K425" t="s">
        <v>585</v>
      </c>
      <c r="L425" s="2">
        <v>45717</v>
      </c>
      <c r="M425" t="s">
        <v>50</v>
      </c>
      <c r="N425">
        <v>0</v>
      </c>
      <c r="O425" t="s">
        <v>31</v>
      </c>
      <c r="P425" t="s">
        <v>28</v>
      </c>
      <c r="Q425">
        <v>0</v>
      </c>
    </row>
    <row r="426" spans="1:17" x14ac:dyDescent="0.3">
      <c r="A426" t="s">
        <v>17</v>
      </c>
      <c r="B426">
        <v>65</v>
      </c>
      <c r="C426" t="s">
        <v>54</v>
      </c>
      <c r="D426" s="2">
        <v>45717</v>
      </c>
      <c r="E426" s="3">
        <f t="shared" si="6"/>
        <v>45717</v>
      </c>
      <c r="F426" t="s">
        <v>575</v>
      </c>
      <c r="G426" t="s">
        <v>40</v>
      </c>
      <c r="H426" s="4">
        <v>30113.77</v>
      </c>
      <c r="I426" t="s">
        <v>31</v>
      </c>
      <c r="J426" t="s">
        <v>55</v>
      </c>
      <c r="K426" t="s">
        <v>586</v>
      </c>
      <c r="L426" s="2">
        <v>45717</v>
      </c>
      <c r="M426" t="s">
        <v>55</v>
      </c>
      <c r="N426">
        <v>0</v>
      </c>
      <c r="O426" t="s">
        <v>31</v>
      </c>
      <c r="P426" t="s">
        <v>54</v>
      </c>
      <c r="Q426">
        <v>0</v>
      </c>
    </row>
    <row r="427" spans="1:17" x14ac:dyDescent="0.3">
      <c r="A427" t="s">
        <v>17</v>
      </c>
      <c r="B427">
        <v>67</v>
      </c>
      <c r="C427" t="s">
        <v>28</v>
      </c>
      <c r="D427" s="2">
        <v>45717</v>
      </c>
      <c r="E427" s="3">
        <f t="shared" si="6"/>
        <v>45717</v>
      </c>
      <c r="F427" t="s">
        <v>587</v>
      </c>
      <c r="H427" s="4">
        <v>-6000</v>
      </c>
      <c r="I427" t="s">
        <v>31</v>
      </c>
      <c r="J427" t="s">
        <v>32</v>
      </c>
      <c r="K427" t="s">
        <v>588</v>
      </c>
      <c r="L427" s="2">
        <v>45717</v>
      </c>
      <c r="M427" t="s">
        <v>32</v>
      </c>
      <c r="N427">
        <v>0</v>
      </c>
      <c r="O427" t="s">
        <v>31</v>
      </c>
      <c r="P427" t="s">
        <v>28</v>
      </c>
      <c r="Q427">
        <v>0</v>
      </c>
    </row>
    <row r="428" spans="1:17" x14ac:dyDescent="0.3">
      <c r="A428" t="s">
        <v>17</v>
      </c>
      <c r="B428">
        <v>67</v>
      </c>
      <c r="C428" t="s">
        <v>28</v>
      </c>
      <c r="D428" s="2">
        <v>45717</v>
      </c>
      <c r="E428" s="3">
        <f t="shared" si="6"/>
        <v>45717</v>
      </c>
      <c r="F428" t="s">
        <v>587</v>
      </c>
      <c r="H428" s="4">
        <v>-19000</v>
      </c>
      <c r="I428" t="s">
        <v>31</v>
      </c>
      <c r="J428" t="s">
        <v>32</v>
      </c>
      <c r="K428" t="s">
        <v>589</v>
      </c>
      <c r="L428" s="2">
        <v>45717</v>
      </c>
      <c r="M428" t="s">
        <v>32</v>
      </c>
      <c r="N428">
        <v>0</v>
      </c>
      <c r="O428" t="s">
        <v>31</v>
      </c>
      <c r="P428" t="s">
        <v>28</v>
      </c>
      <c r="Q428">
        <v>0</v>
      </c>
    </row>
    <row r="429" spans="1:17" x14ac:dyDescent="0.3">
      <c r="A429" t="s">
        <v>17</v>
      </c>
      <c r="B429">
        <v>67</v>
      </c>
      <c r="C429" t="s">
        <v>28</v>
      </c>
      <c r="D429" s="2">
        <v>45717</v>
      </c>
      <c r="E429" s="3">
        <f t="shared" si="6"/>
        <v>45717</v>
      </c>
      <c r="F429" t="s">
        <v>590</v>
      </c>
      <c r="H429" s="4">
        <v>-8000</v>
      </c>
      <c r="I429" t="s">
        <v>31</v>
      </c>
      <c r="J429" t="s">
        <v>32</v>
      </c>
      <c r="K429" t="s">
        <v>588</v>
      </c>
      <c r="L429" s="2">
        <v>45717</v>
      </c>
      <c r="M429" t="s">
        <v>32</v>
      </c>
      <c r="N429">
        <v>0</v>
      </c>
      <c r="O429" t="s">
        <v>31</v>
      </c>
      <c r="P429" t="s">
        <v>28</v>
      </c>
      <c r="Q429">
        <v>0</v>
      </c>
    </row>
    <row r="430" spans="1:17" x14ac:dyDescent="0.3">
      <c r="A430" t="s">
        <v>17</v>
      </c>
      <c r="B430">
        <v>67</v>
      </c>
      <c r="C430" t="s">
        <v>28</v>
      </c>
      <c r="D430" s="2">
        <v>45717</v>
      </c>
      <c r="E430" s="3">
        <f t="shared" si="6"/>
        <v>45717</v>
      </c>
      <c r="F430" t="s">
        <v>590</v>
      </c>
      <c r="H430" s="4">
        <v>-35000</v>
      </c>
      <c r="I430" t="s">
        <v>31</v>
      </c>
      <c r="J430" t="s">
        <v>32</v>
      </c>
      <c r="K430" t="s">
        <v>591</v>
      </c>
      <c r="L430" s="2">
        <v>45717</v>
      </c>
      <c r="M430" t="s">
        <v>32</v>
      </c>
      <c r="N430">
        <v>0</v>
      </c>
      <c r="O430" t="s">
        <v>31</v>
      </c>
      <c r="P430" t="s">
        <v>28</v>
      </c>
      <c r="Q430">
        <v>0</v>
      </c>
    </row>
    <row r="431" spans="1:17" x14ac:dyDescent="0.3">
      <c r="A431" t="s">
        <v>17</v>
      </c>
      <c r="B431">
        <v>67</v>
      </c>
      <c r="C431" t="s">
        <v>28</v>
      </c>
      <c r="D431" s="2">
        <v>45717</v>
      </c>
      <c r="E431" s="3">
        <f t="shared" si="6"/>
        <v>45717</v>
      </c>
      <c r="F431" t="s">
        <v>592</v>
      </c>
      <c r="H431" s="4">
        <v>-2996.92</v>
      </c>
      <c r="I431" t="s">
        <v>31</v>
      </c>
      <c r="J431" t="s">
        <v>64</v>
      </c>
      <c r="K431" t="s">
        <v>183</v>
      </c>
      <c r="L431" s="2">
        <v>45717</v>
      </c>
      <c r="M431" t="s">
        <v>64</v>
      </c>
      <c r="N431">
        <v>0</v>
      </c>
      <c r="O431" t="s">
        <v>31</v>
      </c>
      <c r="P431" t="s">
        <v>28</v>
      </c>
      <c r="Q431">
        <v>0</v>
      </c>
    </row>
    <row r="432" spans="1:17" x14ac:dyDescent="0.3">
      <c r="A432" t="s">
        <v>17</v>
      </c>
      <c r="B432">
        <v>67</v>
      </c>
      <c r="C432" t="s">
        <v>28</v>
      </c>
      <c r="D432" s="2">
        <v>45717</v>
      </c>
      <c r="E432" s="3">
        <f t="shared" si="6"/>
        <v>45717</v>
      </c>
      <c r="F432" t="s">
        <v>593</v>
      </c>
      <c r="H432" s="4">
        <v>37.299999999999997</v>
      </c>
      <c r="I432" t="s">
        <v>31</v>
      </c>
      <c r="J432" t="s">
        <v>60</v>
      </c>
      <c r="L432" s="2">
        <v>45717</v>
      </c>
      <c r="M432" t="s">
        <v>60</v>
      </c>
      <c r="N432">
        <v>0</v>
      </c>
      <c r="O432" t="s">
        <v>31</v>
      </c>
      <c r="P432" t="s">
        <v>28</v>
      </c>
      <c r="Q432">
        <v>0</v>
      </c>
    </row>
    <row r="433" spans="1:17" x14ac:dyDescent="0.3">
      <c r="A433" t="s">
        <v>17</v>
      </c>
      <c r="B433">
        <v>67</v>
      </c>
      <c r="C433" t="s">
        <v>28</v>
      </c>
      <c r="D433" s="2">
        <v>45717</v>
      </c>
      <c r="E433" s="3">
        <f t="shared" si="6"/>
        <v>45717</v>
      </c>
      <c r="F433" t="s">
        <v>593</v>
      </c>
      <c r="H433" s="4">
        <v>48.66</v>
      </c>
      <c r="I433" t="s">
        <v>31</v>
      </c>
      <c r="J433" t="s">
        <v>60</v>
      </c>
      <c r="L433" s="2">
        <v>45717</v>
      </c>
      <c r="M433" t="s">
        <v>60</v>
      </c>
      <c r="N433">
        <v>0</v>
      </c>
      <c r="O433" t="s">
        <v>31</v>
      </c>
      <c r="P433" t="s">
        <v>28</v>
      </c>
      <c r="Q433">
        <v>0</v>
      </c>
    </row>
    <row r="434" spans="1:17" x14ac:dyDescent="0.3">
      <c r="A434" t="s">
        <v>17</v>
      </c>
      <c r="B434">
        <v>67</v>
      </c>
      <c r="C434" t="s">
        <v>28</v>
      </c>
      <c r="D434" s="2">
        <v>45717</v>
      </c>
      <c r="E434" s="3">
        <f t="shared" si="6"/>
        <v>45717</v>
      </c>
      <c r="F434" t="s">
        <v>593</v>
      </c>
      <c r="H434" s="4">
        <v>54.44</v>
      </c>
      <c r="I434" t="s">
        <v>31</v>
      </c>
      <c r="J434" t="s">
        <v>60</v>
      </c>
      <c r="L434" s="2">
        <v>45717</v>
      </c>
      <c r="M434" t="s">
        <v>60</v>
      </c>
      <c r="N434">
        <v>0</v>
      </c>
      <c r="O434" t="s">
        <v>31</v>
      </c>
      <c r="P434" t="s">
        <v>28</v>
      </c>
      <c r="Q434">
        <v>0</v>
      </c>
    </row>
    <row r="435" spans="1:17" x14ac:dyDescent="0.3">
      <c r="A435" t="s">
        <v>17</v>
      </c>
      <c r="B435">
        <v>67</v>
      </c>
      <c r="C435" t="s">
        <v>28</v>
      </c>
      <c r="D435" s="2">
        <v>45717</v>
      </c>
      <c r="E435" s="3">
        <f t="shared" si="6"/>
        <v>45717</v>
      </c>
      <c r="F435" t="s">
        <v>593</v>
      </c>
      <c r="H435" s="4">
        <v>13.88</v>
      </c>
      <c r="I435" t="s">
        <v>31</v>
      </c>
      <c r="J435" t="s">
        <v>60</v>
      </c>
      <c r="L435" s="2">
        <v>45717</v>
      </c>
      <c r="M435" t="s">
        <v>60</v>
      </c>
      <c r="N435">
        <v>0</v>
      </c>
      <c r="O435" t="s">
        <v>31</v>
      </c>
      <c r="P435" t="s">
        <v>28</v>
      </c>
      <c r="Q435">
        <v>0</v>
      </c>
    </row>
    <row r="436" spans="1:17" x14ac:dyDescent="0.3">
      <c r="A436" t="s">
        <v>17</v>
      </c>
      <c r="B436">
        <v>67</v>
      </c>
      <c r="C436" t="s">
        <v>28</v>
      </c>
      <c r="D436" s="2">
        <v>45717</v>
      </c>
      <c r="E436" s="3">
        <f t="shared" si="6"/>
        <v>45717</v>
      </c>
      <c r="F436" t="s">
        <v>593</v>
      </c>
      <c r="H436" s="4">
        <v>44.48</v>
      </c>
      <c r="I436" t="s">
        <v>31</v>
      </c>
      <c r="J436" t="s">
        <v>60</v>
      </c>
      <c r="L436" s="2">
        <v>45717</v>
      </c>
      <c r="M436" t="s">
        <v>60</v>
      </c>
      <c r="N436">
        <v>0</v>
      </c>
      <c r="O436" t="s">
        <v>31</v>
      </c>
      <c r="P436" t="s">
        <v>28</v>
      </c>
      <c r="Q436">
        <v>0</v>
      </c>
    </row>
    <row r="437" spans="1:17" x14ac:dyDescent="0.3">
      <c r="A437" t="s">
        <v>17</v>
      </c>
      <c r="B437">
        <v>67</v>
      </c>
      <c r="C437" t="s">
        <v>28</v>
      </c>
      <c r="D437" s="2">
        <v>45717</v>
      </c>
      <c r="E437" s="3">
        <f t="shared" si="6"/>
        <v>45717</v>
      </c>
      <c r="F437" t="s">
        <v>593</v>
      </c>
      <c r="H437" s="4">
        <v>43.2</v>
      </c>
      <c r="I437" t="s">
        <v>31</v>
      </c>
      <c r="J437" t="s">
        <v>60</v>
      </c>
      <c r="L437" s="2">
        <v>45717</v>
      </c>
      <c r="M437" t="s">
        <v>60</v>
      </c>
      <c r="N437">
        <v>0</v>
      </c>
      <c r="O437" t="s">
        <v>31</v>
      </c>
      <c r="P437" t="s">
        <v>28</v>
      </c>
      <c r="Q437">
        <v>0</v>
      </c>
    </row>
    <row r="438" spans="1:17" x14ac:dyDescent="0.3">
      <c r="A438" t="s">
        <v>17</v>
      </c>
      <c r="B438">
        <v>67</v>
      </c>
      <c r="C438" t="s">
        <v>28</v>
      </c>
      <c r="D438" s="2">
        <v>45717</v>
      </c>
      <c r="E438" s="3">
        <f t="shared" si="6"/>
        <v>45717</v>
      </c>
      <c r="F438" t="s">
        <v>593</v>
      </c>
      <c r="H438" s="4">
        <v>88.99</v>
      </c>
      <c r="I438" t="s">
        <v>31</v>
      </c>
      <c r="J438" t="s">
        <v>60</v>
      </c>
      <c r="L438" s="2">
        <v>45717</v>
      </c>
      <c r="M438" t="s">
        <v>60</v>
      </c>
      <c r="N438">
        <v>0</v>
      </c>
      <c r="O438" t="s">
        <v>31</v>
      </c>
      <c r="P438" t="s">
        <v>28</v>
      </c>
      <c r="Q438">
        <v>0</v>
      </c>
    </row>
    <row r="439" spans="1:17" x14ac:dyDescent="0.3">
      <c r="A439" t="s">
        <v>17</v>
      </c>
      <c r="B439">
        <v>67</v>
      </c>
      <c r="C439" t="s">
        <v>28</v>
      </c>
      <c r="D439" s="2">
        <v>45717</v>
      </c>
      <c r="E439" s="3">
        <f t="shared" si="6"/>
        <v>45717</v>
      </c>
      <c r="F439" t="s">
        <v>593</v>
      </c>
      <c r="H439" s="4">
        <v>41.72</v>
      </c>
      <c r="I439" t="s">
        <v>31</v>
      </c>
      <c r="J439" t="s">
        <v>60</v>
      </c>
      <c r="L439" s="2">
        <v>45717</v>
      </c>
      <c r="M439" t="s">
        <v>60</v>
      </c>
      <c r="N439">
        <v>0</v>
      </c>
      <c r="O439" t="s">
        <v>31</v>
      </c>
      <c r="P439" t="s">
        <v>28</v>
      </c>
      <c r="Q439">
        <v>0</v>
      </c>
    </row>
    <row r="440" spans="1:17" x14ac:dyDescent="0.3">
      <c r="A440" t="s">
        <v>17</v>
      </c>
      <c r="B440">
        <v>68</v>
      </c>
      <c r="C440" t="s">
        <v>34</v>
      </c>
      <c r="D440" s="2">
        <v>45717</v>
      </c>
      <c r="E440" s="3">
        <f t="shared" si="6"/>
        <v>45717</v>
      </c>
      <c r="F440" t="s">
        <v>594</v>
      </c>
      <c r="H440" s="4">
        <v>-346.63</v>
      </c>
      <c r="I440" t="s">
        <v>31</v>
      </c>
      <c r="J440" t="s">
        <v>37</v>
      </c>
      <c r="K440" t="s">
        <v>568</v>
      </c>
      <c r="L440" s="2">
        <v>45717</v>
      </c>
      <c r="M440" t="s">
        <v>37</v>
      </c>
      <c r="N440">
        <v>0</v>
      </c>
      <c r="O440" t="s">
        <v>31</v>
      </c>
      <c r="P440" t="s">
        <v>34</v>
      </c>
      <c r="Q440">
        <v>0</v>
      </c>
    </row>
    <row r="441" spans="1:17" x14ac:dyDescent="0.3">
      <c r="A441" t="s">
        <v>17</v>
      </c>
      <c r="B441">
        <v>69</v>
      </c>
      <c r="C441" t="s">
        <v>297</v>
      </c>
      <c r="D441" s="2">
        <v>45717</v>
      </c>
      <c r="E441" s="3">
        <f t="shared" si="6"/>
        <v>45717</v>
      </c>
      <c r="F441" t="s">
        <v>595</v>
      </c>
      <c r="H441" s="4">
        <v>-1057.04</v>
      </c>
      <c r="I441" t="s">
        <v>31</v>
      </c>
      <c r="J441" t="s">
        <v>346</v>
      </c>
      <c r="K441" t="s">
        <v>596</v>
      </c>
      <c r="L441" s="2">
        <v>45717</v>
      </c>
      <c r="M441" t="s">
        <v>347</v>
      </c>
      <c r="N441">
        <v>0</v>
      </c>
      <c r="O441" t="s">
        <v>31</v>
      </c>
      <c r="P441" t="s">
        <v>297</v>
      </c>
      <c r="Q441">
        <v>0</v>
      </c>
    </row>
    <row r="442" spans="1:17" x14ac:dyDescent="0.3">
      <c r="A442" t="s">
        <v>17</v>
      </c>
      <c r="B442">
        <v>69</v>
      </c>
      <c r="C442" t="s">
        <v>297</v>
      </c>
      <c r="D442" s="2">
        <v>45717</v>
      </c>
      <c r="E442" s="3">
        <f t="shared" si="6"/>
        <v>45717</v>
      </c>
      <c r="F442" t="s">
        <v>595</v>
      </c>
      <c r="H442" s="4">
        <v>-402.84</v>
      </c>
      <c r="I442" t="s">
        <v>31</v>
      </c>
      <c r="J442" t="s">
        <v>349</v>
      </c>
      <c r="K442" t="s">
        <v>597</v>
      </c>
      <c r="L442" s="2">
        <v>45717</v>
      </c>
      <c r="M442" t="s">
        <v>350</v>
      </c>
      <c r="N442">
        <v>0</v>
      </c>
      <c r="O442" t="s">
        <v>31</v>
      </c>
      <c r="P442" t="s">
        <v>297</v>
      </c>
      <c r="Q442">
        <v>0</v>
      </c>
    </row>
    <row r="443" spans="1:17" x14ac:dyDescent="0.3">
      <c r="A443" t="s">
        <v>17</v>
      </c>
      <c r="B443">
        <v>68</v>
      </c>
      <c r="C443" t="s">
        <v>34</v>
      </c>
      <c r="D443" s="2">
        <v>45719</v>
      </c>
      <c r="E443" s="3">
        <f t="shared" si="6"/>
        <v>45717</v>
      </c>
      <c r="F443" t="s">
        <v>598</v>
      </c>
      <c r="G443" t="s">
        <v>107</v>
      </c>
      <c r="H443" s="4">
        <v>75.39</v>
      </c>
      <c r="I443" t="s">
        <v>108</v>
      </c>
      <c r="J443" t="s">
        <v>109</v>
      </c>
      <c r="K443" t="s">
        <v>110</v>
      </c>
      <c r="L443" s="2">
        <v>45717</v>
      </c>
      <c r="M443" t="s">
        <v>109</v>
      </c>
      <c r="N443">
        <v>0</v>
      </c>
      <c r="O443" t="s">
        <v>111</v>
      </c>
      <c r="P443" t="s">
        <v>112</v>
      </c>
      <c r="Q443" t="s">
        <v>113</v>
      </c>
    </row>
    <row r="444" spans="1:17" x14ac:dyDescent="0.3">
      <c r="A444" t="s">
        <v>17</v>
      </c>
      <c r="B444">
        <v>67</v>
      </c>
      <c r="C444" t="s">
        <v>28</v>
      </c>
      <c r="D444" s="2">
        <v>45719</v>
      </c>
      <c r="E444" s="3">
        <f t="shared" si="6"/>
        <v>45717</v>
      </c>
      <c r="F444" t="s">
        <v>599</v>
      </c>
      <c r="G444" t="s">
        <v>158</v>
      </c>
      <c r="H444" s="4">
        <v>21.78</v>
      </c>
      <c r="I444" t="s">
        <v>159</v>
      </c>
      <c r="J444" t="s">
        <v>74</v>
      </c>
      <c r="K444" t="s">
        <v>429</v>
      </c>
      <c r="L444" s="2">
        <v>45717</v>
      </c>
      <c r="M444" t="s">
        <v>76</v>
      </c>
      <c r="N444">
        <v>0</v>
      </c>
      <c r="O444" t="s">
        <v>159</v>
      </c>
      <c r="P444" t="s">
        <v>28</v>
      </c>
      <c r="Q444">
        <v>0</v>
      </c>
    </row>
    <row r="445" spans="1:17" x14ac:dyDescent="0.3">
      <c r="A445" t="s">
        <v>17</v>
      </c>
      <c r="B445">
        <v>64</v>
      </c>
      <c r="C445" t="s">
        <v>83</v>
      </c>
      <c r="D445" s="2">
        <v>45719</v>
      </c>
      <c r="E445" s="3">
        <f t="shared" si="6"/>
        <v>45717</v>
      </c>
      <c r="F445" t="s">
        <v>599</v>
      </c>
      <c r="G445" t="s">
        <v>158</v>
      </c>
      <c r="H445" s="4">
        <v>7.28</v>
      </c>
      <c r="I445" t="s">
        <v>159</v>
      </c>
      <c r="J445" t="s">
        <v>511</v>
      </c>
      <c r="K445" t="s">
        <v>600</v>
      </c>
      <c r="L445" s="2">
        <v>45717</v>
      </c>
      <c r="M445" t="s">
        <v>513</v>
      </c>
      <c r="N445">
        <v>0</v>
      </c>
      <c r="O445" t="s">
        <v>159</v>
      </c>
      <c r="P445" t="s">
        <v>83</v>
      </c>
      <c r="Q445">
        <v>0</v>
      </c>
    </row>
    <row r="446" spans="1:17" x14ac:dyDescent="0.3">
      <c r="A446" t="s">
        <v>17</v>
      </c>
      <c r="B446">
        <v>64</v>
      </c>
      <c r="C446" t="s">
        <v>83</v>
      </c>
      <c r="D446" s="2">
        <v>45719</v>
      </c>
      <c r="E446" s="3">
        <f t="shared" si="6"/>
        <v>45717</v>
      </c>
      <c r="F446" t="s">
        <v>599</v>
      </c>
      <c r="G446" t="s">
        <v>158</v>
      </c>
      <c r="H446" s="4">
        <v>5</v>
      </c>
      <c r="I446" t="s">
        <v>159</v>
      </c>
      <c r="J446" t="s">
        <v>511</v>
      </c>
      <c r="K446" t="s">
        <v>601</v>
      </c>
      <c r="L446" s="2">
        <v>45717</v>
      </c>
      <c r="M446" t="s">
        <v>513</v>
      </c>
      <c r="N446">
        <v>0</v>
      </c>
      <c r="O446" t="s">
        <v>159</v>
      </c>
      <c r="P446" t="s">
        <v>83</v>
      </c>
      <c r="Q446">
        <v>0</v>
      </c>
    </row>
    <row r="447" spans="1:17" x14ac:dyDescent="0.3">
      <c r="A447" t="s">
        <v>17</v>
      </c>
      <c r="B447">
        <v>64</v>
      </c>
      <c r="C447" t="s">
        <v>83</v>
      </c>
      <c r="D447" s="2">
        <v>45719</v>
      </c>
      <c r="E447" s="3">
        <f t="shared" si="6"/>
        <v>45717</v>
      </c>
      <c r="F447" t="s">
        <v>599</v>
      </c>
      <c r="G447" t="s">
        <v>158</v>
      </c>
      <c r="H447" s="4">
        <v>5</v>
      </c>
      <c r="I447" t="s">
        <v>159</v>
      </c>
      <c r="J447" t="s">
        <v>511</v>
      </c>
      <c r="K447" t="s">
        <v>601</v>
      </c>
      <c r="L447" s="2">
        <v>45717</v>
      </c>
      <c r="M447" t="s">
        <v>513</v>
      </c>
      <c r="N447">
        <v>0</v>
      </c>
      <c r="O447" t="s">
        <v>159</v>
      </c>
      <c r="P447" t="s">
        <v>83</v>
      </c>
      <c r="Q447">
        <v>0</v>
      </c>
    </row>
    <row r="448" spans="1:17" x14ac:dyDescent="0.3">
      <c r="A448" t="s">
        <v>17</v>
      </c>
      <c r="B448">
        <v>67</v>
      </c>
      <c r="C448" t="s">
        <v>28</v>
      </c>
      <c r="D448" s="2">
        <v>45719</v>
      </c>
      <c r="E448" s="3">
        <f t="shared" si="6"/>
        <v>45717</v>
      </c>
      <c r="F448" t="s">
        <v>599</v>
      </c>
      <c r="G448" t="s">
        <v>158</v>
      </c>
      <c r="H448" s="4">
        <v>0.05</v>
      </c>
      <c r="I448" t="s">
        <v>159</v>
      </c>
      <c r="J448" t="s">
        <v>64</v>
      </c>
      <c r="K448" t="s">
        <v>602</v>
      </c>
      <c r="L448" s="2">
        <v>45717</v>
      </c>
      <c r="M448" t="s">
        <v>64</v>
      </c>
      <c r="N448">
        <v>0</v>
      </c>
      <c r="O448" t="s">
        <v>159</v>
      </c>
      <c r="P448" t="s">
        <v>28</v>
      </c>
      <c r="Q448">
        <v>0</v>
      </c>
    </row>
    <row r="449" spans="1:17" x14ac:dyDescent="0.3">
      <c r="A449" t="s">
        <v>17</v>
      </c>
      <c r="B449">
        <v>67</v>
      </c>
      <c r="C449" t="s">
        <v>28</v>
      </c>
      <c r="D449" s="2">
        <v>45719</v>
      </c>
      <c r="E449" s="3">
        <f t="shared" si="6"/>
        <v>45717</v>
      </c>
      <c r="F449" t="s">
        <v>599</v>
      </c>
      <c r="G449" t="s">
        <v>158</v>
      </c>
      <c r="H449" s="4">
        <v>0.23</v>
      </c>
      <c r="I449" t="s">
        <v>159</v>
      </c>
      <c r="J449" t="s">
        <v>64</v>
      </c>
      <c r="K449" t="s">
        <v>602</v>
      </c>
      <c r="L449" s="2">
        <v>45717</v>
      </c>
      <c r="M449" t="s">
        <v>64</v>
      </c>
      <c r="N449">
        <v>0</v>
      </c>
      <c r="O449" t="s">
        <v>159</v>
      </c>
      <c r="P449" t="s">
        <v>28</v>
      </c>
      <c r="Q449">
        <v>0</v>
      </c>
    </row>
    <row r="450" spans="1:17" x14ac:dyDescent="0.3">
      <c r="A450" t="s">
        <v>17</v>
      </c>
      <c r="B450">
        <v>67</v>
      </c>
      <c r="C450" t="s">
        <v>28</v>
      </c>
      <c r="D450" s="2">
        <v>45719</v>
      </c>
      <c r="E450" s="3">
        <f t="shared" si="6"/>
        <v>45717</v>
      </c>
      <c r="F450" t="s">
        <v>599</v>
      </c>
      <c r="G450" t="s">
        <v>158</v>
      </c>
      <c r="H450" s="4">
        <v>0.06</v>
      </c>
      <c r="I450" t="s">
        <v>159</v>
      </c>
      <c r="J450" t="s">
        <v>64</v>
      </c>
      <c r="K450" t="s">
        <v>602</v>
      </c>
      <c r="L450" s="2">
        <v>45717</v>
      </c>
      <c r="M450" t="s">
        <v>64</v>
      </c>
      <c r="N450">
        <v>0</v>
      </c>
      <c r="O450" t="s">
        <v>159</v>
      </c>
      <c r="P450" t="s">
        <v>28</v>
      </c>
      <c r="Q450">
        <v>0</v>
      </c>
    </row>
    <row r="451" spans="1:17" x14ac:dyDescent="0.3">
      <c r="A451" t="s">
        <v>17</v>
      </c>
      <c r="B451">
        <v>67</v>
      </c>
      <c r="C451" t="s">
        <v>28</v>
      </c>
      <c r="D451" s="2">
        <v>45719</v>
      </c>
      <c r="E451" s="3">
        <f t="shared" ref="E451:E514" si="7">IF($D451="","",DATE(YEAR($D451),MONTH($D451),1))</f>
        <v>45717</v>
      </c>
      <c r="F451" t="s">
        <v>599</v>
      </c>
      <c r="G451" t="s">
        <v>158</v>
      </c>
      <c r="H451" s="4">
        <v>0.09</v>
      </c>
      <c r="I451" t="s">
        <v>159</v>
      </c>
      <c r="J451" t="s">
        <v>64</v>
      </c>
      <c r="K451" t="s">
        <v>602</v>
      </c>
      <c r="L451" s="2">
        <v>45717</v>
      </c>
      <c r="M451" t="s">
        <v>64</v>
      </c>
      <c r="N451">
        <v>0</v>
      </c>
      <c r="O451" t="s">
        <v>159</v>
      </c>
      <c r="P451" t="s">
        <v>28</v>
      </c>
      <c r="Q451">
        <v>0</v>
      </c>
    </row>
    <row r="452" spans="1:17" x14ac:dyDescent="0.3">
      <c r="A452" t="s">
        <v>17</v>
      </c>
      <c r="B452">
        <v>67</v>
      </c>
      <c r="C452" t="s">
        <v>28</v>
      </c>
      <c r="D452" s="2">
        <v>45719</v>
      </c>
      <c r="E452" s="3">
        <f t="shared" si="7"/>
        <v>45717</v>
      </c>
      <c r="F452" t="s">
        <v>599</v>
      </c>
      <c r="G452" t="s">
        <v>158</v>
      </c>
      <c r="H452" s="4">
        <v>0.05</v>
      </c>
      <c r="I452" t="s">
        <v>159</v>
      </c>
      <c r="J452" t="s">
        <v>64</v>
      </c>
      <c r="K452" t="s">
        <v>602</v>
      </c>
      <c r="L452" s="2">
        <v>45717</v>
      </c>
      <c r="M452" t="s">
        <v>64</v>
      </c>
      <c r="N452">
        <v>0</v>
      </c>
      <c r="O452" t="s">
        <v>159</v>
      </c>
      <c r="P452" t="s">
        <v>28</v>
      </c>
      <c r="Q452">
        <v>0</v>
      </c>
    </row>
    <row r="453" spans="1:17" x14ac:dyDescent="0.3">
      <c r="A453" t="s">
        <v>17</v>
      </c>
      <c r="B453">
        <v>64</v>
      </c>
      <c r="C453" t="s">
        <v>83</v>
      </c>
      <c r="D453" s="2">
        <v>45719</v>
      </c>
      <c r="E453" s="3">
        <f t="shared" si="7"/>
        <v>45717</v>
      </c>
      <c r="F453" t="s">
        <v>599</v>
      </c>
      <c r="G453" t="s">
        <v>158</v>
      </c>
      <c r="H453" s="4">
        <v>3.68</v>
      </c>
      <c r="I453" t="s">
        <v>159</v>
      </c>
      <c r="J453" t="s">
        <v>87</v>
      </c>
      <c r="K453" t="s">
        <v>602</v>
      </c>
      <c r="L453" s="2">
        <v>45717</v>
      </c>
      <c r="M453" t="s">
        <v>89</v>
      </c>
      <c r="N453">
        <v>0</v>
      </c>
      <c r="O453" t="s">
        <v>159</v>
      </c>
      <c r="P453" t="s">
        <v>83</v>
      </c>
      <c r="Q453">
        <v>0</v>
      </c>
    </row>
    <row r="454" spans="1:17" x14ac:dyDescent="0.3">
      <c r="A454" t="s">
        <v>17</v>
      </c>
      <c r="B454">
        <v>64</v>
      </c>
      <c r="C454" t="s">
        <v>83</v>
      </c>
      <c r="D454" s="2">
        <v>45719</v>
      </c>
      <c r="E454" s="3">
        <f t="shared" si="7"/>
        <v>45717</v>
      </c>
      <c r="F454" t="s">
        <v>599</v>
      </c>
      <c r="G454" t="s">
        <v>158</v>
      </c>
      <c r="H454" s="4">
        <v>3.1</v>
      </c>
      <c r="I454" t="s">
        <v>159</v>
      </c>
      <c r="J454" t="s">
        <v>87</v>
      </c>
      <c r="K454" t="s">
        <v>602</v>
      </c>
      <c r="L454" s="2">
        <v>45717</v>
      </c>
      <c r="M454" t="s">
        <v>89</v>
      </c>
      <c r="N454">
        <v>0</v>
      </c>
      <c r="O454" t="s">
        <v>159</v>
      </c>
      <c r="P454" t="s">
        <v>83</v>
      </c>
      <c r="Q454">
        <v>0</v>
      </c>
    </row>
    <row r="455" spans="1:17" x14ac:dyDescent="0.3">
      <c r="A455" t="s">
        <v>17</v>
      </c>
      <c r="B455">
        <v>64</v>
      </c>
      <c r="C455" t="s">
        <v>83</v>
      </c>
      <c r="D455" s="2">
        <v>45719</v>
      </c>
      <c r="E455" s="3">
        <f t="shared" si="7"/>
        <v>45717</v>
      </c>
      <c r="F455" t="s">
        <v>599</v>
      </c>
      <c r="G455" t="s">
        <v>158</v>
      </c>
      <c r="H455" s="4">
        <v>5.8</v>
      </c>
      <c r="I455" t="s">
        <v>159</v>
      </c>
      <c r="J455" t="s">
        <v>87</v>
      </c>
      <c r="K455" t="s">
        <v>602</v>
      </c>
      <c r="L455" s="2">
        <v>45717</v>
      </c>
      <c r="M455" t="s">
        <v>89</v>
      </c>
      <c r="N455">
        <v>0</v>
      </c>
      <c r="O455" t="s">
        <v>159</v>
      </c>
      <c r="P455" t="s">
        <v>83</v>
      </c>
      <c r="Q455">
        <v>0</v>
      </c>
    </row>
    <row r="456" spans="1:17" x14ac:dyDescent="0.3">
      <c r="A456" t="s">
        <v>17</v>
      </c>
      <c r="B456">
        <v>64</v>
      </c>
      <c r="C456" t="s">
        <v>83</v>
      </c>
      <c r="D456" s="2">
        <v>45719</v>
      </c>
      <c r="E456" s="3">
        <f t="shared" si="7"/>
        <v>45717</v>
      </c>
      <c r="F456" t="s">
        <v>599</v>
      </c>
      <c r="G456" t="s">
        <v>158</v>
      </c>
      <c r="H456" s="4">
        <v>3.43</v>
      </c>
      <c r="I456" t="s">
        <v>159</v>
      </c>
      <c r="J456" t="s">
        <v>87</v>
      </c>
      <c r="K456" t="s">
        <v>602</v>
      </c>
      <c r="L456" s="2">
        <v>45717</v>
      </c>
      <c r="M456" t="s">
        <v>89</v>
      </c>
      <c r="N456">
        <v>0</v>
      </c>
      <c r="O456" t="s">
        <v>159</v>
      </c>
      <c r="P456" t="s">
        <v>83</v>
      </c>
      <c r="Q456">
        <v>0</v>
      </c>
    </row>
    <row r="457" spans="1:17" x14ac:dyDescent="0.3">
      <c r="A457" t="s">
        <v>17</v>
      </c>
      <c r="B457">
        <v>64</v>
      </c>
      <c r="C457" t="s">
        <v>83</v>
      </c>
      <c r="D457" s="2">
        <v>45719</v>
      </c>
      <c r="E457" s="3">
        <f t="shared" si="7"/>
        <v>45717</v>
      </c>
      <c r="F457" t="s">
        <v>599</v>
      </c>
      <c r="G457" t="s">
        <v>158</v>
      </c>
      <c r="H457" s="4">
        <v>9.19</v>
      </c>
      <c r="I457" t="s">
        <v>159</v>
      </c>
      <c r="J457" t="s">
        <v>87</v>
      </c>
      <c r="K457" t="s">
        <v>602</v>
      </c>
      <c r="L457" s="2">
        <v>45717</v>
      </c>
      <c r="M457" t="s">
        <v>89</v>
      </c>
      <c r="N457">
        <v>0</v>
      </c>
      <c r="O457" t="s">
        <v>159</v>
      </c>
      <c r="P457" t="s">
        <v>83</v>
      </c>
      <c r="Q457">
        <v>0</v>
      </c>
    </row>
    <row r="458" spans="1:17" x14ac:dyDescent="0.3">
      <c r="A458" t="s">
        <v>17</v>
      </c>
      <c r="B458">
        <v>64</v>
      </c>
      <c r="C458" t="s">
        <v>83</v>
      </c>
      <c r="D458" s="2">
        <v>45719</v>
      </c>
      <c r="E458" s="3">
        <f t="shared" si="7"/>
        <v>45717</v>
      </c>
      <c r="F458" t="s">
        <v>599</v>
      </c>
      <c r="G458" t="s">
        <v>158</v>
      </c>
      <c r="H458" s="4">
        <v>91.92</v>
      </c>
      <c r="I458" t="s">
        <v>159</v>
      </c>
      <c r="J458" t="s">
        <v>87</v>
      </c>
      <c r="K458" t="s">
        <v>602</v>
      </c>
      <c r="L458" s="2">
        <v>45717</v>
      </c>
      <c r="M458" t="s">
        <v>89</v>
      </c>
      <c r="N458">
        <v>0</v>
      </c>
      <c r="O458" t="s">
        <v>159</v>
      </c>
      <c r="P458" t="s">
        <v>83</v>
      </c>
      <c r="Q458">
        <v>0</v>
      </c>
    </row>
    <row r="459" spans="1:17" x14ac:dyDescent="0.3">
      <c r="A459" t="s">
        <v>17</v>
      </c>
      <c r="B459">
        <v>64</v>
      </c>
      <c r="C459" t="s">
        <v>83</v>
      </c>
      <c r="D459" s="2">
        <v>45719</v>
      </c>
      <c r="E459" s="3">
        <f t="shared" si="7"/>
        <v>45717</v>
      </c>
      <c r="F459" t="s">
        <v>599</v>
      </c>
      <c r="G459" t="s">
        <v>158</v>
      </c>
      <c r="H459" s="4">
        <v>15.54</v>
      </c>
      <c r="I459" t="s">
        <v>159</v>
      </c>
      <c r="J459" t="s">
        <v>87</v>
      </c>
      <c r="K459" t="s">
        <v>165</v>
      </c>
      <c r="L459" s="2">
        <v>45717</v>
      </c>
      <c r="M459" t="s">
        <v>89</v>
      </c>
      <c r="N459">
        <v>0</v>
      </c>
      <c r="O459" t="s">
        <v>159</v>
      </c>
      <c r="P459" t="s">
        <v>83</v>
      </c>
      <c r="Q459">
        <v>0</v>
      </c>
    </row>
    <row r="460" spans="1:17" x14ac:dyDescent="0.3">
      <c r="A460" t="s">
        <v>17</v>
      </c>
      <c r="B460">
        <v>64</v>
      </c>
      <c r="C460" t="s">
        <v>83</v>
      </c>
      <c r="D460" s="2">
        <v>45719</v>
      </c>
      <c r="E460" s="3">
        <f t="shared" si="7"/>
        <v>45717</v>
      </c>
      <c r="F460" t="s">
        <v>599</v>
      </c>
      <c r="G460" t="s">
        <v>158</v>
      </c>
      <c r="H460" s="4">
        <v>15.54</v>
      </c>
      <c r="I460" t="s">
        <v>159</v>
      </c>
      <c r="J460" t="s">
        <v>87</v>
      </c>
      <c r="K460" t="s">
        <v>601</v>
      </c>
      <c r="L460" s="2">
        <v>45717</v>
      </c>
      <c r="M460" t="s">
        <v>89</v>
      </c>
      <c r="N460">
        <v>0</v>
      </c>
      <c r="O460" t="s">
        <v>159</v>
      </c>
      <c r="P460" t="s">
        <v>83</v>
      </c>
      <c r="Q460">
        <v>0</v>
      </c>
    </row>
    <row r="461" spans="1:17" x14ac:dyDescent="0.3">
      <c r="A461" t="s">
        <v>17</v>
      </c>
      <c r="B461">
        <v>64</v>
      </c>
      <c r="C461" t="s">
        <v>83</v>
      </c>
      <c r="D461" s="2">
        <v>45719</v>
      </c>
      <c r="E461" s="3">
        <f t="shared" si="7"/>
        <v>45717</v>
      </c>
      <c r="F461" t="s">
        <v>599</v>
      </c>
      <c r="G461" t="s">
        <v>158</v>
      </c>
      <c r="H461" s="4">
        <v>-199.22</v>
      </c>
      <c r="I461" t="s">
        <v>159</v>
      </c>
      <c r="J461" t="s">
        <v>530</v>
      </c>
      <c r="K461" t="s">
        <v>603</v>
      </c>
      <c r="L461" s="2">
        <v>45717</v>
      </c>
      <c r="M461" t="s">
        <v>531</v>
      </c>
      <c r="N461">
        <v>0</v>
      </c>
      <c r="O461" t="s">
        <v>159</v>
      </c>
      <c r="P461" t="s">
        <v>83</v>
      </c>
      <c r="Q461">
        <v>0</v>
      </c>
    </row>
    <row r="462" spans="1:17" x14ac:dyDescent="0.3">
      <c r="A462" t="s">
        <v>17</v>
      </c>
      <c r="B462">
        <v>64</v>
      </c>
      <c r="C462" t="s">
        <v>83</v>
      </c>
      <c r="D462" s="2">
        <v>45719</v>
      </c>
      <c r="E462" s="3">
        <f t="shared" si="7"/>
        <v>45717</v>
      </c>
      <c r="F462" t="s">
        <v>599</v>
      </c>
      <c r="G462" t="s">
        <v>158</v>
      </c>
      <c r="H462" s="4">
        <v>-109.81</v>
      </c>
      <c r="I462" t="s">
        <v>159</v>
      </c>
      <c r="J462" t="s">
        <v>530</v>
      </c>
      <c r="K462" t="s">
        <v>603</v>
      </c>
      <c r="L462" s="2">
        <v>45717</v>
      </c>
      <c r="M462" t="s">
        <v>531</v>
      </c>
      <c r="N462">
        <v>0</v>
      </c>
      <c r="O462" t="s">
        <v>159</v>
      </c>
      <c r="P462" t="s">
        <v>83</v>
      </c>
      <c r="Q462">
        <v>0</v>
      </c>
    </row>
    <row r="463" spans="1:17" x14ac:dyDescent="0.3">
      <c r="A463" t="s">
        <v>17</v>
      </c>
      <c r="B463">
        <v>64</v>
      </c>
      <c r="C463" t="s">
        <v>83</v>
      </c>
      <c r="D463" s="2">
        <v>45719</v>
      </c>
      <c r="E463" s="3">
        <f t="shared" si="7"/>
        <v>45717</v>
      </c>
      <c r="F463" t="s">
        <v>599</v>
      </c>
      <c r="G463" t="s">
        <v>158</v>
      </c>
      <c r="H463" s="4">
        <v>171.4</v>
      </c>
      <c r="I463" t="s">
        <v>159</v>
      </c>
      <c r="J463" t="s">
        <v>530</v>
      </c>
      <c r="K463" t="s">
        <v>604</v>
      </c>
      <c r="L463" s="2">
        <v>45717</v>
      </c>
      <c r="M463" t="s">
        <v>531</v>
      </c>
      <c r="N463">
        <v>0</v>
      </c>
      <c r="O463" t="s">
        <v>159</v>
      </c>
      <c r="P463" t="s">
        <v>83</v>
      </c>
      <c r="Q463">
        <v>0</v>
      </c>
    </row>
    <row r="464" spans="1:17" x14ac:dyDescent="0.3">
      <c r="A464" t="s">
        <v>17</v>
      </c>
      <c r="B464">
        <v>64</v>
      </c>
      <c r="C464" t="s">
        <v>83</v>
      </c>
      <c r="D464" s="2">
        <v>45719</v>
      </c>
      <c r="E464" s="3">
        <f t="shared" si="7"/>
        <v>45717</v>
      </c>
      <c r="F464" t="s">
        <v>599</v>
      </c>
      <c r="G464" t="s">
        <v>158</v>
      </c>
      <c r="H464" s="4">
        <v>287.39999999999998</v>
      </c>
      <c r="I464" t="s">
        <v>159</v>
      </c>
      <c r="J464" t="s">
        <v>530</v>
      </c>
      <c r="K464" t="s">
        <v>605</v>
      </c>
      <c r="L464" s="2">
        <v>45717</v>
      </c>
      <c r="M464" t="s">
        <v>531</v>
      </c>
      <c r="N464">
        <v>0</v>
      </c>
      <c r="O464" t="s">
        <v>159</v>
      </c>
      <c r="P464" t="s">
        <v>83</v>
      </c>
      <c r="Q464">
        <v>0</v>
      </c>
    </row>
    <row r="465" spans="1:17" x14ac:dyDescent="0.3">
      <c r="A465" t="s">
        <v>17</v>
      </c>
      <c r="B465">
        <v>64</v>
      </c>
      <c r="C465" t="s">
        <v>83</v>
      </c>
      <c r="D465" s="2">
        <v>45719</v>
      </c>
      <c r="E465" s="3">
        <f t="shared" si="7"/>
        <v>45717</v>
      </c>
      <c r="F465" t="s">
        <v>599</v>
      </c>
      <c r="G465" t="s">
        <v>158</v>
      </c>
      <c r="H465" s="4">
        <v>268.39999999999998</v>
      </c>
      <c r="I465" t="s">
        <v>159</v>
      </c>
      <c r="J465" t="s">
        <v>530</v>
      </c>
      <c r="K465" t="s">
        <v>606</v>
      </c>
      <c r="L465" s="2">
        <v>45717</v>
      </c>
      <c r="M465" t="s">
        <v>531</v>
      </c>
      <c r="N465">
        <v>0</v>
      </c>
      <c r="O465" t="s">
        <v>159</v>
      </c>
      <c r="P465" t="s">
        <v>83</v>
      </c>
      <c r="Q465">
        <v>0</v>
      </c>
    </row>
    <row r="466" spans="1:17" x14ac:dyDescent="0.3">
      <c r="A466" t="s">
        <v>17</v>
      </c>
      <c r="B466">
        <v>64</v>
      </c>
      <c r="C466" t="s">
        <v>83</v>
      </c>
      <c r="D466" s="2">
        <v>45719</v>
      </c>
      <c r="E466" s="3">
        <f t="shared" si="7"/>
        <v>45717</v>
      </c>
      <c r="F466" t="s">
        <v>599</v>
      </c>
      <c r="G466" t="s">
        <v>158</v>
      </c>
      <c r="H466" s="4">
        <v>15.16</v>
      </c>
      <c r="I466" t="s">
        <v>159</v>
      </c>
      <c r="J466" t="s">
        <v>91</v>
      </c>
      <c r="K466" t="s">
        <v>602</v>
      </c>
      <c r="L466" s="2">
        <v>45717</v>
      </c>
      <c r="M466" t="s">
        <v>93</v>
      </c>
      <c r="N466">
        <v>0</v>
      </c>
      <c r="O466" t="s">
        <v>159</v>
      </c>
      <c r="P466" t="s">
        <v>83</v>
      </c>
      <c r="Q466">
        <v>0</v>
      </c>
    </row>
    <row r="467" spans="1:17" x14ac:dyDescent="0.3">
      <c r="A467" t="s">
        <v>17</v>
      </c>
      <c r="B467">
        <v>64</v>
      </c>
      <c r="C467" t="s">
        <v>83</v>
      </c>
      <c r="D467" s="2">
        <v>45719</v>
      </c>
      <c r="E467" s="3">
        <f t="shared" si="7"/>
        <v>45717</v>
      </c>
      <c r="F467" t="s">
        <v>599</v>
      </c>
      <c r="G467" t="s">
        <v>158</v>
      </c>
      <c r="H467" s="4">
        <v>38.28</v>
      </c>
      <c r="I467" t="s">
        <v>159</v>
      </c>
      <c r="J467" t="s">
        <v>91</v>
      </c>
      <c r="K467" t="s">
        <v>165</v>
      </c>
      <c r="L467" s="2">
        <v>45717</v>
      </c>
      <c r="M467" t="s">
        <v>93</v>
      </c>
      <c r="N467">
        <v>0</v>
      </c>
      <c r="O467" t="s">
        <v>159</v>
      </c>
      <c r="P467" t="s">
        <v>83</v>
      </c>
      <c r="Q467">
        <v>0</v>
      </c>
    </row>
    <row r="468" spans="1:17" x14ac:dyDescent="0.3">
      <c r="A468" t="s">
        <v>17</v>
      </c>
      <c r="B468">
        <v>64</v>
      </c>
      <c r="C468" t="s">
        <v>83</v>
      </c>
      <c r="D468" s="2">
        <v>45719</v>
      </c>
      <c r="E468" s="3">
        <f t="shared" si="7"/>
        <v>45717</v>
      </c>
      <c r="F468" t="s">
        <v>599</v>
      </c>
      <c r="G468" t="s">
        <v>158</v>
      </c>
      <c r="H468" s="4">
        <v>125.01</v>
      </c>
      <c r="I468" t="s">
        <v>159</v>
      </c>
      <c r="J468" t="s">
        <v>91</v>
      </c>
      <c r="K468" t="s">
        <v>607</v>
      </c>
      <c r="L468" s="2">
        <v>45717</v>
      </c>
      <c r="M468" t="s">
        <v>93</v>
      </c>
      <c r="N468">
        <v>0</v>
      </c>
      <c r="O468" t="s">
        <v>159</v>
      </c>
      <c r="P468" t="s">
        <v>83</v>
      </c>
      <c r="Q468">
        <v>0</v>
      </c>
    </row>
    <row r="469" spans="1:17" x14ac:dyDescent="0.3">
      <c r="A469" t="s">
        <v>17</v>
      </c>
      <c r="B469">
        <v>64</v>
      </c>
      <c r="C469" t="s">
        <v>83</v>
      </c>
      <c r="D469" s="2">
        <v>45719</v>
      </c>
      <c r="E469" s="3">
        <f t="shared" si="7"/>
        <v>45717</v>
      </c>
      <c r="F469" t="s">
        <v>599</v>
      </c>
      <c r="G469" t="s">
        <v>158</v>
      </c>
      <c r="H469" s="4">
        <v>82.47</v>
      </c>
      <c r="I469" t="s">
        <v>159</v>
      </c>
      <c r="J469" t="s">
        <v>91</v>
      </c>
      <c r="K469" t="s">
        <v>165</v>
      </c>
      <c r="L469" s="2">
        <v>45717</v>
      </c>
      <c r="M469" t="s">
        <v>93</v>
      </c>
      <c r="N469">
        <v>0</v>
      </c>
      <c r="O469" t="s">
        <v>159</v>
      </c>
      <c r="P469" t="s">
        <v>83</v>
      </c>
      <c r="Q469">
        <v>0</v>
      </c>
    </row>
    <row r="470" spans="1:17" x14ac:dyDescent="0.3">
      <c r="A470" t="s">
        <v>17</v>
      </c>
      <c r="B470">
        <v>64</v>
      </c>
      <c r="C470" t="s">
        <v>83</v>
      </c>
      <c r="D470" s="2">
        <v>45719</v>
      </c>
      <c r="E470" s="3">
        <f t="shared" si="7"/>
        <v>45717</v>
      </c>
      <c r="F470" t="s">
        <v>599</v>
      </c>
      <c r="G470" t="s">
        <v>158</v>
      </c>
      <c r="H470" s="4">
        <v>176.59</v>
      </c>
      <c r="I470" t="s">
        <v>159</v>
      </c>
      <c r="J470" t="s">
        <v>91</v>
      </c>
      <c r="K470" t="s">
        <v>165</v>
      </c>
      <c r="L470" s="2">
        <v>45717</v>
      </c>
      <c r="M470" t="s">
        <v>93</v>
      </c>
      <c r="N470">
        <v>0</v>
      </c>
      <c r="O470" t="s">
        <v>159</v>
      </c>
      <c r="P470" t="s">
        <v>83</v>
      </c>
      <c r="Q470">
        <v>0</v>
      </c>
    </row>
    <row r="471" spans="1:17" x14ac:dyDescent="0.3">
      <c r="A471" t="s">
        <v>17</v>
      </c>
      <c r="B471">
        <v>64</v>
      </c>
      <c r="C471" t="s">
        <v>83</v>
      </c>
      <c r="D471" s="2">
        <v>45719</v>
      </c>
      <c r="E471" s="3">
        <f t="shared" si="7"/>
        <v>45717</v>
      </c>
      <c r="F471" t="s">
        <v>599</v>
      </c>
      <c r="G471" t="s">
        <v>158</v>
      </c>
      <c r="H471" s="4">
        <v>49.96</v>
      </c>
      <c r="I471" t="s">
        <v>159</v>
      </c>
      <c r="J471" t="s">
        <v>91</v>
      </c>
      <c r="K471" t="s">
        <v>165</v>
      </c>
      <c r="L471" s="2">
        <v>45717</v>
      </c>
      <c r="M471" t="s">
        <v>93</v>
      </c>
      <c r="N471">
        <v>0</v>
      </c>
      <c r="O471" t="s">
        <v>159</v>
      </c>
      <c r="P471" t="s">
        <v>83</v>
      </c>
      <c r="Q471">
        <v>0</v>
      </c>
    </row>
    <row r="472" spans="1:17" x14ac:dyDescent="0.3">
      <c r="A472" t="s">
        <v>17</v>
      </c>
      <c r="B472">
        <v>68</v>
      </c>
      <c r="C472" t="s">
        <v>34</v>
      </c>
      <c r="D472" s="2">
        <v>45719</v>
      </c>
      <c r="E472" s="3">
        <f t="shared" si="7"/>
        <v>45717</v>
      </c>
      <c r="F472" t="s">
        <v>608</v>
      </c>
      <c r="G472" t="s">
        <v>122</v>
      </c>
      <c r="H472" s="4">
        <v>449.04</v>
      </c>
      <c r="I472" t="s">
        <v>108</v>
      </c>
      <c r="J472" t="s">
        <v>109</v>
      </c>
      <c r="K472" t="s">
        <v>609</v>
      </c>
      <c r="L472" s="2">
        <v>45717</v>
      </c>
      <c r="M472" t="s">
        <v>109</v>
      </c>
      <c r="N472">
        <v>0</v>
      </c>
      <c r="O472" t="s">
        <v>111</v>
      </c>
      <c r="P472" t="s">
        <v>112</v>
      </c>
      <c r="Q472" t="s">
        <v>113</v>
      </c>
    </row>
    <row r="473" spans="1:17" x14ac:dyDescent="0.3">
      <c r="A473" t="s">
        <v>17</v>
      </c>
      <c r="B473">
        <v>67</v>
      </c>
      <c r="C473" t="s">
        <v>28</v>
      </c>
      <c r="D473" s="2">
        <v>45719</v>
      </c>
      <c r="E473" s="3">
        <f t="shared" si="7"/>
        <v>45717</v>
      </c>
      <c r="F473" t="s">
        <v>610</v>
      </c>
      <c r="H473" s="4">
        <v>-28.78</v>
      </c>
      <c r="I473" t="s">
        <v>31</v>
      </c>
      <c r="J473" t="s">
        <v>68</v>
      </c>
      <c r="K473" t="s">
        <v>611</v>
      </c>
      <c r="L473" s="2">
        <v>45717</v>
      </c>
      <c r="M473" t="s">
        <v>68</v>
      </c>
      <c r="N473">
        <v>0</v>
      </c>
      <c r="O473" t="s">
        <v>31</v>
      </c>
      <c r="P473" t="s">
        <v>28</v>
      </c>
      <c r="Q473">
        <v>0</v>
      </c>
    </row>
    <row r="474" spans="1:17" x14ac:dyDescent="0.3">
      <c r="A474" t="s">
        <v>17</v>
      </c>
      <c r="B474">
        <v>68</v>
      </c>
      <c r="C474" t="s">
        <v>34</v>
      </c>
      <c r="D474" s="2">
        <v>45719</v>
      </c>
      <c r="E474" s="3">
        <f t="shared" si="7"/>
        <v>45717</v>
      </c>
      <c r="F474" t="s">
        <v>612</v>
      </c>
      <c r="H474" s="4">
        <v>225</v>
      </c>
      <c r="I474" t="s">
        <v>31</v>
      </c>
      <c r="J474" t="s">
        <v>613</v>
      </c>
      <c r="K474" t="s">
        <v>614</v>
      </c>
      <c r="L474" s="2">
        <v>45717</v>
      </c>
      <c r="M474" t="s">
        <v>613</v>
      </c>
      <c r="N474">
        <v>0</v>
      </c>
      <c r="O474" t="s">
        <v>31</v>
      </c>
      <c r="P474" t="s">
        <v>34</v>
      </c>
      <c r="Q474">
        <v>0</v>
      </c>
    </row>
    <row r="475" spans="1:17" x14ac:dyDescent="0.3">
      <c r="A475" t="s">
        <v>17</v>
      </c>
      <c r="B475">
        <v>68</v>
      </c>
      <c r="C475" t="s">
        <v>34</v>
      </c>
      <c r="D475" s="2">
        <v>45719</v>
      </c>
      <c r="E475" s="3">
        <f t="shared" si="7"/>
        <v>45717</v>
      </c>
      <c r="F475" t="s">
        <v>615</v>
      </c>
      <c r="H475" s="4">
        <v>225</v>
      </c>
      <c r="I475" t="s">
        <v>31</v>
      </c>
      <c r="J475" t="s">
        <v>613</v>
      </c>
      <c r="K475" t="s">
        <v>616</v>
      </c>
      <c r="L475" s="2">
        <v>45717</v>
      </c>
      <c r="M475" t="s">
        <v>613</v>
      </c>
      <c r="N475">
        <v>0</v>
      </c>
      <c r="O475" t="s">
        <v>31</v>
      </c>
      <c r="P475" t="s">
        <v>34</v>
      </c>
      <c r="Q475">
        <v>0</v>
      </c>
    </row>
    <row r="476" spans="1:17" x14ac:dyDescent="0.3">
      <c r="A476" t="s">
        <v>17</v>
      </c>
      <c r="B476">
        <v>63</v>
      </c>
      <c r="C476" t="s">
        <v>18</v>
      </c>
      <c r="D476" s="2">
        <v>45720</v>
      </c>
      <c r="E476" s="3">
        <f t="shared" si="7"/>
        <v>45717</v>
      </c>
      <c r="F476" t="s">
        <v>617</v>
      </c>
      <c r="G476" t="s">
        <v>408</v>
      </c>
      <c r="H476" s="4">
        <v>1120</v>
      </c>
      <c r="I476" t="s">
        <v>21</v>
      </c>
      <c r="J476" t="s">
        <v>272</v>
      </c>
      <c r="K476" t="s">
        <v>409</v>
      </c>
      <c r="L476" s="2">
        <v>45717</v>
      </c>
      <c r="M476" t="s">
        <v>272</v>
      </c>
      <c r="N476" t="s">
        <v>25</v>
      </c>
      <c r="O476" t="s">
        <v>26</v>
      </c>
      <c r="P476" t="s">
        <v>18</v>
      </c>
      <c r="Q476" t="s">
        <v>274</v>
      </c>
    </row>
    <row r="477" spans="1:17" x14ac:dyDescent="0.3">
      <c r="A477" t="s">
        <v>17</v>
      </c>
      <c r="B477">
        <v>67</v>
      </c>
      <c r="C477" t="s">
        <v>28</v>
      </c>
      <c r="D477" s="2">
        <v>45721</v>
      </c>
      <c r="E477" s="3">
        <f t="shared" si="7"/>
        <v>45717</v>
      </c>
      <c r="F477" t="s">
        <v>618</v>
      </c>
      <c r="G477" t="s">
        <v>101</v>
      </c>
      <c r="H477" s="4">
        <v>544.02</v>
      </c>
      <c r="I477" t="s">
        <v>31</v>
      </c>
      <c r="J477" t="s">
        <v>74</v>
      </c>
      <c r="K477" t="s">
        <v>619</v>
      </c>
      <c r="L477" s="2">
        <v>45717</v>
      </c>
      <c r="M477" t="s">
        <v>76</v>
      </c>
      <c r="N477">
        <v>0</v>
      </c>
      <c r="O477" t="s">
        <v>31</v>
      </c>
      <c r="P477" t="s">
        <v>28</v>
      </c>
      <c r="Q477">
        <v>0</v>
      </c>
    </row>
    <row r="478" spans="1:17" x14ac:dyDescent="0.3">
      <c r="A478" t="s">
        <v>17</v>
      </c>
      <c r="B478">
        <v>67</v>
      </c>
      <c r="C478" t="s">
        <v>28</v>
      </c>
      <c r="D478" s="2">
        <v>45721</v>
      </c>
      <c r="E478" s="3">
        <f t="shared" si="7"/>
        <v>45717</v>
      </c>
      <c r="F478" t="s">
        <v>618</v>
      </c>
      <c r="G478" t="s">
        <v>101</v>
      </c>
      <c r="H478" s="4">
        <v>71.209999999999994</v>
      </c>
      <c r="I478" t="s">
        <v>31</v>
      </c>
      <c r="J478" t="s">
        <v>74</v>
      </c>
      <c r="K478" t="s">
        <v>620</v>
      </c>
      <c r="L478" s="2">
        <v>45717</v>
      </c>
      <c r="M478" t="s">
        <v>76</v>
      </c>
      <c r="N478">
        <v>0</v>
      </c>
      <c r="O478" t="s">
        <v>31</v>
      </c>
      <c r="P478" t="s">
        <v>28</v>
      </c>
      <c r="Q478">
        <v>0</v>
      </c>
    </row>
    <row r="479" spans="1:17" x14ac:dyDescent="0.3">
      <c r="A479" t="s">
        <v>17</v>
      </c>
      <c r="B479">
        <v>67</v>
      </c>
      <c r="C479" t="s">
        <v>28</v>
      </c>
      <c r="D479" s="2">
        <v>45721</v>
      </c>
      <c r="E479" s="3">
        <f t="shared" si="7"/>
        <v>45717</v>
      </c>
      <c r="F479" t="s">
        <v>618</v>
      </c>
      <c r="G479" t="s">
        <v>101</v>
      </c>
      <c r="H479" s="4">
        <v>1779.84</v>
      </c>
      <c r="I479" t="s">
        <v>31</v>
      </c>
      <c r="J479" t="s">
        <v>74</v>
      </c>
      <c r="K479" t="s">
        <v>621</v>
      </c>
      <c r="L479" s="2">
        <v>45717</v>
      </c>
      <c r="M479" t="s">
        <v>76</v>
      </c>
      <c r="N479">
        <v>0</v>
      </c>
      <c r="O479" t="s">
        <v>31</v>
      </c>
      <c r="P479" t="s">
        <v>28</v>
      </c>
      <c r="Q479">
        <v>0</v>
      </c>
    </row>
    <row r="480" spans="1:17" x14ac:dyDescent="0.3">
      <c r="A480" t="s">
        <v>17</v>
      </c>
      <c r="B480">
        <v>64</v>
      </c>
      <c r="C480" t="s">
        <v>83</v>
      </c>
      <c r="D480" s="2">
        <v>45721</v>
      </c>
      <c r="E480" s="3">
        <f t="shared" si="7"/>
        <v>45717</v>
      </c>
      <c r="F480" t="s">
        <v>618</v>
      </c>
      <c r="G480" t="s">
        <v>101</v>
      </c>
      <c r="H480" s="4">
        <v>5</v>
      </c>
      <c r="I480" t="s">
        <v>104</v>
      </c>
      <c r="J480" t="s">
        <v>511</v>
      </c>
      <c r="K480" t="s">
        <v>622</v>
      </c>
      <c r="L480" s="2">
        <v>45717</v>
      </c>
      <c r="M480" t="s">
        <v>513</v>
      </c>
      <c r="N480">
        <v>0</v>
      </c>
      <c r="O480" t="s">
        <v>104</v>
      </c>
      <c r="P480" t="s">
        <v>83</v>
      </c>
      <c r="Q480">
        <v>0</v>
      </c>
    </row>
    <row r="481" spans="1:17" x14ac:dyDescent="0.3">
      <c r="A481" t="s">
        <v>17</v>
      </c>
      <c r="B481">
        <v>64</v>
      </c>
      <c r="C481" t="s">
        <v>83</v>
      </c>
      <c r="D481" s="2">
        <v>45721</v>
      </c>
      <c r="E481" s="3">
        <f t="shared" si="7"/>
        <v>45717</v>
      </c>
      <c r="F481" t="s">
        <v>618</v>
      </c>
      <c r="G481" t="s">
        <v>101</v>
      </c>
      <c r="H481" s="4">
        <v>35</v>
      </c>
      <c r="I481" t="s">
        <v>104</v>
      </c>
      <c r="J481" t="s">
        <v>511</v>
      </c>
      <c r="K481" t="s">
        <v>622</v>
      </c>
      <c r="L481" s="2">
        <v>45717</v>
      </c>
      <c r="M481" t="s">
        <v>513</v>
      </c>
      <c r="N481">
        <v>0</v>
      </c>
      <c r="O481" t="s">
        <v>104</v>
      </c>
      <c r="P481" t="s">
        <v>83</v>
      </c>
      <c r="Q481">
        <v>0</v>
      </c>
    </row>
    <row r="482" spans="1:17" x14ac:dyDescent="0.3">
      <c r="A482" t="s">
        <v>17</v>
      </c>
      <c r="B482">
        <v>64</v>
      </c>
      <c r="C482" t="s">
        <v>83</v>
      </c>
      <c r="D482" s="2">
        <v>45721</v>
      </c>
      <c r="E482" s="3">
        <f t="shared" si="7"/>
        <v>45717</v>
      </c>
      <c r="F482" t="s">
        <v>618</v>
      </c>
      <c r="G482" t="s">
        <v>101</v>
      </c>
      <c r="H482" s="4">
        <v>5</v>
      </c>
      <c r="I482" t="s">
        <v>104</v>
      </c>
      <c r="J482" t="s">
        <v>511</v>
      </c>
      <c r="K482" t="s">
        <v>622</v>
      </c>
      <c r="L482" s="2">
        <v>45717</v>
      </c>
      <c r="M482" t="s">
        <v>513</v>
      </c>
      <c r="N482">
        <v>0</v>
      </c>
      <c r="O482" t="s">
        <v>104</v>
      </c>
      <c r="P482" t="s">
        <v>83</v>
      </c>
      <c r="Q482">
        <v>0</v>
      </c>
    </row>
    <row r="483" spans="1:17" x14ac:dyDescent="0.3">
      <c r="A483" t="s">
        <v>17</v>
      </c>
      <c r="B483">
        <v>64</v>
      </c>
      <c r="C483" t="s">
        <v>83</v>
      </c>
      <c r="D483" s="2">
        <v>45721</v>
      </c>
      <c r="E483" s="3">
        <f t="shared" si="7"/>
        <v>45717</v>
      </c>
      <c r="F483" t="s">
        <v>618</v>
      </c>
      <c r="G483" t="s">
        <v>101</v>
      </c>
      <c r="H483" s="4">
        <v>5</v>
      </c>
      <c r="I483" t="s">
        <v>104</v>
      </c>
      <c r="J483" t="s">
        <v>511</v>
      </c>
      <c r="K483" t="s">
        <v>622</v>
      </c>
      <c r="L483" s="2">
        <v>45717</v>
      </c>
      <c r="M483" t="s">
        <v>513</v>
      </c>
      <c r="N483">
        <v>0</v>
      </c>
      <c r="O483" t="s">
        <v>104</v>
      </c>
      <c r="P483" t="s">
        <v>83</v>
      </c>
      <c r="Q483">
        <v>0</v>
      </c>
    </row>
    <row r="484" spans="1:17" x14ac:dyDescent="0.3">
      <c r="A484" t="s">
        <v>17</v>
      </c>
      <c r="B484">
        <v>64</v>
      </c>
      <c r="C484" t="s">
        <v>83</v>
      </c>
      <c r="D484" s="2">
        <v>45721</v>
      </c>
      <c r="E484" s="3">
        <f t="shared" si="7"/>
        <v>45717</v>
      </c>
      <c r="F484" t="s">
        <v>618</v>
      </c>
      <c r="G484" t="s">
        <v>101</v>
      </c>
      <c r="H484" s="4">
        <v>5</v>
      </c>
      <c r="I484" t="s">
        <v>104</v>
      </c>
      <c r="J484" t="s">
        <v>511</v>
      </c>
      <c r="K484" t="s">
        <v>622</v>
      </c>
      <c r="L484" s="2">
        <v>45717</v>
      </c>
      <c r="M484" t="s">
        <v>513</v>
      </c>
      <c r="N484">
        <v>0</v>
      </c>
      <c r="O484" t="s">
        <v>104</v>
      </c>
      <c r="P484" t="s">
        <v>83</v>
      </c>
      <c r="Q484">
        <v>0</v>
      </c>
    </row>
    <row r="485" spans="1:17" x14ac:dyDescent="0.3">
      <c r="A485" t="s">
        <v>17</v>
      </c>
      <c r="B485">
        <v>64</v>
      </c>
      <c r="C485" t="s">
        <v>83</v>
      </c>
      <c r="D485" s="2">
        <v>45721</v>
      </c>
      <c r="E485" s="3">
        <f t="shared" si="7"/>
        <v>45717</v>
      </c>
      <c r="F485" t="s">
        <v>618</v>
      </c>
      <c r="G485" t="s">
        <v>101</v>
      </c>
      <c r="H485" s="4">
        <v>5</v>
      </c>
      <c r="I485" t="s">
        <v>104</v>
      </c>
      <c r="J485" t="s">
        <v>511</v>
      </c>
      <c r="K485" t="s">
        <v>622</v>
      </c>
      <c r="L485" s="2">
        <v>45717</v>
      </c>
      <c r="M485" t="s">
        <v>513</v>
      </c>
      <c r="N485">
        <v>0</v>
      </c>
      <c r="O485" t="s">
        <v>104</v>
      </c>
      <c r="P485" t="s">
        <v>83</v>
      </c>
      <c r="Q485">
        <v>0</v>
      </c>
    </row>
    <row r="486" spans="1:17" x14ac:dyDescent="0.3">
      <c r="A486" t="s">
        <v>17</v>
      </c>
      <c r="B486">
        <v>67</v>
      </c>
      <c r="C486" t="s">
        <v>28</v>
      </c>
      <c r="D486" s="2">
        <v>45721</v>
      </c>
      <c r="E486" s="3">
        <f t="shared" si="7"/>
        <v>45717</v>
      </c>
      <c r="F486" t="s">
        <v>618</v>
      </c>
      <c r="G486" t="s">
        <v>101</v>
      </c>
      <c r="H486" s="4">
        <v>2447.2800000000002</v>
      </c>
      <c r="I486" t="s">
        <v>31</v>
      </c>
      <c r="J486" t="s">
        <v>64</v>
      </c>
      <c r="K486" t="s">
        <v>623</v>
      </c>
      <c r="L486" s="2">
        <v>45717</v>
      </c>
      <c r="M486" t="s">
        <v>64</v>
      </c>
      <c r="N486">
        <v>0</v>
      </c>
      <c r="O486" t="s">
        <v>31</v>
      </c>
      <c r="P486" t="s">
        <v>28</v>
      </c>
      <c r="Q486">
        <v>0</v>
      </c>
    </row>
    <row r="487" spans="1:17" x14ac:dyDescent="0.3">
      <c r="A487" t="s">
        <v>17</v>
      </c>
      <c r="B487">
        <v>67</v>
      </c>
      <c r="C487" t="s">
        <v>28</v>
      </c>
      <c r="D487" s="2">
        <v>45721</v>
      </c>
      <c r="E487" s="3">
        <f t="shared" si="7"/>
        <v>45717</v>
      </c>
      <c r="F487" t="s">
        <v>618</v>
      </c>
      <c r="G487" t="s">
        <v>101</v>
      </c>
      <c r="H487" s="4">
        <v>12.46</v>
      </c>
      <c r="I487" t="s">
        <v>31</v>
      </c>
      <c r="J487" t="s">
        <v>64</v>
      </c>
      <c r="K487" t="s">
        <v>623</v>
      </c>
      <c r="L487" s="2">
        <v>45717</v>
      </c>
      <c r="M487" t="s">
        <v>64</v>
      </c>
      <c r="N487">
        <v>0</v>
      </c>
      <c r="O487" t="s">
        <v>31</v>
      </c>
      <c r="P487" t="s">
        <v>28</v>
      </c>
      <c r="Q487">
        <v>0</v>
      </c>
    </row>
    <row r="488" spans="1:17" x14ac:dyDescent="0.3">
      <c r="A488" t="s">
        <v>17</v>
      </c>
      <c r="B488">
        <v>67</v>
      </c>
      <c r="C488" t="s">
        <v>28</v>
      </c>
      <c r="D488" s="2">
        <v>45721</v>
      </c>
      <c r="E488" s="3">
        <f t="shared" si="7"/>
        <v>45717</v>
      </c>
      <c r="F488" t="s">
        <v>618</v>
      </c>
      <c r="G488" t="s">
        <v>101</v>
      </c>
      <c r="H488" s="4">
        <v>6.19</v>
      </c>
      <c r="I488" t="s">
        <v>31</v>
      </c>
      <c r="J488" t="s">
        <v>64</v>
      </c>
      <c r="K488" t="s">
        <v>623</v>
      </c>
      <c r="L488" s="2">
        <v>45717</v>
      </c>
      <c r="M488" t="s">
        <v>64</v>
      </c>
      <c r="N488">
        <v>0</v>
      </c>
      <c r="O488" t="s">
        <v>31</v>
      </c>
      <c r="P488" t="s">
        <v>28</v>
      </c>
      <c r="Q488">
        <v>0</v>
      </c>
    </row>
    <row r="489" spans="1:17" x14ac:dyDescent="0.3">
      <c r="A489" t="s">
        <v>17</v>
      </c>
      <c r="B489">
        <v>67</v>
      </c>
      <c r="C489" t="s">
        <v>28</v>
      </c>
      <c r="D489" s="2">
        <v>45721</v>
      </c>
      <c r="E489" s="3">
        <f t="shared" si="7"/>
        <v>45717</v>
      </c>
      <c r="F489" t="s">
        <v>618</v>
      </c>
      <c r="G489" t="s">
        <v>101</v>
      </c>
      <c r="H489" s="4">
        <v>10.67</v>
      </c>
      <c r="I489" t="s">
        <v>31</v>
      </c>
      <c r="J489" t="s">
        <v>64</v>
      </c>
      <c r="K489" t="s">
        <v>623</v>
      </c>
      <c r="L489" s="2">
        <v>45717</v>
      </c>
      <c r="M489" t="s">
        <v>64</v>
      </c>
      <c r="N489">
        <v>0</v>
      </c>
      <c r="O489" t="s">
        <v>31</v>
      </c>
      <c r="P489" t="s">
        <v>28</v>
      </c>
      <c r="Q489">
        <v>0</v>
      </c>
    </row>
    <row r="490" spans="1:17" x14ac:dyDescent="0.3">
      <c r="A490" t="s">
        <v>17</v>
      </c>
      <c r="B490">
        <v>67</v>
      </c>
      <c r="C490" t="s">
        <v>28</v>
      </c>
      <c r="D490" s="2">
        <v>45721</v>
      </c>
      <c r="E490" s="3">
        <f t="shared" si="7"/>
        <v>45717</v>
      </c>
      <c r="F490" t="s">
        <v>618</v>
      </c>
      <c r="G490" t="s">
        <v>101</v>
      </c>
      <c r="H490" s="4">
        <v>7.01</v>
      </c>
      <c r="I490" t="s">
        <v>31</v>
      </c>
      <c r="J490" t="s">
        <v>64</v>
      </c>
      <c r="K490" t="s">
        <v>623</v>
      </c>
      <c r="L490" s="2">
        <v>45717</v>
      </c>
      <c r="M490" t="s">
        <v>64</v>
      </c>
      <c r="N490">
        <v>0</v>
      </c>
      <c r="O490" t="s">
        <v>31</v>
      </c>
      <c r="P490" t="s">
        <v>28</v>
      </c>
      <c r="Q490">
        <v>0</v>
      </c>
    </row>
    <row r="491" spans="1:17" x14ac:dyDescent="0.3">
      <c r="A491" t="s">
        <v>17</v>
      </c>
      <c r="B491">
        <v>67</v>
      </c>
      <c r="C491" t="s">
        <v>28</v>
      </c>
      <c r="D491" s="2">
        <v>45721</v>
      </c>
      <c r="E491" s="3">
        <f t="shared" si="7"/>
        <v>45717</v>
      </c>
      <c r="F491" t="s">
        <v>618</v>
      </c>
      <c r="G491" t="s">
        <v>101</v>
      </c>
      <c r="H491" s="4">
        <v>1.07</v>
      </c>
      <c r="I491" t="s">
        <v>31</v>
      </c>
      <c r="J491" t="s">
        <v>64</v>
      </c>
      <c r="K491" t="s">
        <v>623</v>
      </c>
      <c r="L491" s="2">
        <v>45717</v>
      </c>
      <c r="M491" t="s">
        <v>64</v>
      </c>
      <c r="N491">
        <v>0</v>
      </c>
      <c r="O491" t="s">
        <v>31</v>
      </c>
      <c r="P491" t="s">
        <v>28</v>
      </c>
      <c r="Q491">
        <v>0</v>
      </c>
    </row>
    <row r="492" spans="1:17" x14ac:dyDescent="0.3">
      <c r="A492" t="s">
        <v>17</v>
      </c>
      <c r="B492">
        <v>64</v>
      </c>
      <c r="C492" t="s">
        <v>83</v>
      </c>
      <c r="D492" s="2">
        <v>45721</v>
      </c>
      <c r="E492" s="3">
        <f t="shared" si="7"/>
        <v>45717</v>
      </c>
      <c r="F492" t="s">
        <v>618</v>
      </c>
      <c r="G492" t="s">
        <v>101</v>
      </c>
      <c r="H492" s="4">
        <v>577.79999999999995</v>
      </c>
      <c r="I492" t="s">
        <v>108</v>
      </c>
      <c r="J492" t="s">
        <v>530</v>
      </c>
      <c r="K492" t="s">
        <v>624</v>
      </c>
      <c r="L492" s="2">
        <v>45717</v>
      </c>
      <c r="M492" t="s">
        <v>531</v>
      </c>
      <c r="N492">
        <v>0</v>
      </c>
      <c r="O492" t="s">
        <v>111</v>
      </c>
      <c r="P492" t="s">
        <v>83</v>
      </c>
      <c r="Q492">
        <v>0</v>
      </c>
    </row>
    <row r="493" spans="1:17" x14ac:dyDescent="0.3">
      <c r="A493" t="s">
        <v>17</v>
      </c>
      <c r="B493">
        <v>64</v>
      </c>
      <c r="C493" t="s">
        <v>83</v>
      </c>
      <c r="D493" s="2">
        <v>45721</v>
      </c>
      <c r="E493" s="3">
        <f t="shared" si="7"/>
        <v>45717</v>
      </c>
      <c r="F493" t="s">
        <v>618</v>
      </c>
      <c r="G493" t="s">
        <v>101</v>
      </c>
      <c r="H493" s="4">
        <v>3838.31</v>
      </c>
      <c r="I493" t="s">
        <v>108</v>
      </c>
      <c r="J493" t="s">
        <v>530</v>
      </c>
      <c r="K493" t="s">
        <v>624</v>
      </c>
      <c r="L493" s="2">
        <v>45717</v>
      </c>
      <c r="M493" t="s">
        <v>531</v>
      </c>
      <c r="N493">
        <v>0</v>
      </c>
      <c r="O493" t="s">
        <v>111</v>
      </c>
      <c r="P493" t="s">
        <v>83</v>
      </c>
      <c r="Q493">
        <v>0</v>
      </c>
    </row>
    <row r="494" spans="1:17" x14ac:dyDescent="0.3">
      <c r="A494" t="s">
        <v>17</v>
      </c>
      <c r="B494">
        <v>64</v>
      </c>
      <c r="C494" t="s">
        <v>83</v>
      </c>
      <c r="D494" s="2">
        <v>45721</v>
      </c>
      <c r="E494" s="3">
        <f t="shared" si="7"/>
        <v>45717</v>
      </c>
      <c r="F494" t="s">
        <v>618</v>
      </c>
      <c r="G494" t="s">
        <v>101</v>
      </c>
      <c r="H494" s="4">
        <v>210</v>
      </c>
      <c r="I494" t="s">
        <v>108</v>
      </c>
      <c r="J494" t="s">
        <v>530</v>
      </c>
      <c r="K494" t="s">
        <v>624</v>
      </c>
      <c r="L494" s="2">
        <v>45717</v>
      </c>
      <c r="M494" t="s">
        <v>531</v>
      </c>
      <c r="N494">
        <v>0</v>
      </c>
      <c r="O494" t="s">
        <v>111</v>
      </c>
      <c r="P494" t="s">
        <v>83</v>
      </c>
      <c r="Q494">
        <v>0</v>
      </c>
    </row>
    <row r="495" spans="1:17" x14ac:dyDescent="0.3">
      <c r="A495" t="s">
        <v>17</v>
      </c>
      <c r="B495">
        <v>64</v>
      </c>
      <c r="C495" t="s">
        <v>83</v>
      </c>
      <c r="D495" s="2">
        <v>45721</v>
      </c>
      <c r="E495" s="3">
        <f t="shared" si="7"/>
        <v>45717</v>
      </c>
      <c r="F495" t="s">
        <v>618</v>
      </c>
      <c r="G495" t="s">
        <v>101</v>
      </c>
      <c r="H495" s="4">
        <v>-525</v>
      </c>
      <c r="I495" t="s">
        <v>159</v>
      </c>
      <c r="J495" t="s">
        <v>530</v>
      </c>
      <c r="K495" t="s">
        <v>625</v>
      </c>
      <c r="L495" s="2">
        <v>45717</v>
      </c>
      <c r="M495" t="s">
        <v>531</v>
      </c>
      <c r="N495">
        <v>0</v>
      </c>
      <c r="O495" t="s">
        <v>159</v>
      </c>
      <c r="P495" t="s">
        <v>83</v>
      </c>
      <c r="Q495">
        <v>0</v>
      </c>
    </row>
    <row r="496" spans="1:17" x14ac:dyDescent="0.3">
      <c r="A496" t="s">
        <v>17</v>
      </c>
      <c r="B496">
        <v>64</v>
      </c>
      <c r="C496" t="s">
        <v>83</v>
      </c>
      <c r="D496" s="2">
        <v>45721</v>
      </c>
      <c r="E496" s="3">
        <f t="shared" si="7"/>
        <v>45717</v>
      </c>
      <c r="F496" t="s">
        <v>618</v>
      </c>
      <c r="G496" t="s">
        <v>101</v>
      </c>
      <c r="H496" s="4">
        <v>1672.5</v>
      </c>
      <c r="I496" t="s">
        <v>159</v>
      </c>
      <c r="J496" t="s">
        <v>530</v>
      </c>
      <c r="K496" t="s">
        <v>626</v>
      </c>
      <c r="L496" s="2">
        <v>45717</v>
      </c>
      <c r="M496" t="s">
        <v>531</v>
      </c>
      <c r="N496">
        <v>0</v>
      </c>
      <c r="O496" t="s">
        <v>159</v>
      </c>
      <c r="P496" t="s">
        <v>83</v>
      </c>
      <c r="Q496">
        <v>0</v>
      </c>
    </row>
    <row r="497" spans="1:17" x14ac:dyDescent="0.3">
      <c r="A497" t="s">
        <v>17</v>
      </c>
      <c r="B497">
        <v>64</v>
      </c>
      <c r="C497" t="s">
        <v>83</v>
      </c>
      <c r="D497" s="2">
        <v>45721</v>
      </c>
      <c r="E497" s="3">
        <f t="shared" si="7"/>
        <v>45717</v>
      </c>
      <c r="F497" t="s">
        <v>618</v>
      </c>
      <c r="G497" t="s">
        <v>101</v>
      </c>
      <c r="H497" s="4">
        <v>2812.11</v>
      </c>
      <c r="I497" t="s">
        <v>159</v>
      </c>
      <c r="J497" t="s">
        <v>530</v>
      </c>
      <c r="K497" t="s">
        <v>626</v>
      </c>
      <c r="L497" s="2">
        <v>45717</v>
      </c>
      <c r="M497" t="s">
        <v>531</v>
      </c>
      <c r="N497">
        <v>0</v>
      </c>
      <c r="O497" t="s">
        <v>159</v>
      </c>
      <c r="P497" t="s">
        <v>83</v>
      </c>
      <c r="Q497">
        <v>0</v>
      </c>
    </row>
    <row r="498" spans="1:17" x14ac:dyDescent="0.3">
      <c r="A498" t="s">
        <v>17</v>
      </c>
      <c r="B498">
        <v>64</v>
      </c>
      <c r="C498" t="s">
        <v>83</v>
      </c>
      <c r="D498" s="2">
        <v>45721</v>
      </c>
      <c r="E498" s="3">
        <f t="shared" si="7"/>
        <v>45717</v>
      </c>
      <c r="F498" t="s">
        <v>618</v>
      </c>
      <c r="G498" t="s">
        <v>101</v>
      </c>
      <c r="H498" s="4">
        <v>498.1</v>
      </c>
      <c r="I498" t="s">
        <v>159</v>
      </c>
      <c r="J498" t="s">
        <v>530</v>
      </c>
      <c r="K498" t="s">
        <v>626</v>
      </c>
      <c r="L498" s="2">
        <v>45717</v>
      </c>
      <c r="M498" t="s">
        <v>531</v>
      </c>
      <c r="N498">
        <v>0</v>
      </c>
      <c r="O498" t="s">
        <v>159</v>
      </c>
      <c r="P498" t="s">
        <v>83</v>
      </c>
      <c r="Q498">
        <v>0</v>
      </c>
    </row>
    <row r="499" spans="1:17" x14ac:dyDescent="0.3">
      <c r="A499" t="s">
        <v>17</v>
      </c>
      <c r="B499">
        <v>64</v>
      </c>
      <c r="C499" t="s">
        <v>83</v>
      </c>
      <c r="D499" s="2">
        <v>45721</v>
      </c>
      <c r="E499" s="3">
        <f t="shared" si="7"/>
        <v>45717</v>
      </c>
      <c r="F499" t="s">
        <v>618</v>
      </c>
      <c r="G499" t="s">
        <v>101</v>
      </c>
      <c r="H499" s="4">
        <v>1277.5</v>
      </c>
      <c r="I499" t="s">
        <v>104</v>
      </c>
      <c r="J499" t="s">
        <v>530</v>
      </c>
      <c r="K499" t="s">
        <v>622</v>
      </c>
      <c r="L499" s="2">
        <v>45717</v>
      </c>
      <c r="M499" t="s">
        <v>531</v>
      </c>
      <c r="N499">
        <v>0</v>
      </c>
      <c r="O499" t="s">
        <v>104</v>
      </c>
      <c r="P499" t="s">
        <v>83</v>
      </c>
      <c r="Q499">
        <v>0</v>
      </c>
    </row>
    <row r="500" spans="1:17" x14ac:dyDescent="0.3">
      <c r="A500" t="s">
        <v>17</v>
      </c>
      <c r="B500">
        <v>64</v>
      </c>
      <c r="C500" t="s">
        <v>83</v>
      </c>
      <c r="D500" s="2">
        <v>45721</v>
      </c>
      <c r="E500" s="3">
        <f t="shared" si="7"/>
        <v>45717</v>
      </c>
      <c r="F500" t="s">
        <v>618</v>
      </c>
      <c r="G500" t="s">
        <v>101</v>
      </c>
      <c r="H500" s="4">
        <v>6144.91</v>
      </c>
      <c r="I500" t="s">
        <v>159</v>
      </c>
      <c r="J500" t="s">
        <v>530</v>
      </c>
      <c r="K500" t="s">
        <v>627</v>
      </c>
      <c r="L500" s="2">
        <v>45717</v>
      </c>
      <c r="M500" t="s">
        <v>531</v>
      </c>
      <c r="N500">
        <v>0</v>
      </c>
      <c r="O500" t="s">
        <v>159</v>
      </c>
      <c r="P500" t="s">
        <v>83</v>
      </c>
      <c r="Q500">
        <v>0</v>
      </c>
    </row>
    <row r="501" spans="1:17" x14ac:dyDescent="0.3">
      <c r="A501" t="s">
        <v>17</v>
      </c>
      <c r="B501">
        <v>64</v>
      </c>
      <c r="C501" t="s">
        <v>83</v>
      </c>
      <c r="D501" s="2">
        <v>45721</v>
      </c>
      <c r="E501" s="3">
        <f t="shared" si="7"/>
        <v>45717</v>
      </c>
      <c r="F501" t="s">
        <v>618</v>
      </c>
      <c r="G501" t="s">
        <v>101</v>
      </c>
      <c r="H501" s="4">
        <v>464.56</v>
      </c>
      <c r="I501" t="s">
        <v>31</v>
      </c>
      <c r="J501" t="s">
        <v>91</v>
      </c>
      <c r="K501" t="s">
        <v>628</v>
      </c>
      <c r="L501" s="2">
        <v>45717</v>
      </c>
      <c r="M501" t="s">
        <v>93</v>
      </c>
      <c r="N501">
        <v>0</v>
      </c>
      <c r="O501" t="s">
        <v>31</v>
      </c>
      <c r="P501" t="s">
        <v>83</v>
      </c>
      <c r="Q501">
        <v>0</v>
      </c>
    </row>
    <row r="502" spans="1:17" x14ac:dyDescent="0.3">
      <c r="A502" t="s">
        <v>17</v>
      </c>
      <c r="B502">
        <v>68</v>
      </c>
      <c r="C502" t="s">
        <v>34</v>
      </c>
      <c r="D502" s="2">
        <v>45721</v>
      </c>
      <c r="E502" s="3">
        <f t="shared" si="7"/>
        <v>45717</v>
      </c>
      <c r="F502" t="s">
        <v>629</v>
      </c>
      <c r="G502" t="s">
        <v>122</v>
      </c>
      <c r="H502" s="4">
        <v>122.42</v>
      </c>
      <c r="I502" t="s">
        <v>108</v>
      </c>
      <c r="J502" t="s">
        <v>109</v>
      </c>
      <c r="K502" t="s">
        <v>123</v>
      </c>
      <c r="L502" s="2">
        <v>45717</v>
      </c>
      <c r="M502" t="s">
        <v>109</v>
      </c>
      <c r="N502">
        <v>0</v>
      </c>
      <c r="O502" t="s">
        <v>111</v>
      </c>
      <c r="P502" t="s">
        <v>112</v>
      </c>
      <c r="Q502" t="s">
        <v>113</v>
      </c>
    </row>
    <row r="503" spans="1:17" x14ac:dyDescent="0.3">
      <c r="A503" t="s">
        <v>17</v>
      </c>
      <c r="B503">
        <v>68</v>
      </c>
      <c r="C503" t="s">
        <v>34</v>
      </c>
      <c r="D503" s="2">
        <v>45721</v>
      </c>
      <c r="E503" s="3">
        <f t="shared" si="7"/>
        <v>45717</v>
      </c>
      <c r="F503" t="s">
        <v>630</v>
      </c>
      <c r="G503" t="s">
        <v>122</v>
      </c>
      <c r="H503" s="4">
        <v>655.42</v>
      </c>
      <c r="I503" t="s">
        <v>108</v>
      </c>
      <c r="J503" t="s">
        <v>109</v>
      </c>
      <c r="K503" t="s">
        <v>631</v>
      </c>
      <c r="L503" s="2">
        <v>45717</v>
      </c>
      <c r="M503" t="s">
        <v>109</v>
      </c>
      <c r="N503">
        <v>0</v>
      </c>
      <c r="O503" t="s">
        <v>111</v>
      </c>
      <c r="P503" t="s">
        <v>112</v>
      </c>
      <c r="Q503" t="s">
        <v>113</v>
      </c>
    </row>
    <row r="504" spans="1:17" x14ac:dyDescent="0.3">
      <c r="A504" t="s">
        <v>17</v>
      </c>
      <c r="B504">
        <v>68</v>
      </c>
      <c r="C504" t="s">
        <v>34</v>
      </c>
      <c r="D504" s="2">
        <v>45721</v>
      </c>
      <c r="E504" s="3">
        <f t="shared" si="7"/>
        <v>45717</v>
      </c>
      <c r="F504" t="s">
        <v>632</v>
      </c>
      <c r="G504" t="s">
        <v>122</v>
      </c>
      <c r="H504" s="4">
        <v>19.420000000000002</v>
      </c>
      <c r="I504" t="s">
        <v>108</v>
      </c>
      <c r="J504" t="s">
        <v>109</v>
      </c>
      <c r="K504" t="s">
        <v>123</v>
      </c>
      <c r="L504" s="2">
        <v>45717</v>
      </c>
      <c r="M504" t="s">
        <v>109</v>
      </c>
      <c r="N504">
        <v>0</v>
      </c>
      <c r="O504" t="s">
        <v>111</v>
      </c>
      <c r="P504" t="s">
        <v>112</v>
      </c>
      <c r="Q504" t="s">
        <v>113</v>
      </c>
    </row>
    <row r="505" spans="1:17" x14ac:dyDescent="0.3">
      <c r="A505" t="s">
        <v>17</v>
      </c>
      <c r="B505">
        <v>63</v>
      </c>
      <c r="C505" t="s">
        <v>18</v>
      </c>
      <c r="D505" s="2">
        <v>45722</v>
      </c>
      <c r="E505" s="3">
        <f t="shared" si="7"/>
        <v>45717</v>
      </c>
      <c r="F505" t="s">
        <v>633</v>
      </c>
      <c r="G505" t="s">
        <v>125</v>
      </c>
      <c r="H505" s="4">
        <v>240</v>
      </c>
      <c r="I505" t="s">
        <v>21</v>
      </c>
      <c r="J505" t="s">
        <v>22</v>
      </c>
      <c r="K505" t="s">
        <v>634</v>
      </c>
      <c r="L505" s="2">
        <v>45717</v>
      </c>
      <c r="M505" t="s">
        <v>24</v>
      </c>
      <c r="N505" t="s">
        <v>25</v>
      </c>
      <c r="O505" t="s">
        <v>26</v>
      </c>
      <c r="P505" t="s">
        <v>18</v>
      </c>
      <c r="Q505" t="s">
        <v>27</v>
      </c>
    </row>
    <row r="506" spans="1:17" x14ac:dyDescent="0.3">
      <c r="A506" t="s">
        <v>17</v>
      </c>
      <c r="B506">
        <v>67</v>
      </c>
      <c r="C506" t="s">
        <v>28</v>
      </c>
      <c r="D506" s="2">
        <v>45723</v>
      </c>
      <c r="E506" s="3">
        <f t="shared" si="7"/>
        <v>45717</v>
      </c>
      <c r="F506" t="s">
        <v>635</v>
      </c>
      <c r="G506" t="s">
        <v>67</v>
      </c>
      <c r="H506" s="4">
        <v>637.01</v>
      </c>
      <c r="I506" t="s">
        <v>31</v>
      </c>
      <c r="J506" t="s">
        <v>68</v>
      </c>
      <c r="K506" t="s">
        <v>636</v>
      </c>
      <c r="L506" s="2">
        <v>45717</v>
      </c>
      <c r="M506" t="s">
        <v>68</v>
      </c>
      <c r="N506">
        <v>0</v>
      </c>
      <c r="O506" t="s">
        <v>31</v>
      </c>
      <c r="P506" t="s">
        <v>28</v>
      </c>
      <c r="Q506">
        <v>0</v>
      </c>
    </row>
    <row r="507" spans="1:17" x14ac:dyDescent="0.3">
      <c r="A507" t="s">
        <v>17</v>
      </c>
      <c r="B507">
        <v>67</v>
      </c>
      <c r="C507" t="s">
        <v>28</v>
      </c>
      <c r="D507" s="2">
        <v>45723</v>
      </c>
      <c r="E507" s="3">
        <f t="shared" si="7"/>
        <v>45717</v>
      </c>
      <c r="F507" t="s">
        <v>637</v>
      </c>
      <c r="H507" s="4">
        <v>-13.88</v>
      </c>
      <c r="I507" t="s">
        <v>31</v>
      </c>
      <c r="J507" t="s">
        <v>60</v>
      </c>
      <c r="L507" s="2">
        <v>45717</v>
      </c>
      <c r="M507" t="s">
        <v>60</v>
      </c>
      <c r="N507">
        <v>0</v>
      </c>
      <c r="O507" t="s">
        <v>31</v>
      </c>
      <c r="P507" t="s">
        <v>28</v>
      </c>
      <c r="Q507">
        <v>0</v>
      </c>
    </row>
    <row r="508" spans="1:17" x14ac:dyDescent="0.3">
      <c r="A508" t="s">
        <v>17</v>
      </c>
      <c r="B508">
        <v>67</v>
      </c>
      <c r="C508" t="s">
        <v>28</v>
      </c>
      <c r="D508" s="2">
        <v>45723</v>
      </c>
      <c r="E508" s="3">
        <f t="shared" si="7"/>
        <v>45717</v>
      </c>
      <c r="F508" t="s">
        <v>637</v>
      </c>
      <c r="H508" s="4">
        <v>-44.48</v>
      </c>
      <c r="I508" t="s">
        <v>31</v>
      </c>
      <c r="J508" t="s">
        <v>60</v>
      </c>
      <c r="L508" s="2">
        <v>45717</v>
      </c>
      <c r="M508" t="s">
        <v>60</v>
      </c>
      <c r="N508">
        <v>0</v>
      </c>
      <c r="O508" t="s">
        <v>31</v>
      </c>
      <c r="P508" t="s">
        <v>28</v>
      </c>
      <c r="Q508">
        <v>0</v>
      </c>
    </row>
    <row r="509" spans="1:17" x14ac:dyDescent="0.3">
      <c r="A509" t="s">
        <v>17</v>
      </c>
      <c r="B509">
        <v>67</v>
      </c>
      <c r="C509" t="s">
        <v>28</v>
      </c>
      <c r="D509" s="2">
        <v>45723</v>
      </c>
      <c r="E509" s="3">
        <f t="shared" si="7"/>
        <v>45717</v>
      </c>
      <c r="F509" t="s">
        <v>637</v>
      </c>
      <c r="H509" s="4">
        <v>-43.2</v>
      </c>
      <c r="I509" t="s">
        <v>31</v>
      </c>
      <c r="J509" t="s">
        <v>60</v>
      </c>
      <c r="L509" s="2">
        <v>45717</v>
      </c>
      <c r="M509" t="s">
        <v>60</v>
      </c>
      <c r="N509">
        <v>0</v>
      </c>
      <c r="O509" t="s">
        <v>31</v>
      </c>
      <c r="P509" t="s">
        <v>28</v>
      </c>
      <c r="Q509">
        <v>0</v>
      </c>
    </row>
    <row r="510" spans="1:17" x14ac:dyDescent="0.3">
      <c r="A510" t="s">
        <v>17</v>
      </c>
      <c r="B510">
        <v>67</v>
      </c>
      <c r="C510" t="s">
        <v>28</v>
      </c>
      <c r="D510" s="2">
        <v>45723</v>
      </c>
      <c r="E510" s="3">
        <f t="shared" si="7"/>
        <v>45717</v>
      </c>
      <c r="F510" t="s">
        <v>637</v>
      </c>
      <c r="H510" s="4">
        <v>-88.99</v>
      </c>
      <c r="I510" t="s">
        <v>31</v>
      </c>
      <c r="J510" t="s">
        <v>60</v>
      </c>
      <c r="L510" s="2">
        <v>45717</v>
      </c>
      <c r="M510" t="s">
        <v>60</v>
      </c>
      <c r="N510">
        <v>0</v>
      </c>
      <c r="O510" t="s">
        <v>31</v>
      </c>
      <c r="P510" t="s">
        <v>28</v>
      </c>
      <c r="Q510">
        <v>0</v>
      </c>
    </row>
    <row r="511" spans="1:17" x14ac:dyDescent="0.3">
      <c r="A511" t="s">
        <v>17</v>
      </c>
      <c r="B511">
        <v>67</v>
      </c>
      <c r="C511" t="s">
        <v>28</v>
      </c>
      <c r="D511" s="2">
        <v>45723</v>
      </c>
      <c r="E511" s="3">
        <f t="shared" si="7"/>
        <v>45717</v>
      </c>
      <c r="F511" t="s">
        <v>637</v>
      </c>
      <c r="H511" s="4">
        <v>-41.72</v>
      </c>
      <c r="I511" t="s">
        <v>31</v>
      </c>
      <c r="J511" t="s">
        <v>60</v>
      </c>
      <c r="L511" s="2">
        <v>45717</v>
      </c>
      <c r="M511" t="s">
        <v>60</v>
      </c>
      <c r="N511">
        <v>0</v>
      </c>
      <c r="O511" t="s">
        <v>31</v>
      </c>
      <c r="P511" t="s">
        <v>28</v>
      </c>
      <c r="Q511">
        <v>0</v>
      </c>
    </row>
    <row r="512" spans="1:17" x14ac:dyDescent="0.3">
      <c r="A512" t="s">
        <v>17</v>
      </c>
      <c r="B512">
        <v>67</v>
      </c>
      <c r="C512" t="s">
        <v>28</v>
      </c>
      <c r="D512" s="2">
        <v>45723</v>
      </c>
      <c r="E512" s="3">
        <f t="shared" si="7"/>
        <v>45717</v>
      </c>
      <c r="F512" t="s">
        <v>637</v>
      </c>
      <c r="H512" s="4">
        <v>-37.299999999999997</v>
      </c>
      <c r="I512" t="s">
        <v>31</v>
      </c>
      <c r="J512" t="s">
        <v>60</v>
      </c>
      <c r="L512" s="2">
        <v>45717</v>
      </c>
      <c r="M512" t="s">
        <v>60</v>
      </c>
      <c r="N512">
        <v>0</v>
      </c>
      <c r="O512" t="s">
        <v>31</v>
      </c>
      <c r="P512" t="s">
        <v>28</v>
      </c>
      <c r="Q512">
        <v>0</v>
      </c>
    </row>
    <row r="513" spans="1:17" x14ac:dyDescent="0.3">
      <c r="A513" t="s">
        <v>17</v>
      </c>
      <c r="B513">
        <v>67</v>
      </c>
      <c r="C513" t="s">
        <v>28</v>
      </c>
      <c r="D513" s="2">
        <v>45723</v>
      </c>
      <c r="E513" s="3">
        <f t="shared" si="7"/>
        <v>45717</v>
      </c>
      <c r="F513" t="s">
        <v>637</v>
      </c>
      <c r="H513" s="4">
        <v>-48.66</v>
      </c>
      <c r="I513" t="s">
        <v>31</v>
      </c>
      <c r="J513" t="s">
        <v>60</v>
      </c>
      <c r="L513" s="2">
        <v>45717</v>
      </c>
      <c r="M513" t="s">
        <v>60</v>
      </c>
      <c r="N513">
        <v>0</v>
      </c>
      <c r="O513" t="s">
        <v>31</v>
      </c>
      <c r="P513" t="s">
        <v>28</v>
      </c>
      <c r="Q513">
        <v>0</v>
      </c>
    </row>
    <row r="514" spans="1:17" x14ac:dyDescent="0.3">
      <c r="A514" t="s">
        <v>17</v>
      </c>
      <c r="B514">
        <v>67</v>
      </c>
      <c r="C514" t="s">
        <v>28</v>
      </c>
      <c r="D514" s="2">
        <v>45723</v>
      </c>
      <c r="E514" s="3">
        <f t="shared" si="7"/>
        <v>45717</v>
      </c>
      <c r="F514" t="s">
        <v>637</v>
      </c>
      <c r="H514" s="4">
        <v>-54.44</v>
      </c>
      <c r="I514" t="s">
        <v>31</v>
      </c>
      <c r="J514" t="s">
        <v>60</v>
      </c>
      <c r="L514" s="2">
        <v>45717</v>
      </c>
      <c r="M514" t="s">
        <v>60</v>
      </c>
      <c r="N514">
        <v>0</v>
      </c>
      <c r="O514" t="s">
        <v>31</v>
      </c>
      <c r="P514" t="s">
        <v>28</v>
      </c>
      <c r="Q514">
        <v>0</v>
      </c>
    </row>
    <row r="515" spans="1:17" x14ac:dyDescent="0.3">
      <c r="A515" t="s">
        <v>17</v>
      </c>
      <c r="B515">
        <v>64</v>
      </c>
      <c r="C515" t="s">
        <v>83</v>
      </c>
      <c r="D515" s="2">
        <v>45726</v>
      </c>
      <c r="E515" s="3">
        <f t="shared" ref="E515:E578" si="8">IF($D515="","",DATE(YEAR($D515),MONTH($D515),1))</f>
        <v>45717</v>
      </c>
      <c r="F515" t="s">
        <v>638</v>
      </c>
      <c r="G515" t="s">
        <v>246</v>
      </c>
      <c r="H515" s="4">
        <v>28.52</v>
      </c>
      <c r="I515" t="s">
        <v>47</v>
      </c>
      <c r="J515" t="s">
        <v>91</v>
      </c>
      <c r="K515" t="s">
        <v>527</v>
      </c>
      <c r="L515" s="2">
        <v>45717</v>
      </c>
      <c r="M515" t="s">
        <v>93</v>
      </c>
      <c r="N515">
        <v>0</v>
      </c>
      <c r="O515" t="s">
        <v>26</v>
      </c>
      <c r="P515" t="s">
        <v>83</v>
      </c>
      <c r="Q515">
        <v>0</v>
      </c>
    </row>
    <row r="516" spans="1:17" x14ac:dyDescent="0.3">
      <c r="A516" t="s">
        <v>17</v>
      </c>
      <c r="B516">
        <v>67</v>
      </c>
      <c r="C516" t="s">
        <v>28</v>
      </c>
      <c r="D516" s="2">
        <v>45726</v>
      </c>
      <c r="E516" s="3">
        <f t="shared" si="8"/>
        <v>45717</v>
      </c>
      <c r="F516" t="s">
        <v>638</v>
      </c>
      <c r="G516" t="s">
        <v>246</v>
      </c>
      <c r="H516" s="4">
        <v>21.78</v>
      </c>
      <c r="I516" t="s">
        <v>47</v>
      </c>
      <c r="J516" t="s">
        <v>74</v>
      </c>
      <c r="K516" t="s">
        <v>639</v>
      </c>
      <c r="L516" s="2">
        <v>45717</v>
      </c>
      <c r="M516" t="s">
        <v>76</v>
      </c>
      <c r="N516">
        <v>0</v>
      </c>
      <c r="O516" t="s">
        <v>26</v>
      </c>
      <c r="P516" t="s">
        <v>28</v>
      </c>
      <c r="Q516">
        <v>0</v>
      </c>
    </row>
    <row r="517" spans="1:17" x14ac:dyDescent="0.3">
      <c r="A517" t="s">
        <v>17</v>
      </c>
      <c r="B517">
        <v>67</v>
      </c>
      <c r="C517" t="s">
        <v>28</v>
      </c>
      <c r="D517" s="2">
        <v>45726</v>
      </c>
      <c r="E517" s="3">
        <f t="shared" si="8"/>
        <v>45717</v>
      </c>
      <c r="F517" t="s">
        <v>638</v>
      </c>
      <c r="G517" t="s">
        <v>248</v>
      </c>
      <c r="H517" s="4">
        <v>30</v>
      </c>
      <c r="I517" t="s">
        <v>47</v>
      </c>
      <c r="J517" t="s">
        <v>74</v>
      </c>
      <c r="K517" t="s">
        <v>249</v>
      </c>
      <c r="L517" s="2">
        <v>45717</v>
      </c>
      <c r="M517" t="s">
        <v>76</v>
      </c>
      <c r="N517">
        <v>0</v>
      </c>
      <c r="O517" t="s">
        <v>26</v>
      </c>
      <c r="P517" t="s">
        <v>28</v>
      </c>
      <c r="Q517">
        <v>0</v>
      </c>
    </row>
    <row r="518" spans="1:17" x14ac:dyDescent="0.3">
      <c r="A518" t="s">
        <v>17</v>
      </c>
      <c r="B518">
        <v>67</v>
      </c>
      <c r="C518" t="s">
        <v>28</v>
      </c>
      <c r="D518" s="2">
        <v>45726</v>
      </c>
      <c r="E518" s="3">
        <f t="shared" si="8"/>
        <v>45717</v>
      </c>
      <c r="F518" t="s">
        <v>638</v>
      </c>
      <c r="G518" t="s">
        <v>640</v>
      </c>
      <c r="H518" s="4">
        <v>269</v>
      </c>
      <c r="I518" t="s">
        <v>47</v>
      </c>
      <c r="J518" t="s">
        <v>74</v>
      </c>
      <c r="K518" t="s">
        <v>641</v>
      </c>
      <c r="L518" s="2">
        <v>45717</v>
      </c>
      <c r="M518" t="s">
        <v>76</v>
      </c>
      <c r="N518">
        <v>0</v>
      </c>
      <c r="O518" t="s">
        <v>26</v>
      </c>
      <c r="P518" t="s">
        <v>28</v>
      </c>
      <c r="Q518">
        <v>0</v>
      </c>
    </row>
    <row r="519" spans="1:17" x14ac:dyDescent="0.3">
      <c r="A519" t="s">
        <v>17</v>
      </c>
      <c r="B519">
        <v>68</v>
      </c>
      <c r="C519" t="s">
        <v>34</v>
      </c>
      <c r="D519" s="2">
        <v>45726</v>
      </c>
      <c r="E519" s="3">
        <f t="shared" si="8"/>
        <v>45717</v>
      </c>
      <c r="F519" t="s">
        <v>642</v>
      </c>
      <c r="G519" t="s">
        <v>131</v>
      </c>
      <c r="H519" s="4">
        <v>1034.31</v>
      </c>
      <c r="I519" t="s">
        <v>31</v>
      </c>
      <c r="J519" t="s">
        <v>79</v>
      </c>
      <c r="K519" t="s">
        <v>132</v>
      </c>
      <c r="L519" s="2">
        <v>45717</v>
      </c>
      <c r="M519" t="s">
        <v>79</v>
      </c>
      <c r="N519">
        <v>0</v>
      </c>
      <c r="O519" t="s">
        <v>31</v>
      </c>
      <c r="P519" t="s">
        <v>34</v>
      </c>
      <c r="Q519">
        <v>0</v>
      </c>
    </row>
    <row r="520" spans="1:17" x14ac:dyDescent="0.3">
      <c r="A520" t="s">
        <v>17</v>
      </c>
      <c r="B520">
        <v>64</v>
      </c>
      <c r="C520" t="s">
        <v>83</v>
      </c>
      <c r="D520" s="2">
        <v>45726</v>
      </c>
      <c r="E520" s="3">
        <f t="shared" si="8"/>
        <v>45717</v>
      </c>
      <c r="F520" t="s">
        <v>638</v>
      </c>
      <c r="G520" t="s">
        <v>246</v>
      </c>
      <c r="H520" s="4">
        <v>135</v>
      </c>
      <c r="I520" t="s">
        <v>47</v>
      </c>
      <c r="J520" t="s">
        <v>511</v>
      </c>
      <c r="K520" t="s">
        <v>643</v>
      </c>
      <c r="L520" s="2">
        <v>45717</v>
      </c>
      <c r="M520" t="s">
        <v>513</v>
      </c>
      <c r="N520">
        <v>0</v>
      </c>
      <c r="O520" t="s">
        <v>26</v>
      </c>
      <c r="P520" t="s">
        <v>83</v>
      </c>
      <c r="Q520">
        <v>0</v>
      </c>
    </row>
    <row r="521" spans="1:17" x14ac:dyDescent="0.3">
      <c r="A521" t="s">
        <v>17</v>
      </c>
      <c r="B521">
        <v>64</v>
      </c>
      <c r="C521" t="s">
        <v>83</v>
      </c>
      <c r="D521" s="2">
        <v>45726</v>
      </c>
      <c r="E521" s="3">
        <f t="shared" si="8"/>
        <v>45717</v>
      </c>
      <c r="F521" t="s">
        <v>638</v>
      </c>
      <c r="G521" t="s">
        <v>246</v>
      </c>
      <c r="H521" s="4">
        <v>35</v>
      </c>
      <c r="I521" t="s">
        <v>47</v>
      </c>
      <c r="J521" t="s">
        <v>511</v>
      </c>
      <c r="K521" t="s">
        <v>643</v>
      </c>
      <c r="L521" s="2">
        <v>45717</v>
      </c>
      <c r="M521" t="s">
        <v>513</v>
      </c>
      <c r="N521">
        <v>0</v>
      </c>
      <c r="O521" t="s">
        <v>26</v>
      </c>
      <c r="P521" t="s">
        <v>83</v>
      </c>
      <c r="Q521">
        <v>0</v>
      </c>
    </row>
    <row r="522" spans="1:17" x14ac:dyDescent="0.3">
      <c r="A522" t="s">
        <v>17</v>
      </c>
      <c r="B522">
        <v>64</v>
      </c>
      <c r="C522" t="s">
        <v>83</v>
      </c>
      <c r="D522" s="2">
        <v>45726</v>
      </c>
      <c r="E522" s="3">
        <f t="shared" si="8"/>
        <v>45717</v>
      </c>
      <c r="F522" t="s">
        <v>638</v>
      </c>
      <c r="G522" t="s">
        <v>246</v>
      </c>
      <c r="H522" s="4">
        <v>90.09</v>
      </c>
      <c r="I522" t="s">
        <v>47</v>
      </c>
      <c r="J522" t="s">
        <v>87</v>
      </c>
      <c r="K522" t="s">
        <v>527</v>
      </c>
      <c r="L522" s="2">
        <v>45717</v>
      </c>
      <c r="M522" t="s">
        <v>89</v>
      </c>
      <c r="N522">
        <v>0</v>
      </c>
      <c r="O522" t="s">
        <v>26</v>
      </c>
      <c r="P522" t="s">
        <v>83</v>
      </c>
      <c r="Q522">
        <v>0</v>
      </c>
    </row>
    <row r="523" spans="1:17" x14ac:dyDescent="0.3">
      <c r="A523" t="s">
        <v>17</v>
      </c>
      <c r="B523">
        <v>64</v>
      </c>
      <c r="C523" t="s">
        <v>83</v>
      </c>
      <c r="D523" s="2">
        <v>45726</v>
      </c>
      <c r="E523" s="3">
        <f t="shared" si="8"/>
        <v>45717</v>
      </c>
      <c r="F523" t="s">
        <v>638</v>
      </c>
      <c r="G523" t="s">
        <v>246</v>
      </c>
      <c r="H523" s="4">
        <v>123.91</v>
      </c>
      <c r="I523" t="s">
        <v>47</v>
      </c>
      <c r="J523" t="s">
        <v>87</v>
      </c>
      <c r="K523" t="s">
        <v>527</v>
      </c>
      <c r="L523" s="2">
        <v>45717</v>
      </c>
      <c r="M523" t="s">
        <v>89</v>
      </c>
      <c r="N523">
        <v>0</v>
      </c>
      <c r="O523" t="s">
        <v>26</v>
      </c>
      <c r="P523" t="s">
        <v>83</v>
      </c>
      <c r="Q523">
        <v>0</v>
      </c>
    </row>
    <row r="524" spans="1:17" x14ac:dyDescent="0.3">
      <c r="A524" t="s">
        <v>17</v>
      </c>
      <c r="B524">
        <v>64</v>
      </c>
      <c r="C524" t="s">
        <v>83</v>
      </c>
      <c r="D524" s="2">
        <v>45726</v>
      </c>
      <c r="E524" s="3">
        <f t="shared" si="8"/>
        <v>45717</v>
      </c>
      <c r="F524" t="s">
        <v>638</v>
      </c>
      <c r="G524" t="s">
        <v>246</v>
      </c>
      <c r="H524" s="4">
        <v>115</v>
      </c>
      <c r="I524" t="s">
        <v>47</v>
      </c>
      <c r="J524" t="s">
        <v>87</v>
      </c>
      <c r="K524" t="s">
        <v>527</v>
      </c>
      <c r="L524" s="2">
        <v>45717</v>
      </c>
      <c r="M524" t="s">
        <v>89</v>
      </c>
      <c r="N524">
        <v>0</v>
      </c>
      <c r="O524" t="s">
        <v>26</v>
      </c>
      <c r="P524" t="s">
        <v>83</v>
      </c>
      <c r="Q524">
        <v>0</v>
      </c>
    </row>
    <row r="525" spans="1:17" x14ac:dyDescent="0.3">
      <c r="A525" t="s">
        <v>17</v>
      </c>
      <c r="B525">
        <v>64</v>
      </c>
      <c r="C525" t="s">
        <v>83</v>
      </c>
      <c r="D525" s="2">
        <v>45726</v>
      </c>
      <c r="E525" s="3">
        <f t="shared" si="8"/>
        <v>45717</v>
      </c>
      <c r="F525" t="s">
        <v>638</v>
      </c>
      <c r="G525" t="s">
        <v>246</v>
      </c>
      <c r="H525" s="4">
        <v>80.760000000000005</v>
      </c>
      <c r="I525" t="s">
        <v>47</v>
      </c>
      <c r="J525" t="s">
        <v>87</v>
      </c>
      <c r="K525" t="s">
        <v>527</v>
      </c>
      <c r="L525" s="2">
        <v>45717</v>
      </c>
      <c r="M525" t="s">
        <v>89</v>
      </c>
      <c r="N525">
        <v>0</v>
      </c>
      <c r="O525" t="s">
        <v>26</v>
      </c>
      <c r="P525" t="s">
        <v>83</v>
      </c>
      <c r="Q525">
        <v>0</v>
      </c>
    </row>
    <row r="526" spans="1:17" x14ac:dyDescent="0.3">
      <c r="A526" t="s">
        <v>17</v>
      </c>
      <c r="B526">
        <v>64</v>
      </c>
      <c r="C526" t="s">
        <v>83</v>
      </c>
      <c r="D526" s="2">
        <v>45726</v>
      </c>
      <c r="E526" s="3">
        <f t="shared" si="8"/>
        <v>45717</v>
      </c>
      <c r="F526" t="s">
        <v>638</v>
      </c>
      <c r="G526" t="s">
        <v>246</v>
      </c>
      <c r="H526" s="4">
        <v>117</v>
      </c>
      <c r="I526" t="s">
        <v>47</v>
      </c>
      <c r="J526" t="s">
        <v>87</v>
      </c>
      <c r="K526" t="s">
        <v>527</v>
      </c>
      <c r="L526" s="2">
        <v>45717</v>
      </c>
      <c r="M526" t="s">
        <v>89</v>
      </c>
      <c r="N526">
        <v>0</v>
      </c>
      <c r="O526" t="s">
        <v>26</v>
      </c>
      <c r="P526" t="s">
        <v>83</v>
      </c>
      <c r="Q526">
        <v>0</v>
      </c>
    </row>
    <row r="527" spans="1:17" x14ac:dyDescent="0.3">
      <c r="A527" t="s">
        <v>17</v>
      </c>
      <c r="B527">
        <v>64</v>
      </c>
      <c r="C527" t="s">
        <v>83</v>
      </c>
      <c r="D527" s="2">
        <v>45726</v>
      </c>
      <c r="E527" s="3">
        <f t="shared" si="8"/>
        <v>45717</v>
      </c>
      <c r="F527" t="s">
        <v>638</v>
      </c>
      <c r="G527" t="s">
        <v>246</v>
      </c>
      <c r="H527" s="4">
        <v>206.07</v>
      </c>
      <c r="I527" t="s">
        <v>47</v>
      </c>
      <c r="J527" t="s">
        <v>87</v>
      </c>
      <c r="K527" t="s">
        <v>527</v>
      </c>
      <c r="L527" s="2">
        <v>45717</v>
      </c>
      <c r="M527" t="s">
        <v>89</v>
      </c>
      <c r="N527">
        <v>0</v>
      </c>
      <c r="O527" t="s">
        <v>26</v>
      </c>
      <c r="P527" t="s">
        <v>83</v>
      </c>
      <c r="Q527">
        <v>0</v>
      </c>
    </row>
    <row r="528" spans="1:17" x14ac:dyDescent="0.3">
      <c r="A528" t="s">
        <v>17</v>
      </c>
      <c r="B528">
        <v>64</v>
      </c>
      <c r="C528" t="s">
        <v>83</v>
      </c>
      <c r="D528" s="2">
        <v>45726</v>
      </c>
      <c r="E528" s="3">
        <f t="shared" si="8"/>
        <v>45717</v>
      </c>
      <c r="F528" t="s">
        <v>638</v>
      </c>
      <c r="G528" t="s">
        <v>246</v>
      </c>
      <c r="H528" s="4">
        <v>36.67</v>
      </c>
      <c r="I528" t="s">
        <v>47</v>
      </c>
      <c r="J528" t="s">
        <v>91</v>
      </c>
      <c r="K528" t="s">
        <v>644</v>
      </c>
      <c r="L528" s="2">
        <v>45717</v>
      </c>
      <c r="M528" t="s">
        <v>93</v>
      </c>
      <c r="N528">
        <v>0</v>
      </c>
      <c r="O528" t="s">
        <v>26</v>
      </c>
      <c r="P528" t="s">
        <v>83</v>
      </c>
      <c r="Q528">
        <v>0</v>
      </c>
    </row>
    <row r="529" spans="1:17" x14ac:dyDescent="0.3">
      <c r="A529" t="s">
        <v>17</v>
      </c>
      <c r="B529">
        <v>64</v>
      </c>
      <c r="C529" t="s">
        <v>83</v>
      </c>
      <c r="D529" s="2">
        <v>45726</v>
      </c>
      <c r="E529" s="3">
        <f t="shared" si="8"/>
        <v>45717</v>
      </c>
      <c r="F529" t="s">
        <v>638</v>
      </c>
      <c r="G529" t="s">
        <v>246</v>
      </c>
      <c r="H529" s="4">
        <v>14.62</v>
      </c>
      <c r="I529" t="s">
        <v>47</v>
      </c>
      <c r="J529" t="s">
        <v>91</v>
      </c>
      <c r="K529" t="s">
        <v>527</v>
      </c>
      <c r="L529" s="2">
        <v>45717</v>
      </c>
      <c r="M529" t="s">
        <v>93</v>
      </c>
      <c r="N529">
        <v>0</v>
      </c>
      <c r="O529" t="s">
        <v>26</v>
      </c>
      <c r="P529" t="s">
        <v>83</v>
      </c>
      <c r="Q529">
        <v>0</v>
      </c>
    </row>
    <row r="530" spans="1:17" x14ac:dyDescent="0.3">
      <c r="A530" t="s">
        <v>17</v>
      </c>
      <c r="B530">
        <v>64</v>
      </c>
      <c r="C530" t="s">
        <v>83</v>
      </c>
      <c r="D530" s="2">
        <v>45726</v>
      </c>
      <c r="E530" s="3">
        <f t="shared" si="8"/>
        <v>45717</v>
      </c>
      <c r="F530" t="s">
        <v>638</v>
      </c>
      <c r="G530" t="s">
        <v>246</v>
      </c>
      <c r="H530" s="4">
        <v>19.98</v>
      </c>
      <c r="I530" t="s">
        <v>47</v>
      </c>
      <c r="J530" t="s">
        <v>91</v>
      </c>
      <c r="K530" t="s">
        <v>527</v>
      </c>
      <c r="L530" s="2">
        <v>45717</v>
      </c>
      <c r="M530" t="s">
        <v>93</v>
      </c>
      <c r="N530">
        <v>0</v>
      </c>
      <c r="O530" t="s">
        <v>26</v>
      </c>
      <c r="P530" t="s">
        <v>83</v>
      </c>
      <c r="Q530">
        <v>0</v>
      </c>
    </row>
    <row r="531" spans="1:17" x14ac:dyDescent="0.3">
      <c r="A531" t="s">
        <v>17</v>
      </c>
      <c r="B531">
        <v>64</v>
      </c>
      <c r="C531" t="s">
        <v>83</v>
      </c>
      <c r="D531" s="2">
        <v>45726</v>
      </c>
      <c r="E531" s="3">
        <f t="shared" si="8"/>
        <v>45717</v>
      </c>
      <c r="F531" t="s">
        <v>638</v>
      </c>
      <c r="G531" t="s">
        <v>246</v>
      </c>
      <c r="H531" s="4">
        <v>25.02</v>
      </c>
      <c r="I531" t="s">
        <v>47</v>
      </c>
      <c r="J531" t="s">
        <v>91</v>
      </c>
      <c r="K531" t="s">
        <v>527</v>
      </c>
      <c r="L531" s="2">
        <v>45717</v>
      </c>
      <c r="M531" t="s">
        <v>93</v>
      </c>
      <c r="N531">
        <v>0</v>
      </c>
      <c r="O531" t="s">
        <v>26</v>
      </c>
      <c r="P531" t="s">
        <v>83</v>
      </c>
      <c r="Q531">
        <v>0</v>
      </c>
    </row>
    <row r="532" spans="1:17" x14ac:dyDescent="0.3">
      <c r="A532" t="s">
        <v>17</v>
      </c>
      <c r="B532">
        <v>63</v>
      </c>
      <c r="C532" t="s">
        <v>18</v>
      </c>
      <c r="D532" s="2">
        <v>45727</v>
      </c>
      <c r="E532" s="3">
        <f t="shared" si="8"/>
        <v>45717</v>
      </c>
      <c r="F532" t="s">
        <v>645</v>
      </c>
      <c r="G532" t="s">
        <v>408</v>
      </c>
      <c r="H532" s="4">
        <v>150</v>
      </c>
      <c r="I532" t="s">
        <v>21</v>
      </c>
      <c r="J532" t="s">
        <v>272</v>
      </c>
      <c r="K532" t="s">
        <v>409</v>
      </c>
      <c r="L532" s="2">
        <v>45717</v>
      </c>
      <c r="M532" t="s">
        <v>272</v>
      </c>
      <c r="N532" t="s">
        <v>25</v>
      </c>
      <c r="O532" t="s">
        <v>26</v>
      </c>
      <c r="P532" t="s">
        <v>18</v>
      </c>
      <c r="Q532" t="s">
        <v>274</v>
      </c>
    </row>
    <row r="533" spans="1:17" x14ac:dyDescent="0.3">
      <c r="A533" t="s">
        <v>17</v>
      </c>
      <c r="B533">
        <v>67</v>
      </c>
      <c r="C533" t="s">
        <v>28</v>
      </c>
      <c r="D533" s="2">
        <v>45728</v>
      </c>
      <c r="E533" s="3">
        <f t="shared" si="8"/>
        <v>45717</v>
      </c>
      <c r="F533" t="s">
        <v>646</v>
      </c>
      <c r="G533" t="s">
        <v>119</v>
      </c>
      <c r="H533" s="4">
        <v>911.25</v>
      </c>
      <c r="I533" t="s">
        <v>31</v>
      </c>
      <c r="J533" t="s">
        <v>68</v>
      </c>
      <c r="K533" t="s">
        <v>647</v>
      </c>
      <c r="L533" s="2">
        <v>45717</v>
      </c>
      <c r="M533" t="s">
        <v>68</v>
      </c>
      <c r="N533">
        <v>0</v>
      </c>
      <c r="O533" t="s">
        <v>31</v>
      </c>
      <c r="P533" t="s">
        <v>28</v>
      </c>
      <c r="Q533">
        <v>0</v>
      </c>
    </row>
    <row r="534" spans="1:17" x14ac:dyDescent="0.3">
      <c r="A534" t="s">
        <v>17</v>
      </c>
      <c r="B534">
        <v>68</v>
      </c>
      <c r="C534" t="s">
        <v>34</v>
      </c>
      <c r="D534" s="2">
        <v>45728</v>
      </c>
      <c r="E534" s="3">
        <f t="shared" si="8"/>
        <v>45717</v>
      </c>
      <c r="F534" t="s">
        <v>648</v>
      </c>
      <c r="G534" t="s">
        <v>122</v>
      </c>
      <c r="H534" s="4">
        <v>722.99</v>
      </c>
      <c r="I534" t="s">
        <v>108</v>
      </c>
      <c r="J534" t="s">
        <v>109</v>
      </c>
      <c r="K534" t="s">
        <v>388</v>
      </c>
      <c r="L534" s="2">
        <v>45717</v>
      </c>
      <c r="M534" t="s">
        <v>109</v>
      </c>
      <c r="N534">
        <v>0</v>
      </c>
      <c r="O534" t="s">
        <v>111</v>
      </c>
      <c r="P534" t="s">
        <v>112</v>
      </c>
      <c r="Q534" t="s">
        <v>113</v>
      </c>
    </row>
    <row r="535" spans="1:17" x14ac:dyDescent="0.3">
      <c r="A535" t="s">
        <v>17</v>
      </c>
      <c r="B535">
        <v>65</v>
      </c>
      <c r="C535" t="s">
        <v>54</v>
      </c>
      <c r="D535" s="2">
        <v>45730</v>
      </c>
      <c r="E535" s="3">
        <f t="shared" si="8"/>
        <v>45717</v>
      </c>
      <c r="F535" t="s">
        <v>649</v>
      </c>
      <c r="G535" t="s">
        <v>154</v>
      </c>
      <c r="H535" s="4">
        <v>740.48</v>
      </c>
      <c r="I535" t="s">
        <v>31</v>
      </c>
      <c r="J535" t="s">
        <v>155</v>
      </c>
      <c r="K535" t="s">
        <v>442</v>
      </c>
      <c r="L535" s="2">
        <v>45717</v>
      </c>
      <c r="M535" t="s">
        <v>155</v>
      </c>
      <c r="N535">
        <v>0</v>
      </c>
      <c r="O535" t="s">
        <v>31</v>
      </c>
      <c r="P535" t="s">
        <v>54</v>
      </c>
      <c r="Q535">
        <v>0</v>
      </c>
    </row>
    <row r="536" spans="1:17" x14ac:dyDescent="0.3">
      <c r="A536" t="s">
        <v>17</v>
      </c>
      <c r="B536">
        <v>67</v>
      </c>
      <c r="C536" t="s">
        <v>28</v>
      </c>
      <c r="D536" s="2">
        <v>45730</v>
      </c>
      <c r="E536" s="3">
        <f t="shared" si="8"/>
        <v>45717</v>
      </c>
      <c r="F536" t="s">
        <v>650</v>
      </c>
      <c r="G536" t="s">
        <v>67</v>
      </c>
      <c r="H536" s="4">
        <v>353.54</v>
      </c>
      <c r="I536" t="s">
        <v>31</v>
      </c>
      <c r="J536" t="s">
        <v>68</v>
      </c>
      <c r="K536" t="s">
        <v>651</v>
      </c>
      <c r="L536" s="2">
        <v>45717</v>
      </c>
      <c r="M536" t="s">
        <v>68</v>
      </c>
      <c r="N536">
        <v>0</v>
      </c>
      <c r="O536" t="s">
        <v>31</v>
      </c>
      <c r="P536" t="s">
        <v>28</v>
      </c>
      <c r="Q536">
        <v>0</v>
      </c>
    </row>
    <row r="537" spans="1:17" x14ac:dyDescent="0.3">
      <c r="A537" t="s">
        <v>17</v>
      </c>
      <c r="B537">
        <v>66</v>
      </c>
      <c r="C537" t="s">
        <v>134</v>
      </c>
      <c r="D537" s="2">
        <v>45732</v>
      </c>
      <c r="E537" s="3">
        <f t="shared" si="8"/>
        <v>45717</v>
      </c>
      <c r="F537" t="s">
        <v>652</v>
      </c>
      <c r="G537" t="s">
        <v>254</v>
      </c>
      <c r="H537" s="4">
        <v>1000</v>
      </c>
      <c r="I537" t="s">
        <v>108</v>
      </c>
      <c r="J537" t="s">
        <v>255</v>
      </c>
      <c r="K537" t="s">
        <v>653</v>
      </c>
      <c r="L537" s="2">
        <v>45717</v>
      </c>
      <c r="M537" t="s">
        <v>257</v>
      </c>
      <c r="N537">
        <v>0</v>
      </c>
      <c r="O537" t="s">
        <v>111</v>
      </c>
      <c r="P537" t="s">
        <v>134</v>
      </c>
      <c r="Q537">
        <v>0</v>
      </c>
    </row>
    <row r="538" spans="1:17" x14ac:dyDescent="0.3">
      <c r="A538" t="s">
        <v>17</v>
      </c>
      <c r="B538">
        <v>67</v>
      </c>
      <c r="C538" t="s">
        <v>28</v>
      </c>
      <c r="D538" s="2">
        <v>45733</v>
      </c>
      <c r="E538" s="3">
        <f t="shared" si="8"/>
        <v>45717</v>
      </c>
      <c r="F538" t="s">
        <v>654</v>
      </c>
      <c r="H538" s="4">
        <v>575.24</v>
      </c>
      <c r="I538" t="s">
        <v>31</v>
      </c>
      <c r="J538" t="s">
        <v>64</v>
      </c>
      <c r="K538" t="s">
        <v>655</v>
      </c>
      <c r="L538" s="2">
        <v>45717</v>
      </c>
      <c r="M538" t="s">
        <v>64</v>
      </c>
      <c r="N538">
        <v>0</v>
      </c>
      <c r="O538" t="s">
        <v>31</v>
      </c>
      <c r="P538" t="s">
        <v>28</v>
      </c>
      <c r="Q538">
        <v>0</v>
      </c>
    </row>
    <row r="539" spans="1:17" x14ac:dyDescent="0.3">
      <c r="A539" t="s">
        <v>17</v>
      </c>
      <c r="B539">
        <v>68</v>
      </c>
      <c r="C539" t="s">
        <v>34</v>
      </c>
      <c r="D539" s="2">
        <v>45734</v>
      </c>
      <c r="E539" s="3">
        <f t="shared" si="8"/>
        <v>45717</v>
      </c>
      <c r="F539" t="s">
        <v>656</v>
      </c>
      <c r="G539" t="s">
        <v>107</v>
      </c>
      <c r="H539" s="4">
        <v>35.869999999999997</v>
      </c>
      <c r="I539" t="s">
        <v>108</v>
      </c>
      <c r="J539" t="s">
        <v>109</v>
      </c>
      <c r="K539" t="s">
        <v>110</v>
      </c>
      <c r="L539" s="2">
        <v>45717</v>
      </c>
      <c r="M539" t="s">
        <v>109</v>
      </c>
      <c r="N539">
        <v>0</v>
      </c>
      <c r="O539" t="s">
        <v>111</v>
      </c>
      <c r="P539" t="s">
        <v>112</v>
      </c>
      <c r="Q539" t="s">
        <v>113</v>
      </c>
    </row>
    <row r="540" spans="1:17" x14ac:dyDescent="0.3">
      <c r="A540" t="s">
        <v>17</v>
      </c>
      <c r="B540">
        <v>63</v>
      </c>
      <c r="C540" t="s">
        <v>18</v>
      </c>
      <c r="D540" s="2">
        <v>45735</v>
      </c>
      <c r="E540" s="3">
        <f t="shared" si="8"/>
        <v>45717</v>
      </c>
      <c r="F540" t="s">
        <v>657</v>
      </c>
      <c r="G540" t="s">
        <v>125</v>
      </c>
      <c r="H540" s="4">
        <v>300</v>
      </c>
      <c r="I540" t="s">
        <v>21</v>
      </c>
      <c r="J540" t="s">
        <v>22</v>
      </c>
      <c r="K540" t="s">
        <v>658</v>
      </c>
      <c r="L540" s="2">
        <v>45717</v>
      </c>
      <c r="M540" t="s">
        <v>24</v>
      </c>
      <c r="N540" t="s">
        <v>25</v>
      </c>
      <c r="O540" t="s">
        <v>26</v>
      </c>
      <c r="P540" t="s">
        <v>18</v>
      </c>
      <c r="Q540" t="s">
        <v>27</v>
      </c>
    </row>
    <row r="541" spans="1:17" x14ac:dyDescent="0.3">
      <c r="A541" t="s">
        <v>17</v>
      </c>
      <c r="B541">
        <v>67</v>
      </c>
      <c r="C541" t="s">
        <v>28</v>
      </c>
      <c r="D541" s="2">
        <v>45735</v>
      </c>
      <c r="E541" s="3">
        <f t="shared" si="8"/>
        <v>45717</v>
      </c>
      <c r="F541" t="s">
        <v>659</v>
      </c>
      <c r="G541" t="s">
        <v>119</v>
      </c>
      <c r="H541" s="4">
        <v>810</v>
      </c>
      <c r="I541" t="s">
        <v>31</v>
      </c>
      <c r="J541" t="s">
        <v>68</v>
      </c>
      <c r="K541" t="s">
        <v>660</v>
      </c>
      <c r="L541" s="2">
        <v>45717</v>
      </c>
      <c r="M541" t="s">
        <v>68</v>
      </c>
      <c r="N541">
        <v>0</v>
      </c>
      <c r="O541" t="s">
        <v>31</v>
      </c>
      <c r="P541" t="s">
        <v>28</v>
      </c>
      <c r="Q541">
        <v>0</v>
      </c>
    </row>
    <row r="542" spans="1:17" x14ac:dyDescent="0.3">
      <c r="A542" t="s">
        <v>17</v>
      </c>
      <c r="B542">
        <v>68</v>
      </c>
      <c r="C542" t="s">
        <v>34</v>
      </c>
      <c r="D542" s="2">
        <v>45735</v>
      </c>
      <c r="E542" s="3">
        <f t="shared" si="8"/>
        <v>45717</v>
      </c>
      <c r="F542" t="s">
        <v>661</v>
      </c>
      <c r="G542" t="s">
        <v>122</v>
      </c>
      <c r="H542" s="4">
        <v>429.45</v>
      </c>
      <c r="I542" t="s">
        <v>108</v>
      </c>
      <c r="J542" t="s">
        <v>109</v>
      </c>
      <c r="K542" t="s">
        <v>662</v>
      </c>
      <c r="L542" s="2">
        <v>45717</v>
      </c>
      <c r="M542" t="s">
        <v>109</v>
      </c>
      <c r="N542">
        <v>0</v>
      </c>
      <c r="O542" t="s">
        <v>111</v>
      </c>
      <c r="P542" t="s">
        <v>112</v>
      </c>
      <c r="Q542" t="s">
        <v>113</v>
      </c>
    </row>
    <row r="543" spans="1:17" x14ac:dyDescent="0.3">
      <c r="A543" t="s">
        <v>17</v>
      </c>
      <c r="B543">
        <v>68</v>
      </c>
      <c r="C543" t="s">
        <v>34</v>
      </c>
      <c r="D543" s="2">
        <v>45735</v>
      </c>
      <c r="E543" s="3">
        <f t="shared" si="8"/>
        <v>45717</v>
      </c>
      <c r="F543" t="s">
        <v>663</v>
      </c>
      <c r="G543" t="s">
        <v>122</v>
      </c>
      <c r="H543" s="4">
        <v>928.06</v>
      </c>
      <c r="I543" t="s">
        <v>108</v>
      </c>
      <c r="J543" t="s">
        <v>109</v>
      </c>
      <c r="K543" t="s">
        <v>388</v>
      </c>
      <c r="L543" s="2">
        <v>45717</v>
      </c>
      <c r="M543" t="s">
        <v>109</v>
      </c>
      <c r="N543">
        <v>0</v>
      </c>
      <c r="O543" t="s">
        <v>111</v>
      </c>
      <c r="P543" t="s">
        <v>112</v>
      </c>
      <c r="Q543" t="s">
        <v>113</v>
      </c>
    </row>
    <row r="544" spans="1:17" x14ac:dyDescent="0.3">
      <c r="A544" t="s">
        <v>17</v>
      </c>
      <c r="B544">
        <v>68</v>
      </c>
      <c r="C544" t="s">
        <v>34</v>
      </c>
      <c r="D544" s="2">
        <v>45735</v>
      </c>
      <c r="E544" s="3">
        <f t="shared" si="8"/>
        <v>45717</v>
      </c>
      <c r="F544" t="s">
        <v>664</v>
      </c>
      <c r="H544" s="4">
        <v>100</v>
      </c>
      <c r="I544" t="s">
        <v>31</v>
      </c>
      <c r="J544" t="s">
        <v>613</v>
      </c>
      <c r="K544" t="s">
        <v>665</v>
      </c>
      <c r="L544" s="2">
        <v>45717</v>
      </c>
      <c r="M544" t="s">
        <v>613</v>
      </c>
      <c r="N544">
        <v>0</v>
      </c>
      <c r="O544" t="s">
        <v>31</v>
      </c>
      <c r="P544" t="s">
        <v>34</v>
      </c>
      <c r="Q544">
        <v>0</v>
      </c>
    </row>
    <row r="545" spans="1:17" x14ac:dyDescent="0.3">
      <c r="A545" t="s">
        <v>17</v>
      </c>
      <c r="B545">
        <v>67</v>
      </c>
      <c r="C545" t="s">
        <v>28</v>
      </c>
      <c r="D545" s="2">
        <v>45737</v>
      </c>
      <c r="E545" s="3">
        <f t="shared" si="8"/>
        <v>45717</v>
      </c>
      <c r="F545" t="s">
        <v>666</v>
      </c>
      <c r="H545" s="4">
        <v>-37.299999999999997</v>
      </c>
      <c r="I545" t="s">
        <v>31</v>
      </c>
      <c r="J545" t="s">
        <v>60</v>
      </c>
      <c r="L545" s="2">
        <v>45717</v>
      </c>
      <c r="M545" t="s">
        <v>60</v>
      </c>
      <c r="N545">
        <v>0</v>
      </c>
      <c r="O545" t="s">
        <v>31</v>
      </c>
      <c r="P545" t="s">
        <v>28</v>
      </c>
      <c r="Q545">
        <v>0</v>
      </c>
    </row>
    <row r="546" spans="1:17" x14ac:dyDescent="0.3">
      <c r="A546" t="s">
        <v>17</v>
      </c>
      <c r="B546">
        <v>67</v>
      </c>
      <c r="C546" t="s">
        <v>28</v>
      </c>
      <c r="D546" s="2">
        <v>45737</v>
      </c>
      <c r="E546" s="3">
        <f t="shared" si="8"/>
        <v>45717</v>
      </c>
      <c r="F546" t="s">
        <v>666</v>
      </c>
      <c r="H546" s="4">
        <v>-48.66</v>
      </c>
      <c r="I546" t="s">
        <v>31</v>
      </c>
      <c r="J546" t="s">
        <v>60</v>
      </c>
      <c r="L546" s="2">
        <v>45717</v>
      </c>
      <c r="M546" t="s">
        <v>60</v>
      </c>
      <c r="N546">
        <v>0</v>
      </c>
      <c r="O546" t="s">
        <v>31</v>
      </c>
      <c r="P546" t="s">
        <v>28</v>
      </c>
      <c r="Q546">
        <v>0</v>
      </c>
    </row>
    <row r="547" spans="1:17" x14ac:dyDescent="0.3">
      <c r="A547" t="s">
        <v>17</v>
      </c>
      <c r="B547">
        <v>67</v>
      </c>
      <c r="C547" t="s">
        <v>28</v>
      </c>
      <c r="D547" s="2">
        <v>45737</v>
      </c>
      <c r="E547" s="3">
        <f t="shared" si="8"/>
        <v>45717</v>
      </c>
      <c r="F547" t="s">
        <v>666</v>
      </c>
      <c r="H547" s="4">
        <v>-56.79</v>
      </c>
      <c r="I547" t="s">
        <v>31</v>
      </c>
      <c r="J547" t="s">
        <v>60</v>
      </c>
      <c r="L547" s="2">
        <v>45717</v>
      </c>
      <c r="M547" t="s">
        <v>60</v>
      </c>
      <c r="N547">
        <v>0</v>
      </c>
      <c r="O547" t="s">
        <v>31</v>
      </c>
      <c r="P547" t="s">
        <v>28</v>
      </c>
      <c r="Q547">
        <v>0</v>
      </c>
    </row>
    <row r="548" spans="1:17" x14ac:dyDescent="0.3">
      <c r="A548" t="s">
        <v>17</v>
      </c>
      <c r="B548">
        <v>67</v>
      </c>
      <c r="C548" t="s">
        <v>28</v>
      </c>
      <c r="D548" s="2">
        <v>45737</v>
      </c>
      <c r="E548" s="3">
        <f t="shared" si="8"/>
        <v>45717</v>
      </c>
      <c r="F548" t="s">
        <v>666</v>
      </c>
      <c r="H548" s="4">
        <v>-13.88</v>
      </c>
      <c r="I548" t="s">
        <v>31</v>
      </c>
      <c r="J548" t="s">
        <v>60</v>
      </c>
      <c r="L548" s="2">
        <v>45717</v>
      </c>
      <c r="M548" t="s">
        <v>60</v>
      </c>
      <c r="N548">
        <v>0</v>
      </c>
      <c r="O548" t="s">
        <v>31</v>
      </c>
      <c r="P548" t="s">
        <v>28</v>
      </c>
      <c r="Q548">
        <v>0</v>
      </c>
    </row>
    <row r="549" spans="1:17" x14ac:dyDescent="0.3">
      <c r="A549" t="s">
        <v>17</v>
      </c>
      <c r="B549">
        <v>67</v>
      </c>
      <c r="C549" t="s">
        <v>28</v>
      </c>
      <c r="D549" s="2">
        <v>45737</v>
      </c>
      <c r="E549" s="3">
        <f t="shared" si="8"/>
        <v>45717</v>
      </c>
      <c r="F549" t="s">
        <v>666</v>
      </c>
      <c r="H549" s="4">
        <v>-44.48</v>
      </c>
      <c r="I549" t="s">
        <v>31</v>
      </c>
      <c r="J549" t="s">
        <v>60</v>
      </c>
      <c r="L549" s="2">
        <v>45717</v>
      </c>
      <c r="M549" t="s">
        <v>60</v>
      </c>
      <c r="N549">
        <v>0</v>
      </c>
      <c r="O549" t="s">
        <v>31</v>
      </c>
      <c r="P549" t="s">
        <v>28</v>
      </c>
      <c r="Q549">
        <v>0</v>
      </c>
    </row>
    <row r="550" spans="1:17" x14ac:dyDescent="0.3">
      <c r="A550" t="s">
        <v>17</v>
      </c>
      <c r="B550">
        <v>67</v>
      </c>
      <c r="C550" t="s">
        <v>28</v>
      </c>
      <c r="D550" s="2">
        <v>45737</v>
      </c>
      <c r="E550" s="3">
        <f t="shared" si="8"/>
        <v>45717</v>
      </c>
      <c r="F550" t="s">
        <v>666</v>
      </c>
      <c r="H550" s="4">
        <v>-43.2</v>
      </c>
      <c r="I550" t="s">
        <v>31</v>
      </c>
      <c r="J550" t="s">
        <v>60</v>
      </c>
      <c r="L550" s="2">
        <v>45717</v>
      </c>
      <c r="M550" t="s">
        <v>60</v>
      </c>
      <c r="N550">
        <v>0</v>
      </c>
      <c r="O550" t="s">
        <v>31</v>
      </c>
      <c r="P550" t="s">
        <v>28</v>
      </c>
      <c r="Q550">
        <v>0</v>
      </c>
    </row>
    <row r="551" spans="1:17" x14ac:dyDescent="0.3">
      <c r="A551" t="s">
        <v>17</v>
      </c>
      <c r="B551">
        <v>67</v>
      </c>
      <c r="C551" t="s">
        <v>28</v>
      </c>
      <c r="D551" s="2">
        <v>45737</v>
      </c>
      <c r="E551" s="3">
        <f t="shared" si="8"/>
        <v>45717</v>
      </c>
      <c r="F551" t="s">
        <v>666</v>
      </c>
      <c r="H551" s="4">
        <v>-88.99</v>
      </c>
      <c r="I551" t="s">
        <v>31</v>
      </c>
      <c r="J551" t="s">
        <v>60</v>
      </c>
      <c r="L551" s="2">
        <v>45717</v>
      </c>
      <c r="M551" t="s">
        <v>60</v>
      </c>
      <c r="N551">
        <v>0</v>
      </c>
      <c r="O551" t="s">
        <v>31</v>
      </c>
      <c r="P551" t="s">
        <v>28</v>
      </c>
      <c r="Q551">
        <v>0</v>
      </c>
    </row>
    <row r="552" spans="1:17" x14ac:dyDescent="0.3">
      <c r="A552" t="s">
        <v>17</v>
      </c>
      <c r="B552">
        <v>67</v>
      </c>
      <c r="C552" t="s">
        <v>28</v>
      </c>
      <c r="D552" s="2">
        <v>45737</v>
      </c>
      <c r="E552" s="3">
        <f t="shared" si="8"/>
        <v>45717</v>
      </c>
      <c r="F552" t="s">
        <v>666</v>
      </c>
      <c r="H552" s="4">
        <v>-41.72</v>
      </c>
      <c r="I552" t="s">
        <v>31</v>
      </c>
      <c r="J552" t="s">
        <v>60</v>
      </c>
      <c r="L552" s="2">
        <v>45717</v>
      </c>
      <c r="M552" t="s">
        <v>60</v>
      </c>
      <c r="N552">
        <v>0</v>
      </c>
      <c r="O552" t="s">
        <v>31</v>
      </c>
      <c r="P552" t="s">
        <v>28</v>
      </c>
      <c r="Q552">
        <v>0</v>
      </c>
    </row>
    <row r="553" spans="1:17" x14ac:dyDescent="0.3">
      <c r="A553" t="s">
        <v>17</v>
      </c>
      <c r="B553">
        <v>68</v>
      </c>
      <c r="C553" t="s">
        <v>34</v>
      </c>
      <c r="D553" s="2">
        <v>45740</v>
      </c>
      <c r="E553" s="3">
        <f t="shared" si="8"/>
        <v>45717</v>
      </c>
      <c r="F553" t="s">
        <v>667</v>
      </c>
      <c r="G553" t="s">
        <v>107</v>
      </c>
      <c r="H553" s="4">
        <v>10</v>
      </c>
      <c r="I553" t="s">
        <v>108</v>
      </c>
      <c r="J553" t="s">
        <v>109</v>
      </c>
      <c r="K553" t="s">
        <v>110</v>
      </c>
      <c r="L553" s="2">
        <v>45717</v>
      </c>
      <c r="M553" t="s">
        <v>109</v>
      </c>
      <c r="N553">
        <v>0</v>
      </c>
      <c r="O553" t="s">
        <v>111</v>
      </c>
      <c r="P553" t="s">
        <v>112</v>
      </c>
      <c r="Q553" t="s">
        <v>113</v>
      </c>
    </row>
    <row r="554" spans="1:17" x14ac:dyDescent="0.3">
      <c r="A554" t="s">
        <v>17</v>
      </c>
      <c r="B554">
        <v>67</v>
      </c>
      <c r="C554" t="s">
        <v>28</v>
      </c>
      <c r="D554" s="2">
        <v>45740</v>
      </c>
      <c r="E554" s="3">
        <f t="shared" si="8"/>
        <v>45717</v>
      </c>
      <c r="F554" t="s">
        <v>668</v>
      </c>
      <c r="G554" t="s">
        <v>205</v>
      </c>
      <c r="H554" s="4">
        <v>48022.46</v>
      </c>
      <c r="I554" t="s">
        <v>31</v>
      </c>
      <c r="J554" t="s">
        <v>32</v>
      </c>
      <c r="K554" t="s">
        <v>669</v>
      </c>
      <c r="L554" s="2">
        <v>45717</v>
      </c>
      <c r="M554" t="s">
        <v>32</v>
      </c>
      <c r="N554">
        <v>0</v>
      </c>
      <c r="O554" t="s">
        <v>31</v>
      </c>
      <c r="P554" t="s">
        <v>28</v>
      </c>
      <c r="Q554">
        <v>0</v>
      </c>
    </row>
    <row r="555" spans="1:17" x14ac:dyDescent="0.3">
      <c r="A555" t="s">
        <v>17</v>
      </c>
      <c r="B555">
        <v>67</v>
      </c>
      <c r="C555" t="s">
        <v>28</v>
      </c>
      <c r="D555" s="2">
        <v>45740</v>
      </c>
      <c r="E555" s="3">
        <f t="shared" si="8"/>
        <v>45717</v>
      </c>
      <c r="F555" t="s">
        <v>670</v>
      </c>
      <c r="G555" t="s">
        <v>208</v>
      </c>
      <c r="H555" s="4">
        <v>25000</v>
      </c>
      <c r="I555" t="s">
        <v>31</v>
      </c>
      <c r="J555" t="s">
        <v>32</v>
      </c>
      <c r="K555" t="s">
        <v>671</v>
      </c>
      <c r="L555" s="2">
        <v>45717</v>
      </c>
      <c r="M555" t="s">
        <v>32</v>
      </c>
      <c r="N555">
        <v>0</v>
      </c>
      <c r="O555" t="s">
        <v>31</v>
      </c>
      <c r="P555" t="s">
        <v>28</v>
      </c>
      <c r="Q555">
        <v>0</v>
      </c>
    </row>
    <row r="556" spans="1:17" x14ac:dyDescent="0.3">
      <c r="A556" t="s">
        <v>17</v>
      </c>
      <c r="B556">
        <v>67</v>
      </c>
      <c r="C556" t="s">
        <v>28</v>
      </c>
      <c r="D556" s="2">
        <v>45740</v>
      </c>
      <c r="E556" s="3">
        <f t="shared" si="8"/>
        <v>45717</v>
      </c>
      <c r="F556" t="s">
        <v>672</v>
      </c>
      <c r="G556" t="s">
        <v>673</v>
      </c>
      <c r="H556" s="4">
        <v>11250</v>
      </c>
      <c r="I556" t="s">
        <v>47</v>
      </c>
      <c r="J556" t="s">
        <v>48</v>
      </c>
      <c r="K556" t="s">
        <v>674</v>
      </c>
      <c r="L556" s="2">
        <v>45717</v>
      </c>
      <c r="M556" t="s">
        <v>50</v>
      </c>
      <c r="N556">
        <v>0</v>
      </c>
      <c r="O556" t="s">
        <v>26</v>
      </c>
      <c r="P556" t="s">
        <v>28</v>
      </c>
      <c r="Q556">
        <v>0</v>
      </c>
    </row>
    <row r="557" spans="1:17" x14ac:dyDescent="0.3">
      <c r="A557" t="s">
        <v>17</v>
      </c>
      <c r="B557">
        <v>66</v>
      </c>
      <c r="C557" t="s">
        <v>134</v>
      </c>
      <c r="D557" s="2">
        <v>45741</v>
      </c>
      <c r="E557" s="3">
        <f t="shared" si="8"/>
        <v>45717</v>
      </c>
      <c r="F557" t="s">
        <v>675</v>
      </c>
      <c r="G557" t="s">
        <v>676</v>
      </c>
      <c r="H557" s="4">
        <v>144</v>
      </c>
      <c r="I557" t="s">
        <v>104</v>
      </c>
      <c r="J557" t="s">
        <v>218</v>
      </c>
      <c r="L557" s="2">
        <v>45717</v>
      </c>
      <c r="M557" t="s">
        <v>220</v>
      </c>
      <c r="N557">
        <v>0</v>
      </c>
      <c r="O557" t="s">
        <v>104</v>
      </c>
      <c r="P557" t="s">
        <v>134</v>
      </c>
      <c r="Q557">
        <v>0</v>
      </c>
    </row>
    <row r="558" spans="1:17" x14ac:dyDescent="0.3">
      <c r="A558" t="s">
        <v>17</v>
      </c>
      <c r="B558">
        <v>68</v>
      </c>
      <c r="C558" t="s">
        <v>34</v>
      </c>
      <c r="D558" s="2">
        <v>45741</v>
      </c>
      <c r="E558" s="3">
        <f t="shared" si="8"/>
        <v>45717</v>
      </c>
      <c r="F558" t="s">
        <v>677</v>
      </c>
      <c r="G558" t="s">
        <v>107</v>
      </c>
      <c r="H558" s="4">
        <v>233.92</v>
      </c>
      <c r="I558" t="s">
        <v>108</v>
      </c>
      <c r="J558" t="s">
        <v>109</v>
      </c>
      <c r="K558" t="s">
        <v>110</v>
      </c>
      <c r="L558" s="2">
        <v>45717</v>
      </c>
      <c r="M558" t="s">
        <v>109</v>
      </c>
      <c r="N558">
        <v>0</v>
      </c>
      <c r="O558" t="s">
        <v>111</v>
      </c>
      <c r="P558" t="s">
        <v>112</v>
      </c>
      <c r="Q558" t="s">
        <v>113</v>
      </c>
    </row>
    <row r="559" spans="1:17" x14ac:dyDescent="0.3">
      <c r="A559" t="s">
        <v>17</v>
      </c>
      <c r="B559">
        <v>67</v>
      </c>
      <c r="C559" t="s">
        <v>28</v>
      </c>
      <c r="D559" s="2">
        <v>45741</v>
      </c>
      <c r="E559" s="3">
        <f t="shared" si="8"/>
        <v>45717</v>
      </c>
      <c r="F559" t="s">
        <v>678</v>
      </c>
      <c r="H559" s="4">
        <v>1382.21</v>
      </c>
      <c r="I559" t="s">
        <v>31</v>
      </c>
      <c r="J559" t="s">
        <v>64</v>
      </c>
      <c r="K559" t="s">
        <v>679</v>
      </c>
      <c r="L559" s="2">
        <v>45717</v>
      </c>
      <c r="M559" t="s">
        <v>64</v>
      </c>
      <c r="N559">
        <v>0</v>
      </c>
      <c r="O559" t="s">
        <v>31</v>
      </c>
      <c r="P559" t="s">
        <v>28</v>
      </c>
      <c r="Q559">
        <v>0</v>
      </c>
    </row>
    <row r="560" spans="1:17" x14ac:dyDescent="0.3">
      <c r="A560" t="s">
        <v>17</v>
      </c>
      <c r="B560">
        <v>67</v>
      </c>
      <c r="C560" t="s">
        <v>28</v>
      </c>
      <c r="D560" s="2">
        <v>45741</v>
      </c>
      <c r="E560" s="3">
        <f t="shared" si="8"/>
        <v>45717</v>
      </c>
      <c r="F560" t="s">
        <v>680</v>
      </c>
      <c r="H560" s="4">
        <v>50</v>
      </c>
      <c r="I560" t="s">
        <v>31</v>
      </c>
      <c r="J560" t="s">
        <v>64</v>
      </c>
      <c r="K560" t="s">
        <v>681</v>
      </c>
      <c r="L560" s="2">
        <v>45717</v>
      </c>
      <c r="M560" t="s">
        <v>64</v>
      </c>
      <c r="N560">
        <v>0</v>
      </c>
      <c r="O560" t="s">
        <v>31</v>
      </c>
      <c r="P560" t="s">
        <v>28</v>
      </c>
      <c r="Q560">
        <v>0</v>
      </c>
    </row>
    <row r="561" spans="1:17" x14ac:dyDescent="0.3">
      <c r="A561" t="s">
        <v>17</v>
      </c>
      <c r="B561">
        <v>63</v>
      </c>
      <c r="C561" t="s">
        <v>18</v>
      </c>
      <c r="D561" s="2">
        <v>45742</v>
      </c>
      <c r="E561" s="3">
        <f t="shared" si="8"/>
        <v>45717</v>
      </c>
      <c r="F561" t="s">
        <v>682</v>
      </c>
      <c r="G561" t="s">
        <v>125</v>
      </c>
      <c r="H561" s="4">
        <v>300</v>
      </c>
      <c r="I561" t="s">
        <v>21</v>
      </c>
      <c r="J561" t="s">
        <v>22</v>
      </c>
      <c r="K561" t="s">
        <v>683</v>
      </c>
      <c r="L561" s="2">
        <v>45717</v>
      </c>
      <c r="M561" t="s">
        <v>24</v>
      </c>
      <c r="N561" t="s">
        <v>25</v>
      </c>
      <c r="O561" t="s">
        <v>26</v>
      </c>
      <c r="P561" t="s">
        <v>18</v>
      </c>
      <c r="Q561" t="s">
        <v>27</v>
      </c>
    </row>
    <row r="562" spans="1:17" x14ac:dyDescent="0.3">
      <c r="A562" t="s">
        <v>17</v>
      </c>
      <c r="B562">
        <v>67</v>
      </c>
      <c r="C562" t="s">
        <v>28</v>
      </c>
      <c r="D562" s="2">
        <v>45742</v>
      </c>
      <c r="E562" s="3">
        <f t="shared" si="8"/>
        <v>45717</v>
      </c>
      <c r="F562" t="s">
        <v>684</v>
      </c>
      <c r="G562" t="s">
        <v>119</v>
      </c>
      <c r="H562" s="4">
        <v>877.5</v>
      </c>
      <c r="I562" t="s">
        <v>31</v>
      </c>
      <c r="J562" t="s">
        <v>68</v>
      </c>
      <c r="K562" t="s">
        <v>685</v>
      </c>
      <c r="L562" s="2">
        <v>45717</v>
      </c>
      <c r="M562" t="s">
        <v>68</v>
      </c>
      <c r="N562">
        <v>0</v>
      </c>
      <c r="O562" t="s">
        <v>31</v>
      </c>
      <c r="P562" t="s">
        <v>28</v>
      </c>
      <c r="Q562">
        <v>0</v>
      </c>
    </row>
    <row r="563" spans="1:17" x14ac:dyDescent="0.3">
      <c r="A563" t="s">
        <v>17</v>
      </c>
      <c r="B563">
        <v>68</v>
      </c>
      <c r="C563" t="s">
        <v>34</v>
      </c>
      <c r="D563" s="2">
        <v>45742</v>
      </c>
      <c r="E563" s="3">
        <f t="shared" si="8"/>
        <v>45717</v>
      </c>
      <c r="F563" t="s">
        <v>686</v>
      </c>
      <c r="G563" t="s">
        <v>122</v>
      </c>
      <c r="H563" s="4">
        <v>468.43</v>
      </c>
      <c r="I563" t="s">
        <v>108</v>
      </c>
      <c r="J563" t="s">
        <v>109</v>
      </c>
      <c r="K563" t="s">
        <v>662</v>
      </c>
      <c r="L563" s="2">
        <v>45717</v>
      </c>
      <c r="M563" t="s">
        <v>109</v>
      </c>
      <c r="N563">
        <v>0</v>
      </c>
      <c r="O563" t="s">
        <v>111</v>
      </c>
      <c r="P563" t="s">
        <v>112</v>
      </c>
      <c r="Q563" t="s">
        <v>113</v>
      </c>
    </row>
    <row r="564" spans="1:17" x14ac:dyDescent="0.3">
      <c r="A564" t="s">
        <v>17</v>
      </c>
      <c r="B564">
        <v>68</v>
      </c>
      <c r="C564" t="s">
        <v>34</v>
      </c>
      <c r="D564" s="2">
        <v>45742</v>
      </c>
      <c r="E564" s="3">
        <f t="shared" si="8"/>
        <v>45717</v>
      </c>
      <c r="F564" t="s">
        <v>687</v>
      </c>
      <c r="G564" t="s">
        <v>122</v>
      </c>
      <c r="H564" s="4">
        <v>1158.26</v>
      </c>
      <c r="I564" t="s">
        <v>108</v>
      </c>
      <c r="J564" t="s">
        <v>109</v>
      </c>
      <c r="K564" t="s">
        <v>388</v>
      </c>
      <c r="L564" s="2">
        <v>45717</v>
      </c>
      <c r="M564" t="s">
        <v>109</v>
      </c>
      <c r="N564">
        <v>0</v>
      </c>
      <c r="O564" t="s">
        <v>111</v>
      </c>
      <c r="P564" t="s">
        <v>112</v>
      </c>
      <c r="Q564" t="s">
        <v>113</v>
      </c>
    </row>
    <row r="565" spans="1:17" x14ac:dyDescent="0.3">
      <c r="A565" t="s">
        <v>17</v>
      </c>
      <c r="B565">
        <v>67</v>
      </c>
      <c r="C565" t="s">
        <v>28</v>
      </c>
      <c r="D565" s="2">
        <v>45744</v>
      </c>
      <c r="E565" s="3">
        <f t="shared" si="8"/>
        <v>45717</v>
      </c>
      <c r="F565" t="s">
        <v>688</v>
      </c>
      <c r="G565" t="s">
        <v>689</v>
      </c>
      <c r="H565" s="4">
        <v>4984.91</v>
      </c>
      <c r="I565" t="s">
        <v>47</v>
      </c>
      <c r="J565" t="s">
        <v>64</v>
      </c>
      <c r="K565" t="s">
        <v>690</v>
      </c>
      <c r="L565" s="2">
        <v>45717</v>
      </c>
      <c r="M565" t="s">
        <v>64</v>
      </c>
      <c r="N565">
        <v>0</v>
      </c>
      <c r="O565" t="s">
        <v>26</v>
      </c>
      <c r="P565" t="s">
        <v>28</v>
      </c>
      <c r="Q565">
        <v>0</v>
      </c>
    </row>
    <row r="566" spans="1:17" x14ac:dyDescent="0.3">
      <c r="A566" t="s">
        <v>17</v>
      </c>
      <c r="B566">
        <v>67</v>
      </c>
      <c r="C566" t="s">
        <v>28</v>
      </c>
      <c r="D566" s="2">
        <v>45744</v>
      </c>
      <c r="E566" s="3">
        <f t="shared" si="8"/>
        <v>45717</v>
      </c>
      <c r="F566" t="s">
        <v>691</v>
      </c>
      <c r="G566" t="s">
        <v>67</v>
      </c>
      <c r="H566" s="4">
        <v>525.70000000000005</v>
      </c>
      <c r="I566" t="s">
        <v>31</v>
      </c>
      <c r="J566" t="s">
        <v>68</v>
      </c>
      <c r="K566" t="s">
        <v>692</v>
      </c>
      <c r="L566" s="2">
        <v>45717</v>
      </c>
      <c r="M566" t="s">
        <v>68</v>
      </c>
      <c r="N566">
        <v>0</v>
      </c>
      <c r="O566" t="s">
        <v>31</v>
      </c>
      <c r="P566" t="s">
        <v>28</v>
      </c>
      <c r="Q566">
        <v>0</v>
      </c>
    </row>
    <row r="567" spans="1:17" x14ac:dyDescent="0.3">
      <c r="A567" t="s">
        <v>17</v>
      </c>
      <c r="B567">
        <v>64</v>
      </c>
      <c r="C567" t="s">
        <v>83</v>
      </c>
      <c r="D567" s="2">
        <v>45745</v>
      </c>
      <c r="E567" s="3">
        <f t="shared" si="8"/>
        <v>45717</v>
      </c>
      <c r="F567" t="s">
        <v>693</v>
      </c>
      <c r="G567" t="s">
        <v>73</v>
      </c>
      <c r="H567" s="4">
        <v>249.33</v>
      </c>
      <c r="I567" t="s">
        <v>31</v>
      </c>
      <c r="J567" t="s">
        <v>91</v>
      </c>
      <c r="K567" t="s">
        <v>694</v>
      </c>
      <c r="L567" s="2">
        <v>45717</v>
      </c>
      <c r="M567" t="s">
        <v>93</v>
      </c>
      <c r="N567">
        <v>0</v>
      </c>
      <c r="O567" t="s">
        <v>31</v>
      </c>
      <c r="P567" t="s">
        <v>83</v>
      </c>
      <c r="Q567">
        <v>0</v>
      </c>
    </row>
    <row r="568" spans="1:17" x14ac:dyDescent="0.3">
      <c r="A568" t="s">
        <v>17</v>
      </c>
      <c r="B568">
        <v>63</v>
      </c>
      <c r="C568" t="s">
        <v>18</v>
      </c>
      <c r="D568" s="2">
        <v>45747</v>
      </c>
      <c r="E568" s="3">
        <f t="shared" si="8"/>
        <v>45717</v>
      </c>
      <c r="F568" t="s">
        <v>695</v>
      </c>
      <c r="G568" t="s">
        <v>235</v>
      </c>
      <c r="H568" s="4">
        <v>556.66999999999996</v>
      </c>
      <c r="I568" t="s">
        <v>241</v>
      </c>
      <c r="J568" t="s">
        <v>236</v>
      </c>
      <c r="K568" t="s">
        <v>237</v>
      </c>
      <c r="L568" s="2">
        <v>45717</v>
      </c>
      <c r="M568" t="s">
        <v>238</v>
      </c>
      <c r="N568" t="s">
        <v>242</v>
      </c>
      <c r="O568" t="s">
        <v>26</v>
      </c>
      <c r="P568" t="s">
        <v>18</v>
      </c>
      <c r="Q568" t="s">
        <v>239</v>
      </c>
    </row>
    <row r="569" spans="1:17" x14ac:dyDescent="0.3">
      <c r="A569" t="s">
        <v>17</v>
      </c>
      <c r="B569">
        <v>63</v>
      </c>
      <c r="C569" t="s">
        <v>18</v>
      </c>
      <c r="D569" s="2">
        <v>45747</v>
      </c>
      <c r="E569" s="3">
        <f t="shared" si="8"/>
        <v>45717</v>
      </c>
      <c r="F569" t="s">
        <v>696</v>
      </c>
      <c r="G569" t="s">
        <v>235</v>
      </c>
      <c r="H569" s="4">
        <v>22223.02</v>
      </c>
      <c r="I569" t="s">
        <v>21</v>
      </c>
      <c r="J569" t="s">
        <v>236</v>
      </c>
      <c r="K569" t="s">
        <v>237</v>
      </c>
      <c r="L569" s="2">
        <v>45717</v>
      </c>
      <c r="M569" t="s">
        <v>238</v>
      </c>
      <c r="N569" t="s">
        <v>25</v>
      </c>
      <c r="O569" t="s">
        <v>26</v>
      </c>
      <c r="P569" t="s">
        <v>18</v>
      </c>
      <c r="Q569" t="s">
        <v>239</v>
      </c>
    </row>
    <row r="570" spans="1:17" x14ac:dyDescent="0.3">
      <c r="A570" t="s">
        <v>17</v>
      </c>
      <c r="B570">
        <v>67</v>
      </c>
      <c r="C570" t="s">
        <v>28</v>
      </c>
      <c r="D570" s="2">
        <v>45747</v>
      </c>
      <c r="E570" s="3">
        <f t="shared" si="8"/>
        <v>45717</v>
      </c>
      <c r="F570" t="s">
        <v>697</v>
      </c>
      <c r="G570" t="s">
        <v>210</v>
      </c>
      <c r="H570" s="4">
        <v>21.78</v>
      </c>
      <c r="I570" t="s">
        <v>31</v>
      </c>
      <c r="J570" t="s">
        <v>74</v>
      </c>
      <c r="K570" t="s">
        <v>212</v>
      </c>
      <c r="L570" s="2">
        <v>45717</v>
      </c>
      <c r="M570" t="s">
        <v>76</v>
      </c>
      <c r="N570">
        <v>0</v>
      </c>
      <c r="O570" t="s">
        <v>31</v>
      </c>
      <c r="P570" t="s">
        <v>28</v>
      </c>
      <c r="Q570">
        <v>0</v>
      </c>
    </row>
    <row r="571" spans="1:17" x14ac:dyDescent="0.3">
      <c r="A571" t="s">
        <v>17</v>
      </c>
      <c r="B571">
        <v>67</v>
      </c>
      <c r="C571" t="s">
        <v>28</v>
      </c>
      <c r="D571" s="2">
        <v>45747</v>
      </c>
      <c r="E571" s="3">
        <f t="shared" si="8"/>
        <v>45717</v>
      </c>
      <c r="F571" t="s">
        <v>697</v>
      </c>
      <c r="G571" t="s">
        <v>210</v>
      </c>
      <c r="H571" s="4">
        <v>11.99</v>
      </c>
      <c r="I571" t="s">
        <v>31</v>
      </c>
      <c r="J571" t="s">
        <v>74</v>
      </c>
      <c r="K571" t="s">
        <v>211</v>
      </c>
      <c r="L571" s="2">
        <v>45717</v>
      </c>
      <c r="M571" t="s">
        <v>76</v>
      </c>
      <c r="N571">
        <v>0</v>
      </c>
      <c r="O571" t="s">
        <v>31</v>
      </c>
      <c r="P571" t="s">
        <v>28</v>
      </c>
      <c r="Q571">
        <v>0</v>
      </c>
    </row>
    <row r="572" spans="1:17" x14ac:dyDescent="0.3">
      <c r="A572" t="s">
        <v>17</v>
      </c>
      <c r="B572">
        <v>67</v>
      </c>
      <c r="C572" t="s">
        <v>28</v>
      </c>
      <c r="D572" s="2">
        <v>45747</v>
      </c>
      <c r="E572" s="3">
        <f t="shared" si="8"/>
        <v>45717</v>
      </c>
      <c r="F572" t="s">
        <v>697</v>
      </c>
      <c r="G572" t="s">
        <v>210</v>
      </c>
      <c r="H572" s="4">
        <v>16.989999999999998</v>
      </c>
      <c r="I572" t="s">
        <v>31</v>
      </c>
      <c r="J572" t="s">
        <v>74</v>
      </c>
      <c r="K572" t="s">
        <v>698</v>
      </c>
      <c r="L572" s="2">
        <v>45717</v>
      </c>
      <c r="M572" t="s">
        <v>76</v>
      </c>
      <c r="N572">
        <v>0</v>
      </c>
      <c r="O572" t="s">
        <v>31</v>
      </c>
      <c r="P572" t="s">
        <v>28</v>
      </c>
      <c r="Q572">
        <v>0</v>
      </c>
    </row>
    <row r="573" spans="1:17" x14ac:dyDescent="0.3">
      <c r="A573" t="s">
        <v>17</v>
      </c>
      <c r="B573">
        <v>67</v>
      </c>
      <c r="C573" t="s">
        <v>28</v>
      </c>
      <c r="D573" s="2">
        <v>45747</v>
      </c>
      <c r="E573" s="3">
        <f t="shared" si="8"/>
        <v>45717</v>
      </c>
      <c r="F573" t="s">
        <v>699</v>
      </c>
      <c r="G573" t="s">
        <v>259</v>
      </c>
      <c r="H573" s="4">
        <v>5903.69</v>
      </c>
      <c r="I573" t="s">
        <v>31</v>
      </c>
      <c r="J573" t="s">
        <v>32</v>
      </c>
      <c r="K573" t="s">
        <v>700</v>
      </c>
      <c r="L573" s="2">
        <v>45717</v>
      </c>
      <c r="M573" t="s">
        <v>32</v>
      </c>
      <c r="N573">
        <v>0</v>
      </c>
      <c r="O573" t="s">
        <v>31</v>
      </c>
      <c r="P573" t="s">
        <v>28</v>
      </c>
      <c r="Q573">
        <v>0</v>
      </c>
    </row>
    <row r="574" spans="1:17" x14ac:dyDescent="0.3">
      <c r="A574" t="s">
        <v>17</v>
      </c>
      <c r="B574">
        <v>68</v>
      </c>
      <c r="C574" t="s">
        <v>34</v>
      </c>
      <c r="D574" s="2">
        <v>45747</v>
      </c>
      <c r="E574" s="3">
        <f t="shared" si="8"/>
        <v>45717</v>
      </c>
      <c r="F574" t="s">
        <v>701</v>
      </c>
      <c r="G574" t="s">
        <v>266</v>
      </c>
      <c r="H574" s="4">
        <v>366.2</v>
      </c>
      <c r="I574" t="s">
        <v>31</v>
      </c>
      <c r="J574" t="s">
        <v>79</v>
      </c>
      <c r="K574" t="s">
        <v>702</v>
      </c>
      <c r="L574" s="2">
        <v>45717</v>
      </c>
      <c r="M574" t="s">
        <v>79</v>
      </c>
      <c r="N574">
        <v>0</v>
      </c>
      <c r="O574" t="s">
        <v>31</v>
      </c>
      <c r="P574" t="s">
        <v>34</v>
      </c>
      <c r="Q574">
        <v>0</v>
      </c>
    </row>
    <row r="575" spans="1:17" x14ac:dyDescent="0.3">
      <c r="A575" t="s">
        <v>17</v>
      </c>
      <c r="B575">
        <v>68</v>
      </c>
      <c r="C575" t="s">
        <v>34</v>
      </c>
      <c r="D575" s="2">
        <v>45747</v>
      </c>
      <c r="E575" s="3">
        <f t="shared" si="8"/>
        <v>45717</v>
      </c>
      <c r="F575" t="s">
        <v>697</v>
      </c>
      <c r="G575" t="s">
        <v>210</v>
      </c>
      <c r="H575" s="4">
        <v>113.22</v>
      </c>
      <c r="I575" t="s">
        <v>31</v>
      </c>
      <c r="J575" t="s">
        <v>79</v>
      </c>
      <c r="K575" t="s">
        <v>703</v>
      </c>
      <c r="L575" s="2">
        <v>45717</v>
      </c>
      <c r="M575" t="s">
        <v>79</v>
      </c>
      <c r="N575">
        <v>0</v>
      </c>
      <c r="O575" t="s">
        <v>31</v>
      </c>
      <c r="P575" t="s">
        <v>34</v>
      </c>
      <c r="Q575">
        <v>0</v>
      </c>
    </row>
    <row r="576" spans="1:17" x14ac:dyDescent="0.3">
      <c r="A576" t="s">
        <v>17</v>
      </c>
      <c r="B576">
        <v>68</v>
      </c>
      <c r="C576" t="s">
        <v>34</v>
      </c>
      <c r="D576" s="2">
        <v>45747</v>
      </c>
      <c r="E576" s="3">
        <f t="shared" si="8"/>
        <v>45717</v>
      </c>
      <c r="F576" t="s">
        <v>704</v>
      </c>
      <c r="G576" t="s">
        <v>222</v>
      </c>
      <c r="H576" s="4">
        <v>363.72</v>
      </c>
      <c r="I576" t="s">
        <v>104</v>
      </c>
      <c r="J576" t="s">
        <v>79</v>
      </c>
      <c r="K576" t="s">
        <v>705</v>
      </c>
      <c r="L576" s="2">
        <v>45717</v>
      </c>
      <c r="M576" t="s">
        <v>79</v>
      </c>
      <c r="N576">
        <v>0</v>
      </c>
      <c r="O576" t="s">
        <v>104</v>
      </c>
      <c r="P576" t="s">
        <v>34</v>
      </c>
      <c r="Q576">
        <v>0</v>
      </c>
    </row>
    <row r="577" spans="1:17" x14ac:dyDescent="0.3">
      <c r="A577" t="s">
        <v>17</v>
      </c>
      <c r="B577">
        <v>68</v>
      </c>
      <c r="C577" t="s">
        <v>34</v>
      </c>
      <c r="D577" s="2">
        <v>45747</v>
      </c>
      <c r="E577" s="3">
        <f t="shared" si="8"/>
        <v>45717</v>
      </c>
      <c r="F577" t="s">
        <v>706</v>
      </c>
      <c r="G577" t="s">
        <v>190</v>
      </c>
      <c r="H577" s="4">
        <v>47.62</v>
      </c>
      <c r="I577" t="s">
        <v>137</v>
      </c>
      <c r="J577" t="s">
        <v>79</v>
      </c>
      <c r="K577" t="s">
        <v>707</v>
      </c>
      <c r="L577" s="2">
        <v>45717</v>
      </c>
      <c r="M577" t="s">
        <v>79</v>
      </c>
      <c r="N577" t="s">
        <v>141</v>
      </c>
      <c r="O577" t="s">
        <v>141</v>
      </c>
      <c r="P577" t="s">
        <v>34</v>
      </c>
      <c r="Q577">
        <v>0</v>
      </c>
    </row>
    <row r="578" spans="1:17" x14ac:dyDescent="0.3">
      <c r="A578" t="s">
        <v>17</v>
      </c>
      <c r="B578">
        <v>66</v>
      </c>
      <c r="C578" t="s">
        <v>134</v>
      </c>
      <c r="D578" s="2">
        <v>45747</v>
      </c>
      <c r="E578" s="3">
        <f t="shared" si="8"/>
        <v>45717</v>
      </c>
      <c r="F578" t="s">
        <v>704</v>
      </c>
      <c r="G578" t="s">
        <v>222</v>
      </c>
      <c r="H578" s="4">
        <v>103.5</v>
      </c>
      <c r="I578" t="s">
        <v>104</v>
      </c>
      <c r="J578" t="s">
        <v>223</v>
      </c>
      <c r="K578" t="s">
        <v>468</v>
      </c>
      <c r="L578" s="2">
        <v>45717</v>
      </c>
      <c r="M578" t="s">
        <v>223</v>
      </c>
      <c r="N578">
        <v>0</v>
      </c>
      <c r="O578" t="s">
        <v>104</v>
      </c>
      <c r="P578" t="s">
        <v>134</v>
      </c>
      <c r="Q578">
        <v>0</v>
      </c>
    </row>
    <row r="579" spans="1:17" x14ac:dyDescent="0.3">
      <c r="A579" t="s">
        <v>17</v>
      </c>
      <c r="B579">
        <v>64</v>
      </c>
      <c r="C579" t="s">
        <v>83</v>
      </c>
      <c r="D579" s="2">
        <v>45747</v>
      </c>
      <c r="E579" s="3">
        <f t="shared" ref="E579:E642" si="9">IF($D579="","",DATE(YEAR($D579),MONTH($D579),1))</f>
        <v>45717</v>
      </c>
      <c r="F579" t="s">
        <v>704</v>
      </c>
      <c r="G579" t="s">
        <v>222</v>
      </c>
      <c r="H579" s="4">
        <v>5</v>
      </c>
      <c r="I579" t="s">
        <v>104</v>
      </c>
      <c r="J579" t="s">
        <v>511</v>
      </c>
      <c r="K579" t="s">
        <v>708</v>
      </c>
      <c r="L579" s="2">
        <v>45717</v>
      </c>
      <c r="M579" t="s">
        <v>513</v>
      </c>
      <c r="N579">
        <v>0</v>
      </c>
      <c r="O579" t="s">
        <v>104</v>
      </c>
      <c r="P579" t="s">
        <v>83</v>
      </c>
      <c r="Q579">
        <v>0</v>
      </c>
    </row>
    <row r="580" spans="1:17" x14ac:dyDescent="0.3">
      <c r="A580" t="s">
        <v>17</v>
      </c>
      <c r="B580">
        <v>64</v>
      </c>
      <c r="C580" t="s">
        <v>83</v>
      </c>
      <c r="D580" s="2">
        <v>45747</v>
      </c>
      <c r="E580" s="3">
        <f t="shared" si="9"/>
        <v>45717</v>
      </c>
      <c r="F580" t="s">
        <v>704</v>
      </c>
      <c r="G580" t="s">
        <v>222</v>
      </c>
      <c r="H580" s="4">
        <v>5</v>
      </c>
      <c r="I580" t="s">
        <v>104</v>
      </c>
      <c r="J580" t="s">
        <v>511</v>
      </c>
      <c r="K580" t="s">
        <v>708</v>
      </c>
      <c r="L580" s="2">
        <v>45717</v>
      </c>
      <c r="M580" t="s">
        <v>513</v>
      </c>
      <c r="N580">
        <v>0</v>
      </c>
      <c r="O580" t="s">
        <v>104</v>
      </c>
      <c r="P580" t="s">
        <v>83</v>
      </c>
      <c r="Q580">
        <v>0</v>
      </c>
    </row>
    <row r="581" spans="1:17" x14ac:dyDescent="0.3">
      <c r="A581" t="s">
        <v>17</v>
      </c>
      <c r="B581">
        <v>64</v>
      </c>
      <c r="C581" t="s">
        <v>83</v>
      </c>
      <c r="D581" s="2">
        <v>45747</v>
      </c>
      <c r="E581" s="3">
        <f t="shared" si="9"/>
        <v>45717</v>
      </c>
      <c r="F581" t="s">
        <v>704</v>
      </c>
      <c r="G581" t="s">
        <v>222</v>
      </c>
      <c r="H581" s="4">
        <v>5</v>
      </c>
      <c r="I581" t="s">
        <v>104</v>
      </c>
      <c r="J581" t="s">
        <v>511</v>
      </c>
      <c r="K581" t="s">
        <v>708</v>
      </c>
      <c r="L581" s="2">
        <v>45717</v>
      </c>
      <c r="M581" t="s">
        <v>513</v>
      </c>
      <c r="N581">
        <v>0</v>
      </c>
      <c r="O581" t="s">
        <v>104</v>
      </c>
      <c r="P581" t="s">
        <v>83</v>
      </c>
      <c r="Q581">
        <v>0</v>
      </c>
    </row>
    <row r="582" spans="1:17" x14ac:dyDescent="0.3">
      <c r="A582" t="s">
        <v>17</v>
      </c>
      <c r="B582">
        <v>64</v>
      </c>
      <c r="C582" t="s">
        <v>83</v>
      </c>
      <c r="D582" s="2">
        <v>45747</v>
      </c>
      <c r="E582" s="3">
        <f t="shared" si="9"/>
        <v>45717</v>
      </c>
      <c r="F582" t="s">
        <v>704</v>
      </c>
      <c r="G582" t="s">
        <v>222</v>
      </c>
      <c r="H582" s="4">
        <v>34</v>
      </c>
      <c r="I582" t="s">
        <v>104</v>
      </c>
      <c r="J582" t="s">
        <v>511</v>
      </c>
      <c r="K582" t="s">
        <v>709</v>
      </c>
      <c r="L582" s="2">
        <v>45717</v>
      </c>
      <c r="M582" t="s">
        <v>513</v>
      </c>
      <c r="N582">
        <v>0</v>
      </c>
      <c r="O582" t="s">
        <v>104</v>
      </c>
      <c r="P582" t="s">
        <v>83</v>
      </c>
      <c r="Q582">
        <v>0</v>
      </c>
    </row>
    <row r="583" spans="1:17" x14ac:dyDescent="0.3">
      <c r="A583" t="s">
        <v>17</v>
      </c>
      <c r="B583">
        <v>64</v>
      </c>
      <c r="C583" t="s">
        <v>83</v>
      </c>
      <c r="D583" s="2">
        <v>45747</v>
      </c>
      <c r="E583" s="3">
        <f t="shared" si="9"/>
        <v>45717</v>
      </c>
      <c r="F583" t="s">
        <v>710</v>
      </c>
      <c r="G583" t="s">
        <v>78</v>
      </c>
      <c r="H583" s="4">
        <v>306.97000000000003</v>
      </c>
      <c r="I583" t="s">
        <v>21</v>
      </c>
      <c r="J583" t="s">
        <v>84</v>
      </c>
      <c r="K583" t="s">
        <v>711</v>
      </c>
      <c r="L583" s="2">
        <v>45717</v>
      </c>
      <c r="M583" t="s">
        <v>86</v>
      </c>
      <c r="N583" t="s">
        <v>25</v>
      </c>
      <c r="O583" t="s">
        <v>81</v>
      </c>
      <c r="P583" t="s">
        <v>83</v>
      </c>
      <c r="Q583">
        <v>0</v>
      </c>
    </row>
    <row r="584" spans="1:17" x14ac:dyDescent="0.3">
      <c r="A584" t="s">
        <v>17</v>
      </c>
      <c r="B584">
        <v>64</v>
      </c>
      <c r="C584" t="s">
        <v>83</v>
      </c>
      <c r="D584" s="2">
        <v>45747</v>
      </c>
      <c r="E584" s="3">
        <f t="shared" si="9"/>
        <v>45717</v>
      </c>
      <c r="F584" t="s">
        <v>710</v>
      </c>
      <c r="G584" t="s">
        <v>78</v>
      </c>
      <c r="H584" s="4">
        <v>178.98</v>
      </c>
      <c r="I584" t="s">
        <v>21</v>
      </c>
      <c r="J584" t="s">
        <v>84</v>
      </c>
      <c r="K584" t="s">
        <v>711</v>
      </c>
      <c r="L584" s="2">
        <v>45717</v>
      </c>
      <c r="M584" t="s">
        <v>86</v>
      </c>
      <c r="N584" t="s">
        <v>25</v>
      </c>
      <c r="O584" t="s">
        <v>81</v>
      </c>
      <c r="P584" t="s">
        <v>83</v>
      </c>
      <c r="Q584">
        <v>0</v>
      </c>
    </row>
    <row r="585" spans="1:17" x14ac:dyDescent="0.3">
      <c r="A585" t="s">
        <v>17</v>
      </c>
      <c r="B585">
        <v>64</v>
      </c>
      <c r="C585" t="s">
        <v>83</v>
      </c>
      <c r="D585" s="2">
        <v>45747</v>
      </c>
      <c r="E585" s="3">
        <f t="shared" si="9"/>
        <v>45717</v>
      </c>
      <c r="F585" t="s">
        <v>710</v>
      </c>
      <c r="G585" t="s">
        <v>78</v>
      </c>
      <c r="H585" s="4">
        <v>1138.81</v>
      </c>
      <c r="I585" t="s">
        <v>21</v>
      </c>
      <c r="J585" t="s">
        <v>84</v>
      </c>
      <c r="K585" t="s">
        <v>712</v>
      </c>
      <c r="L585" s="2">
        <v>45717</v>
      </c>
      <c r="M585" t="s">
        <v>86</v>
      </c>
      <c r="N585" t="s">
        <v>25</v>
      </c>
      <c r="O585" t="s">
        <v>81</v>
      </c>
      <c r="P585" t="s">
        <v>83</v>
      </c>
      <c r="Q585">
        <v>0</v>
      </c>
    </row>
    <row r="586" spans="1:17" x14ac:dyDescent="0.3">
      <c r="A586" t="s">
        <v>17</v>
      </c>
      <c r="B586">
        <v>64</v>
      </c>
      <c r="C586" t="s">
        <v>83</v>
      </c>
      <c r="D586" s="2">
        <v>45747</v>
      </c>
      <c r="E586" s="3">
        <f t="shared" si="9"/>
        <v>45717</v>
      </c>
      <c r="F586" t="s">
        <v>710</v>
      </c>
      <c r="G586" t="s">
        <v>78</v>
      </c>
      <c r="H586" s="4">
        <v>272.7</v>
      </c>
      <c r="I586" t="s">
        <v>21</v>
      </c>
      <c r="J586" t="s">
        <v>84</v>
      </c>
      <c r="K586" t="s">
        <v>713</v>
      </c>
      <c r="L586" s="2">
        <v>45717</v>
      </c>
      <c r="M586" t="s">
        <v>86</v>
      </c>
      <c r="N586" t="s">
        <v>25</v>
      </c>
      <c r="O586" t="s">
        <v>81</v>
      </c>
      <c r="P586" t="s">
        <v>83</v>
      </c>
      <c r="Q586">
        <v>0</v>
      </c>
    </row>
    <row r="587" spans="1:17" x14ac:dyDescent="0.3">
      <c r="A587" t="s">
        <v>17</v>
      </c>
      <c r="B587">
        <v>67</v>
      </c>
      <c r="C587" t="s">
        <v>28</v>
      </c>
      <c r="D587" s="2">
        <v>45747</v>
      </c>
      <c r="E587" s="3">
        <f t="shared" si="9"/>
        <v>45717</v>
      </c>
      <c r="F587" t="s">
        <v>714</v>
      </c>
      <c r="G587" t="s">
        <v>119</v>
      </c>
      <c r="H587" s="4">
        <v>506.25</v>
      </c>
      <c r="I587" t="s">
        <v>31</v>
      </c>
      <c r="J587" t="s">
        <v>68</v>
      </c>
      <c r="K587" t="s">
        <v>715</v>
      </c>
      <c r="L587" s="2">
        <v>45717</v>
      </c>
      <c r="M587" t="s">
        <v>68</v>
      </c>
      <c r="N587">
        <v>0</v>
      </c>
      <c r="O587" t="s">
        <v>31</v>
      </c>
      <c r="P587" t="s">
        <v>28</v>
      </c>
      <c r="Q587">
        <v>0</v>
      </c>
    </row>
    <row r="588" spans="1:17" x14ac:dyDescent="0.3">
      <c r="A588" t="s">
        <v>17</v>
      </c>
      <c r="B588">
        <v>67</v>
      </c>
      <c r="C588" t="s">
        <v>28</v>
      </c>
      <c r="D588" s="2">
        <v>45747</v>
      </c>
      <c r="E588" s="3">
        <f t="shared" si="9"/>
        <v>45717</v>
      </c>
      <c r="F588" t="s">
        <v>716</v>
      </c>
      <c r="G588" t="s">
        <v>283</v>
      </c>
      <c r="H588" s="4">
        <v>150</v>
      </c>
      <c r="I588" t="s">
        <v>31</v>
      </c>
      <c r="J588" t="s">
        <v>48</v>
      </c>
      <c r="K588" t="s">
        <v>717</v>
      </c>
      <c r="L588" s="2">
        <v>45717</v>
      </c>
      <c r="M588" t="s">
        <v>50</v>
      </c>
      <c r="N588">
        <v>0</v>
      </c>
      <c r="O588" t="s">
        <v>31</v>
      </c>
      <c r="P588" t="s">
        <v>28</v>
      </c>
      <c r="Q588">
        <v>0</v>
      </c>
    </row>
    <row r="589" spans="1:17" x14ac:dyDescent="0.3">
      <c r="A589" t="s">
        <v>17</v>
      </c>
      <c r="B589">
        <v>64</v>
      </c>
      <c r="C589" t="s">
        <v>83</v>
      </c>
      <c r="D589" s="2">
        <v>45747</v>
      </c>
      <c r="E589" s="3">
        <f t="shared" si="9"/>
        <v>45717</v>
      </c>
      <c r="F589" t="s">
        <v>697</v>
      </c>
      <c r="G589" t="s">
        <v>210</v>
      </c>
      <c r="H589" s="4">
        <v>28.93</v>
      </c>
      <c r="I589" t="s">
        <v>31</v>
      </c>
      <c r="J589" t="s">
        <v>87</v>
      </c>
      <c r="K589" t="s">
        <v>718</v>
      </c>
      <c r="L589" s="2">
        <v>45717</v>
      </c>
      <c r="M589" t="s">
        <v>89</v>
      </c>
      <c r="N589">
        <v>0</v>
      </c>
      <c r="O589" t="s">
        <v>31</v>
      </c>
      <c r="P589" t="s">
        <v>83</v>
      </c>
      <c r="Q589">
        <v>0</v>
      </c>
    </row>
    <row r="590" spans="1:17" x14ac:dyDescent="0.3">
      <c r="A590" t="s">
        <v>17</v>
      </c>
      <c r="B590">
        <v>64</v>
      </c>
      <c r="C590" t="s">
        <v>83</v>
      </c>
      <c r="D590" s="2">
        <v>45747</v>
      </c>
      <c r="E590" s="3">
        <f t="shared" si="9"/>
        <v>45717</v>
      </c>
      <c r="F590" t="s">
        <v>704</v>
      </c>
      <c r="G590" t="s">
        <v>222</v>
      </c>
      <c r="H590" s="4">
        <v>44.97</v>
      </c>
      <c r="I590" t="s">
        <v>104</v>
      </c>
      <c r="J590" t="s">
        <v>87</v>
      </c>
      <c r="K590" t="s">
        <v>719</v>
      </c>
      <c r="L590" s="2">
        <v>45717</v>
      </c>
      <c r="M590" t="s">
        <v>89</v>
      </c>
      <c r="N590">
        <v>0</v>
      </c>
      <c r="O590" t="s">
        <v>104</v>
      </c>
      <c r="P590" t="s">
        <v>83</v>
      </c>
      <c r="Q590">
        <v>0</v>
      </c>
    </row>
    <row r="591" spans="1:17" x14ac:dyDescent="0.3">
      <c r="A591" t="s">
        <v>17</v>
      </c>
      <c r="B591">
        <v>64</v>
      </c>
      <c r="C591" t="s">
        <v>83</v>
      </c>
      <c r="D591" s="2">
        <v>45747</v>
      </c>
      <c r="E591" s="3">
        <f t="shared" si="9"/>
        <v>45717</v>
      </c>
      <c r="F591" t="s">
        <v>704</v>
      </c>
      <c r="G591" t="s">
        <v>222</v>
      </c>
      <c r="H591" s="4">
        <v>287.39999999999998</v>
      </c>
      <c r="I591" t="s">
        <v>104</v>
      </c>
      <c r="J591" t="s">
        <v>530</v>
      </c>
      <c r="K591" t="s">
        <v>720</v>
      </c>
      <c r="L591" s="2">
        <v>45717</v>
      </c>
      <c r="M591" t="s">
        <v>531</v>
      </c>
      <c r="N591">
        <v>0</v>
      </c>
      <c r="O591" t="s">
        <v>104</v>
      </c>
      <c r="P591" t="s">
        <v>83</v>
      </c>
      <c r="Q591">
        <v>0</v>
      </c>
    </row>
    <row r="592" spans="1:17" x14ac:dyDescent="0.3">
      <c r="A592" t="s">
        <v>17</v>
      </c>
      <c r="B592">
        <v>64</v>
      </c>
      <c r="C592" t="s">
        <v>83</v>
      </c>
      <c r="D592" s="2">
        <v>45747</v>
      </c>
      <c r="E592" s="3">
        <f t="shared" si="9"/>
        <v>45717</v>
      </c>
      <c r="F592" t="s">
        <v>704</v>
      </c>
      <c r="G592" t="s">
        <v>222</v>
      </c>
      <c r="H592" s="4">
        <v>169.9</v>
      </c>
      <c r="I592" t="s">
        <v>104</v>
      </c>
      <c r="J592" t="s">
        <v>530</v>
      </c>
      <c r="K592" t="s">
        <v>720</v>
      </c>
      <c r="L592" s="2">
        <v>45717</v>
      </c>
      <c r="M592" t="s">
        <v>531</v>
      </c>
      <c r="N592">
        <v>0</v>
      </c>
      <c r="O592" t="s">
        <v>104</v>
      </c>
      <c r="P592" t="s">
        <v>83</v>
      </c>
      <c r="Q592">
        <v>0</v>
      </c>
    </row>
    <row r="593" spans="1:17" x14ac:dyDescent="0.3">
      <c r="A593" t="s">
        <v>17</v>
      </c>
      <c r="B593">
        <v>64</v>
      </c>
      <c r="C593" t="s">
        <v>83</v>
      </c>
      <c r="D593" s="2">
        <v>45747</v>
      </c>
      <c r="E593" s="3">
        <f t="shared" si="9"/>
        <v>45717</v>
      </c>
      <c r="F593" t="s">
        <v>704</v>
      </c>
      <c r="G593" t="s">
        <v>222</v>
      </c>
      <c r="H593" s="4">
        <v>276.3</v>
      </c>
      <c r="I593" t="s">
        <v>104</v>
      </c>
      <c r="J593" t="s">
        <v>530</v>
      </c>
      <c r="K593" t="s">
        <v>720</v>
      </c>
      <c r="L593" s="2">
        <v>45717</v>
      </c>
      <c r="M593" t="s">
        <v>531</v>
      </c>
      <c r="N593">
        <v>0</v>
      </c>
      <c r="O593" t="s">
        <v>104</v>
      </c>
      <c r="P593" t="s">
        <v>83</v>
      </c>
      <c r="Q593">
        <v>0</v>
      </c>
    </row>
    <row r="594" spans="1:17" x14ac:dyDescent="0.3">
      <c r="A594" t="s">
        <v>17</v>
      </c>
      <c r="B594">
        <v>64</v>
      </c>
      <c r="C594" t="s">
        <v>83</v>
      </c>
      <c r="D594" s="2">
        <v>45747</v>
      </c>
      <c r="E594" s="3">
        <f t="shared" si="9"/>
        <v>45717</v>
      </c>
      <c r="F594" t="s">
        <v>704</v>
      </c>
      <c r="G594" t="s">
        <v>222</v>
      </c>
      <c r="H594" s="4">
        <v>1503.61</v>
      </c>
      <c r="I594" t="s">
        <v>104</v>
      </c>
      <c r="J594" t="s">
        <v>530</v>
      </c>
      <c r="K594" t="s">
        <v>720</v>
      </c>
      <c r="L594" s="2">
        <v>45717</v>
      </c>
      <c r="M594" t="s">
        <v>531</v>
      </c>
      <c r="N594">
        <v>0</v>
      </c>
      <c r="O594" t="s">
        <v>104</v>
      </c>
      <c r="P594" t="s">
        <v>83</v>
      </c>
      <c r="Q594">
        <v>0</v>
      </c>
    </row>
    <row r="595" spans="1:17" x14ac:dyDescent="0.3">
      <c r="A595" t="s">
        <v>17</v>
      </c>
      <c r="B595">
        <v>64</v>
      </c>
      <c r="C595" t="s">
        <v>83</v>
      </c>
      <c r="D595" s="2">
        <v>45747</v>
      </c>
      <c r="E595" s="3">
        <f t="shared" si="9"/>
        <v>45717</v>
      </c>
      <c r="F595" t="s">
        <v>697</v>
      </c>
      <c r="G595" t="s">
        <v>210</v>
      </c>
      <c r="H595" s="4">
        <v>94.91</v>
      </c>
      <c r="I595" t="s">
        <v>31</v>
      </c>
      <c r="J595" t="s">
        <v>91</v>
      </c>
      <c r="K595" t="s">
        <v>721</v>
      </c>
      <c r="L595" s="2">
        <v>45717</v>
      </c>
      <c r="M595" t="s">
        <v>93</v>
      </c>
      <c r="N595">
        <v>0</v>
      </c>
      <c r="O595" t="s">
        <v>31</v>
      </c>
      <c r="P595" t="s">
        <v>83</v>
      </c>
      <c r="Q595">
        <v>0</v>
      </c>
    </row>
    <row r="596" spans="1:17" x14ac:dyDescent="0.3">
      <c r="A596" t="s">
        <v>17</v>
      </c>
      <c r="B596">
        <v>68</v>
      </c>
      <c r="C596" t="s">
        <v>34</v>
      </c>
      <c r="D596" s="2">
        <v>45747</v>
      </c>
      <c r="E596" s="3">
        <f t="shared" si="9"/>
        <v>45717</v>
      </c>
      <c r="F596" t="s">
        <v>722</v>
      </c>
      <c r="G596" t="s">
        <v>291</v>
      </c>
      <c r="H596" s="4">
        <v>389.84</v>
      </c>
      <c r="I596" t="s">
        <v>47</v>
      </c>
      <c r="J596" t="s">
        <v>109</v>
      </c>
      <c r="K596" t="s">
        <v>292</v>
      </c>
      <c r="L596" s="2">
        <v>45717</v>
      </c>
      <c r="M596" t="s">
        <v>109</v>
      </c>
      <c r="N596">
        <v>0</v>
      </c>
      <c r="O596" t="s">
        <v>26</v>
      </c>
      <c r="P596" t="s">
        <v>112</v>
      </c>
      <c r="Q596" t="s">
        <v>113</v>
      </c>
    </row>
    <row r="597" spans="1:17" x14ac:dyDescent="0.3">
      <c r="A597" t="s">
        <v>17</v>
      </c>
      <c r="B597">
        <v>68</v>
      </c>
      <c r="C597" t="s">
        <v>34</v>
      </c>
      <c r="D597" s="2">
        <v>45747</v>
      </c>
      <c r="E597" s="3">
        <f t="shared" si="9"/>
        <v>45717</v>
      </c>
      <c r="F597" t="s">
        <v>723</v>
      </c>
      <c r="G597" t="s">
        <v>122</v>
      </c>
      <c r="H597" s="4">
        <v>958.81</v>
      </c>
      <c r="I597" t="s">
        <v>108</v>
      </c>
      <c r="J597" t="s">
        <v>109</v>
      </c>
      <c r="K597" t="s">
        <v>388</v>
      </c>
      <c r="L597" s="2">
        <v>45717</v>
      </c>
      <c r="M597" t="s">
        <v>109</v>
      </c>
      <c r="N597">
        <v>0</v>
      </c>
      <c r="O597" t="s">
        <v>111</v>
      </c>
      <c r="P597" t="s">
        <v>112</v>
      </c>
      <c r="Q597" t="s">
        <v>113</v>
      </c>
    </row>
    <row r="598" spans="1:17" x14ac:dyDescent="0.3">
      <c r="A598" t="s">
        <v>17</v>
      </c>
      <c r="B598">
        <v>68</v>
      </c>
      <c r="C598" t="s">
        <v>34</v>
      </c>
      <c r="D598" s="2">
        <v>45747</v>
      </c>
      <c r="E598" s="3">
        <f t="shared" si="9"/>
        <v>45717</v>
      </c>
      <c r="F598" t="s">
        <v>724</v>
      </c>
      <c r="G598" t="s">
        <v>122</v>
      </c>
      <c r="H598" s="4">
        <v>653.39</v>
      </c>
      <c r="I598" t="s">
        <v>108</v>
      </c>
      <c r="J598" t="s">
        <v>109</v>
      </c>
      <c r="K598" t="s">
        <v>662</v>
      </c>
      <c r="L598" s="2">
        <v>45717</v>
      </c>
      <c r="M598" t="s">
        <v>109</v>
      </c>
      <c r="N598">
        <v>0</v>
      </c>
      <c r="O598" t="s">
        <v>111</v>
      </c>
      <c r="P598" t="s">
        <v>112</v>
      </c>
      <c r="Q598" t="s">
        <v>113</v>
      </c>
    </row>
    <row r="599" spans="1:17" x14ac:dyDescent="0.3">
      <c r="A599" t="s">
        <v>17</v>
      </c>
      <c r="B599">
        <v>68</v>
      </c>
      <c r="C599" t="s">
        <v>34</v>
      </c>
      <c r="D599" s="2">
        <v>45747</v>
      </c>
      <c r="E599" s="3">
        <f t="shared" si="9"/>
        <v>45717</v>
      </c>
      <c r="F599" t="s">
        <v>725</v>
      </c>
      <c r="H599" s="4">
        <v>-61115.6</v>
      </c>
      <c r="I599" t="s">
        <v>21</v>
      </c>
      <c r="J599" t="s">
        <v>726</v>
      </c>
      <c r="L599" s="2">
        <v>45717</v>
      </c>
      <c r="M599" t="s">
        <v>726</v>
      </c>
      <c r="N599" t="s">
        <v>25</v>
      </c>
      <c r="O599" t="s">
        <v>81</v>
      </c>
      <c r="P599" t="s">
        <v>34</v>
      </c>
      <c r="Q599">
        <v>0</v>
      </c>
    </row>
    <row r="600" spans="1:17" x14ac:dyDescent="0.3">
      <c r="A600" t="s">
        <v>17</v>
      </c>
      <c r="B600">
        <v>68</v>
      </c>
      <c r="C600" t="s">
        <v>34</v>
      </c>
      <c r="D600" s="2">
        <v>45747</v>
      </c>
      <c r="E600" s="3">
        <f t="shared" si="9"/>
        <v>45717</v>
      </c>
      <c r="F600" t="s">
        <v>727</v>
      </c>
      <c r="H600" s="4">
        <v>63739.25</v>
      </c>
      <c r="I600" t="s">
        <v>31</v>
      </c>
      <c r="J600" t="s">
        <v>726</v>
      </c>
      <c r="K600" t="s">
        <v>728</v>
      </c>
      <c r="L600" s="2">
        <v>45717</v>
      </c>
      <c r="M600" t="s">
        <v>726</v>
      </c>
      <c r="N600">
        <v>0</v>
      </c>
      <c r="O600" t="s">
        <v>31</v>
      </c>
      <c r="P600" t="s">
        <v>34</v>
      </c>
      <c r="Q600">
        <v>0</v>
      </c>
    </row>
    <row r="601" spans="1:17" x14ac:dyDescent="0.3">
      <c r="A601" t="s">
        <v>17</v>
      </c>
      <c r="B601">
        <v>68</v>
      </c>
      <c r="C601" t="s">
        <v>34</v>
      </c>
      <c r="D601" s="2">
        <v>45747</v>
      </c>
      <c r="E601" s="3">
        <f t="shared" si="9"/>
        <v>45717</v>
      </c>
      <c r="F601" t="s">
        <v>729</v>
      </c>
      <c r="H601" s="4">
        <v>28177.5</v>
      </c>
      <c r="I601" t="s">
        <v>21</v>
      </c>
      <c r="J601" t="s">
        <v>726</v>
      </c>
      <c r="K601" t="s">
        <v>730</v>
      </c>
      <c r="L601" s="2">
        <v>45717</v>
      </c>
      <c r="M601" t="s">
        <v>726</v>
      </c>
      <c r="N601" t="s">
        <v>25</v>
      </c>
      <c r="O601" t="s">
        <v>81</v>
      </c>
      <c r="P601" t="s">
        <v>34</v>
      </c>
      <c r="Q601">
        <v>0</v>
      </c>
    </row>
    <row r="602" spans="1:17" x14ac:dyDescent="0.3">
      <c r="A602" t="s">
        <v>17</v>
      </c>
      <c r="B602">
        <v>68</v>
      </c>
      <c r="C602" t="s">
        <v>34</v>
      </c>
      <c r="D602" s="2">
        <v>45747</v>
      </c>
      <c r="E602" s="3">
        <f t="shared" si="9"/>
        <v>45717</v>
      </c>
      <c r="F602" t="s">
        <v>729</v>
      </c>
      <c r="H602" s="4">
        <v>7044.37</v>
      </c>
      <c r="I602" t="s">
        <v>137</v>
      </c>
      <c r="J602" t="s">
        <v>726</v>
      </c>
      <c r="K602" t="s">
        <v>730</v>
      </c>
      <c r="L602" s="2">
        <v>45717</v>
      </c>
      <c r="M602" t="s">
        <v>726</v>
      </c>
      <c r="N602" t="s">
        <v>141</v>
      </c>
      <c r="O602" t="s">
        <v>141</v>
      </c>
      <c r="P602" t="s">
        <v>34</v>
      </c>
      <c r="Q602">
        <v>0</v>
      </c>
    </row>
    <row r="603" spans="1:17" x14ac:dyDescent="0.3">
      <c r="A603" t="s">
        <v>17</v>
      </c>
      <c r="B603">
        <v>65</v>
      </c>
      <c r="C603" t="s">
        <v>54</v>
      </c>
      <c r="D603" s="2">
        <v>45747</v>
      </c>
      <c r="E603" s="3">
        <f t="shared" si="9"/>
        <v>45717</v>
      </c>
      <c r="F603" t="s">
        <v>731</v>
      </c>
      <c r="H603" s="4">
        <v>0.04</v>
      </c>
      <c r="I603" t="s">
        <v>31</v>
      </c>
      <c r="J603" t="s">
        <v>296</v>
      </c>
      <c r="L603" s="2">
        <v>45717</v>
      </c>
      <c r="M603" t="s">
        <v>296</v>
      </c>
      <c r="N603">
        <v>0</v>
      </c>
      <c r="O603" t="s">
        <v>31</v>
      </c>
      <c r="P603" t="s">
        <v>54</v>
      </c>
      <c r="Q603">
        <v>0</v>
      </c>
    </row>
    <row r="604" spans="1:17" x14ac:dyDescent="0.3">
      <c r="A604" t="s">
        <v>17</v>
      </c>
      <c r="B604">
        <v>65</v>
      </c>
      <c r="C604" t="s">
        <v>54</v>
      </c>
      <c r="D604" s="2">
        <v>45747</v>
      </c>
      <c r="E604" s="3">
        <f t="shared" si="9"/>
        <v>45717</v>
      </c>
      <c r="F604" t="s">
        <v>732</v>
      </c>
      <c r="H604" s="4">
        <v>578.80999999999995</v>
      </c>
      <c r="I604" t="s">
        <v>31</v>
      </c>
      <c r="J604" t="s">
        <v>296</v>
      </c>
      <c r="L604" s="2">
        <v>45717</v>
      </c>
      <c r="M604" t="s">
        <v>296</v>
      </c>
      <c r="N604">
        <v>0</v>
      </c>
      <c r="O604" t="s">
        <v>31</v>
      </c>
      <c r="P604" t="s">
        <v>54</v>
      </c>
      <c r="Q604">
        <v>0</v>
      </c>
    </row>
    <row r="605" spans="1:17" x14ac:dyDescent="0.3">
      <c r="A605" t="s">
        <v>17</v>
      </c>
      <c r="B605">
        <v>65</v>
      </c>
      <c r="C605" t="s">
        <v>54</v>
      </c>
      <c r="D605" s="2">
        <v>45747</v>
      </c>
      <c r="E605" s="3">
        <f t="shared" si="9"/>
        <v>45717</v>
      </c>
      <c r="F605" t="s">
        <v>732</v>
      </c>
      <c r="H605" s="4">
        <v>23940.66</v>
      </c>
      <c r="I605" t="s">
        <v>31</v>
      </c>
      <c r="J605" t="s">
        <v>296</v>
      </c>
      <c r="L605" s="2">
        <v>45717</v>
      </c>
      <c r="M605" t="s">
        <v>296</v>
      </c>
      <c r="N605">
        <v>0</v>
      </c>
      <c r="O605" t="s">
        <v>31</v>
      </c>
      <c r="P605" t="s">
        <v>54</v>
      </c>
      <c r="Q605">
        <v>0</v>
      </c>
    </row>
    <row r="606" spans="1:17" x14ac:dyDescent="0.3">
      <c r="A606" t="s">
        <v>17</v>
      </c>
      <c r="B606">
        <v>69</v>
      </c>
      <c r="C606" t="s">
        <v>297</v>
      </c>
      <c r="D606" s="2">
        <v>45747</v>
      </c>
      <c r="E606" s="3">
        <f t="shared" si="9"/>
        <v>45717</v>
      </c>
      <c r="F606" t="s">
        <v>733</v>
      </c>
      <c r="H606" s="4">
        <v>1954.72</v>
      </c>
      <c r="I606" t="s">
        <v>31</v>
      </c>
      <c r="J606" t="s">
        <v>299</v>
      </c>
      <c r="K606" t="s">
        <v>300</v>
      </c>
      <c r="L606" s="2">
        <v>45717</v>
      </c>
      <c r="M606" t="s">
        <v>301</v>
      </c>
      <c r="N606">
        <v>0</v>
      </c>
      <c r="O606" t="s">
        <v>31</v>
      </c>
      <c r="P606" t="s">
        <v>297</v>
      </c>
      <c r="Q606">
        <v>0</v>
      </c>
    </row>
    <row r="607" spans="1:17" x14ac:dyDescent="0.3">
      <c r="A607" t="s">
        <v>17</v>
      </c>
      <c r="B607">
        <v>67</v>
      </c>
      <c r="C607" t="s">
        <v>28</v>
      </c>
      <c r="D607" s="2">
        <v>45747</v>
      </c>
      <c r="E607" s="3">
        <f t="shared" si="9"/>
        <v>45717</v>
      </c>
      <c r="F607" t="s">
        <v>734</v>
      </c>
      <c r="H607" s="4">
        <v>226.82</v>
      </c>
      <c r="I607" t="s">
        <v>31</v>
      </c>
      <c r="J607" t="s">
        <v>74</v>
      </c>
      <c r="K607" t="s">
        <v>355</v>
      </c>
      <c r="L607" s="2">
        <v>45717</v>
      </c>
      <c r="M607" t="s">
        <v>76</v>
      </c>
      <c r="N607">
        <v>0</v>
      </c>
      <c r="O607" t="s">
        <v>31</v>
      </c>
      <c r="P607" t="s">
        <v>28</v>
      </c>
      <c r="Q607">
        <v>0</v>
      </c>
    </row>
    <row r="608" spans="1:17" x14ac:dyDescent="0.3">
      <c r="A608" t="s">
        <v>17</v>
      </c>
      <c r="B608">
        <v>67</v>
      </c>
      <c r="C608" t="s">
        <v>28</v>
      </c>
      <c r="D608" s="2">
        <v>45747</v>
      </c>
      <c r="E608" s="3">
        <f t="shared" si="9"/>
        <v>45717</v>
      </c>
      <c r="F608" t="s">
        <v>735</v>
      </c>
      <c r="H608" s="4">
        <v>862.84</v>
      </c>
      <c r="I608" t="s">
        <v>31</v>
      </c>
      <c r="J608" t="s">
        <v>74</v>
      </c>
      <c r="K608" t="s">
        <v>541</v>
      </c>
      <c r="L608" s="2">
        <v>45717</v>
      </c>
      <c r="M608" t="s">
        <v>76</v>
      </c>
      <c r="N608">
        <v>0</v>
      </c>
      <c r="O608" t="s">
        <v>31</v>
      </c>
      <c r="P608" t="s">
        <v>28</v>
      </c>
      <c r="Q608">
        <v>0</v>
      </c>
    </row>
    <row r="609" spans="1:17" x14ac:dyDescent="0.3">
      <c r="A609" t="s">
        <v>17</v>
      </c>
      <c r="B609">
        <v>67</v>
      </c>
      <c r="C609" t="s">
        <v>28</v>
      </c>
      <c r="D609" s="2">
        <v>45747</v>
      </c>
      <c r="E609" s="3">
        <f t="shared" si="9"/>
        <v>45717</v>
      </c>
      <c r="F609" t="s">
        <v>736</v>
      </c>
      <c r="H609" s="4">
        <v>1678</v>
      </c>
      <c r="I609" t="s">
        <v>31</v>
      </c>
      <c r="J609" t="s">
        <v>74</v>
      </c>
      <c r="K609" t="s">
        <v>303</v>
      </c>
      <c r="L609" s="2">
        <v>45717</v>
      </c>
      <c r="M609" t="s">
        <v>76</v>
      </c>
      <c r="N609">
        <v>0</v>
      </c>
      <c r="O609" t="s">
        <v>31</v>
      </c>
      <c r="P609" t="s">
        <v>28</v>
      </c>
      <c r="Q609">
        <v>0</v>
      </c>
    </row>
    <row r="610" spans="1:17" x14ac:dyDescent="0.3">
      <c r="A610" t="s">
        <v>17</v>
      </c>
      <c r="B610">
        <v>67</v>
      </c>
      <c r="C610" t="s">
        <v>28</v>
      </c>
      <c r="D610" s="2">
        <v>45747</v>
      </c>
      <c r="E610" s="3">
        <f t="shared" si="9"/>
        <v>45717</v>
      </c>
      <c r="F610" t="s">
        <v>737</v>
      </c>
      <c r="H610" s="4">
        <v>2721.88</v>
      </c>
      <c r="I610" t="s">
        <v>31</v>
      </c>
      <c r="J610" t="s">
        <v>74</v>
      </c>
      <c r="K610" t="s">
        <v>307</v>
      </c>
      <c r="L610" s="2">
        <v>45717</v>
      </c>
      <c r="M610" t="s">
        <v>76</v>
      </c>
      <c r="N610">
        <v>0</v>
      </c>
      <c r="O610" t="s">
        <v>31</v>
      </c>
      <c r="P610" t="s">
        <v>28</v>
      </c>
      <c r="Q610">
        <v>0</v>
      </c>
    </row>
    <row r="611" spans="1:17" x14ac:dyDescent="0.3">
      <c r="A611" t="s">
        <v>17</v>
      </c>
      <c r="B611">
        <v>67</v>
      </c>
      <c r="C611" t="s">
        <v>28</v>
      </c>
      <c r="D611" s="2">
        <v>45747</v>
      </c>
      <c r="E611" s="3">
        <f t="shared" si="9"/>
        <v>45717</v>
      </c>
      <c r="F611" t="s">
        <v>738</v>
      </c>
      <c r="H611" s="4">
        <v>13.65</v>
      </c>
      <c r="I611" t="s">
        <v>31</v>
      </c>
      <c r="J611" t="s">
        <v>74</v>
      </c>
      <c r="K611" t="s">
        <v>739</v>
      </c>
      <c r="L611" s="2">
        <v>45717</v>
      </c>
      <c r="M611" t="s">
        <v>76</v>
      </c>
      <c r="N611">
        <v>0</v>
      </c>
      <c r="O611" t="s">
        <v>31</v>
      </c>
      <c r="P611" t="s">
        <v>28</v>
      </c>
      <c r="Q611">
        <v>0</v>
      </c>
    </row>
    <row r="612" spans="1:17" x14ac:dyDescent="0.3">
      <c r="A612" t="s">
        <v>17</v>
      </c>
      <c r="B612">
        <v>67</v>
      </c>
      <c r="C612" t="s">
        <v>28</v>
      </c>
      <c r="D612" s="2">
        <v>45747</v>
      </c>
      <c r="E612" s="3">
        <f t="shared" si="9"/>
        <v>45717</v>
      </c>
      <c r="F612" t="s">
        <v>740</v>
      </c>
      <c r="H612" s="4">
        <v>1302.3800000000001</v>
      </c>
      <c r="I612" t="s">
        <v>31</v>
      </c>
      <c r="J612" t="s">
        <v>74</v>
      </c>
      <c r="K612" t="s">
        <v>741</v>
      </c>
      <c r="L612" s="2">
        <v>45717</v>
      </c>
      <c r="M612" t="s">
        <v>76</v>
      </c>
      <c r="N612">
        <v>0</v>
      </c>
      <c r="O612" t="s">
        <v>31</v>
      </c>
      <c r="P612" t="s">
        <v>28</v>
      </c>
      <c r="Q612">
        <v>0</v>
      </c>
    </row>
    <row r="613" spans="1:17" x14ac:dyDescent="0.3">
      <c r="A613" t="s">
        <v>17</v>
      </c>
      <c r="B613">
        <v>67</v>
      </c>
      <c r="C613" t="s">
        <v>28</v>
      </c>
      <c r="D613" s="2">
        <v>45747</v>
      </c>
      <c r="E613" s="3">
        <f t="shared" si="9"/>
        <v>45717</v>
      </c>
      <c r="F613" t="s">
        <v>742</v>
      </c>
      <c r="H613" s="4">
        <v>2268.2199999999998</v>
      </c>
      <c r="I613" t="s">
        <v>47</v>
      </c>
      <c r="J613" t="s">
        <v>74</v>
      </c>
      <c r="K613" t="s">
        <v>743</v>
      </c>
      <c r="L613" s="2">
        <v>45717</v>
      </c>
      <c r="M613" t="s">
        <v>76</v>
      </c>
      <c r="N613">
        <v>0</v>
      </c>
      <c r="O613" t="s">
        <v>26</v>
      </c>
      <c r="P613" t="s">
        <v>28</v>
      </c>
      <c r="Q613">
        <v>0</v>
      </c>
    </row>
    <row r="614" spans="1:17" x14ac:dyDescent="0.3">
      <c r="A614" t="s">
        <v>17</v>
      </c>
      <c r="B614">
        <v>67</v>
      </c>
      <c r="C614" t="s">
        <v>28</v>
      </c>
      <c r="D614" s="2">
        <v>45747</v>
      </c>
      <c r="E614" s="3">
        <f t="shared" si="9"/>
        <v>45717</v>
      </c>
      <c r="F614" t="s">
        <v>744</v>
      </c>
      <c r="H614" s="4">
        <v>664.16</v>
      </c>
      <c r="I614" t="s">
        <v>31</v>
      </c>
      <c r="J614" t="s">
        <v>74</v>
      </c>
      <c r="K614" t="s">
        <v>745</v>
      </c>
      <c r="L614" s="2">
        <v>45717</v>
      </c>
      <c r="M614" t="s">
        <v>76</v>
      </c>
      <c r="N614">
        <v>0</v>
      </c>
      <c r="O614" t="s">
        <v>31</v>
      </c>
      <c r="P614" t="s">
        <v>28</v>
      </c>
      <c r="Q614">
        <v>0</v>
      </c>
    </row>
    <row r="615" spans="1:17" x14ac:dyDescent="0.3">
      <c r="A615" t="s">
        <v>17</v>
      </c>
      <c r="B615">
        <v>67</v>
      </c>
      <c r="C615" t="s">
        <v>28</v>
      </c>
      <c r="D615" s="2">
        <v>45747</v>
      </c>
      <c r="E615" s="3">
        <f t="shared" si="9"/>
        <v>45717</v>
      </c>
      <c r="F615" t="s">
        <v>746</v>
      </c>
      <c r="H615" s="4">
        <v>2198.19</v>
      </c>
      <c r="I615" t="s">
        <v>31</v>
      </c>
      <c r="J615" t="s">
        <v>74</v>
      </c>
      <c r="K615" t="s">
        <v>747</v>
      </c>
      <c r="L615" s="2">
        <v>45717</v>
      </c>
      <c r="M615" t="s">
        <v>76</v>
      </c>
      <c r="N615">
        <v>0</v>
      </c>
      <c r="O615" t="s">
        <v>31</v>
      </c>
      <c r="P615" t="s">
        <v>28</v>
      </c>
      <c r="Q615">
        <v>0</v>
      </c>
    </row>
    <row r="616" spans="1:17" x14ac:dyDescent="0.3">
      <c r="A616" t="s">
        <v>17</v>
      </c>
      <c r="B616">
        <v>67</v>
      </c>
      <c r="C616" t="s">
        <v>28</v>
      </c>
      <c r="D616" s="2">
        <v>45747</v>
      </c>
      <c r="E616" s="3">
        <f t="shared" si="9"/>
        <v>45717</v>
      </c>
      <c r="F616" t="s">
        <v>748</v>
      </c>
      <c r="H616" s="4">
        <v>9.99</v>
      </c>
      <c r="I616" t="s">
        <v>31</v>
      </c>
      <c r="J616" t="s">
        <v>74</v>
      </c>
      <c r="K616" t="s">
        <v>315</v>
      </c>
      <c r="L616" s="2">
        <v>45717</v>
      </c>
      <c r="M616" t="s">
        <v>76</v>
      </c>
      <c r="N616">
        <v>0</v>
      </c>
      <c r="O616" t="s">
        <v>31</v>
      </c>
      <c r="P616" t="s">
        <v>28</v>
      </c>
      <c r="Q616">
        <v>0</v>
      </c>
    </row>
    <row r="617" spans="1:17" x14ac:dyDescent="0.3">
      <c r="A617" t="s">
        <v>17</v>
      </c>
      <c r="B617">
        <v>66</v>
      </c>
      <c r="C617" t="s">
        <v>134</v>
      </c>
      <c r="D617" s="2">
        <v>45747</v>
      </c>
      <c r="E617" s="3">
        <f t="shared" si="9"/>
        <v>45717</v>
      </c>
      <c r="F617" t="s">
        <v>749</v>
      </c>
      <c r="H617" s="4">
        <v>1000</v>
      </c>
      <c r="I617" t="s">
        <v>108</v>
      </c>
      <c r="J617" t="s">
        <v>255</v>
      </c>
      <c r="K617" t="s">
        <v>750</v>
      </c>
      <c r="L617" s="2">
        <v>45717</v>
      </c>
      <c r="M617" t="s">
        <v>257</v>
      </c>
      <c r="N617">
        <v>0</v>
      </c>
      <c r="O617" t="s">
        <v>111</v>
      </c>
      <c r="P617" t="s">
        <v>134</v>
      </c>
      <c r="Q617">
        <v>0</v>
      </c>
    </row>
    <row r="618" spans="1:17" x14ac:dyDescent="0.3">
      <c r="A618" t="s">
        <v>17</v>
      </c>
      <c r="B618">
        <v>68</v>
      </c>
      <c r="C618" t="s">
        <v>34</v>
      </c>
      <c r="D618" s="2">
        <v>45747</v>
      </c>
      <c r="E618" s="3">
        <f t="shared" si="9"/>
        <v>45717</v>
      </c>
      <c r="F618" t="s">
        <v>751</v>
      </c>
      <c r="H618" s="4">
        <v>0</v>
      </c>
      <c r="I618" t="s">
        <v>21</v>
      </c>
      <c r="J618" t="s">
        <v>79</v>
      </c>
      <c r="K618" t="s">
        <v>320</v>
      </c>
      <c r="L618" s="2">
        <v>45717</v>
      </c>
      <c r="M618" t="s">
        <v>79</v>
      </c>
      <c r="N618" t="s">
        <v>25</v>
      </c>
      <c r="O618" t="s">
        <v>81</v>
      </c>
      <c r="P618" t="s">
        <v>34</v>
      </c>
      <c r="Q618">
        <v>0</v>
      </c>
    </row>
    <row r="619" spans="1:17" x14ac:dyDescent="0.3">
      <c r="A619" t="s">
        <v>17</v>
      </c>
      <c r="B619">
        <v>63</v>
      </c>
      <c r="C619" t="s">
        <v>18</v>
      </c>
      <c r="D619" s="2">
        <v>45747</v>
      </c>
      <c r="E619" s="3">
        <f t="shared" si="9"/>
        <v>45717</v>
      </c>
      <c r="F619" t="s">
        <v>752</v>
      </c>
      <c r="H619" s="4">
        <v>50000</v>
      </c>
      <c r="I619" t="s">
        <v>47</v>
      </c>
      <c r="J619" t="s">
        <v>272</v>
      </c>
      <c r="K619" t="s">
        <v>753</v>
      </c>
      <c r="L619" s="2">
        <v>45717</v>
      </c>
      <c r="M619" t="s">
        <v>272</v>
      </c>
      <c r="N619">
        <v>0</v>
      </c>
      <c r="O619" t="s">
        <v>26</v>
      </c>
      <c r="P619" t="s">
        <v>18</v>
      </c>
      <c r="Q619" t="s">
        <v>274</v>
      </c>
    </row>
    <row r="620" spans="1:17" x14ac:dyDescent="0.3">
      <c r="A620" t="s">
        <v>17</v>
      </c>
      <c r="B620">
        <v>63</v>
      </c>
      <c r="C620" t="s">
        <v>18</v>
      </c>
      <c r="D620" s="2">
        <v>45747</v>
      </c>
      <c r="E620" s="3">
        <f t="shared" si="9"/>
        <v>45717</v>
      </c>
      <c r="F620" t="s">
        <v>754</v>
      </c>
      <c r="H620" s="4">
        <v>29993.75</v>
      </c>
      <c r="I620" t="s">
        <v>47</v>
      </c>
      <c r="J620" t="s">
        <v>272</v>
      </c>
      <c r="K620" t="s">
        <v>755</v>
      </c>
      <c r="L620" s="2">
        <v>45717</v>
      </c>
      <c r="M620" t="s">
        <v>272</v>
      </c>
      <c r="N620">
        <v>0</v>
      </c>
      <c r="O620" t="s">
        <v>26</v>
      </c>
      <c r="P620" t="s">
        <v>18</v>
      </c>
      <c r="Q620" t="s">
        <v>274</v>
      </c>
    </row>
    <row r="621" spans="1:17" x14ac:dyDescent="0.3">
      <c r="A621" t="s">
        <v>17</v>
      </c>
      <c r="B621">
        <v>63</v>
      </c>
      <c r="C621" t="s">
        <v>18</v>
      </c>
      <c r="D621" s="2">
        <v>45747</v>
      </c>
      <c r="E621" s="3">
        <f t="shared" si="9"/>
        <v>45717</v>
      </c>
      <c r="F621" t="s">
        <v>756</v>
      </c>
      <c r="H621" s="4">
        <v>17399.95</v>
      </c>
      <c r="I621" t="s">
        <v>47</v>
      </c>
      <c r="J621" t="s">
        <v>326</v>
      </c>
      <c r="K621" t="s">
        <v>757</v>
      </c>
      <c r="L621" s="2">
        <v>45717</v>
      </c>
      <c r="M621" t="s">
        <v>328</v>
      </c>
      <c r="N621">
        <v>0</v>
      </c>
      <c r="O621" t="s">
        <v>26</v>
      </c>
      <c r="P621" t="s">
        <v>18</v>
      </c>
      <c r="Q621" t="s">
        <v>329</v>
      </c>
    </row>
    <row r="622" spans="1:17" x14ac:dyDescent="0.3">
      <c r="A622" t="s">
        <v>17</v>
      </c>
      <c r="B622">
        <v>66</v>
      </c>
      <c r="C622" t="s">
        <v>134</v>
      </c>
      <c r="D622" s="2">
        <v>45747</v>
      </c>
      <c r="E622" s="3">
        <f t="shared" si="9"/>
        <v>45717</v>
      </c>
      <c r="F622" t="s">
        <v>758</v>
      </c>
      <c r="H622" s="4">
        <v>980.96</v>
      </c>
      <c r="I622" t="s">
        <v>47</v>
      </c>
      <c r="J622" t="s">
        <v>223</v>
      </c>
      <c r="K622" t="s">
        <v>759</v>
      </c>
      <c r="L622" s="2">
        <v>45717</v>
      </c>
      <c r="M622" t="s">
        <v>223</v>
      </c>
      <c r="N622">
        <v>0</v>
      </c>
      <c r="O622" t="s">
        <v>111</v>
      </c>
      <c r="P622" t="s">
        <v>134</v>
      </c>
      <c r="Q622">
        <v>0</v>
      </c>
    </row>
    <row r="623" spans="1:17" x14ac:dyDescent="0.3">
      <c r="A623" t="s">
        <v>17</v>
      </c>
      <c r="B623">
        <v>65</v>
      </c>
      <c r="C623" t="s">
        <v>54</v>
      </c>
      <c r="D623" s="2">
        <v>45747</v>
      </c>
      <c r="E623" s="3">
        <f t="shared" si="9"/>
        <v>45717</v>
      </c>
      <c r="F623" t="s">
        <v>732</v>
      </c>
      <c r="H623" s="4">
        <v>-606</v>
      </c>
      <c r="I623" t="s">
        <v>31</v>
      </c>
      <c r="J623" t="s">
        <v>155</v>
      </c>
      <c r="L623" s="2">
        <v>45717</v>
      </c>
      <c r="M623" t="s">
        <v>155</v>
      </c>
      <c r="N623">
        <v>0</v>
      </c>
      <c r="O623" t="s">
        <v>31</v>
      </c>
      <c r="P623" t="s">
        <v>54</v>
      </c>
      <c r="Q623">
        <v>0</v>
      </c>
    </row>
    <row r="624" spans="1:17" x14ac:dyDescent="0.3">
      <c r="A624" t="s">
        <v>17</v>
      </c>
      <c r="B624">
        <v>67</v>
      </c>
      <c r="C624" t="s">
        <v>28</v>
      </c>
      <c r="D624" s="2">
        <v>45747</v>
      </c>
      <c r="E624" s="3">
        <f t="shared" si="9"/>
        <v>45717</v>
      </c>
      <c r="F624" t="s">
        <v>760</v>
      </c>
      <c r="H624" s="4">
        <v>-41.03</v>
      </c>
      <c r="I624" t="s">
        <v>31</v>
      </c>
      <c r="J624" t="s">
        <v>60</v>
      </c>
      <c r="L624" s="2">
        <v>45717</v>
      </c>
      <c r="M624" t="s">
        <v>60</v>
      </c>
      <c r="N624">
        <v>0</v>
      </c>
      <c r="O624" t="s">
        <v>31</v>
      </c>
      <c r="P624" t="s">
        <v>28</v>
      </c>
      <c r="Q624">
        <v>0</v>
      </c>
    </row>
    <row r="625" spans="1:17" x14ac:dyDescent="0.3">
      <c r="A625" t="s">
        <v>17</v>
      </c>
      <c r="B625">
        <v>67</v>
      </c>
      <c r="C625" t="s">
        <v>28</v>
      </c>
      <c r="D625" s="2">
        <v>45747</v>
      </c>
      <c r="E625" s="3">
        <f t="shared" si="9"/>
        <v>45717</v>
      </c>
      <c r="F625" t="s">
        <v>760</v>
      </c>
      <c r="H625" s="4">
        <v>-13.63</v>
      </c>
      <c r="I625" t="s">
        <v>31</v>
      </c>
      <c r="J625" t="s">
        <v>60</v>
      </c>
      <c r="L625" s="2">
        <v>45717</v>
      </c>
      <c r="M625" t="s">
        <v>60</v>
      </c>
      <c r="N625">
        <v>0</v>
      </c>
      <c r="O625" t="s">
        <v>31</v>
      </c>
      <c r="P625" t="s">
        <v>28</v>
      </c>
      <c r="Q625">
        <v>0</v>
      </c>
    </row>
    <row r="626" spans="1:17" x14ac:dyDescent="0.3">
      <c r="A626" t="s">
        <v>17</v>
      </c>
      <c r="B626">
        <v>67</v>
      </c>
      <c r="C626" t="s">
        <v>28</v>
      </c>
      <c r="D626" s="2">
        <v>45747</v>
      </c>
      <c r="E626" s="3">
        <f t="shared" si="9"/>
        <v>45717</v>
      </c>
      <c r="F626" t="s">
        <v>760</v>
      </c>
      <c r="H626" s="4">
        <v>-85.98</v>
      </c>
      <c r="I626" t="s">
        <v>31</v>
      </c>
      <c r="J626" t="s">
        <v>60</v>
      </c>
      <c r="L626" s="2">
        <v>45717</v>
      </c>
      <c r="M626" t="s">
        <v>60</v>
      </c>
      <c r="N626">
        <v>0</v>
      </c>
      <c r="O626" t="s">
        <v>31</v>
      </c>
      <c r="P626" t="s">
        <v>28</v>
      </c>
      <c r="Q626">
        <v>0</v>
      </c>
    </row>
    <row r="627" spans="1:17" x14ac:dyDescent="0.3">
      <c r="A627" t="s">
        <v>17</v>
      </c>
      <c r="B627">
        <v>67</v>
      </c>
      <c r="C627" t="s">
        <v>28</v>
      </c>
      <c r="D627" s="2">
        <v>45747</v>
      </c>
      <c r="E627" s="3">
        <f t="shared" si="9"/>
        <v>45717</v>
      </c>
      <c r="F627" t="s">
        <v>760</v>
      </c>
      <c r="H627" s="4">
        <v>-20.100000000000001</v>
      </c>
      <c r="I627" t="s">
        <v>31</v>
      </c>
      <c r="J627" t="s">
        <v>60</v>
      </c>
      <c r="L627" s="2">
        <v>45717</v>
      </c>
      <c r="M627" t="s">
        <v>60</v>
      </c>
      <c r="N627">
        <v>0</v>
      </c>
      <c r="O627" t="s">
        <v>31</v>
      </c>
      <c r="P627" t="s">
        <v>28</v>
      </c>
      <c r="Q627">
        <v>0</v>
      </c>
    </row>
    <row r="628" spans="1:17" x14ac:dyDescent="0.3">
      <c r="A628" t="s">
        <v>17</v>
      </c>
      <c r="B628">
        <v>67</v>
      </c>
      <c r="C628" t="s">
        <v>28</v>
      </c>
      <c r="D628" s="2">
        <v>45747</v>
      </c>
      <c r="E628" s="3">
        <f t="shared" si="9"/>
        <v>45717</v>
      </c>
      <c r="F628" t="s">
        <v>760</v>
      </c>
      <c r="H628" s="4">
        <v>-48.93</v>
      </c>
      <c r="I628" t="s">
        <v>31</v>
      </c>
      <c r="J628" t="s">
        <v>60</v>
      </c>
      <c r="L628" s="2">
        <v>45717</v>
      </c>
      <c r="M628" t="s">
        <v>60</v>
      </c>
      <c r="N628">
        <v>0</v>
      </c>
      <c r="O628" t="s">
        <v>31</v>
      </c>
      <c r="P628" t="s">
        <v>28</v>
      </c>
      <c r="Q628">
        <v>0</v>
      </c>
    </row>
    <row r="629" spans="1:17" x14ac:dyDescent="0.3">
      <c r="A629" t="s">
        <v>17</v>
      </c>
      <c r="B629">
        <v>67</v>
      </c>
      <c r="C629" t="s">
        <v>28</v>
      </c>
      <c r="D629" s="2">
        <v>45747</v>
      </c>
      <c r="E629" s="3">
        <f t="shared" si="9"/>
        <v>45717</v>
      </c>
      <c r="F629" t="s">
        <v>760</v>
      </c>
      <c r="H629" s="4">
        <v>-47.52</v>
      </c>
      <c r="I629" t="s">
        <v>31</v>
      </c>
      <c r="J629" t="s">
        <v>60</v>
      </c>
      <c r="L629" s="2">
        <v>45717</v>
      </c>
      <c r="M629" t="s">
        <v>60</v>
      </c>
      <c r="N629">
        <v>0</v>
      </c>
      <c r="O629" t="s">
        <v>31</v>
      </c>
      <c r="P629" t="s">
        <v>28</v>
      </c>
      <c r="Q629">
        <v>0</v>
      </c>
    </row>
    <row r="630" spans="1:17" x14ac:dyDescent="0.3">
      <c r="A630" t="s">
        <v>17</v>
      </c>
      <c r="B630">
        <v>67</v>
      </c>
      <c r="C630" t="s">
        <v>28</v>
      </c>
      <c r="D630" s="2">
        <v>45747</v>
      </c>
      <c r="E630" s="3">
        <f t="shared" si="9"/>
        <v>45717</v>
      </c>
      <c r="F630" t="s">
        <v>760</v>
      </c>
      <c r="H630" s="4">
        <v>-97.89</v>
      </c>
      <c r="I630" t="s">
        <v>31</v>
      </c>
      <c r="J630" t="s">
        <v>60</v>
      </c>
      <c r="L630" s="2">
        <v>45717</v>
      </c>
      <c r="M630" t="s">
        <v>60</v>
      </c>
      <c r="N630">
        <v>0</v>
      </c>
      <c r="O630" t="s">
        <v>31</v>
      </c>
      <c r="P630" t="s">
        <v>28</v>
      </c>
      <c r="Q630">
        <v>0</v>
      </c>
    </row>
    <row r="631" spans="1:17" x14ac:dyDescent="0.3">
      <c r="A631" t="s">
        <v>17</v>
      </c>
      <c r="B631">
        <v>67</v>
      </c>
      <c r="C631" t="s">
        <v>28</v>
      </c>
      <c r="D631" s="2">
        <v>45747</v>
      </c>
      <c r="E631" s="3">
        <f t="shared" si="9"/>
        <v>45717</v>
      </c>
      <c r="F631" t="s">
        <v>760</v>
      </c>
      <c r="H631" s="4">
        <v>-45.89</v>
      </c>
      <c r="I631" t="s">
        <v>31</v>
      </c>
      <c r="J631" t="s">
        <v>60</v>
      </c>
      <c r="L631" s="2">
        <v>45717</v>
      </c>
      <c r="M631" t="s">
        <v>60</v>
      </c>
      <c r="N631">
        <v>0</v>
      </c>
      <c r="O631" t="s">
        <v>31</v>
      </c>
      <c r="P631" t="s">
        <v>28</v>
      </c>
      <c r="Q631">
        <v>0</v>
      </c>
    </row>
    <row r="632" spans="1:17" x14ac:dyDescent="0.3">
      <c r="A632" t="s">
        <v>17</v>
      </c>
      <c r="B632">
        <v>67</v>
      </c>
      <c r="C632" t="s">
        <v>28</v>
      </c>
      <c r="D632" s="2">
        <v>45747</v>
      </c>
      <c r="E632" s="3">
        <f t="shared" si="9"/>
        <v>45717</v>
      </c>
      <c r="F632" t="s">
        <v>761</v>
      </c>
      <c r="H632" s="4">
        <v>3187.5</v>
      </c>
      <c r="I632" t="s">
        <v>31</v>
      </c>
      <c r="J632" t="s">
        <v>60</v>
      </c>
      <c r="K632" t="s">
        <v>339</v>
      </c>
      <c r="L632" s="2">
        <v>45717</v>
      </c>
      <c r="M632" t="s">
        <v>60</v>
      </c>
      <c r="N632">
        <v>0</v>
      </c>
      <c r="O632" t="s">
        <v>31</v>
      </c>
      <c r="P632" t="s">
        <v>28</v>
      </c>
      <c r="Q632">
        <v>0</v>
      </c>
    </row>
    <row r="633" spans="1:17" x14ac:dyDescent="0.3">
      <c r="A633" t="s">
        <v>17</v>
      </c>
      <c r="B633">
        <v>67</v>
      </c>
      <c r="C633" t="s">
        <v>28</v>
      </c>
      <c r="D633" s="2">
        <v>45747</v>
      </c>
      <c r="E633" s="3">
        <f t="shared" si="9"/>
        <v>45717</v>
      </c>
      <c r="F633" t="s">
        <v>762</v>
      </c>
      <c r="H633" s="4">
        <v>501.9</v>
      </c>
      <c r="I633" t="s">
        <v>31</v>
      </c>
      <c r="J633" t="s">
        <v>60</v>
      </c>
      <c r="K633" t="s">
        <v>342</v>
      </c>
      <c r="L633" s="2">
        <v>45717</v>
      </c>
      <c r="M633" t="s">
        <v>60</v>
      </c>
      <c r="N633">
        <v>0</v>
      </c>
      <c r="O633" t="s">
        <v>31</v>
      </c>
      <c r="P633" t="s">
        <v>28</v>
      </c>
      <c r="Q633">
        <v>0</v>
      </c>
    </row>
    <row r="634" spans="1:17" x14ac:dyDescent="0.3">
      <c r="A634" t="s">
        <v>17</v>
      </c>
      <c r="B634">
        <v>68</v>
      </c>
      <c r="C634" t="s">
        <v>34</v>
      </c>
      <c r="D634" s="2">
        <v>45747</v>
      </c>
      <c r="E634" s="3">
        <f t="shared" si="9"/>
        <v>45717</v>
      </c>
      <c r="F634" t="s">
        <v>763</v>
      </c>
      <c r="H634" s="4">
        <v>300.64999999999998</v>
      </c>
      <c r="I634" t="s">
        <v>31</v>
      </c>
      <c r="J634" t="s">
        <v>37</v>
      </c>
      <c r="K634" t="s">
        <v>764</v>
      </c>
      <c r="L634" s="2">
        <v>45717</v>
      </c>
      <c r="M634" t="s">
        <v>37</v>
      </c>
      <c r="N634">
        <v>0</v>
      </c>
      <c r="O634" t="s">
        <v>31</v>
      </c>
      <c r="P634" t="s">
        <v>34</v>
      </c>
      <c r="Q634">
        <v>0</v>
      </c>
    </row>
    <row r="635" spans="1:17" x14ac:dyDescent="0.3">
      <c r="A635" t="s">
        <v>17</v>
      </c>
      <c r="B635">
        <v>69</v>
      </c>
      <c r="C635" t="s">
        <v>297</v>
      </c>
      <c r="D635" s="2">
        <v>45747</v>
      </c>
      <c r="E635" s="3">
        <f t="shared" si="9"/>
        <v>45717</v>
      </c>
      <c r="F635" t="s">
        <v>765</v>
      </c>
      <c r="H635" s="4">
        <v>66.72</v>
      </c>
      <c r="I635" t="s">
        <v>159</v>
      </c>
      <c r="J635" t="s">
        <v>346</v>
      </c>
      <c r="L635" s="2">
        <v>45717</v>
      </c>
      <c r="M635" t="s">
        <v>347</v>
      </c>
      <c r="N635">
        <v>0</v>
      </c>
      <c r="O635" t="s">
        <v>159</v>
      </c>
      <c r="P635" t="s">
        <v>297</v>
      </c>
      <c r="Q635">
        <v>0</v>
      </c>
    </row>
    <row r="636" spans="1:17" x14ac:dyDescent="0.3">
      <c r="A636" t="s">
        <v>17</v>
      </c>
      <c r="B636">
        <v>69</v>
      </c>
      <c r="C636" t="s">
        <v>297</v>
      </c>
      <c r="D636" s="2">
        <v>45747</v>
      </c>
      <c r="E636" s="3">
        <f t="shared" si="9"/>
        <v>45717</v>
      </c>
      <c r="F636" t="s">
        <v>765</v>
      </c>
      <c r="H636" s="4">
        <v>96.22</v>
      </c>
      <c r="I636" t="s">
        <v>137</v>
      </c>
      <c r="J636" t="s">
        <v>346</v>
      </c>
      <c r="L636" s="2">
        <v>45717</v>
      </c>
      <c r="M636" t="s">
        <v>347</v>
      </c>
      <c r="N636" t="s">
        <v>141</v>
      </c>
      <c r="O636" t="s">
        <v>141</v>
      </c>
      <c r="P636" t="s">
        <v>297</v>
      </c>
      <c r="Q636">
        <v>0</v>
      </c>
    </row>
    <row r="637" spans="1:17" x14ac:dyDescent="0.3">
      <c r="A637" t="s">
        <v>17</v>
      </c>
      <c r="B637">
        <v>69</v>
      </c>
      <c r="C637" t="s">
        <v>297</v>
      </c>
      <c r="D637" s="2">
        <v>45747</v>
      </c>
      <c r="E637" s="3">
        <f t="shared" si="9"/>
        <v>45717</v>
      </c>
      <c r="F637" t="s">
        <v>765</v>
      </c>
      <c r="H637" s="4">
        <v>73.010000000000005</v>
      </c>
      <c r="I637" t="s">
        <v>21</v>
      </c>
      <c r="J637" t="s">
        <v>346</v>
      </c>
      <c r="L637" s="2">
        <v>45717</v>
      </c>
      <c r="M637" t="s">
        <v>347</v>
      </c>
      <c r="N637" t="s">
        <v>25</v>
      </c>
      <c r="O637" t="s">
        <v>81</v>
      </c>
      <c r="P637" t="s">
        <v>297</v>
      </c>
      <c r="Q637">
        <v>0</v>
      </c>
    </row>
    <row r="638" spans="1:17" x14ac:dyDescent="0.3">
      <c r="A638" t="s">
        <v>17</v>
      </c>
      <c r="B638">
        <v>69</v>
      </c>
      <c r="C638" t="s">
        <v>297</v>
      </c>
      <c r="D638" s="2">
        <v>45747</v>
      </c>
      <c r="E638" s="3">
        <f t="shared" si="9"/>
        <v>45717</v>
      </c>
      <c r="F638" t="s">
        <v>765</v>
      </c>
      <c r="H638" s="4">
        <v>83.41</v>
      </c>
      <c r="I638" t="s">
        <v>108</v>
      </c>
      <c r="J638" t="s">
        <v>346</v>
      </c>
      <c r="L638" s="2">
        <v>45717</v>
      </c>
      <c r="M638" t="s">
        <v>347</v>
      </c>
      <c r="N638">
        <v>0</v>
      </c>
      <c r="O638" t="s">
        <v>111</v>
      </c>
      <c r="P638" t="s">
        <v>297</v>
      </c>
      <c r="Q638">
        <v>0</v>
      </c>
    </row>
    <row r="639" spans="1:17" x14ac:dyDescent="0.3">
      <c r="A639" t="s">
        <v>17</v>
      </c>
      <c r="B639">
        <v>69</v>
      </c>
      <c r="C639" t="s">
        <v>297</v>
      </c>
      <c r="D639" s="2">
        <v>45747</v>
      </c>
      <c r="E639" s="3">
        <f t="shared" si="9"/>
        <v>45717</v>
      </c>
      <c r="F639" t="s">
        <v>765</v>
      </c>
      <c r="H639" s="4">
        <v>66.790000000000006</v>
      </c>
      <c r="I639" t="s">
        <v>104</v>
      </c>
      <c r="J639" t="s">
        <v>346</v>
      </c>
      <c r="L639" s="2">
        <v>45717</v>
      </c>
      <c r="M639" t="s">
        <v>347</v>
      </c>
      <c r="N639">
        <v>0</v>
      </c>
      <c r="O639" t="s">
        <v>104</v>
      </c>
      <c r="P639" t="s">
        <v>297</v>
      </c>
      <c r="Q639">
        <v>0</v>
      </c>
    </row>
    <row r="640" spans="1:17" x14ac:dyDescent="0.3">
      <c r="A640" t="s">
        <v>17</v>
      </c>
      <c r="B640">
        <v>69</v>
      </c>
      <c r="C640" t="s">
        <v>297</v>
      </c>
      <c r="D640" s="2">
        <v>45747</v>
      </c>
      <c r="E640" s="3">
        <f t="shared" si="9"/>
        <v>45717</v>
      </c>
      <c r="F640" t="s">
        <v>765</v>
      </c>
      <c r="H640" s="4">
        <v>0</v>
      </c>
      <c r="I640" t="s">
        <v>348</v>
      </c>
      <c r="J640" t="s">
        <v>346</v>
      </c>
      <c r="L640" s="2">
        <v>45717</v>
      </c>
      <c r="M640" t="s">
        <v>347</v>
      </c>
      <c r="N640">
        <v>0</v>
      </c>
      <c r="O640" t="s">
        <v>348</v>
      </c>
      <c r="P640" t="s">
        <v>297</v>
      </c>
      <c r="Q640">
        <v>0</v>
      </c>
    </row>
    <row r="641" spans="1:17" x14ac:dyDescent="0.3">
      <c r="A641" t="s">
        <v>17</v>
      </c>
      <c r="B641">
        <v>69</v>
      </c>
      <c r="C641" t="s">
        <v>297</v>
      </c>
      <c r="D641" s="2">
        <v>45747</v>
      </c>
      <c r="E641" s="3">
        <f t="shared" si="9"/>
        <v>45717</v>
      </c>
      <c r="F641" t="s">
        <v>765</v>
      </c>
      <c r="H641" s="4">
        <v>0</v>
      </c>
      <c r="I641" t="s">
        <v>47</v>
      </c>
      <c r="J641" t="s">
        <v>346</v>
      </c>
      <c r="L641" s="2">
        <v>45717</v>
      </c>
      <c r="M641" t="s">
        <v>347</v>
      </c>
      <c r="N641">
        <v>0</v>
      </c>
      <c r="O641" t="s">
        <v>26</v>
      </c>
      <c r="P641" t="s">
        <v>297</v>
      </c>
      <c r="Q641">
        <v>0</v>
      </c>
    </row>
    <row r="642" spans="1:17" x14ac:dyDescent="0.3">
      <c r="A642" t="s">
        <v>17</v>
      </c>
      <c r="B642">
        <v>69</v>
      </c>
      <c r="C642" t="s">
        <v>297</v>
      </c>
      <c r="D642" s="2">
        <v>45747</v>
      </c>
      <c r="E642" s="3">
        <f t="shared" si="9"/>
        <v>45717</v>
      </c>
      <c r="F642" t="s">
        <v>765</v>
      </c>
      <c r="H642" s="4">
        <v>85.92</v>
      </c>
      <c r="I642" t="s">
        <v>31</v>
      </c>
      <c r="J642" t="s">
        <v>346</v>
      </c>
      <c r="L642" s="2">
        <v>45717</v>
      </c>
      <c r="M642" t="s">
        <v>347</v>
      </c>
      <c r="N642">
        <v>0</v>
      </c>
      <c r="O642" t="s">
        <v>31</v>
      </c>
      <c r="P642" t="s">
        <v>297</v>
      </c>
      <c r="Q642">
        <v>0</v>
      </c>
    </row>
    <row r="643" spans="1:17" x14ac:dyDescent="0.3">
      <c r="A643" t="s">
        <v>17</v>
      </c>
      <c r="B643">
        <v>69</v>
      </c>
      <c r="C643" t="s">
        <v>297</v>
      </c>
      <c r="D643" s="2">
        <v>45747</v>
      </c>
      <c r="E643" s="3">
        <f t="shared" ref="E643:E706" si="10">IF($D643="","",DATE(YEAR($D643),MONTH($D643),1))</f>
        <v>45717</v>
      </c>
      <c r="F643" t="s">
        <v>765</v>
      </c>
      <c r="H643" s="4">
        <v>-1250.8</v>
      </c>
      <c r="I643" t="s">
        <v>137</v>
      </c>
      <c r="J643" t="s">
        <v>349</v>
      </c>
      <c r="L643" s="2">
        <v>45717</v>
      </c>
      <c r="M643" t="s">
        <v>350</v>
      </c>
      <c r="N643" t="s">
        <v>141</v>
      </c>
      <c r="O643" t="s">
        <v>141</v>
      </c>
      <c r="P643" t="s">
        <v>297</v>
      </c>
      <c r="Q643">
        <v>0</v>
      </c>
    </row>
    <row r="644" spans="1:17" x14ac:dyDescent="0.3">
      <c r="A644" t="s">
        <v>17</v>
      </c>
      <c r="B644">
        <v>69</v>
      </c>
      <c r="C644" t="s">
        <v>297</v>
      </c>
      <c r="D644" s="2">
        <v>45747</v>
      </c>
      <c r="E644" s="3">
        <f t="shared" si="10"/>
        <v>45717</v>
      </c>
      <c r="F644" t="s">
        <v>765</v>
      </c>
      <c r="H644" s="4">
        <v>5.99</v>
      </c>
      <c r="I644" t="s">
        <v>31</v>
      </c>
      <c r="J644" t="s">
        <v>349</v>
      </c>
      <c r="L644" s="2">
        <v>45717</v>
      </c>
      <c r="M644" t="s">
        <v>350</v>
      </c>
      <c r="N644">
        <v>0</v>
      </c>
      <c r="O644" t="s">
        <v>31</v>
      </c>
      <c r="P644" t="s">
        <v>297</v>
      </c>
      <c r="Q644">
        <v>0</v>
      </c>
    </row>
    <row r="645" spans="1:17" x14ac:dyDescent="0.3">
      <c r="A645" t="s">
        <v>17</v>
      </c>
      <c r="B645">
        <v>68</v>
      </c>
      <c r="C645" t="s">
        <v>34</v>
      </c>
      <c r="D645" s="2">
        <v>45747</v>
      </c>
      <c r="E645" s="3">
        <f t="shared" si="10"/>
        <v>45717</v>
      </c>
      <c r="F645" t="s">
        <v>766</v>
      </c>
      <c r="H645" s="4">
        <v>9404.99</v>
      </c>
      <c r="I645" t="s">
        <v>137</v>
      </c>
      <c r="J645" t="s">
        <v>767</v>
      </c>
      <c r="L645" s="2">
        <v>45717</v>
      </c>
      <c r="M645" t="s">
        <v>767</v>
      </c>
      <c r="N645" t="s">
        <v>141</v>
      </c>
      <c r="O645" t="s">
        <v>141</v>
      </c>
      <c r="P645" t="s">
        <v>34</v>
      </c>
      <c r="Q645">
        <v>0</v>
      </c>
    </row>
    <row r="646" spans="1:17" x14ac:dyDescent="0.3">
      <c r="A646" t="s">
        <v>17</v>
      </c>
      <c r="B646">
        <v>68</v>
      </c>
      <c r="C646" t="s">
        <v>34</v>
      </c>
      <c r="D646" s="2">
        <v>45747</v>
      </c>
      <c r="E646" s="3">
        <f t="shared" si="10"/>
        <v>45717</v>
      </c>
      <c r="F646" t="s">
        <v>768</v>
      </c>
      <c r="H646" s="4">
        <v>39354</v>
      </c>
      <c r="I646" t="s">
        <v>116</v>
      </c>
      <c r="J646" t="s">
        <v>767</v>
      </c>
      <c r="K646" t="s">
        <v>769</v>
      </c>
      <c r="L646" s="2">
        <v>45717</v>
      </c>
      <c r="M646" t="s">
        <v>767</v>
      </c>
      <c r="N646">
        <v>0</v>
      </c>
      <c r="O646" t="s">
        <v>116</v>
      </c>
      <c r="P646" t="s">
        <v>34</v>
      </c>
      <c r="Q646">
        <v>0</v>
      </c>
    </row>
    <row r="647" spans="1:17" x14ac:dyDescent="0.3">
      <c r="A647" t="s">
        <v>17</v>
      </c>
      <c r="B647">
        <v>67</v>
      </c>
      <c r="C647" t="s">
        <v>28</v>
      </c>
      <c r="D647" s="2">
        <v>45747</v>
      </c>
      <c r="E647" s="3">
        <f t="shared" si="10"/>
        <v>45717</v>
      </c>
      <c r="F647" t="s">
        <v>770</v>
      </c>
      <c r="H647" s="4">
        <v>175</v>
      </c>
      <c r="I647" t="s">
        <v>108</v>
      </c>
      <c r="J647" t="s">
        <v>352</v>
      </c>
      <c r="K647" t="s">
        <v>771</v>
      </c>
      <c r="L647" s="2">
        <v>45717</v>
      </c>
      <c r="M647" t="s">
        <v>352</v>
      </c>
      <c r="N647">
        <v>0</v>
      </c>
      <c r="O647" t="s">
        <v>111</v>
      </c>
      <c r="P647" t="s">
        <v>28</v>
      </c>
      <c r="Q647">
        <v>0</v>
      </c>
    </row>
    <row r="648" spans="1:17" x14ac:dyDescent="0.3">
      <c r="A648" t="s">
        <v>17</v>
      </c>
      <c r="B648">
        <v>67</v>
      </c>
      <c r="C648" t="s">
        <v>28</v>
      </c>
      <c r="D648" s="2">
        <v>45747</v>
      </c>
      <c r="E648" s="3">
        <f t="shared" si="10"/>
        <v>45717</v>
      </c>
      <c r="F648" t="s">
        <v>772</v>
      </c>
      <c r="H648" s="4">
        <v>153</v>
      </c>
      <c r="I648" t="s">
        <v>47</v>
      </c>
      <c r="J648" t="s">
        <v>352</v>
      </c>
      <c r="K648" t="s">
        <v>359</v>
      </c>
      <c r="L648" s="2">
        <v>45717</v>
      </c>
      <c r="M648" t="s">
        <v>352</v>
      </c>
      <c r="N648">
        <v>0</v>
      </c>
      <c r="O648" t="s">
        <v>26</v>
      </c>
      <c r="P648" t="s">
        <v>28</v>
      </c>
      <c r="Q648">
        <v>0</v>
      </c>
    </row>
    <row r="649" spans="1:17" x14ac:dyDescent="0.3">
      <c r="A649" t="s">
        <v>17</v>
      </c>
      <c r="B649">
        <v>65</v>
      </c>
      <c r="C649" t="s">
        <v>54</v>
      </c>
      <c r="D649" s="2">
        <v>45747</v>
      </c>
      <c r="E649" s="3">
        <f t="shared" si="10"/>
        <v>45717</v>
      </c>
      <c r="F649" t="s">
        <v>732</v>
      </c>
      <c r="H649" s="4">
        <v>-30113.77</v>
      </c>
      <c r="I649" t="s">
        <v>31</v>
      </c>
      <c r="J649" t="s">
        <v>55</v>
      </c>
      <c r="L649" s="2">
        <v>45717</v>
      </c>
      <c r="M649" t="s">
        <v>55</v>
      </c>
      <c r="N649">
        <v>0</v>
      </c>
      <c r="O649" t="s">
        <v>31</v>
      </c>
      <c r="P649" t="s">
        <v>54</v>
      </c>
      <c r="Q649">
        <v>0</v>
      </c>
    </row>
    <row r="650" spans="1:17" x14ac:dyDescent="0.3">
      <c r="A650" t="s">
        <v>17</v>
      </c>
      <c r="B650">
        <v>69</v>
      </c>
      <c r="C650" t="s">
        <v>297</v>
      </c>
      <c r="D650" s="2">
        <v>45747</v>
      </c>
      <c r="E650" s="3">
        <f t="shared" si="10"/>
        <v>45717</v>
      </c>
      <c r="F650" t="s">
        <v>765</v>
      </c>
      <c r="H650" s="4">
        <v>8.69</v>
      </c>
      <c r="I650" t="s">
        <v>108</v>
      </c>
      <c r="J650" t="s">
        <v>360</v>
      </c>
      <c r="L650" s="2">
        <v>45717</v>
      </c>
      <c r="M650" t="s">
        <v>361</v>
      </c>
      <c r="N650">
        <v>0</v>
      </c>
      <c r="O650" t="s">
        <v>111</v>
      </c>
      <c r="P650" t="s">
        <v>297</v>
      </c>
      <c r="Q650">
        <v>0</v>
      </c>
    </row>
    <row r="651" spans="1:17" x14ac:dyDescent="0.3">
      <c r="A651" t="s">
        <v>17</v>
      </c>
      <c r="B651">
        <v>67</v>
      </c>
      <c r="C651" t="s">
        <v>28</v>
      </c>
      <c r="D651" s="2">
        <v>45748</v>
      </c>
      <c r="E651" s="3">
        <f t="shared" si="10"/>
        <v>45748</v>
      </c>
      <c r="F651" t="s">
        <v>773</v>
      </c>
      <c r="G651" t="s">
        <v>774</v>
      </c>
      <c r="H651" s="4">
        <v>5380.51</v>
      </c>
      <c r="I651" t="s">
        <v>31</v>
      </c>
      <c r="J651" t="s">
        <v>32</v>
      </c>
      <c r="K651" t="s">
        <v>775</v>
      </c>
      <c r="L651" s="2">
        <v>45748</v>
      </c>
      <c r="M651" t="s">
        <v>32</v>
      </c>
      <c r="N651">
        <v>0</v>
      </c>
      <c r="O651" t="s">
        <v>31</v>
      </c>
      <c r="P651" t="s">
        <v>28</v>
      </c>
      <c r="Q651">
        <v>0</v>
      </c>
    </row>
    <row r="652" spans="1:17" x14ac:dyDescent="0.3">
      <c r="A652" t="s">
        <v>17</v>
      </c>
      <c r="B652">
        <v>67</v>
      </c>
      <c r="C652" t="s">
        <v>28</v>
      </c>
      <c r="D652" s="2">
        <v>45748</v>
      </c>
      <c r="E652" s="3">
        <f t="shared" si="10"/>
        <v>45748</v>
      </c>
      <c r="F652" t="s">
        <v>776</v>
      </c>
      <c r="G652" t="s">
        <v>578</v>
      </c>
      <c r="H652" s="4">
        <v>2007.6</v>
      </c>
      <c r="I652" t="s">
        <v>31</v>
      </c>
      <c r="J652" t="s">
        <v>60</v>
      </c>
      <c r="K652" t="s">
        <v>777</v>
      </c>
      <c r="L652" s="2">
        <v>45748</v>
      </c>
      <c r="M652" t="s">
        <v>60</v>
      </c>
      <c r="N652">
        <v>0</v>
      </c>
      <c r="O652" t="s">
        <v>31</v>
      </c>
      <c r="P652" t="s">
        <v>28</v>
      </c>
      <c r="Q652">
        <v>0</v>
      </c>
    </row>
    <row r="653" spans="1:17" x14ac:dyDescent="0.3">
      <c r="A653" t="s">
        <v>17</v>
      </c>
      <c r="B653">
        <v>68</v>
      </c>
      <c r="C653" t="s">
        <v>34</v>
      </c>
      <c r="D653" s="2">
        <v>45748</v>
      </c>
      <c r="E653" s="3">
        <f t="shared" si="10"/>
        <v>45748</v>
      </c>
      <c r="F653" t="s">
        <v>778</v>
      </c>
      <c r="G653" t="s">
        <v>40</v>
      </c>
      <c r="H653" s="4">
        <v>300.64999999999998</v>
      </c>
      <c r="I653" t="s">
        <v>31</v>
      </c>
      <c r="J653" t="s">
        <v>37</v>
      </c>
      <c r="K653" t="s">
        <v>779</v>
      </c>
      <c r="L653" s="2">
        <v>45748</v>
      </c>
      <c r="M653" t="s">
        <v>37</v>
      </c>
      <c r="N653">
        <v>0</v>
      </c>
      <c r="O653" t="s">
        <v>31</v>
      </c>
      <c r="P653" t="s">
        <v>34</v>
      </c>
      <c r="Q653">
        <v>0</v>
      </c>
    </row>
    <row r="654" spans="1:17" x14ac:dyDescent="0.3">
      <c r="A654" t="s">
        <v>17</v>
      </c>
      <c r="B654">
        <v>68</v>
      </c>
      <c r="C654" t="s">
        <v>34</v>
      </c>
      <c r="D654" s="2">
        <v>45748</v>
      </c>
      <c r="E654" s="3">
        <f t="shared" si="10"/>
        <v>45748</v>
      </c>
      <c r="F654" t="s">
        <v>780</v>
      </c>
      <c r="G654" t="s">
        <v>43</v>
      </c>
      <c r="H654" s="4">
        <v>269.93</v>
      </c>
      <c r="I654" t="s">
        <v>31</v>
      </c>
      <c r="J654" t="s">
        <v>37</v>
      </c>
      <c r="K654" t="s">
        <v>781</v>
      </c>
      <c r="L654" s="2">
        <v>45748</v>
      </c>
      <c r="M654" t="s">
        <v>37</v>
      </c>
      <c r="N654">
        <v>0</v>
      </c>
      <c r="O654" t="s">
        <v>31</v>
      </c>
      <c r="P654" t="s">
        <v>34</v>
      </c>
      <c r="Q654">
        <v>0</v>
      </c>
    </row>
    <row r="655" spans="1:17" x14ac:dyDescent="0.3">
      <c r="A655" t="s">
        <v>17</v>
      </c>
      <c r="B655">
        <v>67</v>
      </c>
      <c r="C655" t="s">
        <v>28</v>
      </c>
      <c r="D655" s="2">
        <v>45748</v>
      </c>
      <c r="E655" s="3">
        <f t="shared" si="10"/>
        <v>45748</v>
      </c>
      <c r="F655" t="s">
        <v>782</v>
      </c>
      <c r="G655" t="s">
        <v>398</v>
      </c>
      <c r="H655" s="4">
        <v>12000</v>
      </c>
      <c r="I655" t="s">
        <v>31</v>
      </c>
      <c r="J655" t="s">
        <v>48</v>
      </c>
      <c r="K655" t="s">
        <v>783</v>
      </c>
      <c r="L655" s="2">
        <v>45748</v>
      </c>
      <c r="M655" t="s">
        <v>50</v>
      </c>
      <c r="N655">
        <v>0</v>
      </c>
      <c r="O655" t="s">
        <v>31</v>
      </c>
      <c r="P655" t="s">
        <v>28</v>
      </c>
      <c r="Q655">
        <v>0</v>
      </c>
    </row>
    <row r="656" spans="1:17" x14ac:dyDescent="0.3">
      <c r="A656" t="s">
        <v>17</v>
      </c>
      <c r="B656">
        <v>67</v>
      </c>
      <c r="C656" t="s">
        <v>28</v>
      </c>
      <c r="D656" s="2">
        <v>45748</v>
      </c>
      <c r="E656" s="3">
        <f t="shared" si="10"/>
        <v>45748</v>
      </c>
      <c r="F656" t="s">
        <v>784</v>
      </c>
      <c r="G656" t="s">
        <v>52</v>
      </c>
      <c r="H656" s="4">
        <v>3292</v>
      </c>
      <c r="I656" t="s">
        <v>31</v>
      </c>
      <c r="J656" t="s">
        <v>48</v>
      </c>
      <c r="K656" t="s">
        <v>785</v>
      </c>
      <c r="L656" s="2">
        <v>45748</v>
      </c>
      <c r="M656" t="s">
        <v>50</v>
      </c>
      <c r="N656">
        <v>0</v>
      </c>
      <c r="O656" t="s">
        <v>31</v>
      </c>
      <c r="P656" t="s">
        <v>28</v>
      </c>
      <c r="Q656">
        <v>0</v>
      </c>
    </row>
    <row r="657" spans="1:17" x14ac:dyDescent="0.3">
      <c r="A657" t="s">
        <v>17</v>
      </c>
      <c r="B657">
        <v>65</v>
      </c>
      <c r="C657" t="s">
        <v>54</v>
      </c>
      <c r="D657" s="2">
        <v>45748</v>
      </c>
      <c r="E657" s="3">
        <f t="shared" si="10"/>
        <v>45748</v>
      </c>
      <c r="F657" t="s">
        <v>778</v>
      </c>
      <c r="G657" t="s">
        <v>40</v>
      </c>
      <c r="H657" s="4">
        <v>30113.77</v>
      </c>
      <c r="I657" t="s">
        <v>31</v>
      </c>
      <c r="J657" t="s">
        <v>55</v>
      </c>
      <c r="K657" t="s">
        <v>786</v>
      </c>
      <c r="L657" s="2">
        <v>45748</v>
      </c>
      <c r="M657" t="s">
        <v>55</v>
      </c>
      <c r="N657">
        <v>0</v>
      </c>
      <c r="O657" t="s">
        <v>31</v>
      </c>
      <c r="P657" t="s">
        <v>54</v>
      </c>
      <c r="Q657">
        <v>0</v>
      </c>
    </row>
    <row r="658" spans="1:17" x14ac:dyDescent="0.3">
      <c r="A658" t="s">
        <v>17</v>
      </c>
      <c r="B658">
        <v>68</v>
      </c>
      <c r="C658" t="s">
        <v>34</v>
      </c>
      <c r="D658" s="2">
        <v>45748</v>
      </c>
      <c r="E658" s="3">
        <f t="shared" si="10"/>
        <v>45748</v>
      </c>
      <c r="F658" t="s">
        <v>787</v>
      </c>
      <c r="G658" t="s">
        <v>291</v>
      </c>
      <c r="H658" s="4">
        <v>174.92</v>
      </c>
      <c r="I658" t="s">
        <v>47</v>
      </c>
      <c r="J658" t="s">
        <v>109</v>
      </c>
      <c r="K658" t="s">
        <v>292</v>
      </c>
      <c r="L658" s="2">
        <v>45748</v>
      </c>
      <c r="M658" t="s">
        <v>109</v>
      </c>
      <c r="N658">
        <v>0</v>
      </c>
      <c r="O658" t="s">
        <v>26</v>
      </c>
      <c r="P658" t="s">
        <v>112</v>
      </c>
      <c r="Q658" t="s">
        <v>113</v>
      </c>
    </row>
    <row r="659" spans="1:17" x14ac:dyDescent="0.3">
      <c r="A659" t="s">
        <v>17</v>
      </c>
      <c r="B659">
        <v>66</v>
      </c>
      <c r="C659" t="s">
        <v>134</v>
      </c>
      <c r="D659" s="2">
        <v>45748</v>
      </c>
      <c r="E659" s="3">
        <f t="shared" si="10"/>
        <v>45748</v>
      </c>
      <c r="F659" t="s">
        <v>788</v>
      </c>
      <c r="H659" s="4">
        <v>-1000</v>
      </c>
      <c r="I659" t="s">
        <v>108</v>
      </c>
      <c r="J659" t="s">
        <v>255</v>
      </c>
      <c r="K659" t="s">
        <v>750</v>
      </c>
      <c r="L659" s="2">
        <v>45748</v>
      </c>
      <c r="M659" t="s">
        <v>257</v>
      </c>
      <c r="N659">
        <v>0</v>
      </c>
      <c r="O659" t="s">
        <v>111</v>
      </c>
      <c r="P659" t="s">
        <v>134</v>
      </c>
      <c r="Q659">
        <v>0</v>
      </c>
    </row>
    <row r="660" spans="1:17" x14ac:dyDescent="0.3">
      <c r="A660" t="s">
        <v>17</v>
      </c>
      <c r="B660">
        <v>67</v>
      </c>
      <c r="C660" t="s">
        <v>28</v>
      </c>
      <c r="D660" s="2">
        <v>45748</v>
      </c>
      <c r="E660" s="3">
        <f t="shared" si="10"/>
        <v>45748</v>
      </c>
      <c r="F660" t="s">
        <v>789</v>
      </c>
      <c r="H660" s="4">
        <v>41.03</v>
      </c>
      <c r="I660" t="s">
        <v>31</v>
      </c>
      <c r="J660" t="s">
        <v>60</v>
      </c>
      <c r="L660" s="2">
        <v>45748</v>
      </c>
      <c r="M660" t="s">
        <v>60</v>
      </c>
      <c r="N660">
        <v>0</v>
      </c>
      <c r="O660" t="s">
        <v>31</v>
      </c>
      <c r="P660" t="s">
        <v>28</v>
      </c>
      <c r="Q660">
        <v>0</v>
      </c>
    </row>
    <row r="661" spans="1:17" x14ac:dyDescent="0.3">
      <c r="A661" t="s">
        <v>17</v>
      </c>
      <c r="B661">
        <v>67</v>
      </c>
      <c r="C661" t="s">
        <v>28</v>
      </c>
      <c r="D661" s="2">
        <v>45748</v>
      </c>
      <c r="E661" s="3">
        <f t="shared" si="10"/>
        <v>45748</v>
      </c>
      <c r="F661" t="s">
        <v>789</v>
      </c>
      <c r="H661" s="4">
        <v>13.63</v>
      </c>
      <c r="I661" t="s">
        <v>31</v>
      </c>
      <c r="J661" t="s">
        <v>60</v>
      </c>
      <c r="L661" s="2">
        <v>45748</v>
      </c>
      <c r="M661" t="s">
        <v>60</v>
      </c>
      <c r="N661">
        <v>0</v>
      </c>
      <c r="O661" t="s">
        <v>31</v>
      </c>
      <c r="P661" t="s">
        <v>28</v>
      </c>
      <c r="Q661">
        <v>0</v>
      </c>
    </row>
    <row r="662" spans="1:17" x14ac:dyDescent="0.3">
      <c r="A662" t="s">
        <v>17</v>
      </c>
      <c r="B662">
        <v>67</v>
      </c>
      <c r="C662" t="s">
        <v>28</v>
      </c>
      <c r="D662" s="2">
        <v>45748</v>
      </c>
      <c r="E662" s="3">
        <f t="shared" si="10"/>
        <v>45748</v>
      </c>
      <c r="F662" t="s">
        <v>789</v>
      </c>
      <c r="H662" s="4">
        <v>85.98</v>
      </c>
      <c r="I662" t="s">
        <v>31</v>
      </c>
      <c r="J662" t="s">
        <v>60</v>
      </c>
      <c r="L662" s="2">
        <v>45748</v>
      </c>
      <c r="M662" t="s">
        <v>60</v>
      </c>
      <c r="N662">
        <v>0</v>
      </c>
      <c r="O662" t="s">
        <v>31</v>
      </c>
      <c r="P662" t="s">
        <v>28</v>
      </c>
      <c r="Q662">
        <v>0</v>
      </c>
    </row>
    <row r="663" spans="1:17" x14ac:dyDescent="0.3">
      <c r="A663" t="s">
        <v>17</v>
      </c>
      <c r="B663">
        <v>67</v>
      </c>
      <c r="C663" t="s">
        <v>28</v>
      </c>
      <c r="D663" s="2">
        <v>45748</v>
      </c>
      <c r="E663" s="3">
        <f t="shared" si="10"/>
        <v>45748</v>
      </c>
      <c r="F663" t="s">
        <v>789</v>
      </c>
      <c r="H663" s="4">
        <v>20.100000000000001</v>
      </c>
      <c r="I663" t="s">
        <v>31</v>
      </c>
      <c r="J663" t="s">
        <v>60</v>
      </c>
      <c r="L663" s="2">
        <v>45748</v>
      </c>
      <c r="M663" t="s">
        <v>60</v>
      </c>
      <c r="N663">
        <v>0</v>
      </c>
      <c r="O663" t="s">
        <v>31</v>
      </c>
      <c r="P663" t="s">
        <v>28</v>
      </c>
      <c r="Q663">
        <v>0</v>
      </c>
    </row>
    <row r="664" spans="1:17" x14ac:dyDescent="0.3">
      <c r="A664" t="s">
        <v>17</v>
      </c>
      <c r="B664">
        <v>67</v>
      </c>
      <c r="C664" t="s">
        <v>28</v>
      </c>
      <c r="D664" s="2">
        <v>45748</v>
      </c>
      <c r="E664" s="3">
        <f t="shared" si="10"/>
        <v>45748</v>
      </c>
      <c r="F664" t="s">
        <v>789</v>
      </c>
      <c r="H664" s="4">
        <v>48.93</v>
      </c>
      <c r="I664" t="s">
        <v>31</v>
      </c>
      <c r="J664" t="s">
        <v>60</v>
      </c>
      <c r="L664" s="2">
        <v>45748</v>
      </c>
      <c r="M664" t="s">
        <v>60</v>
      </c>
      <c r="N664">
        <v>0</v>
      </c>
      <c r="O664" t="s">
        <v>31</v>
      </c>
      <c r="P664" t="s">
        <v>28</v>
      </c>
      <c r="Q664">
        <v>0</v>
      </c>
    </row>
    <row r="665" spans="1:17" x14ac:dyDescent="0.3">
      <c r="A665" t="s">
        <v>17</v>
      </c>
      <c r="B665">
        <v>67</v>
      </c>
      <c r="C665" t="s">
        <v>28</v>
      </c>
      <c r="D665" s="2">
        <v>45748</v>
      </c>
      <c r="E665" s="3">
        <f t="shared" si="10"/>
        <v>45748</v>
      </c>
      <c r="F665" t="s">
        <v>789</v>
      </c>
      <c r="H665" s="4">
        <v>47.52</v>
      </c>
      <c r="I665" t="s">
        <v>31</v>
      </c>
      <c r="J665" t="s">
        <v>60</v>
      </c>
      <c r="L665" s="2">
        <v>45748</v>
      </c>
      <c r="M665" t="s">
        <v>60</v>
      </c>
      <c r="N665">
        <v>0</v>
      </c>
      <c r="O665" t="s">
        <v>31</v>
      </c>
      <c r="P665" t="s">
        <v>28</v>
      </c>
      <c r="Q665">
        <v>0</v>
      </c>
    </row>
    <row r="666" spans="1:17" x14ac:dyDescent="0.3">
      <c r="A666" t="s">
        <v>17</v>
      </c>
      <c r="B666">
        <v>67</v>
      </c>
      <c r="C666" t="s">
        <v>28</v>
      </c>
      <c r="D666" s="2">
        <v>45748</v>
      </c>
      <c r="E666" s="3">
        <f t="shared" si="10"/>
        <v>45748</v>
      </c>
      <c r="F666" t="s">
        <v>789</v>
      </c>
      <c r="H666" s="4">
        <v>97.89</v>
      </c>
      <c r="I666" t="s">
        <v>31</v>
      </c>
      <c r="J666" t="s">
        <v>60</v>
      </c>
      <c r="L666" s="2">
        <v>45748</v>
      </c>
      <c r="M666" t="s">
        <v>60</v>
      </c>
      <c r="N666">
        <v>0</v>
      </c>
      <c r="O666" t="s">
        <v>31</v>
      </c>
      <c r="P666" t="s">
        <v>28</v>
      </c>
      <c r="Q666">
        <v>0</v>
      </c>
    </row>
    <row r="667" spans="1:17" x14ac:dyDescent="0.3">
      <c r="A667" t="s">
        <v>17</v>
      </c>
      <c r="B667">
        <v>67</v>
      </c>
      <c r="C667" t="s">
        <v>28</v>
      </c>
      <c r="D667" s="2">
        <v>45748</v>
      </c>
      <c r="E667" s="3">
        <f t="shared" si="10"/>
        <v>45748</v>
      </c>
      <c r="F667" t="s">
        <v>789</v>
      </c>
      <c r="H667" s="4">
        <v>45.89</v>
      </c>
      <c r="I667" t="s">
        <v>31</v>
      </c>
      <c r="J667" t="s">
        <v>60</v>
      </c>
      <c r="L667" s="2">
        <v>45748</v>
      </c>
      <c r="M667" t="s">
        <v>60</v>
      </c>
      <c r="N667">
        <v>0</v>
      </c>
      <c r="O667" t="s">
        <v>31</v>
      </c>
      <c r="P667" t="s">
        <v>28</v>
      </c>
      <c r="Q667">
        <v>0</v>
      </c>
    </row>
    <row r="668" spans="1:17" x14ac:dyDescent="0.3">
      <c r="A668" t="s">
        <v>17</v>
      </c>
      <c r="B668">
        <v>68</v>
      </c>
      <c r="C668" t="s">
        <v>34</v>
      </c>
      <c r="D668" s="2">
        <v>45748</v>
      </c>
      <c r="E668" s="3">
        <f t="shared" si="10"/>
        <v>45748</v>
      </c>
      <c r="F668" t="s">
        <v>790</v>
      </c>
      <c r="H668" s="4">
        <v>-300.64999999999998</v>
      </c>
      <c r="I668" t="s">
        <v>31</v>
      </c>
      <c r="J668" t="s">
        <v>37</v>
      </c>
      <c r="K668" t="s">
        <v>764</v>
      </c>
      <c r="L668" s="2">
        <v>45748</v>
      </c>
      <c r="M668" t="s">
        <v>37</v>
      </c>
      <c r="N668">
        <v>0</v>
      </c>
      <c r="O668" t="s">
        <v>31</v>
      </c>
      <c r="P668" t="s">
        <v>34</v>
      </c>
      <c r="Q668">
        <v>0</v>
      </c>
    </row>
    <row r="669" spans="1:17" x14ac:dyDescent="0.3">
      <c r="A669" t="s">
        <v>17</v>
      </c>
      <c r="B669">
        <v>69</v>
      </c>
      <c r="C669" t="s">
        <v>297</v>
      </c>
      <c r="D669" s="2">
        <v>45748</v>
      </c>
      <c r="E669" s="3">
        <f t="shared" si="10"/>
        <v>45748</v>
      </c>
      <c r="F669" t="s">
        <v>791</v>
      </c>
      <c r="H669" s="4">
        <v>0</v>
      </c>
      <c r="I669" t="s">
        <v>159</v>
      </c>
      <c r="J669" t="s">
        <v>346</v>
      </c>
      <c r="L669" s="2">
        <v>45748</v>
      </c>
      <c r="M669" t="s">
        <v>347</v>
      </c>
      <c r="N669">
        <v>0</v>
      </c>
      <c r="O669" t="s">
        <v>159</v>
      </c>
      <c r="P669" t="s">
        <v>297</v>
      </c>
      <c r="Q669">
        <v>0</v>
      </c>
    </row>
    <row r="670" spans="1:17" x14ac:dyDescent="0.3">
      <c r="A670" t="s">
        <v>17</v>
      </c>
      <c r="B670">
        <v>69</v>
      </c>
      <c r="C670" t="s">
        <v>297</v>
      </c>
      <c r="D670" s="2">
        <v>45748</v>
      </c>
      <c r="E670" s="3">
        <f t="shared" si="10"/>
        <v>45748</v>
      </c>
      <c r="F670" t="s">
        <v>791</v>
      </c>
      <c r="H670" s="4">
        <v>17.440000000000001</v>
      </c>
      <c r="I670" t="s">
        <v>137</v>
      </c>
      <c r="J670" t="s">
        <v>346</v>
      </c>
      <c r="L670" s="2">
        <v>45748</v>
      </c>
      <c r="M670" t="s">
        <v>347</v>
      </c>
      <c r="N670" t="s">
        <v>141</v>
      </c>
      <c r="O670" t="s">
        <v>141</v>
      </c>
      <c r="P670" t="s">
        <v>297</v>
      </c>
      <c r="Q670">
        <v>0</v>
      </c>
    </row>
    <row r="671" spans="1:17" x14ac:dyDescent="0.3">
      <c r="A671" t="s">
        <v>17</v>
      </c>
      <c r="B671">
        <v>69</v>
      </c>
      <c r="C671" t="s">
        <v>297</v>
      </c>
      <c r="D671" s="2">
        <v>45748</v>
      </c>
      <c r="E671" s="3">
        <f t="shared" si="10"/>
        <v>45748</v>
      </c>
      <c r="F671" t="s">
        <v>791</v>
      </c>
      <c r="H671" s="4">
        <v>105</v>
      </c>
      <c r="I671" t="s">
        <v>21</v>
      </c>
      <c r="J671" t="s">
        <v>346</v>
      </c>
      <c r="L671" s="2">
        <v>45748</v>
      </c>
      <c r="M671" t="s">
        <v>347</v>
      </c>
      <c r="N671" t="s">
        <v>25</v>
      </c>
      <c r="O671" t="s">
        <v>81</v>
      </c>
      <c r="P671" t="s">
        <v>297</v>
      </c>
      <c r="Q671">
        <v>0</v>
      </c>
    </row>
    <row r="672" spans="1:17" x14ac:dyDescent="0.3">
      <c r="A672" t="s">
        <v>17</v>
      </c>
      <c r="B672">
        <v>69</v>
      </c>
      <c r="C672" t="s">
        <v>297</v>
      </c>
      <c r="D672" s="2">
        <v>45748</v>
      </c>
      <c r="E672" s="3">
        <f t="shared" si="10"/>
        <v>45748</v>
      </c>
      <c r="F672" t="s">
        <v>791</v>
      </c>
      <c r="H672" s="4">
        <v>64.48</v>
      </c>
      <c r="I672" t="s">
        <v>108</v>
      </c>
      <c r="J672" t="s">
        <v>346</v>
      </c>
      <c r="L672" s="2">
        <v>45748</v>
      </c>
      <c r="M672" t="s">
        <v>347</v>
      </c>
      <c r="N672">
        <v>0</v>
      </c>
      <c r="O672" t="s">
        <v>111</v>
      </c>
      <c r="P672" t="s">
        <v>297</v>
      </c>
      <c r="Q672">
        <v>0</v>
      </c>
    </row>
    <row r="673" spans="1:17" x14ac:dyDescent="0.3">
      <c r="A673" t="s">
        <v>17</v>
      </c>
      <c r="B673">
        <v>69</v>
      </c>
      <c r="C673" t="s">
        <v>297</v>
      </c>
      <c r="D673" s="2">
        <v>45748</v>
      </c>
      <c r="E673" s="3">
        <f t="shared" si="10"/>
        <v>45748</v>
      </c>
      <c r="F673" t="s">
        <v>791</v>
      </c>
      <c r="H673" s="4">
        <v>179.49</v>
      </c>
      <c r="I673" t="s">
        <v>104</v>
      </c>
      <c r="J673" t="s">
        <v>346</v>
      </c>
      <c r="L673" s="2">
        <v>45748</v>
      </c>
      <c r="M673" t="s">
        <v>347</v>
      </c>
      <c r="N673">
        <v>0</v>
      </c>
      <c r="O673" t="s">
        <v>104</v>
      </c>
      <c r="P673" t="s">
        <v>297</v>
      </c>
      <c r="Q673">
        <v>0</v>
      </c>
    </row>
    <row r="674" spans="1:17" x14ac:dyDescent="0.3">
      <c r="A674" t="s">
        <v>17</v>
      </c>
      <c r="B674">
        <v>69</v>
      </c>
      <c r="C674" t="s">
        <v>297</v>
      </c>
      <c r="D674" s="2">
        <v>45748</v>
      </c>
      <c r="E674" s="3">
        <f t="shared" si="10"/>
        <v>45748</v>
      </c>
      <c r="F674" t="s">
        <v>791</v>
      </c>
      <c r="H674" s="4">
        <v>65.48</v>
      </c>
      <c r="I674" t="s">
        <v>348</v>
      </c>
      <c r="J674" t="s">
        <v>346</v>
      </c>
      <c r="L674" s="2">
        <v>45748</v>
      </c>
      <c r="M674" t="s">
        <v>347</v>
      </c>
      <c r="N674">
        <v>0</v>
      </c>
      <c r="O674" t="s">
        <v>348</v>
      </c>
      <c r="P674" t="s">
        <v>297</v>
      </c>
      <c r="Q674">
        <v>0</v>
      </c>
    </row>
    <row r="675" spans="1:17" x14ac:dyDescent="0.3">
      <c r="A675" t="s">
        <v>17</v>
      </c>
      <c r="B675">
        <v>69</v>
      </c>
      <c r="C675" t="s">
        <v>297</v>
      </c>
      <c r="D675" s="2">
        <v>45748</v>
      </c>
      <c r="E675" s="3">
        <f t="shared" si="10"/>
        <v>45748</v>
      </c>
      <c r="F675" t="s">
        <v>791</v>
      </c>
      <c r="H675" s="4">
        <v>166.9</v>
      </c>
      <c r="I675" t="s">
        <v>47</v>
      </c>
      <c r="J675" t="s">
        <v>346</v>
      </c>
      <c r="L675" s="2">
        <v>45748</v>
      </c>
      <c r="M675" t="s">
        <v>347</v>
      </c>
      <c r="N675">
        <v>0</v>
      </c>
      <c r="O675" t="s">
        <v>26</v>
      </c>
      <c r="P675" t="s">
        <v>297</v>
      </c>
      <c r="Q675">
        <v>0</v>
      </c>
    </row>
    <row r="676" spans="1:17" x14ac:dyDescent="0.3">
      <c r="A676" t="s">
        <v>17</v>
      </c>
      <c r="B676">
        <v>69</v>
      </c>
      <c r="C676" t="s">
        <v>297</v>
      </c>
      <c r="D676" s="2">
        <v>45748</v>
      </c>
      <c r="E676" s="3">
        <f t="shared" si="10"/>
        <v>45748</v>
      </c>
      <c r="F676" t="s">
        <v>791</v>
      </c>
      <c r="H676" s="4">
        <v>488.81</v>
      </c>
      <c r="I676" t="s">
        <v>31</v>
      </c>
      <c r="J676" t="s">
        <v>346</v>
      </c>
      <c r="L676" s="2">
        <v>45748</v>
      </c>
      <c r="M676" t="s">
        <v>347</v>
      </c>
      <c r="N676">
        <v>0</v>
      </c>
      <c r="O676" t="s">
        <v>31</v>
      </c>
      <c r="P676" t="s">
        <v>297</v>
      </c>
      <c r="Q676">
        <v>0</v>
      </c>
    </row>
    <row r="677" spans="1:17" x14ac:dyDescent="0.3">
      <c r="A677" t="s">
        <v>17</v>
      </c>
      <c r="B677">
        <v>69</v>
      </c>
      <c r="C677" t="s">
        <v>297</v>
      </c>
      <c r="D677" s="2">
        <v>45748</v>
      </c>
      <c r="E677" s="3">
        <f t="shared" si="10"/>
        <v>45748</v>
      </c>
      <c r="F677" t="s">
        <v>791</v>
      </c>
      <c r="H677" s="4">
        <v>238.77</v>
      </c>
      <c r="I677" t="s">
        <v>137</v>
      </c>
      <c r="J677" t="s">
        <v>349</v>
      </c>
      <c r="L677" s="2">
        <v>45748</v>
      </c>
      <c r="M677" t="s">
        <v>350</v>
      </c>
      <c r="N677" t="s">
        <v>141</v>
      </c>
      <c r="O677" t="s">
        <v>141</v>
      </c>
      <c r="P677" t="s">
        <v>297</v>
      </c>
      <c r="Q677">
        <v>0</v>
      </c>
    </row>
    <row r="678" spans="1:17" x14ac:dyDescent="0.3">
      <c r="A678" t="s">
        <v>17</v>
      </c>
      <c r="B678">
        <v>69</v>
      </c>
      <c r="C678" t="s">
        <v>297</v>
      </c>
      <c r="D678" s="2">
        <v>45748</v>
      </c>
      <c r="E678" s="3">
        <f t="shared" si="10"/>
        <v>45748</v>
      </c>
      <c r="F678" t="s">
        <v>791</v>
      </c>
      <c r="H678" s="4">
        <v>135.37</v>
      </c>
      <c r="I678" t="s">
        <v>31</v>
      </c>
      <c r="J678" t="s">
        <v>349</v>
      </c>
      <c r="L678" s="2">
        <v>45748</v>
      </c>
      <c r="M678" t="s">
        <v>350</v>
      </c>
      <c r="N678">
        <v>0</v>
      </c>
      <c r="O678" t="s">
        <v>31</v>
      </c>
      <c r="P678" t="s">
        <v>297</v>
      </c>
      <c r="Q678">
        <v>0</v>
      </c>
    </row>
    <row r="679" spans="1:17" x14ac:dyDescent="0.3">
      <c r="A679" t="s">
        <v>17</v>
      </c>
      <c r="B679">
        <v>69</v>
      </c>
      <c r="C679" t="s">
        <v>297</v>
      </c>
      <c r="D679" s="2">
        <v>45748</v>
      </c>
      <c r="E679" s="3">
        <f t="shared" si="10"/>
        <v>45748</v>
      </c>
      <c r="F679" t="s">
        <v>791</v>
      </c>
      <c r="H679" s="4">
        <v>7.14</v>
      </c>
      <c r="I679" t="s">
        <v>108</v>
      </c>
      <c r="J679" t="s">
        <v>360</v>
      </c>
      <c r="L679" s="2">
        <v>45748</v>
      </c>
      <c r="M679" t="s">
        <v>361</v>
      </c>
      <c r="N679">
        <v>0</v>
      </c>
      <c r="O679" t="s">
        <v>111</v>
      </c>
      <c r="P679" t="s">
        <v>297</v>
      </c>
      <c r="Q679">
        <v>0</v>
      </c>
    </row>
    <row r="680" spans="1:17" x14ac:dyDescent="0.3">
      <c r="A680" t="s">
        <v>17</v>
      </c>
      <c r="B680">
        <v>69</v>
      </c>
      <c r="C680" t="s">
        <v>297</v>
      </c>
      <c r="D680" s="2">
        <v>45748</v>
      </c>
      <c r="E680" s="3">
        <f t="shared" si="10"/>
        <v>45748</v>
      </c>
      <c r="F680" t="s">
        <v>791</v>
      </c>
      <c r="H680" s="4">
        <v>14.15</v>
      </c>
      <c r="I680" t="s">
        <v>31</v>
      </c>
      <c r="J680" t="s">
        <v>360</v>
      </c>
      <c r="L680" s="2">
        <v>45748</v>
      </c>
      <c r="M680" t="s">
        <v>361</v>
      </c>
      <c r="N680">
        <v>0</v>
      </c>
      <c r="O680" t="s">
        <v>31</v>
      </c>
      <c r="P680" t="s">
        <v>297</v>
      </c>
      <c r="Q680">
        <v>0</v>
      </c>
    </row>
    <row r="681" spans="1:17" x14ac:dyDescent="0.3">
      <c r="A681" t="s">
        <v>17</v>
      </c>
      <c r="B681">
        <v>66</v>
      </c>
      <c r="C681" t="s">
        <v>134</v>
      </c>
      <c r="D681" s="2">
        <v>45750</v>
      </c>
      <c r="E681" s="3">
        <f t="shared" si="10"/>
        <v>45748</v>
      </c>
      <c r="F681" t="s">
        <v>792</v>
      </c>
      <c r="G681" t="s">
        <v>254</v>
      </c>
      <c r="H681" s="4">
        <v>800</v>
      </c>
      <c r="I681" t="s">
        <v>108</v>
      </c>
      <c r="J681" t="s">
        <v>255</v>
      </c>
      <c r="K681" t="s">
        <v>793</v>
      </c>
      <c r="L681" s="2">
        <v>45748</v>
      </c>
      <c r="M681" t="s">
        <v>257</v>
      </c>
      <c r="N681">
        <v>0</v>
      </c>
      <c r="O681" t="s">
        <v>111</v>
      </c>
      <c r="P681" t="s">
        <v>134</v>
      </c>
      <c r="Q681">
        <v>0</v>
      </c>
    </row>
    <row r="682" spans="1:17" x14ac:dyDescent="0.3">
      <c r="A682" t="s">
        <v>17</v>
      </c>
      <c r="B682">
        <v>68</v>
      </c>
      <c r="C682" t="s">
        <v>34</v>
      </c>
      <c r="D682" s="2">
        <v>45750</v>
      </c>
      <c r="E682" s="3">
        <f t="shared" si="10"/>
        <v>45748</v>
      </c>
      <c r="F682" t="s">
        <v>794</v>
      </c>
      <c r="G682" t="s">
        <v>210</v>
      </c>
      <c r="H682" s="4">
        <v>9.9600000000000009</v>
      </c>
      <c r="I682" t="s">
        <v>31</v>
      </c>
      <c r="J682" t="s">
        <v>79</v>
      </c>
      <c r="K682" t="s">
        <v>795</v>
      </c>
      <c r="L682" s="2">
        <v>45748</v>
      </c>
      <c r="M682" t="s">
        <v>79</v>
      </c>
      <c r="N682">
        <v>0</v>
      </c>
      <c r="O682" t="s">
        <v>31</v>
      </c>
      <c r="P682" t="s">
        <v>34</v>
      </c>
      <c r="Q682">
        <v>0</v>
      </c>
    </row>
    <row r="683" spans="1:17" x14ac:dyDescent="0.3">
      <c r="A683" t="s">
        <v>17</v>
      </c>
      <c r="B683">
        <v>64</v>
      </c>
      <c r="C683" t="s">
        <v>83</v>
      </c>
      <c r="D683" s="2">
        <v>45750</v>
      </c>
      <c r="E683" s="3">
        <f t="shared" si="10"/>
        <v>45748</v>
      </c>
      <c r="F683" t="s">
        <v>794</v>
      </c>
      <c r="G683" t="s">
        <v>210</v>
      </c>
      <c r="H683" s="4">
        <v>29.57</v>
      </c>
      <c r="I683" t="s">
        <v>31</v>
      </c>
      <c r="J683" t="s">
        <v>91</v>
      </c>
      <c r="K683" t="s">
        <v>225</v>
      </c>
      <c r="L683" s="2">
        <v>45748</v>
      </c>
      <c r="M683" t="s">
        <v>93</v>
      </c>
      <c r="N683">
        <v>0</v>
      </c>
      <c r="O683" t="s">
        <v>31</v>
      </c>
      <c r="P683" t="s">
        <v>83</v>
      </c>
      <c r="Q683">
        <v>0</v>
      </c>
    </row>
    <row r="684" spans="1:17" x14ac:dyDescent="0.3">
      <c r="A684" t="s">
        <v>17</v>
      </c>
      <c r="B684">
        <v>64</v>
      </c>
      <c r="C684" t="s">
        <v>83</v>
      </c>
      <c r="D684" s="2">
        <v>45750</v>
      </c>
      <c r="E684" s="3">
        <f t="shared" si="10"/>
        <v>45748</v>
      </c>
      <c r="F684" t="s">
        <v>794</v>
      </c>
      <c r="G684" t="s">
        <v>210</v>
      </c>
      <c r="H684" s="4">
        <v>71.98</v>
      </c>
      <c r="I684" t="s">
        <v>31</v>
      </c>
      <c r="J684" t="s">
        <v>91</v>
      </c>
      <c r="K684" t="s">
        <v>796</v>
      </c>
      <c r="L684" s="2">
        <v>45748</v>
      </c>
      <c r="M684" t="s">
        <v>93</v>
      </c>
      <c r="N684">
        <v>0</v>
      </c>
      <c r="O684" t="s">
        <v>31</v>
      </c>
      <c r="P684" t="s">
        <v>83</v>
      </c>
      <c r="Q684">
        <v>0</v>
      </c>
    </row>
    <row r="685" spans="1:17" x14ac:dyDescent="0.3">
      <c r="A685" t="s">
        <v>17</v>
      </c>
      <c r="B685">
        <v>67</v>
      </c>
      <c r="C685" t="s">
        <v>28</v>
      </c>
      <c r="D685" s="2">
        <v>45751</v>
      </c>
      <c r="E685" s="3">
        <f t="shared" si="10"/>
        <v>45748</v>
      </c>
      <c r="F685" t="s">
        <v>797</v>
      </c>
      <c r="G685" t="s">
        <v>67</v>
      </c>
      <c r="H685" s="4">
        <v>584.33000000000004</v>
      </c>
      <c r="I685" t="s">
        <v>31</v>
      </c>
      <c r="J685" t="s">
        <v>68</v>
      </c>
      <c r="K685" t="s">
        <v>798</v>
      </c>
      <c r="L685" s="2">
        <v>45748</v>
      </c>
      <c r="M685" t="s">
        <v>68</v>
      </c>
      <c r="N685">
        <v>0</v>
      </c>
      <c r="O685" t="s">
        <v>31</v>
      </c>
      <c r="P685" t="s">
        <v>28</v>
      </c>
      <c r="Q685">
        <v>0</v>
      </c>
    </row>
    <row r="686" spans="1:17" x14ac:dyDescent="0.3">
      <c r="A686" t="s">
        <v>17</v>
      </c>
      <c r="B686">
        <v>67</v>
      </c>
      <c r="C686" t="s">
        <v>28</v>
      </c>
      <c r="D686" s="2">
        <v>45751</v>
      </c>
      <c r="E686" s="3">
        <f t="shared" si="10"/>
        <v>45748</v>
      </c>
      <c r="F686" t="s">
        <v>799</v>
      </c>
      <c r="H686" s="4">
        <v>-37.299999999999997</v>
      </c>
      <c r="I686" t="s">
        <v>31</v>
      </c>
      <c r="J686" t="s">
        <v>60</v>
      </c>
      <c r="L686" s="2">
        <v>45748</v>
      </c>
      <c r="M686" t="s">
        <v>60</v>
      </c>
      <c r="N686">
        <v>0</v>
      </c>
      <c r="O686" t="s">
        <v>31</v>
      </c>
      <c r="P686" t="s">
        <v>28</v>
      </c>
      <c r="Q686">
        <v>0</v>
      </c>
    </row>
    <row r="687" spans="1:17" x14ac:dyDescent="0.3">
      <c r="A687" t="s">
        <v>17</v>
      </c>
      <c r="B687">
        <v>67</v>
      </c>
      <c r="C687" t="s">
        <v>28</v>
      </c>
      <c r="D687" s="2">
        <v>45751</v>
      </c>
      <c r="E687" s="3">
        <f t="shared" si="10"/>
        <v>45748</v>
      </c>
      <c r="F687" t="s">
        <v>799</v>
      </c>
      <c r="H687" s="4">
        <v>-12.39</v>
      </c>
      <c r="I687" t="s">
        <v>31</v>
      </c>
      <c r="J687" t="s">
        <v>60</v>
      </c>
      <c r="L687" s="2">
        <v>45748</v>
      </c>
      <c r="M687" t="s">
        <v>60</v>
      </c>
      <c r="N687">
        <v>0</v>
      </c>
      <c r="O687" t="s">
        <v>31</v>
      </c>
      <c r="P687" t="s">
        <v>28</v>
      </c>
      <c r="Q687">
        <v>0</v>
      </c>
    </row>
    <row r="688" spans="1:17" x14ac:dyDescent="0.3">
      <c r="A688" t="s">
        <v>17</v>
      </c>
      <c r="B688">
        <v>67</v>
      </c>
      <c r="C688" t="s">
        <v>28</v>
      </c>
      <c r="D688" s="2">
        <v>45751</v>
      </c>
      <c r="E688" s="3">
        <f t="shared" si="10"/>
        <v>45748</v>
      </c>
      <c r="F688" t="s">
        <v>799</v>
      </c>
      <c r="H688" s="4">
        <v>-78.16</v>
      </c>
      <c r="I688" t="s">
        <v>31</v>
      </c>
      <c r="J688" t="s">
        <v>60</v>
      </c>
      <c r="L688" s="2">
        <v>45748</v>
      </c>
      <c r="M688" t="s">
        <v>60</v>
      </c>
      <c r="N688">
        <v>0</v>
      </c>
      <c r="O688" t="s">
        <v>31</v>
      </c>
      <c r="P688" t="s">
        <v>28</v>
      </c>
      <c r="Q688">
        <v>0</v>
      </c>
    </row>
    <row r="689" spans="1:17" x14ac:dyDescent="0.3">
      <c r="A689" t="s">
        <v>17</v>
      </c>
      <c r="B689">
        <v>67</v>
      </c>
      <c r="C689" t="s">
        <v>28</v>
      </c>
      <c r="D689" s="2">
        <v>45751</v>
      </c>
      <c r="E689" s="3">
        <f t="shared" si="10"/>
        <v>45748</v>
      </c>
      <c r="F689" t="s">
        <v>799</v>
      </c>
      <c r="H689" s="4">
        <v>-18.27</v>
      </c>
      <c r="I689" t="s">
        <v>31</v>
      </c>
      <c r="J689" t="s">
        <v>60</v>
      </c>
      <c r="L689" s="2">
        <v>45748</v>
      </c>
      <c r="M689" t="s">
        <v>60</v>
      </c>
      <c r="N689">
        <v>0</v>
      </c>
      <c r="O689" t="s">
        <v>31</v>
      </c>
      <c r="P689" t="s">
        <v>28</v>
      </c>
      <c r="Q689">
        <v>0</v>
      </c>
    </row>
    <row r="690" spans="1:17" x14ac:dyDescent="0.3">
      <c r="A690" t="s">
        <v>17</v>
      </c>
      <c r="B690">
        <v>67</v>
      </c>
      <c r="C690" t="s">
        <v>28</v>
      </c>
      <c r="D690" s="2">
        <v>45751</v>
      </c>
      <c r="E690" s="3">
        <f t="shared" si="10"/>
        <v>45748</v>
      </c>
      <c r="F690" t="s">
        <v>799</v>
      </c>
      <c r="H690" s="4">
        <v>-44.48</v>
      </c>
      <c r="I690" t="s">
        <v>31</v>
      </c>
      <c r="J690" t="s">
        <v>60</v>
      </c>
      <c r="L690" s="2">
        <v>45748</v>
      </c>
      <c r="M690" t="s">
        <v>60</v>
      </c>
      <c r="N690">
        <v>0</v>
      </c>
      <c r="O690" t="s">
        <v>31</v>
      </c>
      <c r="P690" t="s">
        <v>28</v>
      </c>
      <c r="Q690">
        <v>0</v>
      </c>
    </row>
    <row r="691" spans="1:17" x14ac:dyDescent="0.3">
      <c r="A691" t="s">
        <v>17</v>
      </c>
      <c r="B691">
        <v>67</v>
      </c>
      <c r="C691" t="s">
        <v>28</v>
      </c>
      <c r="D691" s="2">
        <v>45751</v>
      </c>
      <c r="E691" s="3">
        <f t="shared" si="10"/>
        <v>45748</v>
      </c>
      <c r="F691" t="s">
        <v>799</v>
      </c>
      <c r="H691" s="4">
        <v>-43.2</v>
      </c>
      <c r="I691" t="s">
        <v>31</v>
      </c>
      <c r="J691" t="s">
        <v>60</v>
      </c>
      <c r="L691" s="2">
        <v>45748</v>
      </c>
      <c r="M691" t="s">
        <v>60</v>
      </c>
      <c r="N691">
        <v>0</v>
      </c>
      <c r="O691" t="s">
        <v>31</v>
      </c>
      <c r="P691" t="s">
        <v>28</v>
      </c>
      <c r="Q691">
        <v>0</v>
      </c>
    </row>
    <row r="692" spans="1:17" x14ac:dyDescent="0.3">
      <c r="A692" t="s">
        <v>17</v>
      </c>
      <c r="B692">
        <v>67</v>
      </c>
      <c r="C692" t="s">
        <v>28</v>
      </c>
      <c r="D692" s="2">
        <v>45751</v>
      </c>
      <c r="E692" s="3">
        <f t="shared" si="10"/>
        <v>45748</v>
      </c>
      <c r="F692" t="s">
        <v>799</v>
      </c>
      <c r="H692" s="4">
        <v>-88.99</v>
      </c>
      <c r="I692" t="s">
        <v>31</v>
      </c>
      <c r="J692" t="s">
        <v>60</v>
      </c>
      <c r="L692" s="2">
        <v>45748</v>
      </c>
      <c r="M692" t="s">
        <v>60</v>
      </c>
      <c r="N692">
        <v>0</v>
      </c>
      <c r="O692" t="s">
        <v>31</v>
      </c>
      <c r="P692" t="s">
        <v>28</v>
      </c>
      <c r="Q692">
        <v>0</v>
      </c>
    </row>
    <row r="693" spans="1:17" x14ac:dyDescent="0.3">
      <c r="A693" t="s">
        <v>17</v>
      </c>
      <c r="B693">
        <v>67</v>
      </c>
      <c r="C693" t="s">
        <v>28</v>
      </c>
      <c r="D693" s="2">
        <v>45751</v>
      </c>
      <c r="E693" s="3">
        <f t="shared" si="10"/>
        <v>45748</v>
      </c>
      <c r="F693" t="s">
        <v>799</v>
      </c>
      <c r="H693" s="4">
        <v>-41.72</v>
      </c>
      <c r="I693" t="s">
        <v>31</v>
      </c>
      <c r="J693" t="s">
        <v>60</v>
      </c>
      <c r="L693" s="2">
        <v>45748</v>
      </c>
      <c r="M693" t="s">
        <v>60</v>
      </c>
      <c r="N693">
        <v>0</v>
      </c>
      <c r="O693" t="s">
        <v>31</v>
      </c>
      <c r="P693" t="s">
        <v>28</v>
      </c>
      <c r="Q693">
        <v>0</v>
      </c>
    </row>
    <row r="694" spans="1:17" x14ac:dyDescent="0.3">
      <c r="A694" t="s">
        <v>17</v>
      </c>
      <c r="B694">
        <v>68</v>
      </c>
      <c r="C694" t="s">
        <v>34</v>
      </c>
      <c r="D694" s="2">
        <v>45754</v>
      </c>
      <c r="E694" s="3">
        <f t="shared" si="10"/>
        <v>45748</v>
      </c>
      <c r="F694" t="s">
        <v>800</v>
      </c>
      <c r="G694" t="s">
        <v>107</v>
      </c>
      <c r="H694" s="4">
        <v>248.53</v>
      </c>
      <c r="I694" t="s">
        <v>108</v>
      </c>
      <c r="J694" t="s">
        <v>109</v>
      </c>
      <c r="K694" t="s">
        <v>110</v>
      </c>
      <c r="L694" s="2">
        <v>45748</v>
      </c>
      <c r="M694" t="s">
        <v>109</v>
      </c>
      <c r="N694">
        <v>0</v>
      </c>
      <c r="O694" t="s">
        <v>111</v>
      </c>
      <c r="P694" t="s">
        <v>112</v>
      </c>
      <c r="Q694" t="s">
        <v>113</v>
      </c>
    </row>
    <row r="695" spans="1:17" x14ac:dyDescent="0.3">
      <c r="A695" t="s">
        <v>17</v>
      </c>
      <c r="B695">
        <v>68</v>
      </c>
      <c r="C695" t="s">
        <v>34</v>
      </c>
      <c r="D695" s="2">
        <v>45754</v>
      </c>
      <c r="E695" s="3">
        <f t="shared" si="10"/>
        <v>45748</v>
      </c>
      <c r="F695" t="s">
        <v>801</v>
      </c>
      <c r="H695" s="4">
        <v>-31.43</v>
      </c>
      <c r="I695" t="s">
        <v>31</v>
      </c>
      <c r="J695" t="s">
        <v>613</v>
      </c>
      <c r="K695" t="s">
        <v>802</v>
      </c>
      <c r="L695" s="2">
        <v>45748</v>
      </c>
      <c r="M695" t="s">
        <v>613</v>
      </c>
      <c r="N695">
        <v>0</v>
      </c>
      <c r="O695" t="s">
        <v>31</v>
      </c>
      <c r="P695" t="s">
        <v>34</v>
      </c>
      <c r="Q695">
        <v>0</v>
      </c>
    </row>
    <row r="696" spans="1:17" x14ac:dyDescent="0.3">
      <c r="A696" t="s">
        <v>17</v>
      </c>
      <c r="B696">
        <v>67</v>
      </c>
      <c r="C696" t="s">
        <v>28</v>
      </c>
      <c r="D696" s="2">
        <v>45755</v>
      </c>
      <c r="E696" s="3">
        <f t="shared" si="10"/>
        <v>45748</v>
      </c>
      <c r="F696" t="s">
        <v>803</v>
      </c>
      <c r="G696" t="s">
        <v>673</v>
      </c>
      <c r="H696" s="4">
        <v>11324.47</v>
      </c>
      <c r="I696" t="s">
        <v>47</v>
      </c>
      <c r="J696" t="s">
        <v>48</v>
      </c>
      <c r="K696" t="s">
        <v>674</v>
      </c>
      <c r="L696" s="2">
        <v>45748</v>
      </c>
      <c r="M696" t="s">
        <v>50</v>
      </c>
      <c r="N696">
        <v>0</v>
      </c>
      <c r="O696" t="s">
        <v>26</v>
      </c>
      <c r="P696" t="s">
        <v>28</v>
      </c>
      <c r="Q696">
        <v>0</v>
      </c>
    </row>
    <row r="697" spans="1:17" x14ac:dyDescent="0.3">
      <c r="A697" t="s">
        <v>17</v>
      </c>
      <c r="B697">
        <v>63</v>
      </c>
      <c r="C697" t="s">
        <v>18</v>
      </c>
      <c r="D697" s="2">
        <v>45756</v>
      </c>
      <c r="E697" s="3">
        <f t="shared" si="10"/>
        <v>45748</v>
      </c>
      <c r="F697" t="s">
        <v>804</v>
      </c>
      <c r="G697" t="s">
        <v>125</v>
      </c>
      <c r="H697" s="4">
        <v>330</v>
      </c>
      <c r="I697" t="s">
        <v>21</v>
      </c>
      <c r="J697" t="s">
        <v>22</v>
      </c>
      <c r="K697" t="s">
        <v>805</v>
      </c>
      <c r="L697" s="2">
        <v>45748</v>
      </c>
      <c r="M697" t="s">
        <v>24</v>
      </c>
      <c r="N697" t="s">
        <v>25</v>
      </c>
      <c r="O697" t="s">
        <v>26</v>
      </c>
      <c r="P697" t="s">
        <v>18</v>
      </c>
      <c r="Q697" t="s">
        <v>27</v>
      </c>
    </row>
    <row r="698" spans="1:17" x14ac:dyDescent="0.3">
      <c r="A698" t="s">
        <v>17</v>
      </c>
      <c r="B698">
        <v>67</v>
      </c>
      <c r="C698" t="s">
        <v>28</v>
      </c>
      <c r="D698" s="2">
        <v>45756</v>
      </c>
      <c r="E698" s="3">
        <f t="shared" si="10"/>
        <v>45748</v>
      </c>
      <c r="F698" t="s">
        <v>806</v>
      </c>
      <c r="G698" t="s">
        <v>119</v>
      </c>
      <c r="H698" s="4">
        <v>641.25</v>
      </c>
      <c r="I698" t="s">
        <v>31</v>
      </c>
      <c r="J698" t="s">
        <v>68</v>
      </c>
      <c r="K698" t="s">
        <v>807</v>
      </c>
      <c r="L698" s="2">
        <v>45748</v>
      </c>
      <c r="M698" t="s">
        <v>68</v>
      </c>
      <c r="N698">
        <v>0</v>
      </c>
      <c r="O698" t="s">
        <v>31</v>
      </c>
      <c r="P698" t="s">
        <v>28</v>
      </c>
      <c r="Q698">
        <v>0</v>
      </c>
    </row>
    <row r="699" spans="1:17" x14ac:dyDescent="0.3">
      <c r="A699" t="s">
        <v>17</v>
      </c>
      <c r="B699">
        <v>68</v>
      </c>
      <c r="C699" t="s">
        <v>34</v>
      </c>
      <c r="D699" s="2">
        <v>45756</v>
      </c>
      <c r="E699" s="3">
        <f t="shared" si="10"/>
        <v>45748</v>
      </c>
      <c r="F699" t="s">
        <v>808</v>
      </c>
      <c r="G699" t="s">
        <v>122</v>
      </c>
      <c r="H699" s="4">
        <v>709.3</v>
      </c>
      <c r="I699" t="s">
        <v>108</v>
      </c>
      <c r="J699" t="s">
        <v>109</v>
      </c>
      <c r="K699" t="s">
        <v>388</v>
      </c>
      <c r="L699" s="2">
        <v>45748</v>
      </c>
      <c r="M699" t="s">
        <v>109</v>
      </c>
      <c r="N699">
        <v>0</v>
      </c>
      <c r="O699" t="s">
        <v>111</v>
      </c>
      <c r="P699" t="s">
        <v>112</v>
      </c>
      <c r="Q699" t="s">
        <v>113</v>
      </c>
    </row>
    <row r="700" spans="1:17" x14ac:dyDescent="0.3">
      <c r="A700" t="s">
        <v>17</v>
      </c>
      <c r="B700">
        <v>68</v>
      </c>
      <c r="C700" t="s">
        <v>34</v>
      </c>
      <c r="D700" s="2">
        <v>45756</v>
      </c>
      <c r="E700" s="3">
        <f t="shared" si="10"/>
        <v>45748</v>
      </c>
      <c r="F700" t="s">
        <v>809</v>
      </c>
      <c r="G700" t="s">
        <v>122</v>
      </c>
      <c r="H700" s="4">
        <v>57.41</v>
      </c>
      <c r="I700" t="s">
        <v>108</v>
      </c>
      <c r="J700" t="s">
        <v>109</v>
      </c>
      <c r="K700" t="s">
        <v>388</v>
      </c>
      <c r="L700" s="2">
        <v>45748</v>
      </c>
      <c r="M700" t="s">
        <v>109</v>
      </c>
      <c r="N700">
        <v>0</v>
      </c>
      <c r="O700" t="s">
        <v>111</v>
      </c>
      <c r="P700" t="s">
        <v>112</v>
      </c>
      <c r="Q700" t="s">
        <v>113</v>
      </c>
    </row>
    <row r="701" spans="1:17" x14ac:dyDescent="0.3">
      <c r="A701" t="s">
        <v>17</v>
      </c>
      <c r="B701">
        <v>67</v>
      </c>
      <c r="C701" t="s">
        <v>28</v>
      </c>
      <c r="D701" s="2">
        <v>45757</v>
      </c>
      <c r="E701" s="3">
        <f t="shared" si="10"/>
        <v>45748</v>
      </c>
      <c r="F701" t="s">
        <v>810</v>
      </c>
      <c r="G701" t="s">
        <v>639</v>
      </c>
      <c r="H701" s="4">
        <v>21.78</v>
      </c>
      <c r="I701" t="s">
        <v>159</v>
      </c>
      <c r="J701" t="s">
        <v>74</v>
      </c>
      <c r="K701" t="s">
        <v>811</v>
      </c>
      <c r="L701" s="2">
        <v>45748</v>
      </c>
      <c r="M701" t="s">
        <v>76</v>
      </c>
      <c r="N701">
        <v>0</v>
      </c>
      <c r="O701" t="s">
        <v>159</v>
      </c>
      <c r="P701" t="s">
        <v>28</v>
      </c>
      <c r="Q701">
        <v>0</v>
      </c>
    </row>
    <row r="702" spans="1:17" x14ac:dyDescent="0.3">
      <c r="A702" t="s">
        <v>17</v>
      </c>
      <c r="B702">
        <v>68</v>
      </c>
      <c r="C702" t="s">
        <v>34</v>
      </c>
      <c r="D702" s="2">
        <v>45757</v>
      </c>
      <c r="E702" s="3">
        <f t="shared" si="10"/>
        <v>45748</v>
      </c>
      <c r="F702" t="s">
        <v>812</v>
      </c>
      <c r="G702" t="s">
        <v>131</v>
      </c>
      <c r="H702" s="4">
        <v>1034.31</v>
      </c>
      <c r="I702" t="s">
        <v>31</v>
      </c>
      <c r="J702" t="s">
        <v>79</v>
      </c>
      <c r="K702" t="s">
        <v>132</v>
      </c>
      <c r="L702" s="2">
        <v>45748</v>
      </c>
      <c r="M702" t="s">
        <v>79</v>
      </c>
      <c r="N702">
        <v>0</v>
      </c>
      <c r="O702" t="s">
        <v>31</v>
      </c>
      <c r="P702" t="s">
        <v>34</v>
      </c>
      <c r="Q702">
        <v>0</v>
      </c>
    </row>
    <row r="703" spans="1:17" x14ac:dyDescent="0.3">
      <c r="A703" t="s">
        <v>17</v>
      </c>
      <c r="B703">
        <v>64</v>
      </c>
      <c r="C703" t="s">
        <v>83</v>
      </c>
      <c r="D703" s="2">
        <v>45757</v>
      </c>
      <c r="E703" s="3">
        <f t="shared" si="10"/>
        <v>45748</v>
      </c>
      <c r="F703" t="s">
        <v>810</v>
      </c>
      <c r="G703" t="s">
        <v>158</v>
      </c>
      <c r="H703" s="4">
        <v>6.53</v>
      </c>
      <c r="I703" t="s">
        <v>159</v>
      </c>
      <c r="J703" t="s">
        <v>511</v>
      </c>
      <c r="K703" t="s">
        <v>603</v>
      </c>
      <c r="L703" s="2">
        <v>45748</v>
      </c>
      <c r="M703" t="s">
        <v>513</v>
      </c>
      <c r="N703">
        <v>0</v>
      </c>
      <c r="O703" t="s">
        <v>159</v>
      </c>
      <c r="P703" t="s">
        <v>83</v>
      </c>
      <c r="Q703">
        <v>0</v>
      </c>
    </row>
    <row r="704" spans="1:17" x14ac:dyDescent="0.3">
      <c r="A704" t="s">
        <v>17</v>
      </c>
      <c r="B704">
        <v>64</v>
      </c>
      <c r="C704" t="s">
        <v>83</v>
      </c>
      <c r="D704" s="2">
        <v>45757</v>
      </c>
      <c r="E704" s="3">
        <f t="shared" si="10"/>
        <v>45748</v>
      </c>
      <c r="F704" t="s">
        <v>810</v>
      </c>
      <c r="G704" t="s">
        <v>158</v>
      </c>
      <c r="H704" s="4">
        <v>192.12</v>
      </c>
      <c r="I704" t="s">
        <v>159</v>
      </c>
      <c r="J704" t="s">
        <v>84</v>
      </c>
      <c r="K704" t="s">
        <v>603</v>
      </c>
      <c r="L704" s="2">
        <v>45748</v>
      </c>
      <c r="M704" t="s">
        <v>86</v>
      </c>
      <c r="N704">
        <v>0</v>
      </c>
      <c r="O704" t="s">
        <v>159</v>
      </c>
      <c r="P704" t="s">
        <v>83</v>
      </c>
      <c r="Q704">
        <v>0</v>
      </c>
    </row>
    <row r="705" spans="1:17" x14ac:dyDescent="0.3">
      <c r="A705" t="s">
        <v>17</v>
      </c>
      <c r="B705">
        <v>64</v>
      </c>
      <c r="C705" t="s">
        <v>83</v>
      </c>
      <c r="D705" s="2">
        <v>45757</v>
      </c>
      <c r="E705" s="3">
        <f t="shared" si="10"/>
        <v>45748</v>
      </c>
      <c r="F705" t="s">
        <v>810</v>
      </c>
      <c r="G705" t="s">
        <v>158</v>
      </c>
      <c r="H705" s="4">
        <v>199.65</v>
      </c>
      <c r="I705" t="s">
        <v>159</v>
      </c>
      <c r="J705" t="s">
        <v>84</v>
      </c>
      <c r="K705" t="s">
        <v>603</v>
      </c>
      <c r="L705" s="2">
        <v>45748</v>
      </c>
      <c r="M705" t="s">
        <v>86</v>
      </c>
      <c r="N705">
        <v>0</v>
      </c>
      <c r="O705" t="s">
        <v>159</v>
      </c>
      <c r="P705" t="s">
        <v>83</v>
      </c>
      <c r="Q705">
        <v>0</v>
      </c>
    </row>
    <row r="706" spans="1:17" x14ac:dyDescent="0.3">
      <c r="A706" t="s">
        <v>17</v>
      </c>
      <c r="B706">
        <v>64</v>
      </c>
      <c r="C706" t="s">
        <v>83</v>
      </c>
      <c r="D706" s="2">
        <v>45757</v>
      </c>
      <c r="E706" s="3">
        <f t="shared" si="10"/>
        <v>45748</v>
      </c>
      <c r="F706" t="s">
        <v>810</v>
      </c>
      <c r="G706" t="s">
        <v>158</v>
      </c>
      <c r="H706" s="4">
        <v>199.64</v>
      </c>
      <c r="I706" t="s">
        <v>159</v>
      </c>
      <c r="J706" t="s">
        <v>84</v>
      </c>
      <c r="K706" t="s">
        <v>603</v>
      </c>
      <c r="L706" s="2">
        <v>45748</v>
      </c>
      <c r="M706" t="s">
        <v>86</v>
      </c>
      <c r="N706">
        <v>0</v>
      </c>
      <c r="O706" t="s">
        <v>159</v>
      </c>
      <c r="P706" t="s">
        <v>83</v>
      </c>
      <c r="Q706">
        <v>0</v>
      </c>
    </row>
    <row r="707" spans="1:17" x14ac:dyDescent="0.3">
      <c r="A707" t="s">
        <v>17</v>
      </c>
      <c r="B707">
        <v>64</v>
      </c>
      <c r="C707" t="s">
        <v>83</v>
      </c>
      <c r="D707" s="2">
        <v>45757</v>
      </c>
      <c r="E707" s="3">
        <f t="shared" ref="E707:E770" si="11">IF($D707="","",DATE(YEAR($D707),MONTH($D707),1))</f>
        <v>45748</v>
      </c>
      <c r="F707" t="s">
        <v>810</v>
      </c>
      <c r="G707" t="s">
        <v>158</v>
      </c>
      <c r="H707" s="4">
        <v>199.65</v>
      </c>
      <c r="I707" t="s">
        <v>159</v>
      </c>
      <c r="J707" t="s">
        <v>84</v>
      </c>
      <c r="K707" t="s">
        <v>603</v>
      </c>
      <c r="L707" s="2">
        <v>45748</v>
      </c>
      <c r="M707" t="s">
        <v>86</v>
      </c>
      <c r="N707">
        <v>0</v>
      </c>
      <c r="O707" t="s">
        <v>159</v>
      </c>
      <c r="P707" t="s">
        <v>83</v>
      </c>
      <c r="Q707">
        <v>0</v>
      </c>
    </row>
    <row r="708" spans="1:17" x14ac:dyDescent="0.3">
      <c r="A708" t="s">
        <v>17</v>
      </c>
      <c r="B708">
        <v>64</v>
      </c>
      <c r="C708" t="s">
        <v>83</v>
      </c>
      <c r="D708" s="2">
        <v>45757</v>
      </c>
      <c r="E708" s="3">
        <f t="shared" si="11"/>
        <v>45748</v>
      </c>
      <c r="F708" t="s">
        <v>810</v>
      </c>
      <c r="G708" t="s">
        <v>158</v>
      </c>
      <c r="H708" s="4">
        <v>192.12</v>
      </c>
      <c r="I708" t="s">
        <v>159</v>
      </c>
      <c r="J708" t="s">
        <v>84</v>
      </c>
      <c r="K708" t="s">
        <v>603</v>
      </c>
      <c r="L708" s="2">
        <v>45748</v>
      </c>
      <c r="M708" t="s">
        <v>86</v>
      </c>
      <c r="N708">
        <v>0</v>
      </c>
      <c r="O708" t="s">
        <v>159</v>
      </c>
      <c r="P708" t="s">
        <v>83</v>
      </c>
      <c r="Q708">
        <v>0</v>
      </c>
    </row>
    <row r="709" spans="1:17" x14ac:dyDescent="0.3">
      <c r="A709" t="s">
        <v>17</v>
      </c>
      <c r="B709">
        <v>67</v>
      </c>
      <c r="C709" t="s">
        <v>28</v>
      </c>
      <c r="D709" s="2">
        <v>45757</v>
      </c>
      <c r="E709" s="3">
        <f t="shared" si="11"/>
        <v>45748</v>
      </c>
      <c r="F709" t="s">
        <v>810</v>
      </c>
      <c r="G709" t="s">
        <v>158</v>
      </c>
      <c r="H709" s="4">
        <v>0.83</v>
      </c>
      <c r="I709" t="s">
        <v>159</v>
      </c>
      <c r="J709" t="s">
        <v>64</v>
      </c>
      <c r="K709" t="s">
        <v>813</v>
      </c>
      <c r="L709" s="2">
        <v>45748</v>
      </c>
      <c r="M709" t="s">
        <v>64</v>
      </c>
      <c r="N709">
        <v>0</v>
      </c>
      <c r="O709" t="s">
        <v>159</v>
      </c>
      <c r="P709" t="s">
        <v>28</v>
      </c>
      <c r="Q709">
        <v>0</v>
      </c>
    </row>
    <row r="710" spans="1:17" x14ac:dyDescent="0.3">
      <c r="A710" t="s">
        <v>17</v>
      </c>
      <c r="B710">
        <v>67</v>
      </c>
      <c r="C710" t="s">
        <v>28</v>
      </c>
      <c r="D710" s="2">
        <v>45757</v>
      </c>
      <c r="E710" s="3">
        <f t="shared" si="11"/>
        <v>45748</v>
      </c>
      <c r="F710" t="s">
        <v>810</v>
      </c>
      <c r="G710" t="s">
        <v>158</v>
      </c>
      <c r="H710" s="4">
        <v>0.08</v>
      </c>
      <c r="I710" t="s">
        <v>159</v>
      </c>
      <c r="J710" t="s">
        <v>64</v>
      </c>
      <c r="K710" t="s">
        <v>813</v>
      </c>
      <c r="L710" s="2">
        <v>45748</v>
      </c>
      <c r="M710" t="s">
        <v>64</v>
      </c>
      <c r="N710">
        <v>0</v>
      </c>
      <c r="O710" t="s">
        <v>159</v>
      </c>
      <c r="P710" t="s">
        <v>28</v>
      </c>
      <c r="Q710">
        <v>0</v>
      </c>
    </row>
    <row r="711" spans="1:17" x14ac:dyDescent="0.3">
      <c r="A711" t="s">
        <v>17</v>
      </c>
      <c r="B711">
        <v>67</v>
      </c>
      <c r="C711" t="s">
        <v>28</v>
      </c>
      <c r="D711" s="2">
        <v>45757</v>
      </c>
      <c r="E711" s="3">
        <f t="shared" si="11"/>
        <v>45748</v>
      </c>
      <c r="F711" t="s">
        <v>810</v>
      </c>
      <c r="G711" t="s">
        <v>158</v>
      </c>
      <c r="H711" s="4">
        <v>7.0000000000000007E-2</v>
      </c>
      <c r="I711" t="s">
        <v>159</v>
      </c>
      <c r="J711" t="s">
        <v>64</v>
      </c>
      <c r="K711" t="s">
        <v>813</v>
      </c>
      <c r="L711" s="2">
        <v>45748</v>
      </c>
      <c r="M711" t="s">
        <v>64</v>
      </c>
      <c r="N711">
        <v>0</v>
      </c>
      <c r="O711" t="s">
        <v>159</v>
      </c>
      <c r="P711" t="s">
        <v>28</v>
      </c>
      <c r="Q711">
        <v>0</v>
      </c>
    </row>
    <row r="712" spans="1:17" x14ac:dyDescent="0.3">
      <c r="A712" t="s">
        <v>17</v>
      </c>
      <c r="B712">
        <v>67</v>
      </c>
      <c r="C712" t="s">
        <v>28</v>
      </c>
      <c r="D712" s="2">
        <v>45757</v>
      </c>
      <c r="E712" s="3">
        <f t="shared" si="11"/>
        <v>45748</v>
      </c>
      <c r="F712" t="s">
        <v>810</v>
      </c>
      <c r="G712" t="s">
        <v>158</v>
      </c>
      <c r="H712" s="4">
        <v>0.22</v>
      </c>
      <c r="I712" t="s">
        <v>159</v>
      </c>
      <c r="J712" t="s">
        <v>64</v>
      </c>
      <c r="K712" t="s">
        <v>813</v>
      </c>
      <c r="L712" s="2">
        <v>45748</v>
      </c>
      <c r="M712" t="s">
        <v>64</v>
      </c>
      <c r="N712">
        <v>0</v>
      </c>
      <c r="O712" t="s">
        <v>159</v>
      </c>
      <c r="P712" t="s">
        <v>28</v>
      </c>
      <c r="Q712">
        <v>0</v>
      </c>
    </row>
    <row r="713" spans="1:17" x14ac:dyDescent="0.3">
      <c r="A713" t="s">
        <v>17</v>
      </c>
      <c r="B713">
        <v>67</v>
      </c>
      <c r="C713" t="s">
        <v>28</v>
      </c>
      <c r="D713" s="2">
        <v>45757</v>
      </c>
      <c r="E713" s="3">
        <f t="shared" si="11"/>
        <v>45748</v>
      </c>
      <c r="F713" t="s">
        <v>810</v>
      </c>
      <c r="G713" t="s">
        <v>158</v>
      </c>
      <c r="H713" s="4">
        <v>14.75</v>
      </c>
      <c r="I713" t="s">
        <v>159</v>
      </c>
      <c r="J713" t="s">
        <v>64</v>
      </c>
      <c r="K713" t="s">
        <v>813</v>
      </c>
      <c r="L713" s="2">
        <v>45748</v>
      </c>
      <c r="M713" t="s">
        <v>64</v>
      </c>
      <c r="N713">
        <v>0</v>
      </c>
      <c r="O713" t="s">
        <v>159</v>
      </c>
      <c r="P713" t="s">
        <v>28</v>
      </c>
      <c r="Q713">
        <v>0</v>
      </c>
    </row>
    <row r="714" spans="1:17" x14ac:dyDescent="0.3">
      <c r="A714" t="s">
        <v>17</v>
      </c>
      <c r="B714">
        <v>67</v>
      </c>
      <c r="C714" t="s">
        <v>28</v>
      </c>
      <c r="D714" s="2">
        <v>45757</v>
      </c>
      <c r="E714" s="3">
        <f t="shared" si="11"/>
        <v>45748</v>
      </c>
      <c r="F714" t="s">
        <v>810</v>
      </c>
      <c r="G714" t="s">
        <v>158</v>
      </c>
      <c r="H714" s="4">
        <v>0.99</v>
      </c>
      <c r="I714" t="s">
        <v>159</v>
      </c>
      <c r="J714" t="s">
        <v>64</v>
      </c>
      <c r="K714" t="s">
        <v>813</v>
      </c>
      <c r="L714" s="2">
        <v>45748</v>
      </c>
      <c r="M714" t="s">
        <v>64</v>
      </c>
      <c r="N714">
        <v>0</v>
      </c>
      <c r="O714" t="s">
        <v>159</v>
      </c>
      <c r="P714" t="s">
        <v>28</v>
      </c>
      <c r="Q714">
        <v>0</v>
      </c>
    </row>
    <row r="715" spans="1:17" x14ac:dyDescent="0.3">
      <c r="A715" t="s">
        <v>17</v>
      </c>
      <c r="B715">
        <v>67</v>
      </c>
      <c r="C715" t="s">
        <v>28</v>
      </c>
      <c r="D715" s="2">
        <v>45757</v>
      </c>
      <c r="E715" s="3">
        <f t="shared" si="11"/>
        <v>45748</v>
      </c>
      <c r="F715" t="s">
        <v>810</v>
      </c>
      <c r="G715" t="s">
        <v>158</v>
      </c>
      <c r="H715" s="4">
        <v>0.03</v>
      </c>
      <c r="I715" t="s">
        <v>159</v>
      </c>
      <c r="J715" t="s">
        <v>64</v>
      </c>
      <c r="K715" t="s">
        <v>603</v>
      </c>
      <c r="L715" s="2">
        <v>45748</v>
      </c>
      <c r="M715" t="s">
        <v>64</v>
      </c>
      <c r="N715">
        <v>0</v>
      </c>
      <c r="O715" t="s">
        <v>159</v>
      </c>
      <c r="P715" t="s">
        <v>28</v>
      </c>
      <c r="Q715">
        <v>0</v>
      </c>
    </row>
    <row r="716" spans="1:17" x14ac:dyDescent="0.3">
      <c r="A716" t="s">
        <v>17</v>
      </c>
      <c r="B716">
        <v>64</v>
      </c>
      <c r="C716" t="s">
        <v>83</v>
      </c>
      <c r="D716" s="2">
        <v>45757</v>
      </c>
      <c r="E716" s="3">
        <f t="shared" si="11"/>
        <v>45748</v>
      </c>
      <c r="F716" t="s">
        <v>810</v>
      </c>
      <c r="G716" t="s">
        <v>158</v>
      </c>
      <c r="H716" s="4">
        <v>5.46</v>
      </c>
      <c r="I716" t="s">
        <v>159</v>
      </c>
      <c r="J716" t="s">
        <v>87</v>
      </c>
      <c r="K716" t="s">
        <v>603</v>
      </c>
      <c r="L716" s="2">
        <v>45748</v>
      </c>
      <c r="M716" t="s">
        <v>89</v>
      </c>
      <c r="N716">
        <v>0</v>
      </c>
      <c r="O716" t="s">
        <v>159</v>
      </c>
      <c r="P716" t="s">
        <v>83</v>
      </c>
      <c r="Q716">
        <v>0</v>
      </c>
    </row>
    <row r="717" spans="1:17" x14ac:dyDescent="0.3">
      <c r="A717" t="s">
        <v>17</v>
      </c>
      <c r="B717">
        <v>64</v>
      </c>
      <c r="C717" t="s">
        <v>83</v>
      </c>
      <c r="D717" s="2">
        <v>45757</v>
      </c>
      <c r="E717" s="3">
        <f t="shared" si="11"/>
        <v>45748</v>
      </c>
      <c r="F717" t="s">
        <v>810</v>
      </c>
      <c r="G717" t="s">
        <v>158</v>
      </c>
      <c r="H717" s="4">
        <v>4.4000000000000004</v>
      </c>
      <c r="I717" t="s">
        <v>159</v>
      </c>
      <c r="J717" t="s">
        <v>87</v>
      </c>
      <c r="K717" t="s">
        <v>603</v>
      </c>
      <c r="L717" s="2">
        <v>45748</v>
      </c>
      <c r="M717" t="s">
        <v>89</v>
      </c>
      <c r="N717">
        <v>0</v>
      </c>
      <c r="O717" t="s">
        <v>159</v>
      </c>
      <c r="P717" t="s">
        <v>83</v>
      </c>
      <c r="Q717">
        <v>0</v>
      </c>
    </row>
    <row r="718" spans="1:17" x14ac:dyDescent="0.3">
      <c r="A718" t="s">
        <v>17</v>
      </c>
      <c r="B718">
        <v>64</v>
      </c>
      <c r="C718" t="s">
        <v>83</v>
      </c>
      <c r="D718" s="2">
        <v>45757</v>
      </c>
      <c r="E718" s="3">
        <f t="shared" si="11"/>
        <v>45748</v>
      </c>
      <c r="F718" t="s">
        <v>810</v>
      </c>
      <c r="G718" t="s">
        <v>158</v>
      </c>
      <c r="H718" s="4">
        <v>65.86</v>
      </c>
      <c r="I718" t="s">
        <v>159</v>
      </c>
      <c r="J718" t="s">
        <v>87</v>
      </c>
      <c r="K718" t="s">
        <v>603</v>
      </c>
      <c r="L718" s="2">
        <v>45748</v>
      </c>
      <c r="M718" t="s">
        <v>89</v>
      </c>
      <c r="N718">
        <v>0</v>
      </c>
      <c r="O718" t="s">
        <v>159</v>
      </c>
      <c r="P718" t="s">
        <v>83</v>
      </c>
      <c r="Q718">
        <v>0</v>
      </c>
    </row>
    <row r="719" spans="1:17" x14ac:dyDescent="0.3">
      <c r="A719" t="s">
        <v>17</v>
      </c>
      <c r="B719">
        <v>64</v>
      </c>
      <c r="C719" t="s">
        <v>83</v>
      </c>
      <c r="D719" s="2">
        <v>45757</v>
      </c>
      <c r="E719" s="3">
        <f t="shared" si="11"/>
        <v>45748</v>
      </c>
      <c r="F719" t="s">
        <v>810</v>
      </c>
      <c r="G719" t="s">
        <v>158</v>
      </c>
      <c r="H719" s="4">
        <v>225.88</v>
      </c>
      <c r="I719" t="s">
        <v>159</v>
      </c>
      <c r="J719" t="s">
        <v>87</v>
      </c>
      <c r="K719" t="s">
        <v>603</v>
      </c>
      <c r="L719" s="2">
        <v>45748</v>
      </c>
      <c r="M719" t="s">
        <v>89</v>
      </c>
      <c r="N719">
        <v>0</v>
      </c>
      <c r="O719" t="s">
        <v>159</v>
      </c>
      <c r="P719" t="s">
        <v>83</v>
      </c>
      <c r="Q719">
        <v>0</v>
      </c>
    </row>
    <row r="720" spans="1:17" x14ac:dyDescent="0.3">
      <c r="A720" t="s">
        <v>17</v>
      </c>
      <c r="B720">
        <v>64</v>
      </c>
      <c r="C720" t="s">
        <v>83</v>
      </c>
      <c r="D720" s="2">
        <v>45757</v>
      </c>
      <c r="E720" s="3">
        <f t="shared" si="11"/>
        <v>45748</v>
      </c>
      <c r="F720" t="s">
        <v>810</v>
      </c>
      <c r="G720" t="s">
        <v>158</v>
      </c>
      <c r="H720" s="4">
        <v>2.3199999999999998</v>
      </c>
      <c r="I720" t="s">
        <v>159</v>
      </c>
      <c r="J720" t="s">
        <v>87</v>
      </c>
      <c r="K720" t="s">
        <v>603</v>
      </c>
      <c r="L720" s="2">
        <v>45748</v>
      </c>
      <c r="M720" t="s">
        <v>89</v>
      </c>
      <c r="N720">
        <v>0</v>
      </c>
      <c r="O720" t="s">
        <v>159</v>
      </c>
      <c r="P720" t="s">
        <v>83</v>
      </c>
      <c r="Q720">
        <v>0</v>
      </c>
    </row>
    <row r="721" spans="1:17" x14ac:dyDescent="0.3">
      <c r="A721" t="s">
        <v>17</v>
      </c>
      <c r="B721">
        <v>64</v>
      </c>
      <c r="C721" t="s">
        <v>83</v>
      </c>
      <c r="D721" s="2">
        <v>45757</v>
      </c>
      <c r="E721" s="3">
        <f t="shared" si="11"/>
        <v>45748</v>
      </c>
      <c r="F721" t="s">
        <v>810</v>
      </c>
      <c r="G721" t="s">
        <v>158</v>
      </c>
      <c r="H721" s="4">
        <v>55.3</v>
      </c>
      <c r="I721" t="s">
        <v>159</v>
      </c>
      <c r="J721" t="s">
        <v>91</v>
      </c>
      <c r="K721" t="s">
        <v>603</v>
      </c>
      <c r="L721" s="2">
        <v>45748</v>
      </c>
      <c r="M721" t="s">
        <v>93</v>
      </c>
      <c r="N721">
        <v>0</v>
      </c>
      <c r="O721" t="s">
        <v>159</v>
      </c>
      <c r="P721" t="s">
        <v>83</v>
      </c>
      <c r="Q721">
        <v>0</v>
      </c>
    </row>
    <row r="722" spans="1:17" x14ac:dyDescent="0.3">
      <c r="A722" t="s">
        <v>17</v>
      </c>
      <c r="B722">
        <v>64</v>
      </c>
      <c r="C722" t="s">
        <v>83</v>
      </c>
      <c r="D722" s="2">
        <v>45757</v>
      </c>
      <c r="E722" s="3">
        <f t="shared" si="11"/>
        <v>45748</v>
      </c>
      <c r="F722" t="s">
        <v>810</v>
      </c>
      <c r="G722" t="s">
        <v>158</v>
      </c>
      <c r="H722" s="4">
        <v>14.39</v>
      </c>
      <c r="I722" t="s">
        <v>159</v>
      </c>
      <c r="J722" t="s">
        <v>91</v>
      </c>
      <c r="K722" t="s">
        <v>603</v>
      </c>
      <c r="L722" s="2">
        <v>45748</v>
      </c>
      <c r="M722" t="s">
        <v>93</v>
      </c>
      <c r="N722">
        <v>0</v>
      </c>
      <c r="O722" t="s">
        <v>159</v>
      </c>
      <c r="P722" t="s">
        <v>83</v>
      </c>
      <c r="Q722">
        <v>0</v>
      </c>
    </row>
    <row r="723" spans="1:17" x14ac:dyDescent="0.3">
      <c r="A723" t="s">
        <v>17</v>
      </c>
      <c r="B723">
        <v>64</v>
      </c>
      <c r="C723" t="s">
        <v>83</v>
      </c>
      <c r="D723" s="2">
        <v>45757</v>
      </c>
      <c r="E723" s="3">
        <f t="shared" si="11"/>
        <v>45748</v>
      </c>
      <c r="F723" t="s">
        <v>810</v>
      </c>
      <c r="G723" t="s">
        <v>158</v>
      </c>
      <c r="H723" s="4">
        <v>62.48</v>
      </c>
      <c r="I723" t="s">
        <v>159</v>
      </c>
      <c r="J723" t="s">
        <v>91</v>
      </c>
      <c r="K723" t="s">
        <v>165</v>
      </c>
      <c r="L723" s="2">
        <v>45748</v>
      </c>
      <c r="M723" t="s">
        <v>93</v>
      </c>
      <c r="N723">
        <v>0</v>
      </c>
      <c r="O723" t="s">
        <v>159</v>
      </c>
      <c r="P723" t="s">
        <v>83</v>
      </c>
      <c r="Q723">
        <v>0</v>
      </c>
    </row>
    <row r="724" spans="1:17" x14ac:dyDescent="0.3">
      <c r="A724" t="s">
        <v>17</v>
      </c>
      <c r="B724">
        <v>64</v>
      </c>
      <c r="C724" t="s">
        <v>83</v>
      </c>
      <c r="D724" s="2">
        <v>45757</v>
      </c>
      <c r="E724" s="3">
        <f t="shared" si="11"/>
        <v>45748</v>
      </c>
      <c r="F724" t="s">
        <v>810</v>
      </c>
      <c r="G724" t="s">
        <v>158</v>
      </c>
      <c r="H724" s="4">
        <v>63.47</v>
      </c>
      <c r="I724" t="s">
        <v>159</v>
      </c>
      <c r="J724" t="s">
        <v>91</v>
      </c>
      <c r="K724" t="s">
        <v>165</v>
      </c>
      <c r="L724" s="2">
        <v>45748</v>
      </c>
      <c r="M724" t="s">
        <v>93</v>
      </c>
      <c r="N724">
        <v>0</v>
      </c>
      <c r="O724" t="s">
        <v>159</v>
      </c>
      <c r="P724" t="s">
        <v>83</v>
      </c>
      <c r="Q724">
        <v>0</v>
      </c>
    </row>
    <row r="725" spans="1:17" x14ac:dyDescent="0.3">
      <c r="A725" t="s">
        <v>17</v>
      </c>
      <c r="B725">
        <v>64</v>
      </c>
      <c r="C725" t="s">
        <v>83</v>
      </c>
      <c r="D725" s="2">
        <v>45757</v>
      </c>
      <c r="E725" s="3">
        <f t="shared" si="11"/>
        <v>45748</v>
      </c>
      <c r="F725" t="s">
        <v>810</v>
      </c>
      <c r="G725" t="s">
        <v>158</v>
      </c>
      <c r="H725" s="4">
        <v>56.71</v>
      </c>
      <c r="I725" t="s">
        <v>159</v>
      </c>
      <c r="J725" t="s">
        <v>91</v>
      </c>
      <c r="K725" t="s">
        <v>165</v>
      </c>
      <c r="L725" s="2">
        <v>45748</v>
      </c>
      <c r="M725" t="s">
        <v>93</v>
      </c>
      <c r="N725">
        <v>0</v>
      </c>
      <c r="O725" t="s">
        <v>159</v>
      </c>
      <c r="P725" t="s">
        <v>83</v>
      </c>
      <c r="Q725">
        <v>0</v>
      </c>
    </row>
    <row r="726" spans="1:17" x14ac:dyDescent="0.3">
      <c r="A726" t="s">
        <v>17</v>
      </c>
      <c r="B726">
        <v>64</v>
      </c>
      <c r="C726" t="s">
        <v>83</v>
      </c>
      <c r="D726" s="2">
        <v>45757</v>
      </c>
      <c r="E726" s="3">
        <f t="shared" si="11"/>
        <v>45748</v>
      </c>
      <c r="F726" t="s">
        <v>810</v>
      </c>
      <c r="G726" t="s">
        <v>158</v>
      </c>
      <c r="H726" s="4">
        <v>67.03</v>
      </c>
      <c r="I726" t="s">
        <v>159</v>
      </c>
      <c r="J726" t="s">
        <v>91</v>
      </c>
      <c r="K726" t="s">
        <v>165</v>
      </c>
      <c r="L726" s="2">
        <v>45748</v>
      </c>
      <c r="M726" t="s">
        <v>93</v>
      </c>
      <c r="N726">
        <v>0</v>
      </c>
      <c r="O726" t="s">
        <v>159</v>
      </c>
      <c r="P726" t="s">
        <v>83</v>
      </c>
      <c r="Q726">
        <v>0</v>
      </c>
    </row>
    <row r="727" spans="1:17" x14ac:dyDescent="0.3">
      <c r="A727" t="s">
        <v>17</v>
      </c>
      <c r="B727">
        <v>66</v>
      </c>
      <c r="C727" t="s">
        <v>134</v>
      </c>
      <c r="D727" s="2">
        <v>45758</v>
      </c>
      <c r="E727" s="3">
        <f t="shared" si="11"/>
        <v>45748</v>
      </c>
      <c r="F727" t="s">
        <v>814</v>
      </c>
      <c r="G727" t="s">
        <v>136</v>
      </c>
      <c r="H727" s="4">
        <v>6819.92</v>
      </c>
      <c r="I727" t="s">
        <v>137</v>
      </c>
      <c r="J727" t="s">
        <v>223</v>
      </c>
      <c r="K727" t="s">
        <v>139</v>
      </c>
      <c r="L727" s="2">
        <v>45748</v>
      </c>
      <c r="M727" t="s">
        <v>223</v>
      </c>
      <c r="N727" t="s">
        <v>141</v>
      </c>
      <c r="O727" t="s">
        <v>111</v>
      </c>
      <c r="P727" t="s">
        <v>134</v>
      </c>
      <c r="Q727">
        <v>0</v>
      </c>
    </row>
    <row r="728" spans="1:17" x14ac:dyDescent="0.3">
      <c r="A728" t="s">
        <v>17</v>
      </c>
      <c r="B728">
        <v>66</v>
      </c>
      <c r="C728" t="s">
        <v>134</v>
      </c>
      <c r="D728" s="2">
        <v>45758</v>
      </c>
      <c r="E728" s="3">
        <f t="shared" si="11"/>
        <v>45748</v>
      </c>
      <c r="F728" t="s">
        <v>815</v>
      </c>
      <c r="G728" t="s">
        <v>136</v>
      </c>
      <c r="H728" s="4">
        <v>4151.25</v>
      </c>
      <c r="I728" t="s">
        <v>137</v>
      </c>
      <c r="J728" t="s">
        <v>138</v>
      </c>
      <c r="K728" t="s">
        <v>139</v>
      </c>
      <c r="L728" s="2">
        <v>45748</v>
      </c>
      <c r="M728" t="s">
        <v>140</v>
      </c>
      <c r="N728" t="s">
        <v>141</v>
      </c>
      <c r="O728" t="s">
        <v>111</v>
      </c>
      <c r="P728" t="s">
        <v>134</v>
      </c>
      <c r="Q728">
        <v>0</v>
      </c>
    </row>
    <row r="729" spans="1:17" x14ac:dyDescent="0.3">
      <c r="A729" t="s">
        <v>17</v>
      </c>
      <c r="B729">
        <v>67</v>
      </c>
      <c r="C729" t="s">
        <v>28</v>
      </c>
      <c r="D729" s="2">
        <v>45758</v>
      </c>
      <c r="E729" s="3">
        <f t="shared" si="11"/>
        <v>45748</v>
      </c>
      <c r="F729" t="s">
        <v>816</v>
      </c>
      <c r="G729" t="s">
        <v>817</v>
      </c>
      <c r="H729" s="4">
        <v>1285.4000000000001</v>
      </c>
      <c r="I729" t="s">
        <v>31</v>
      </c>
      <c r="J729" t="s">
        <v>60</v>
      </c>
      <c r="K729" t="s">
        <v>818</v>
      </c>
      <c r="L729" s="2">
        <v>45748</v>
      </c>
      <c r="M729" t="s">
        <v>60</v>
      </c>
      <c r="N729">
        <v>0</v>
      </c>
      <c r="O729" t="s">
        <v>31</v>
      </c>
      <c r="P729" t="s">
        <v>28</v>
      </c>
      <c r="Q729">
        <v>0</v>
      </c>
    </row>
    <row r="730" spans="1:17" x14ac:dyDescent="0.3">
      <c r="A730" t="s">
        <v>17</v>
      </c>
      <c r="B730">
        <v>67</v>
      </c>
      <c r="C730" t="s">
        <v>28</v>
      </c>
      <c r="D730" s="2">
        <v>45758</v>
      </c>
      <c r="E730" s="3">
        <f t="shared" si="11"/>
        <v>45748</v>
      </c>
      <c r="F730" t="s">
        <v>819</v>
      </c>
      <c r="G730" t="s">
        <v>67</v>
      </c>
      <c r="H730" s="4">
        <v>358.95</v>
      </c>
      <c r="I730" t="s">
        <v>31</v>
      </c>
      <c r="J730" t="s">
        <v>68</v>
      </c>
      <c r="K730" t="s">
        <v>820</v>
      </c>
      <c r="L730" s="2">
        <v>45748</v>
      </c>
      <c r="M730" t="s">
        <v>68</v>
      </c>
      <c r="N730">
        <v>0</v>
      </c>
      <c r="O730" t="s">
        <v>31</v>
      </c>
      <c r="P730" t="s">
        <v>28</v>
      </c>
      <c r="Q730">
        <v>0</v>
      </c>
    </row>
    <row r="731" spans="1:17" x14ac:dyDescent="0.3">
      <c r="A731" t="s">
        <v>17</v>
      </c>
      <c r="B731">
        <v>67</v>
      </c>
      <c r="C731" t="s">
        <v>28</v>
      </c>
      <c r="D731" s="2">
        <v>45760</v>
      </c>
      <c r="E731" s="3">
        <f t="shared" si="11"/>
        <v>45748</v>
      </c>
      <c r="F731" t="s">
        <v>821</v>
      </c>
      <c r="G731" t="s">
        <v>73</v>
      </c>
      <c r="H731" s="4">
        <v>31.03</v>
      </c>
      <c r="I731" t="s">
        <v>31</v>
      </c>
      <c r="J731" t="s">
        <v>64</v>
      </c>
      <c r="K731" t="s">
        <v>822</v>
      </c>
      <c r="L731" s="2">
        <v>45748</v>
      </c>
      <c r="M731" t="s">
        <v>64</v>
      </c>
      <c r="N731">
        <v>0</v>
      </c>
      <c r="O731" t="s">
        <v>31</v>
      </c>
      <c r="P731" t="s">
        <v>28</v>
      </c>
      <c r="Q731">
        <v>0</v>
      </c>
    </row>
    <row r="732" spans="1:17" x14ac:dyDescent="0.3">
      <c r="A732" t="s">
        <v>17</v>
      </c>
      <c r="B732">
        <v>64</v>
      </c>
      <c r="C732" t="s">
        <v>83</v>
      </c>
      <c r="D732" s="2">
        <v>45761</v>
      </c>
      <c r="E732" s="3">
        <f t="shared" si="11"/>
        <v>45748</v>
      </c>
      <c r="F732" t="s">
        <v>823</v>
      </c>
      <c r="G732" t="s">
        <v>824</v>
      </c>
      <c r="H732" s="4">
        <v>100.17</v>
      </c>
      <c r="I732" t="s">
        <v>108</v>
      </c>
      <c r="J732" t="s">
        <v>91</v>
      </c>
      <c r="K732" t="s">
        <v>825</v>
      </c>
      <c r="L732" s="2">
        <v>45748</v>
      </c>
      <c r="M732" t="s">
        <v>93</v>
      </c>
      <c r="N732">
        <v>0</v>
      </c>
      <c r="O732" t="s">
        <v>111</v>
      </c>
      <c r="P732" t="s">
        <v>83</v>
      </c>
      <c r="Q732">
        <v>0</v>
      </c>
    </row>
    <row r="733" spans="1:17" x14ac:dyDescent="0.3">
      <c r="A733" t="s">
        <v>17</v>
      </c>
      <c r="B733">
        <v>64</v>
      </c>
      <c r="C733" t="s">
        <v>83</v>
      </c>
      <c r="D733" s="2">
        <v>45761</v>
      </c>
      <c r="E733" s="3">
        <f t="shared" si="11"/>
        <v>45748</v>
      </c>
      <c r="F733" t="s">
        <v>823</v>
      </c>
      <c r="G733" t="s">
        <v>824</v>
      </c>
      <c r="H733" s="4">
        <v>128.52000000000001</v>
      </c>
      <c r="I733" t="s">
        <v>108</v>
      </c>
      <c r="J733" t="s">
        <v>84</v>
      </c>
      <c r="K733" t="s">
        <v>826</v>
      </c>
      <c r="L733" s="2">
        <v>45748</v>
      </c>
      <c r="M733" t="s">
        <v>86</v>
      </c>
      <c r="N733">
        <v>0</v>
      </c>
      <c r="O733" t="s">
        <v>111</v>
      </c>
      <c r="P733" t="s">
        <v>83</v>
      </c>
      <c r="Q733">
        <v>0</v>
      </c>
    </row>
    <row r="734" spans="1:17" x14ac:dyDescent="0.3">
      <c r="A734" t="s">
        <v>17</v>
      </c>
      <c r="B734">
        <v>64</v>
      </c>
      <c r="C734" t="s">
        <v>83</v>
      </c>
      <c r="D734" s="2">
        <v>45761</v>
      </c>
      <c r="E734" s="3">
        <f t="shared" si="11"/>
        <v>45748</v>
      </c>
      <c r="F734" t="s">
        <v>823</v>
      </c>
      <c r="G734" t="s">
        <v>824</v>
      </c>
      <c r="H734" s="4">
        <v>193.2</v>
      </c>
      <c r="I734" t="s">
        <v>108</v>
      </c>
      <c r="J734" t="s">
        <v>84</v>
      </c>
      <c r="K734" t="s">
        <v>827</v>
      </c>
      <c r="L734" s="2">
        <v>45748</v>
      </c>
      <c r="M734" t="s">
        <v>86</v>
      </c>
      <c r="N734">
        <v>0</v>
      </c>
      <c r="O734" t="s">
        <v>111</v>
      </c>
      <c r="P734" t="s">
        <v>83</v>
      </c>
      <c r="Q734">
        <v>0</v>
      </c>
    </row>
    <row r="735" spans="1:17" x14ac:dyDescent="0.3">
      <c r="A735" t="s">
        <v>17</v>
      </c>
      <c r="B735">
        <v>64</v>
      </c>
      <c r="C735" t="s">
        <v>83</v>
      </c>
      <c r="D735" s="2">
        <v>45761</v>
      </c>
      <c r="E735" s="3">
        <f t="shared" si="11"/>
        <v>45748</v>
      </c>
      <c r="F735" t="s">
        <v>823</v>
      </c>
      <c r="G735" t="s">
        <v>824</v>
      </c>
      <c r="H735" s="4">
        <v>836.75</v>
      </c>
      <c r="I735" t="s">
        <v>108</v>
      </c>
      <c r="J735" t="s">
        <v>84</v>
      </c>
      <c r="K735" t="s">
        <v>828</v>
      </c>
      <c r="L735" s="2">
        <v>45748</v>
      </c>
      <c r="M735" t="s">
        <v>86</v>
      </c>
      <c r="N735">
        <v>0</v>
      </c>
      <c r="O735" t="s">
        <v>111</v>
      </c>
      <c r="P735" t="s">
        <v>83</v>
      </c>
      <c r="Q735">
        <v>0</v>
      </c>
    </row>
    <row r="736" spans="1:17" x14ac:dyDescent="0.3">
      <c r="A736" t="s">
        <v>17</v>
      </c>
      <c r="B736">
        <v>64</v>
      </c>
      <c r="C736" t="s">
        <v>83</v>
      </c>
      <c r="D736" s="2">
        <v>45761</v>
      </c>
      <c r="E736" s="3">
        <f t="shared" si="11"/>
        <v>45748</v>
      </c>
      <c r="F736" t="s">
        <v>823</v>
      </c>
      <c r="G736" t="s">
        <v>824</v>
      </c>
      <c r="H736" s="4">
        <v>180.74</v>
      </c>
      <c r="I736" t="s">
        <v>108</v>
      </c>
      <c r="J736" t="s">
        <v>84</v>
      </c>
      <c r="K736" t="s">
        <v>828</v>
      </c>
      <c r="L736" s="2">
        <v>45748</v>
      </c>
      <c r="M736" t="s">
        <v>86</v>
      </c>
      <c r="N736">
        <v>0</v>
      </c>
      <c r="O736" t="s">
        <v>111</v>
      </c>
      <c r="P736" t="s">
        <v>83</v>
      </c>
      <c r="Q736">
        <v>0</v>
      </c>
    </row>
    <row r="737" spans="1:17" x14ac:dyDescent="0.3">
      <c r="A737" t="s">
        <v>17</v>
      </c>
      <c r="B737">
        <v>65</v>
      </c>
      <c r="C737" t="s">
        <v>54</v>
      </c>
      <c r="D737" s="2">
        <v>45761</v>
      </c>
      <c r="E737" s="3">
        <f t="shared" si="11"/>
        <v>45748</v>
      </c>
      <c r="F737" t="s">
        <v>829</v>
      </c>
      <c r="G737" t="s">
        <v>154</v>
      </c>
      <c r="H737" s="4">
        <v>740.48</v>
      </c>
      <c r="I737" t="s">
        <v>31</v>
      </c>
      <c r="J737" t="s">
        <v>155</v>
      </c>
      <c r="K737" t="s">
        <v>830</v>
      </c>
      <c r="L737" s="2">
        <v>45748</v>
      </c>
      <c r="M737" t="s">
        <v>155</v>
      </c>
      <c r="N737">
        <v>0</v>
      </c>
      <c r="O737" t="s">
        <v>31</v>
      </c>
      <c r="P737" t="s">
        <v>54</v>
      </c>
      <c r="Q737">
        <v>0</v>
      </c>
    </row>
    <row r="738" spans="1:17" x14ac:dyDescent="0.3">
      <c r="A738" t="s">
        <v>17</v>
      </c>
      <c r="B738">
        <v>64</v>
      </c>
      <c r="C738" t="s">
        <v>83</v>
      </c>
      <c r="D738" s="2">
        <v>45761</v>
      </c>
      <c r="E738" s="3">
        <f t="shared" si="11"/>
        <v>45748</v>
      </c>
      <c r="F738" t="s">
        <v>823</v>
      </c>
      <c r="G738" t="s">
        <v>824</v>
      </c>
      <c r="H738" s="4">
        <v>58.38</v>
      </c>
      <c r="I738" t="s">
        <v>108</v>
      </c>
      <c r="J738" t="s">
        <v>87</v>
      </c>
      <c r="K738" t="s">
        <v>831</v>
      </c>
      <c r="L738" s="2">
        <v>45748</v>
      </c>
      <c r="M738" t="s">
        <v>89</v>
      </c>
      <c r="N738">
        <v>0</v>
      </c>
      <c r="O738" t="s">
        <v>111</v>
      </c>
      <c r="P738" t="s">
        <v>83</v>
      </c>
      <c r="Q738">
        <v>0</v>
      </c>
    </row>
    <row r="739" spans="1:17" x14ac:dyDescent="0.3">
      <c r="A739" t="s">
        <v>17</v>
      </c>
      <c r="B739">
        <v>64</v>
      </c>
      <c r="C739" t="s">
        <v>83</v>
      </c>
      <c r="D739" s="2">
        <v>45761</v>
      </c>
      <c r="E739" s="3">
        <f t="shared" si="11"/>
        <v>45748</v>
      </c>
      <c r="F739" t="s">
        <v>823</v>
      </c>
      <c r="G739" t="s">
        <v>824</v>
      </c>
      <c r="H739" s="4">
        <v>77.11</v>
      </c>
      <c r="I739" t="s">
        <v>108</v>
      </c>
      <c r="J739" t="s">
        <v>87</v>
      </c>
      <c r="K739" t="s">
        <v>831</v>
      </c>
      <c r="L739" s="2">
        <v>45748</v>
      </c>
      <c r="M739" t="s">
        <v>89</v>
      </c>
      <c r="N739">
        <v>0</v>
      </c>
      <c r="O739" t="s">
        <v>111</v>
      </c>
      <c r="P739" t="s">
        <v>83</v>
      </c>
      <c r="Q739">
        <v>0</v>
      </c>
    </row>
    <row r="740" spans="1:17" x14ac:dyDescent="0.3">
      <c r="A740" t="s">
        <v>17</v>
      </c>
      <c r="B740">
        <v>64</v>
      </c>
      <c r="C740" t="s">
        <v>83</v>
      </c>
      <c r="D740" s="2">
        <v>45761</v>
      </c>
      <c r="E740" s="3">
        <f t="shared" si="11"/>
        <v>45748</v>
      </c>
      <c r="F740" t="s">
        <v>823</v>
      </c>
      <c r="G740" t="s">
        <v>824</v>
      </c>
      <c r="H740" s="4">
        <v>87.31</v>
      </c>
      <c r="I740" t="s">
        <v>108</v>
      </c>
      <c r="J740" t="s">
        <v>87</v>
      </c>
      <c r="K740" t="s">
        <v>831</v>
      </c>
      <c r="L740" s="2">
        <v>45748</v>
      </c>
      <c r="M740" t="s">
        <v>89</v>
      </c>
      <c r="N740">
        <v>0</v>
      </c>
      <c r="O740" t="s">
        <v>111</v>
      </c>
      <c r="P740" t="s">
        <v>83</v>
      </c>
      <c r="Q740">
        <v>0</v>
      </c>
    </row>
    <row r="741" spans="1:17" x14ac:dyDescent="0.3">
      <c r="A741" t="s">
        <v>17</v>
      </c>
      <c r="B741">
        <v>64</v>
      </c>
      <c r="C741" t="s">
        <v>83</v>
      </c>
      <c r="D741" s="2">
        <v>45761</v>
      </c>
      <c r="E741" s="3">
        <f t="shared" si="11"/>
        <v>45748</v>
      </c>
      <c r="F741" t="s">
        <v>823</v>
      </c>
      <c r="G741" t="s">
        <v>824</v>
      </c>
      <c r="H741" s="4">
        <v>7.65</v>
      </c>
      <c r="I741" t="s">
        <v>108</v>
      </c>
      <c r="J741" t="s">
        <v>91</v>
      </c>
      <c r="K741" t="s">
        <v>832</v>
      </c>
      <c r="L741" s="2">
        <v>45748</v>
      </c>
      <c r="M741" t="s">
        <v>93</v>
      </c>
      <c r="N741">
        <v>0</v>
      </c>
      <c r="O741" t="s">
        <v>111</v>
      </c>
      <c r="P741" t="s">
        <v>83</v>
      </c>
      <c r="Q741">
        <v>0</v>
      </c>
    </row>
    <row r="742" spans="1:17" x14ac:dyDescent="0.3">
      <c r="A742" t="s">
        <v>17</v>
      </c>
      <c r="B742">
        <v>67</v>
      </c>
      <c r="C742" t="s">
        <v>28</v>
      </c>
      <c r="D742" s="2">
        <v>45762</v>
      </c>
      <c r="E742" s="3">
        <f t="shared" si="11"/>
        <v>45748</v>
      </c>
      <c r="F742" t="s">
        <v>833</v>
      </c>
      <c r="H742" s="4">
        <v>920.37</v>
      </c>
      <c r="I742" t="s">
        <v>31</v>
      </c>
      <c r="J742" t="s">
        <v>64</v>
      </c>
      <c r="K742" t="s">
        <v>168</v>
      </c>
      <c r="L742" s="2">
        <v>45748</v>
      </c>
      <c r="M742" t="s">
        <v>64</v>
      </c>
      <c r="N742">
        <v>0</v>
      </c>
      <c r="O742" t="s">
        <v>31</v>
      </c>
      <c r="P742" t="s">
        <v>28</v>
      </c>
      <c r="Q742">
        <v>0</v>
      </c>
    </row>
    <row r="743" spans="1:17" x14ac:dyDescent="0.3">
      <c r="A743" t="s">
        <v>17</v>
      </c>
      <c r="B743">
        <v>68</v>
      </c>
      <c r="C743" t="s">
        <v>34</v>
      </c>
      <c r="D743" s="2">
        <v>45763</v>
      </c>
      <c r="E743" s="3">
        <f t="shared" si="11"/>
        <v>45748</v>
      </c>
      <c r="F743" t="s">
        <v>834</v>
      </c>
      <c r="G743" t="s">
        <v>174</v>
      </c>
      <c r="H743" s="4">
        <v>30</v>
      </c>
      <c r="I743" t="s">
        <v>31</v>
      </c>
      <c r="J743" t="s">
        <v>79</v>
      </c>
      <c r="K743" t="s">
        <v>835</v>
      </c>
      <c r="L743" s="2">
        <v>45748</v>
      </c>
      <c r="M743" t="s">
        <v>79</v>
      </c>
      <c r="N743">
        <v>0</v>
      </c>
      <c r="O743" t="s">
        <v>31</v>
      </c>
      <c r="P743" t="s">
        <v>34</v>
      </c>
      <c r="Q743">
        <v>0</v>
      </c>
    </row>
    <row r="744" spans="1:17" x14ac:dyDescent="0.3">
      <c r="A744" t="s">
        <v>17</v>
      </c>
      <c r="B744">
        <v>67</v>
      </c>
      <c r="C744" t="s">
        <v>28</v>
      </c>
      <c r="D744" s="2">
        <v>45763</v>
      </c>
      <c r="E744" s="3">
        <f t="shared" si="11"/>
        <v>45748</v>
      </c>
      <c r="F744" t="s">
        <v>836</v>
      </c>
      <c r="G744" t="s">
        <v>119</v>
      </c>
      <c r="H744" s="4">
        <v>708.75</v>
      </c>
      <c r="I744" t="s">
        <v>31</v>
      </c>
      <c r="J744" t="s">
        <v>68</v>
      </c>
      <c r="K744" t="s">
        <v>837</v>
      </c>
      <c r="L744" s="2">
        <v>45748</v>
      </c>
      <c r="M744" t="s">
        <v>68</v>
      </c>
      <c r="N744">
        <v>0</v>
      </c>
      <c r="O744" t="s">
        <v>31</v>
      </c>
      <c r="P744" t="s">
        <v>28</v>
      </c>
      <c r="Q744">
        <v>0</v>
      </c>
    </row>
    <row r="745" spans="1:17" x14ac:dyDescent="0.3">
      <c r="A745" t="s">
        <v>17</v>
      </c>
      <c r="B745">
        <v>68</v>
      </c>
      <c r="C745" t="s">
        <v>34</v>
      </c>
      <c r="D745" s="2">
        <v>45763</v>
      </c>
      <c r="E745" s="3">
        <f t="shared" si="11"/>
        <v>45748</v>
      </c>
      <c r="F745" t="s">
        <v>838</v>
      </c>
      <c r="G745" t="s">
        <v>122</v>
      </c>
      <c r="H745" s="4">
        <v>1534.36</v>
      </c>
      <c r="I745" t="s">
        <v>108</v>
      </c>
      <c r="J745" t="s">
        <v>109</v>
      </c>
      <c r="K745" t="s">
        <v>388</v>
      </c>
      <c r="L745" s="2">
        <v>45748</v>
      </c>
      <c r="M745" t="s">
        <v>109</v>
      </c>
      <c r="N745">
        <v>0</v>
      </c>
      <c r="O745" t="s">
        <v>111</v>
      </c>
      <c r="P745" t="s">
        <v>112</v>
      </c>
      <c r="Q745" t="s">
        <v>113</v>
      </c>
    </row>
    <row r="746" spans="1:17" x14ac:dyDescent="0.3">
      <c r="A746" t="s">
        <v>17</v>
      </c>
      <c r="B746">
        <v>67</v>
      </c>
      <c r="C746" t="s">
        <v>28</v>
      </c>
      <c r="D746" s="2">
        <v>45764</v>
      </c>
      <c r="E746" s="3">
        <f t="shared" si="11"/>
        <v>45748</v>
      </c>
      <c r="F746" t="s">
        <v>839</v>
      </c>
      <c r="G746" t="s">
        <v>439</v>
      </c>
      <c r="H746" s="4">
        <v>2500</v>
      </c>
      <c r="I746" t="s">
        <v>31</v>
      </c>
      <c r="J746" t="s">
        <v>48</v>
      </c>
      <c r="K746" t="s">
        <v>440</v>
      </c>
      <c r="L746" s="2">
        <v>45748</v>
      </c>
      <c r="M746" t="s">
        <v>50</v>
      </c>
      <c r="N746">
        <v>0</v>
      </c>
      <c r="O746" t="s">
        <v>31</v>
      </c>
      <c r="P746" t="s">
        <v>28</v>
      </c>
      <c r="Q746">
        <v>0</v>
      </c>
    </row>
    <row r="747" spans="1:17" x14ac:dyDescent="0.3">
      <c r="A747" t="s">
        <v>17</v>
      </c>
      <c r="B747">
        <v>66</v>
      </c>
      <c r="C747" t="s">
        <v>134</v>
      </c>
      <c r="D747" s="2">
        <v>45765</v>
      </c>
      <c r="E747" s="3">
        <f t="shared" si="11"/>
        <v>45748</v>
      </c>
      <c r="F747" t="s">
        <v>840</v>
      </c>
      <c r="G747" t="s">
        <v>841</v>
      </c>
      <c r="H747" s="4">
        <v>540</v>
      </c>
      <c r="I747" t="s">
        <v>137</v>
      </c>
      <c r="J747" t="s">
        <v>223</v>
      </c>
      <c r="K747" t="s">
        <v>842</v>
      </c>
      <c r="L747" s="2">
        <v>45748</v>
      </c>
      <c r="M747" t="s">
        <v>223</v>
      </c>
      <c r="N747" t="s">
        <v>141</v>
      </c>
      <c r="O747" t="s">
        <v>111</v>
      </c>
      <c r="P747" t="s">
        <v>134</v>
      </c>
      <c r="Q747">
        <v>0</v>
      </c>
    </row>
    <row r="748" spans="1:17" x14ac:dyDescent="0.3">
      <c r="A748" t="s">
        <v>17</v>
      </c>
      <c r="B748">
        <v>67</v>
      </c>
      <c r="C748" t="s">
        <v>28</v>
      </c>
      <c r="D748" s="2">
        <v>45765</v>
      </c>
      <c r="E748" s="3">
        <f t="shared" si="11"/>
        <v>45748</v>
      </c>
      <c r="F748" t="s">
        <v>843</v>
      </c>
      <c r="G748" t="s">
        <v>398</v>
      </c>
      <c r="H748" s="4">
        <v>6000</v>
      </c>
      <c r="I748" t="s">
        <v>31</v>
      </c>
      <c r="J748" t="s">
        <v>48</v>
      </c>
      <c r="K748" t="s">
        <v>783</v>
      </c>
      <c r="L748" s="2">
        <v>45748</v>
      </c>
      <c r="M748" t="s">
        <v>50</v>
      </c>
      <c r="N748">
        <v>0</v>
      </c>
      <c r="O748" t="s">
        <v>31</v>
      </c>
      <c r="P748" t="s">
        <v>28</v>
      </c>
      <c r="Q748">
        <v>0</v>
      </c>
    </row>
    <row r="749" spans="1:17" x14ac:dyDescent="0.3">
      <c r="A749" t="s">
        <v>17</v>
      </c>
      <c r="B749">
        <v>67</v>
      </c>
      <c r="C749" t="s">
        <v>28</v>
      </c>
      <c r="D749" s="2">
        <v>45765</v>
      </c>
      <c r="E749" s="3">
        <f t="shared" si="11"/>
        <v>45748</v>
      </c>
      <c r="F749" t="s">
        <v>844</v>
      </c>
      <c r="H749" s="4">
        <v>-41.72</v>
      </c>
      <c r="I749" t="s">
        <v>31</v>
      </c>
      <c r="J749" t="s">
        <v>60</v>
      </c>
      <c r="L749" s="2">
        <v>45748</v>
      </c>
      <c r="M749" t="s">
        <v>60</v>
      </c>
      <c r="N749">
        <v>0</v>
      </c>
      <c r="O749" t="s">
        <v>31</v>
      </c>
      <c r="P749" t="s">
        <v>28</v>
      </c>
      <c r="Q749">
        <v>0</v>
      </c>
    </row>
    <row r="750" spans="1:17" x14ac:dyDescent="0.3">
      <c r="A750" t="s">
        <v>17</v>
      </c>
      <c r="B750">
        <v>67</v>
      </c>
      <c r="C750" t="s">
        <v>28</v>
      </c>
      <c r="D750" s="2">
        <v>45765</v>
      </c>
      <c r="E750" s="3">
        <f t="shared" si="11"/>
        <v>45748</v>
      </c>
      <c r="F750" t="s">
        <v>844</v>
      </c>
      <c r="H750" s="4">
        <v>-37.299999999999997</v>
      </c>
      <c r="I750" t="s">
        <v>31</v>
      </c>
      <c r="J750" t="s">
        <v>60</v>
      </c>
      <c r="L750" s="2">
        <v>45748</v>
      </c>
      <c r="M750" t="s">
        <v>60</v>
      </c>
      <c r="N750">
        <v>0</v>
      </c>
      <c r="O750" t="s">
        <v>31</v>
      </c>
      <c r="P750" t="s">
        <v>28</v>
      </c>
      <c r="Q750">
        <v>0</v>
      </c>
    </row>
    <row r="751" spans="1:17" x14ac:dyDescent="0.3">
      <c r="A751" t="s">
        <v>17</v>
      </c>
      <c r="B751">
        <v>67</v>
      </c>
      <c r="C751" t="s">
        <v>28</v>
      </c>
      <c r="D751" s="2">
        <v>45765</v>
      </c>
      <c r="E751" s="3">
        <f t="shared" si="11"/>
        <v>45748</v>
      </c>
      <c r="F751" t="s">
        <v>844</v>
      </c>
      <c r="H751" s="4">
        <v>-25.73</v>
      </c>
      <c r="I751" t="s">
        <v>31</v>
      </c>
      <c r="J751" t="s">
        <v>60</v>
      </c>
      <c r="L751" s="2">
        <v>45748</v>
      </c>
      <c r="M751" t="s">
        <v>60</v>
      </c>
      <c r="N751">
        <v>0</v>
      </c>
      <c r="O751" t="s">
        <v>31</v>
      </c>
      <c r="P751" t="s">
        <v>28</v>
      </c>
      <c r="Q751">
        <v>0</v>
      </c>
    </row>
    <row r="752" spans="1:17" x14ac:dyDescent="0.3">
      <c r="A752" t="s">
        <v>17</v>
      </c>
      <c r="B752">
        <v>67</v>
      </c>
      <c r="C752" t="s">
        <v>28</v>
      </c>
      <c r="D752" s="2">
        <v>45765</v>
      </c>
      <c r="E752" s="3">
        <f t="shared" si="11"/>
        <v>45748</v>
      </c>
      <c r="F752" t="s">
        <v>844</v>
      </c>
      <c r="H752" s="4">
        <v>-81.3</v>
      </c>
      <c r="I752" t="s">
        <v>31</v>
      </c>
      <c r="J752" t="s">
        <v>60</v>
      </c>
      <c r="L752" s="2">
        <v>45748</v>
      </c>
      <c r="M752" t="s">
        <v>60</v>
      </c>
      <c r="N752">
        <v>0</v>
      </c>
      <c r="O752" t="s">
        <v>31</v>
      </c>
      <c r="P752" t="s">
        <v>28</v>
      </c>
      <c r="Q752">
        <v>0</v>
      </c>
    </row>
    <row r="753" spans="1:17" x14ac:dyDescent="0.3">
      <c r="A753" t="s">
        <v>17</v>
      </c>
      <c r="B753">
        <v>67</v>
      </c>
      <c r="C753" t="s">
        <v>28</v>
      </c>
      <c r="D753" s="2">
        <v>45765</v>
      </c>
      <c r="E753" s="3">
        <f t="shared" si="11"/>
        <v>45748</v>
      </c>
      <c r="F753" t="s">
        <v>844</v>
      </c>
      <c r="H753" s="4">
        <v>-44.48</v>
      </c>
      <c r="I753" t="s">
        <v>31</v>
      </c>
      <c r="J753" t="s">
        <v>60</v>
      </c>
      <c r="L753" s="2">
        <v>45748</v>
      </c>
      <c r="M753" t="s">
        <v>60</v>
      </c>
      <c r="N753">
        <v>0</v>
      </c>
      <c r="O753" t="s">
        <v>31</v>
      </c>
      <c r="P753" t="s">
        <v>28</v>
      </c>
      <c r="Q753">
        <v>0</v>
      </c>
    </row>
    <row r="754" spans="1:17" x14ac:dyDescent="0.3">
      <c r="A754" t="s">
        <v>17</v>
      </c>
      <c r="B754">
        <v>67</v>
      </c>
      <c r="C754" t="s">
        <v>28</v>
      </c>
      <c r="D754" s="2">
        <v>45765</v>
      </c>
      <c r="E754" s="3">
        <f t="shared" si="11"/>
        <v>45748</v>
      </c>
      <c r="F754" t="s">
        <v>844</v>
      </c>
      <c r="H754" s="4">
        <v>-43.2</v>
      </c>
      <c r="I754" t="s">
        <v>31</v>
      </c>
      <c r="J754" t="s">
        <v>60</v>
      </c>
      <c r="L754" s="2">
        <v>45748</v>
      </c>
      <c r="M754" t="s">
        <v>60</v>
      </c>
      <c r="N754">
        <v>0</v>
      </c>
      <c r="O754" t="s">
        <v>31</v>
      </c>
      <c r="P754" t="s">
        <v>28</v>
      </c>
      <c r="Q754">
        <v>0</v>
      </c>
    </row>
    <row r="755" spans="1:17" x14ac:dyDescent="0.3">
      <c r="A755" t="s">
        <v>17</v>
      </c>
      <c r="B755">
        <v>67</v>
      </c>
      <c r="C755" t="s">
        <v>28</v>
      </c>
      <c r="D755" s="2">
        <v>45765</v>
      </c>
      <c r="E755" s="3">
        <f t="shared" si="11"/>
        <v>45748</v>
      </c>
      <c r="F755" t="s">
        <v>844</v>
      </c>
      <c r="H755" s="4">
        <v>-88.99</v>
      </c>
      <c r="I755" t="s">
        <v>31</v>
      </c>
      <c r="J755" t="s">
        <v>60</v>
      </c>
      <c r="L755" s="2">
        <v>45748</v>
      </c>
      <c r="M755" t="s">
        <v>60</v>
      </c>
      <c r="N755">
        <v>0</v>
      </c>
      <c r="O755" t="s">
        <v>31</v>
      </c>
      <c r="P755" t="s">
        <v>28</v>
      </c>
      <c r="Q755">
        <v>0</v>
      </c>
    </row>
    <row r="756" spans="1:17" x14ac:dyDescent="0.3">
      <c r="A756" t="s">
        <v>17</v>
      </c>
      <c r="B756">
        <v>64</v>
      </c>
      <c r="C756" t="s">
        <v>83</v>
      </c>
      <c r="D756" s="2">
        <v>45768</v>
      </c>
      <c r="E756" s="3">
        <f t="shared" si="11"/>
        <v>45748</v>
      </c>
      <c r="F756" t="s">
        <v>845</v>
      </c>
      <c r="G756" t="s">
        <v>222</v>
      </c>
      <c r="H756" s="4">
        <v>10.06</v>
      </c>
      <c r="I756" t="s">
        <v>104</v>
      </c>
      <c r="J756" t="s">
        <v>91</v>
      </c>
      <c r="K756" t="s">
        <v>846</v>
      </c>
      <c r="L756" s="2">
        <v>45748</v>
      </c>
      <c r="M756" t="s">
        <v>93</v>
      </c>
      <c r="N756">
        <v>0</v>
      </c>
      <c r="O756" t="s">
        <v>104</v>
      </c>
      <c r="P756" t="s">
        <v>83</v>
      </c>
      <c r="Q756">
        <v>0</v>
      </c>
    </row>
    <row r="757" spans="1:17" x14ac:dyDescent="0.3">
      <c r="A757" t="s">
        <v>17</v>
      </c>
      <c r="B757">
        <v>66</v>
      </c>
      <c r="C757" t="s">
        <v>134</v>
      </c>
      <c r="D757" s="2">
        <v>45768</v>
      </c>
      <c r="E757" s="3">
        <f t="shared" si="11"/>
        <v>45748</v>
      </c>
      <c r="F757" t="s">
        <v>847</v>
      </c>
      <c r="G757" t="s">
        <v>848</v>
      </c>
      <c r="H757" s="4">
        <v>1461.2</v>
      </c>
      <c r="I757" t="s">
        <v>21</v>
      </c>
      <c r="J757" t="s">
        <v>223</v>
      </c>
      <c r="K757" t="s">
        <v>842</v>
      </c>
      <c r="L757" s="2">
        <v>45748</v>
      </c>
      <c r="M757" t="s">
        <v>223</v>
      </c>
      <c r="N757" t="s">
        <v>25</v>
      </c>
      <c r="O757" t="s">
        <v>111</v>
      </c>
      <c r="P757" t="s">
        <v>134</v>
      </c>
      <c r="Q757">
        <v>0</v>
      </c>
    </row>
    <row r="758" spans="1:17" x14ac:dyDescent="0.3">
      <c r="A758" t="s">
        <v>17</v>
      </c>
      <c r="B758">
        <v>64</v>
      </c>
      <c r="C758" t="s">
        <v>83</v>
      </c>
      <c r="D758" s="2">
        <v>45768</v>
      </c>
      <c r="E758" s="3">
        <f t="shared" si="11"/>
        <v>45748</v>
      </c>
      <c r="F758" t="s">
        <v>849</v>
      </c>
      <c r="G758" t="s">
        <v>222</v>
      </c>
      <c r="H758" s="4">
        <v>131.65</v>
      </c>
      <c r="I758" t="s">
        <v>104</v>
      </c>
      <c r="J758" t="s">
        <v>511</v>
      </c>
      <c r="K758" t="s">
        <v>850</v>
      </c>
      <c r="L758" s="2">
        <v>45748</v>
      </c>
      <c r="M758" t="s">
        <v>513</v>
      </c>
      <c r="N758">
        <v>0</v>
      </c>
      <c r="O758" t="s">
        <v>104</v>
      </c>
      <c r="P758" t="s">
        <v>83</v>
      </c>
      <c r="Q758">
        <v>0</v>
      </c>
    </row>
    <row r="759" spans="1:17" x14ac:dyDescent="0.3">
      <c r="A759" t="s">
        <v>17</v>
      </c>
      <c r="B759">
        <v>64</v>
      </c>
      <c r="C759" t="s">
        <v>83</v>
      </c>
      <c r="D759" s="2">
        <v>45768</v>
      </c>
      <c r="E759" s="3">
        <f t="shared" si="11"/>
        <v>45748</v>
      </c>
      <c r="F759" t="s">
        <v>849</v>
      </c>
      <c r="G759" t="s">
        <v>222</v>
      </c>
      <c r="H759" s="4">
        <v>715.46</v>
      </c>
      <c r="I759" t="s">
        <v>104</v>
      </c>
      <c r="J759" t="s">
        <v>84</v>
      </c>
      <c r="K759" t="s">
        <v>851</v>
      </c>
      <c r="L759" s="2">
        <v>45748</v>
      </c>
      <c r="M759" t="s">
        <v>86</v>
      </c>
      <c r="N759">
        <v>0</v>
      </c>
      <c r="O759" t="s">
        <v>104</v>
      </c>
      <c r="P759" t="s">
        <v>83</v>
      </c>
      <c r="Q759">
        <v>0</v>
      </c>
    </row>
    <row r="760" spans="1:17" x14ac:dyDescent="0.3">
      <c r="A760" t="s">
        <v>17</v>
      </c>
      <c r="B760">
        <v>64</v>
      </c>
      <c r="C760" t="s">
        <v>83</v>
      </c>
      <c r="D760" s="2">
        <v>45768</v>
      </c>
      <c r="E760" s="3">
        <f t="shared" si="11"/>
        <v>45748</v>
      </c>
      <c r="F760" t="s">
        <v>845</v>
      </c>
      <c r="G760" t="s">
        <v>222</v>
      </c>
      <c r="H760" s="4">
        <v>148.72</v>
      </c>
      <c r="I760" t="s">
        <v>104</v>
      </c>
      <c r="J760" t="s">
        <v>84</v>
      </c>
      <c r="K760" t="s">
        <v>852</v>
      </c>
      <c r="L760" s="2">
        <v>45748</v>
      </c>
      <c r="M760" t="s">
        <v>86</v>
      </c>
      <c r="N760">
        <v>0</v>
      </c>
      <c r="O760" t="s">
        <v>104</v>
      </c>
      <c r="P760" t="s">
        <v>83</v>
      </c>
      <c r="Q760">
        <v>0</v>
      </c>
    </row>
    <row r="761" spans="1:17" x14ac:dyDescent="0.3">
      <c r="A761" t="s">
        <v>17</v>
      </c>
      <c r="B761">
        <v>67</v>
      </c>
      <c r="C761" t="s">
        <v>28</v>
      </c>
      <c r="D761" s="2">
        <v>45768</v>
      </c>
      <c r="E761" s="3">
        <f t="shared" si="11"/>
        <v>45748</v>
      </c>
      <c r="F761" t="s">
        <v>845</v>
      </c>
      <c r="G761" t="s">
        <v>222</v>
      </c>
      <c r="H761" s="4">
        <v>0.57999999999999996</v>
      </c>
      <c r="I761" t="s">
        <v>104</v>
      </c>
      <c r="J761" t="s">
        <v>64</v>
      </c>
      <c r="K761" t="s">
        <v>853</v>
      </c>
      <c r="L761" s="2">
        <v>45748</v>
      </c>
      <c r="M761" t="s">
        <v>64</v>
      </c>
      <c r="N761">
        <v>0</v>
      </c>
      <c r="O761" t="s">
        <v>104</v>
      </c>
      <c r="P761" t="s">
        <v>28</v>
      </c>
      <c r="Q761">
        <v>0</v>
      </c>
    </row>
    <row r="762" spans="1:17" x14ac:dyDescent="0.3">
      <c r="A762" t="s">
        <v>17</v>
      </c>
      <c r="B762">
        <v>67</v>
      </c>
      <c r="C762" t="s">
        <v>28</v>
      </c>
      <c r="D762" s="2">
        <v>45768</v>
      </c>
      <c r="E762" s="3">
        <f t="shared" si="11"/>
        <v>45748</v>
      </c>
      <c r="F762" t="s">
        <v>845</v>
      </c>
      <c r="G762" t="s">
        <v>222</v>
      </c>
      <c r="H762" s="4">
        <v>2.23</v>
      </c>
      <c r="I762" t="s">
        <v>104</v>
      </c>
      <c r="J762" t="s">
        <v>64</v>
      </c>
      <c r="K762" t="s">
        <v>853</v>
      </c>
      <c r="L762" s="2">
        <v>45748</v>
      </c>
      <c r="M762" t="s">
        <v>64</v>
      </c>
      <c r="N762">
        <v>0</v>
      </c>
      <c r="O762" t="s">
        <v>104</v>
      </c>
      <c r="P762" t="s">
        <v>28</v>
      </c>
      <c r="Q762">
        <v>0</v>
      </c>
    </row>
    <row r="763" spans="1:17" x14ac:dyDescent="0.3">
      <c r="A763" t="s">
        <v>17</v>
      </c>
      <c r="B763">
        <v>67</v>
      </c>
      <c r="C763" t="s">
        <v>28</v>
      </c>
      <c r="D763" s="2">
        <v>45768</v>
      </c>
      <c r="E763" s="3">
        <f t="shared" si="11"/>
        <v>45748</v>
      </c>
      <c r="F763" t="s">
        <v>845</v>
      </c>
      <c r="G763" t="s">
        <v>222</v>
      </c>
      <c r="H763" s="4">
        <v>0.12</v>
      </c>
      <c r="I763" t="s">
        <v>104</v>
      </c>
      <c r="J763" t="s">
        <v>64</v>
      </c>
      <c r="K763" t="s">
        <v>853</v>
      </c>
      <c r="L763" s="2">
        <v>45748</v>
      </c>
      <c r="M763" t="s">
        <v>64</v>
      </c>
      <c r="N763">
        <v>0</v>
      </c>
      <c r="O763" t="s">
        <v>104</v>
      </c>
      <c r="P763" t="s">
        <v>28</v>
      </c>
      <c r="Q763">
        <v>0</v>
      </c>
    </row>
    <row r="764" spans="1:17" x14ac:dyDescent="0.3">
      <c r="A764" t="s">
        <v>17</v>
      </c>
      <c r="B764">
        <v>67</v>
      </c>
      <c r="C764" t="s">
        <v>28</v>
      </c>
      <c r="D764" s="2">
        <v>45768</v>
      </c>
      <c r="E764" s="3">
        <f t="shared" si="11"/>
        <v>45748</v>
      </c>
      <c r="F764" t="s">
        <v>845</v>
      </c>
      <c r="G764" t="s">
        <v>222</v>
      </c>
      <c r="H764" s="4">
        <v>0.11</v>
      </c>
      <c r="I764" t="s">
        <v>104</v>
      </c>
      <c r="J764" t="s">
        <v>64</v>
      </c>
      <c r="K764" t="s">
        <v>853</v>
      </c>
      <c r="L764" s="2">
        <v>45748</v>
      </c>
      <c r="M764" t="s">
        <v>64</v>
      </c>
      <c r="N764">
        <v>0</v>
      </c>
      <c r="O764" t="s">
        <v>104</v>
      </c>
      <c r="P764" t="s">
        <v>28</v>
      </c>
      <c r="Q764">
        <v>0</v>
      </c>
    </row>
    <row r="765" spans="1:17" x14ac:dyDescent="0.3">
      <c r="A765" t="s">
        <v>17</v>
      </c>
      <c r="B765">
        <v>67</v>
      </c>
      <c r="C765" t="s">
        <v>28</v>
      </c>
      <c r="D765" s="2">
        <v>45768</v>
      </c>
      <c r="E765" s="3">
        <f t="shared" si="11"/>
        <v>45748</v>
      </c>
      <c r="F765" t="s">
        <v>845</v>
      </c>
      <c r="G765" t="s">
        <v>222</v>
      </c>
      <c r="H765" s="4">
        <v>0.1</v>
      </c>
      <c r="I765" t="s">
        <v>104</v>
      </c>
      <c r="J765" t="s">
        <v>64</v>
      </c>
      <c r="K765" t="s">
        <v>853</v>
      </c>
      <c r="L765" s="2">
        <v>45748</v>
      </c>
      <c r="M765" t="s">
        <v>64</v>
      </c>
      <c r="N765">
        <v>0</v>
      </c>
      <c r="O765" t="s">
        <v>104</v>
      </c>
      <c r="P765" t="s">
        <v>28</v>
      </c>
      <c r="Q765">
        <v>0</v>
      </c>
    </row>
    <row r="766" spans="1:17" x14ac:dyDescent="0.3">
      <c r="A766" t="s">
        <v>17</v>
      </c>
      <c r="B766">
        <v>67</v>
      </c>
      <c r="C766" t="s">
        <v>28</v>
      </c>
      <c r="D766" s="2">
        <v>45768</v>
      </c>
      <c r="E766" s="3">
        <f t="shared" si="11"/>
        <v>45748</v>
      </c>
      <c r="F766" t="s">
        <v>845</v>
      </c>
      <c r="G766" t="s">
        <v>222</v>
      </c>
      <c r="H766" s="4">
        <v>0.08</v>
      </c>
      <c r="I766" t="s">
        <v>104</v>
      </c>
      <c r="J766" t="s">
        <v>64</v>
      </c>
      <c r="K766" t="s">
        <v>853</v>
      </c>
      <c r="L766" s="2">
        <v>45748</v>
      </c>
      <c r="M766" t="s">
        <v>64</v>
      </c>
      <c r="N766">
        <v>0</v>
      </c>
      <c r="O766" t="s">
        <v>104</v>
      </c>
      <c r="P766" t="s">
        <v>28</v>
      </c>
      <c r="Q766">
        <v>0</v>
      </c>
    </row>
    <row r="767" spans="1:17" x14ac:dyDescent="0.3">
      <c r="A767" t="s">
        <v>17</v>
      </c>
      <c r="B767">
        <v>67</v>
      </c>
      <c r="C767" t="s">
        <v>28</v>
      </c>
      <c r="D767" s="2">
        <v>45768</v>
      </c>
      <c r="E767" s="3">
        <f t="shared" si="11"/>
        <v>45748</v>
      </c>
      <c r="F767" t="s">
        <v>845</v>
      </c>
      <c r="G767" t="s">
        <v>222</v>
      </c>
      <c r="H767" s="4">
        <v>0.15</v>
      </c>
      <c r="I767" t="s">
        <v>104</v>
      </c>
      <c r="J767" t="s">
        <v>64</v>
      </c>
      <c r="K767" t="s">
        <v>853</v>
      </c>
      <c r="L767" s="2">
        <v>45748</v>
      </c>
      <c r="M767" t="s">
        <v>64</v>
      </c>
      <c r="N767">
        <v>0</v>
      </c>
      <c r="O767" t="s">
        <v>104</v>
      </c>
      <c r="P767" t="s">
        <v>28</v>
      </c>
      <c r="Q767">
        <v>0</v>
      </c>
    </row>
    <row r="768" spans="1:17" x14ac:dyDescent="0.3">
      <c r="A768" t="s">
        <v>17</v>
      </c>
      <c r="B768">
        <v>64</v>
      </c>
      <c r="C768" t="s">
        <v>83</v>
      </c>
      <c r="D768" s="2">
        <v>45768</v>
      </c>
      <c r="E768" s="3">
        <f t="shared" si="11"/>
        <v>45748</v>
      </c>
      <c r="F768" t="s">
        <v>845</v>
      </c>
      <c r="G768" t="s">
        <v>222</v>
      </c>
      <c r="H768" s="4">
        <v>5.47</v>
      </c>
      <c r="I768" t="s">
        <v>104</v>
      </c>
      <c r="J768" t="s">
        <v>87</v>
      </c>
      <c r="K768" t="s">
        <v>854</v>
      </c>
      <c r="L768" s="2">
        <v>45748</v>
      </c>
      <c r="M768" t="s">
        <v>89</v>
      </c>
      <c r="N768">
        <v>0</v>
      </c>
      <c r="O768" t="s">
        <v>104</v>
      </c>
      <c r="P768" t="s">
        <v>83</v>
      </c>
      <c r="Q768">
        <v>0</v>
      </c>
    </row>
    <row r="769" spans="1:17" x14ac:dyDescent="0.3">
      <c r="A769" t="s">
        <v>17</v>
      </c>
      <c r="B769">
        <v>64</v>
      </c>
      <c r="C769" t="s">
        <v>83</v>
      </c>
      <c r="D769" s="2">
        <v>45768</v>
      </c>
      <c r="E769" s="3">
        <f t="shared" si="11"/>
        <v>45748</v>
      </c>
      <c r="F769" t="s">
        <v>845</v>
      </c>
      <c r="G769" t="s">
        <v>222</v>
      </c>
      <c r="H769" s="4">
        <v>-0.03</v>
      </c>
      <c r="I769" t="s">
        <v>104</v>
      </c>
      <c r="J769" t="s">
        <v>87</v>
      </c>
      <c r="K769" t="s">
        <v>855</v>
      </c>
      <c r="L769" s="2">
        <v>45748</v>
      </c>
      <c r="M769" t="s">
        <v>89</v>
      </c>
      <c r="N769">
        <v>0</v>
      </c>
      <c r="O769" t="s">
        <v>104</v>
      </c>
      <c r="P769" t="s">
        <v>83</v>
      </c>
      <c r="Q769">
        <v>0</v>
      </c>
    </row>
    <row r="770" spans="1:17" x14ac:dyDescent="0.3">
      <c r="A770" t="s">
        <v>17</v>
      </c>
      <c r="B770">
        <v>64</v>
      </c>
      <c r="C770" t="s">
        <v>83</v>
      </c>
      <c r="D770" s="2">
        <v>45768</v>
      </c>
      <c r="E770" s="3">
        <f t="shared" si="11"/>
        <v>45748</v>
      </c>
      <c r="F770" t="s">
        <v>845</v>
      </c>
      <c r="G770" t="s">
        <v>222</v>
      </c>
      <c r="H770" s="4">
        <v>43.96</v>
      </c>
      <c r="I770" t="s">
        <v>104</v>
      </c>
      <c r="J770" t="s">
        <v>87</v>
      </c>
      <c r="K770" t="s">
        <v>856</v>
      </c>
      <c r="L770" s="2">
        <v>45748</v>
      </c>
      <c r="M770" t="s">
        <v>89</v>
      </c>
      <c r="N770">
        <v>0</v>
      </c>
      <c r="O770" t="s">
        <v>104</v>
      </c>
      <c r="P770" t="s">
        <v>83</v>
      </c>
      <c r="Q770">
        <v>0</v>
      </c>
    </row>
    <row r="771" spans="1:17" x14ac:dyDescent="0.3">
      <c r="A771" t="s">
        <v>17</v>
      </c>
      <c r="B771">
        <v>64</v>
      </c>
      <c r="C771" t="s">
        <v>83</v>
      </c>
      <c r="D771" s="2">
        <v>45768</v>
      </c>
      <c r="E771" s="3">
        <f t="shared" ref="E771:E834" si="12">IF($D771="","",DATE(YEAR($D771),MONTH($D771),1))</f>
        <v>45748</v>
      </c>
      <c r="F771" t="s">
        <v>845</v>
      </c>
      <c r="G771" t="s">
        <v>222</v>
      </c>
      <c r="H771" s="4">
        <v>7.94</v>
      </c>
      <c r="I771" t="s">
        <v>104</v>
      </c>
      <c r="J771" t="s">
        <v>91</v>
      </c>
      <c r="K771" t="s">
        <v>857</v>
      </c>
      <c r="L771" s="2">
        <v>45748</v>
      </c>
      <c r="M771" t="s">
        <v>93</v>
      </c>
      <c r="N771">
        <v>0</v>
      </c>
      <c r="O771" t="s">
        <v>104</v>
      </c>
      <c r="P771" t="s">
        <v>83</v>
      </c>
      <c r="Q771">
        <v>0</v>
      </c>
    </row>
    <row r="772" spans="1:17" x14ac:dyDescent="0.3">
      <c r="A772" t="s">
        <v>17</v>
      </c>
      <c r="B772">
        <v>64</v>
      </c>
      <c r="C772" t="s">
        <v>83</v>
      </c>
      <c r="D772" s="2">
        <v>45768</v>
      </c>
      <c r="E772" s="3">
        <f t="shared" si="12"/>
        <v>45748</v>
      </c>
      <c r="F772" t="s">
        <v>845</v>
      </c>
      <c r="G772" t="s">
        <v>222</v>
      </c>
      <c r="H772" s="4">
        <v>7.59</v>
      </c>
      <c r="I772" t="s">
        <v>104</v>
      </c>
      <c r="J772" t="s">
        <v>91</v>
      </c>
      <c r="K772" t="s">
        <v>858</v>
      </c>
      <c r="L772" s="2">
        <v>45748</v>
      </c>
      <c r="M772" t="s">
        <v>93</v>
      </c>
      <c r="N772">
        <v>0</v>
      </c>
      <c r="O772" t="s">
        <v>104</v>
      </c>
      <c r="P772" t="s">
        <v>83</v>
      </c>
      <c r="Q772">
        <v>0</v>
      </c>
    </row>
    <row r="773" spans="1:17" x14ac:dyDescent="0.3">
      <c r="A773" t="s">
        <v>17</v>
      </c>
      <c r="B773">
        <v>64</v>
      </c>
      <c r="C773" t="s">
        <v>83</v>
      </c>
      <c r="D773" s="2">
        <v>45768</v>
      </c>
      <c r="E773" s="3">
        <f t="shared" si="12"/>
        <v>45748</v>
      </c>
      <c r="F773" t="s">
        <v>845</v>
      </c>
      <c r="G773" t="s">
        <v>222</v>
      </c>
      <c r="H773" s="4">
        <v>38.5</v>
      </c>
      <c r="I773" t="s">
        <v>104</v>
      </c>
      <c r="J773" t="s">
        <v>91</v>
      </c>
      <c r="K773" t="s">
        <v>859</v>
      </c>
      <c r="L773" s="2">
        <v>45748</v>
      </c>
      <c r="M773" t="s">
        <v>93</v>
      </c>
      <c r="N773">
        <v>0</v>
      </c>
      <c r="O773" t="s">
        <v>104</v>
      </c>
      <c r="P773" t="s">
        <v>83</v>
      </c>
      <c r="Q773">
        <v>0</v>
      </c>
    </row>
    <row r="774" spans="1:17" x14ac:dyDescent="0.3">
      <c r="A774" t="s">
        <v>17</v>
      </c>
      <c r="B774">
        <v>64</v>
      </c>
      <c r="C774" t="s">
        <v>83</v>
      </c>
      <c r="D774" s="2">
        <v>45768</v>
      </c>
      <c r="E774" s="3">
        <f t="shared" si="12"/>
        <v>45748</v>
      </c>
      <c r="F774" t="s">
        <v>845</v>
      </c>
      <c r="G774" t="s">
        <v>222</v>
      </c>
      <c r="H774" s="4">
        <v>6.86</v>
      </c>
      <c r="I774" t="s">
        <v>104</v>
      </c>
      <c r="J774" t="s">
        <v>91</v>
      </c>
      <c r="K774" t="s">
        <v>860</v>
      </c>
      <c r="L774" s="2">
        <v>45748</v>
      </c>
      <c r="M774" t="s">
        <v>93</v>
      </c>
      <c r="N774">
        <v>0</v>
      </c>
      <c r="O774" t="s">
        <v>104</v>
      </c>
      <c r="P774" t="s">
        <v>83</v>
      </c>
      <c r="Q774">
        <v>0</v>
      </c>
    </row>
    <row r="775" spans="1:17" x14ac:dyDescent="0.3">
      <c r="A775" t="s">
        <v>17</v>
      </c>
      <c r="B775">
        <v>64</v>
      </c>
      <c r="C775" t="s">
        <v>83</v>
      </c>
      <c r="D775" s="2">
        <v>45768</v>
      </c>
      <c r="E775" s="3">
        <f t="shared" si="12"/>
        <v>45748</v>
      </c>
      <c r="F775" t="s">
        <v>845</v>
      </c>
      <c r="G775" t="s">
        <v>222</v>
      </c>
      <c r="H775" s="4">
        <v>56.9</v>
      </c>
      <c r="I775" t="s">
        <v>104</v>
      </c>
      <c r="J775" t="s">
        <v>91</v>
      </c>
      <c r="K775" t="s">
        <v>861</v>
      </c>
      <c r="L775" s="2">
        <v>45748</v>
      </c>
      <c r="M775" t="s">
        <v>93</v>
      </c>
      <c r="N775">
        <v>0</v>
      </c>
      <c r="O775" t="s">
        <v>104</v>
      </c>
      <c r="P775" t="s">
        <v>83</v>
      </c>
      <c r="Q775">
        <v>0</v>
      </c>
    </row>
    <row r="776" spans="1:17" x14ac:dyDescent="0.3">
      <c r="A776" t="s">
        <v>17</v>
      </c>
      <c r="B776">
        <v>66</v>
      </c>
      <c r="C776" t="s">
        <v>134</v>
      </c>
      <c r="D776" s="2">
        <v>45770</v>
      </c>
      <c r="E776" s="3">
        <f t="shared" si="12"/>
        <v>45748</v>
      </c>
      <c r="F776" t="s">
        <v>862</v>
      </c>
      <c r="G776" t="s">
        <v>863</v>
      </c>
      <c r="H776" s="4">
        <v>482.25</v>
      </c>
      <c r="I776" t="s">
        <v>21</v>
      </c>
      <c r="J776" t="s">
        <v>223</v>
      </c>
      <c r="K776" t="s">
        <v>842</v>
      </c>
      <c r="L776" s="2">
        <v>45748</v>
      </c>
      <c r="M776" t="s">
        <v>223</v>
      </c>
      <c r="N776" t="s">
        <v>25</v>
      </c>
      <c r="O776" t="s">
        <v>111</v>
      </c>
      <c r="P776" t="s">
        <v>134</v>
      </c>
      <c r="Q776">
        <v>0</v>
      </c>
    </row>
    <row r="777" spans="1:17" x14ac:dyDescent="0.3">
      <c r="A777" t="s">
        <v>17</v>
      </c>
      <c r="B777">
        <v>67</v>
      </c>
      <c r="C777" t="s">
        <v>28</v>
      </c>
      <c r="D777" s="2">
        <v>45770</v>
      </c>
      <c r="E777" s="3">
        <f t="shared" si="12"/>
        <v>45748</v>
      </c>
      <c r="F777" t="s">
        <v>864</v>
      </c>
      <c r="G777" t="s">
        <v>119</v>
      </c>
      <c r="H777" s="4">
        <v>927.5</v>
      </c>
      <c r="I777" t="s">
        <v>31</v>
      </c>
      <c r="J777" t="s">
        <v>68</v>
      </c>
      <c r="K777" t="s">
        <v>865</v>
      </c>
      <c r="L777" s="2">
        <v>45748</v>
      </c>
      <c r="M777" t="s">
        <v>68</v>
      </c>
      <c r="N777">
        <v>0</v>
      </c>
      <c r="O777" t="s">
        <v>31</v>
      </c>
      <c r="P777" t="s">
        <v>28</v>
      </c>
      <c r="Q777">
        <v>0</v>
      </c>
    </row>
    <row r="778" spans="1:17" x14ac:dyDescent="0.3">
      <c r="A778" t="s">
        <v>17</v>
      </c>
      <c r="B778">
        <v>68</v>
      </c>
      <c r="C778" t="s">
        <v>34</v>
      </c>
      <c r="D778" s="2">
        <v>45770</v>
      </c>
      <c r="E778" s="3">
        <f t="shared" si="12"/>
        <v>45748</v>
      </c>
      <c r="F778" t="s">
        <v>866</v>
      </c>
      <c r="G778" t="s">
        <v>122</v>
      </c>
      <c r="H778" s="4">
        <v>341.89</v>
      </c>
      <c r="I778" t="s">
        <v>108</v>
      </c>
      <c r="J778" t="s">
        <v>109</v>
      </c>
      <c r="K778" t="s">
        <v>662</v>
      </c>
      <c r="L778" s="2">
        <v>45748</v>
      </c>
      <c r="M778" t="s">
        <v>109</v>
      </c>
      <c r="N778">
        <v>0</v>
      </c>
      <c r="O778" t="s">
        <v>111</v>
      </c>
      <c r="P778" t="s">
        <v>112</v>
      </c>
      <c r="Q778" t="s">
        <v>113</v>
      </c>
    </row>
    <row r="779" spans="1:17" x14ac:dyDescent="0.3">
      <c r="A779" t="s">
        <v>17</v>
      </c>
      <c r="B779">
        <v>68</v>
      </c>
      <c r="C779" t="s">
        <v>34</v>
      </c>
      <c r="D779" s="2">
        <v>45770</v>
      </c>
      <c r="E779" s="3">
        <f t="shared" si="12"/>
        <v>45748</v>
      </c>
      <c r="F779" t="s">
        <v>867</v>
      </c>
      <c r="G779" t="s">
        <v>122</v>
      </c>
      <c r="H779" s="4">
        <v>308.37</v>
      </c>
      <c r="I779" t="s">
        <v>108</v>
      </c>
      <c r="J779" t="s">
        <v>109</v>
      </c>
      <c r="K779" t="s">
        <v>388</v>
      </c>
      <c r="L779" s="2">
        <v>45748</v>
      </c>
      <c r="M779" t="s">
        <v>109</v>
      </c>
      <c r="N779">
        <v>0</v>
      </c>
      <c r="O779" t="s">
        <v>111</v>
      </c>
      <c r="P779" t="s">
        <v>112</v>
      </c>
      <c r="Q779" t="s">
        <v>113</v>
      </c>
    </row>
    <row r="780" spans="1:17" x14ac:dyDescent="0.3">
      <c r="A780" t="s">
        <v>17</v>
      </c>
      <c r="B780">
        <v>67</v>
      </c>
      <c r="C780" t="s">
        <v>28</v>
      </c>
      <c r="D780" s="2">
        <v>45772</v>
      </c>
      <c r="E780" s="3">
        <f t="shared" si="12"/>
        <v>45748</v>
      </c>
      <c r="F780" t="s">
        <v>868</v>
      </c>
      <c r="G780" t="s">
        <v>205</v>
      </c>
      <c r="H780" s="4">
        <v>1000</v>
      </c>
      <c r="I780" t="s">
        <v>31</v>
      </c>
      <c r="J780" t="s">
        <v>32</v>
      </c>
      <c r="K780" t="s">
        <v>869</v>
      </c>
      <c r="L780" s="2">
        <v>45748</v>
      </c>
      <c r="M780" t="s">
        <v>32</v>
      </c>
      <c r="N780">
        <v>0</v>
      </c>
      <c r="O780" t="s">
        <v>31</v>
      </c>
      <c r="P780" t="s">
        <v>28</v>
      </c>
      <c r="Q780">
        <v>0</v>
      </c>
    </row>
    <row r="781" spans="1:17" x14ac:dyDescent="0.3">
      <c r="A781" t="s">
        <v>17</v>
      </c>
      <c r="B781">
        <v>67</v>
      </c>
      <c r="C781" t="s">
        <v>28</v>
      </c>
      <c r="D781" s="2">
        <v>45772</v>
      </c>
      <c r="E781" s="3">
        <f t="shared" si="12"/>
        <v>45748</v>
      </c>
      <c r="F781" t="s">
        <v>870</v>
      </c>
      <c r="G781" t="s">
        <v>208</v>
      </c>
      <c r="H781" s="4">
        <v>500</v>
      </c>
      <c r="I781" t="s">
        <v>31</v>
      </c>
      <c r="J781" t="s">
        <v>32</v>
      </c>
      <c r="K781" t="s">
        <v>869</v>
      </c>
      <c r="L781" s="2">
        <v>45748</v>
      </c>
      <c r="M781" t="s">
        <v>32</v>
      </c>
      <c r="N781">
        <v>0</v>
      </c>
      <c r="O781" t="s">
        <v>31</v>
      </c>
      <c r="P781" t="s">
        <v>28</v>
      </c>
      <c r="Q781">
        <v>0</v>
      </c>
    </row>
    <row r="782" spans="1:17" x14ac:dyDescent="0.3">
      <c r="A782" t="s">
        <v>17</v>
      </c>
      <c r="B782">
        <v>64</v>
      </c>
      <c r="C782" t="s">
        <v>83</v>
      </c>
      <c r="D782" s="2">
        <v>45772</v>
      </c>
      <c r="E782" s="3">
        <f t="shared" si="12"/>
        <v>45748</v>
      </c>
      <c r="F782" t="s">
        <v>871</v>
      </c>
      <c r="G782" t="s">
        <v>174</v>
      </c>
      <c r="H782" s="4">
        <v>21.95</v>
      </c>
      <c r="I782" t="s">
        <v>31</v>
      </c>
      <c r="J782" t="s">
        <v>511</v>
      </c>
      <c r="K782" t="s">
        <v>872</v>
      </c>
      <c r="L782" s="2">
        <v>45748</v>
      </c>
      <c r="M782" t="s">
        <v>513</v>
      </c>
      <c r="N782">
        <v>0</v>
      </c>
      <c r="O782" t="s">
        <v>31</v>
      </c>
      <c r="P782" t="s">
        <v>83</v>
      </c>
      <c r="Q782">
        <v>0</v>
      </c>
    </row>
    <row r="783" spans="1:17" x14ac:dyDescent="0.3">
      <c r="A783" t="s">
        <v>17</v>
      </c>
      <c r="B783">
        <v>67</v>
      </c>
      <c r="C783" t="s">
        <v>28</v>
      </c>
      <c r="D783" s="2">
        <v>45772</v>
      </c>
      <c r="E783" s="3">
        <f t="shared" si="12"/>
        <v>45748</v>
      </c>
      <c r="F783" t="s">
        <v>873</v>
      </c>
      <c r="G783" t="s">
        <v>67</v>
      </c>
      <c r="H783" s="4">
        <v>112.08</v>
      </c>
      <c r="I783" t="s">
        <v>31</v>
      </c>
      <c r="J783" t="s">
        <v>68</v>
      </c>
      <c r="K783" t="s">
        <v>874</v>
      </c>
      <c r="L783" s="2">
        <v>45748</v>
      </c>
      <c r="M783" t="s">
        <v>68</v>
      </c>
      <c r="N783">
        <v>0</v>
      </c>
      <c r="O783" t="s">
        <v>31</v>
      </c>
      <c r="P783" t="s">
        <v>28</v>
      </c>
      <c r="Q783">
        <v>0</v>
      </c>
    </row>
    <row r="784" spans="1:17" x14ac:dyDescent="0.3">
      <c r="A784" t="s">
        <v>17</v>
      </c>
      <c r="B784">
        <v>67</v>
      </c>
      <c r="C784" t="s">
        <v>28</v>
      </c>
      <c r="D784" s="2">
        <v>45772</v>
      </c>
      <c r="E784" s="3">
        <f t="shared" si="12"/>
        <v>45748</v>
      </c>
      <c r="F784" t="s">
        <v>875</v>
      </c>
      <c r="G784" t="s">
        <v>67</v>
      </c>
      <c r="H784" s="4">
        <v>396.58</v>
      </c>
      <c r="I784" t="s">
        <v>31</v>
      </c>
      <c r="J784" t="s">
        <v>68</v>
      </c>
      <c r="K784" t="s">
        <v>874</v>
      </c>
      <c r="L784" s="2">
        <v>45748</v>
      </c>
      <c r="M784" t="s">
        <v>68</v>
      </c>
      <c r="N784">
        <v>0</v>
      </c>
      <c r="O784" t="s">
        <v>31</v>
      </c>
      <c r="P784" t="s">
        <v>28</v>
      </c>
      <c r="Q784">
        <v>0</v>
      </c>
    </row>
    <row r="785" spans="1:17" x14ac:dyDescent="0.3">
      <c r="A785" t="s">
        <v>17</v>
      </c>
      <c r="B785">
        <v>66</v>
      </c>
      <c r="C785" t="s">
        <v>134</v>
      </c>
      <c r="D785" s="2">
        <v>45776</v>
      </c>
      <c r="E785" s="3">
        <f t="shared" si="12"/>
        <v>45748</v>
      </c>
      <c r="F785" t="s">
        <v>876</v>
      </c>
      <c r="G785" t="s">
        <v>877</v>
      </c>
      <c r="H785" s="4">
        <v>1674</v>
      </c>
      <c r="I785" t="s">
        <v>137</v>
      </c>
      <c r="J785" t="s">
        <v>223</v>
      </c>
      <c r="K785" t="s">
        <v>878</v>
      </c>
      <c r="L785" s="2">
        <v>45748</v>
      </c>
      <c r="M785" t="s">
        <v>223</v>
      </c>
      <c r="N785" t="s">
        <v>141</v>
      </c>
      <c r="O785" t="s">
        <v>111</v>
      </c>
      <c r="P785" t="s">
        <v>134</v>
      </c>
      <c r="Q785">
        <v>0</v>
      </c>
    </row>
    <row r="786" spans="1:17" x14ac:dyDescent="0.3">
      <c r="A786" t="s">
        <v>17</v>
      </c>
      <c r="B786">
        <v>66</v>
      </c>
      <c r="C786" t="s">
        <v>134</v>
      </c>
      <c r="D786" s="2">
        <v>45776</v>
      </c>
      <c r="E786" s="3">
        <f t="shared" si="12"/>
        <v>45748</v>
      </c>
      <c r="F786" t="s">
        <v>876</v>
      </c>
      <c r="G786" t="s">
        <v>877</v>
      </c>
      <c r="H786" s="4">
        <v>837</v>
      </c>
      <c r="I786" t="s">
        <v>47</v>
      </c>
      <c r="J786" t="s">
        <v>223</v>
      </c>
      <c r="K786" t="s">
        <v>878</v>
      </c>
      <c r="L786" s="2">
        <v>45748</v>
      </c>
      <c r="M786" t="s">
        <v>223</v>
      </c>
      <c r="N786">
        <v>0</v>
      </c>
      <c r="O786" t="s">
        <v>111</v>
      </c>
      <c r="P786" t="s">
        <v>134</v>
      </c>
      <c r="Q786">
        <v>0</v>
      </c>
    </row>
    <row r="787" spans="1:17" x14ac:dyDescent="0.3">
      <c r="A787" t="s">
        <v>17</v>
      </c>
      <c r="B787">
        <v>66</v>
      </c>
      <c r="C787" t="s">
        <v>134</v>
      </c>
      <c r="D787" s="2">
        <v>45776</v>
      </c>
      <c r="E787" s="3">
        <f t="shared" si="12"/>
        <v>45748</v>
      </c>
      <c r="F787" t="s">
        <v>876</v>
      </c>
      <c r="G787" t="s">
        <v>877</v>
      </c>
      <c r="H787" s="4">
        <v>837</v>
      </c>
      <c r="I787" t="s">
        <v>108</v>
      </c>
      <c r="J787" t="s">
        <v>223</v>
      </c>
      <c r="K787" t="s">
        <v>878</v>
      </c>
      <c r="L787" s="2">
        <v>45748</v>
      </c>
      <c r="M787" t="s">
        <v>223</v>
      </c>
      <c r="N787">
        <v>0</v>
      </c>
      <c r="O787" t="s">
        <v>111</v>
      </c>
      <c r="P787" t="s">
        <v>134</v>
      </c>
      <c r="Q787">
        <v>0</v>
      </c>
    </row>
    <row r="788" spans="1:17" x14ac:dyDescent="0.3">
      <c r="A788" t="s">
        <v>17</v>
      </c>
      <c r="B788">
        <v>63</v>
      </c>
      <c r="C788" t="s">
        <v>18</v>
      </c>
      <c r="D788" s="2">
        <v>45777</v>
      </c>
      <c r="E788" s="3">
        <f t="shared" si="12"/>
        <v>45748</v>
      </c>
      <c r="F788" t="s">
        <v>879</v>
      </c>
      <c r="G788" t="s">
        <v>235</v>
      </c>
      <c r="H788" s="4">
        <v>11043.03</v>
      </c>
      <c r="I788" t="s">
        <v>21</v>
      </c>
      <c r="J788" t="s">
        <v>236</v>
      </c>
      <c r="K788" t="s">
        <v>237</v>
      </c>
      <c r="L788" s="2">
        <v>45748</v>
      </c>
      <c r="M788" t="s">
        <v>238</v>
      </c>
      <c r="N788" t="s">
        <v>25</v>
      </c>
      <c r="O788" t="s">
        <v>26</v>
      </c>
      <c r="P788" t="s">
        <v>18</v>
      </c>
      <c r="Q788" t="s">
        <v>239</v>
      </c>
    </row>
    <row r="789" spans="1:17" x14ac:dyDescent="0.3">
      <c r="A789" t="s">
        <v>17</v>
      </c>
      <c r="B789">
        <v>63</v>
      </c>
      <c r="C789" t="s">
        <v>18</v>
      </c>
      <c r="D789" s="2">
        <v>45777</v>
      </c>
      <c r="E789" s="3">
        <f t="shared" si="12"/>
        <v>45748</v>
      </c>
      <c r="F789" t="s">
        <v>880</v>
      </c>
      <c r="G789" t="s">
        <v>235</v>
      </c>
      <c r="H789" s="4">
        <v>1320.08</v>
      </c>
      <c r="I789" t="s">
        <v>241</v>
      </c>
      <c r="J789" t="s">
        <v>236</v>
      </c>
      <c r="K789" t="s">
        <v>237</v>
      </c>
      <c r="L789" s="2">
        <v>45748</v>
      </c>
      <c r="M789" t="s">
        <v>238</v>
      </c>
      <c r="N789" t="s">
        <v>242</v>
      </c>
      <c r="O789" t="s">
        <v>26</v>
      </c>
      <c r="P789" t="s">
        <v>18</v>
      </c>
      <c r="Q789" t="s">
        <v>239</v>
      </c>
    </row>
    <row r="790" spans="1:17" x14ac:dyDescent="0.3">
      <c r="A790" t="s">
        <v>17</v>
      </c>
      <c r="B790">
        <v>67</v>
      </c>
      <c r="C790" t="s">
        <v>28</v>
      </c>
      <c r="D790" s="2">
        <v>45777</v>
      </c>
      <c r="E790" s="3">
        <f t="shared" si="12"/>
        <v>45748</v>
      </c>
      <c r="F790" t="s">
        <v>881</v>
      </c>
      <c r="G790" t="s">
        <v>882</v>
      </c>
      <c r="H790" s="4">
        <v>2015.48</v>
      </c>
      <c r="I790" t="s">
        <v>31</v>
      </c>
      <c r="J790" t="s">
        <v>74</v>
      </c>
      <c r="K790" t="s">
        <v>883</v>
      </c>
      <c r="L790" s="2">
        <v>45748</v>
      </c>
      <c r="M790" t="s">
        <v>76</v>
      </c>
      <c r="N790">
        <v>0</v>
      </c>
      <c r="O790" t="s">
        <v>31</v>
      </c>
      <c r="P790" t="s">
        <v>28</v>
      </c>
      <c r="Q790">
        <v>0</v>
      </c>
    </row>
    <row r="791" spans="1:17" x14ac:dyDescent="0.3">
      <c r="A791" t="s">
        <v>17</v>
      </c>
      <c r="B791">
        <v>67</v>
      </c>
      <c r="C791" t="s">
        <v>28</v>
      </c>
      <c r="D791" s="2">
        <v>45777</v>
      </c>
      <c r="E791" s="3">
        <f t="shared" si="12"/>
        <v>45748</v>
      </c>
      <c r="F791" t="s">
        <v>881</v>
      </c>
      <c r="G791" t="s">
        <v>101</v>
      </c>
      <c r="H791" s="4">
        <v>1543.5</v>
      </c>
      <c r="I791" t="s">
        <v>31</v>
      </c>
      <c r="J791" t="s">
        <v>74</v>
      </c>
      <c r="K791" t="s">
        <v>884</v>
      </c>
      <c r="L791" s="2">
        <v>45748</v>
      </c>
      <c r="M791" t="s">
        <v>76</v>
      </c>
      <c r="N791">
        <v>0</v>
      </c>
      <c r="O791" t="s">
        <v>31</v>
      </c>
      <c r="P791" t="s">
        <v>28</v>
      </c>
      <c r="Q791">
        <v>0</v>
      </c>
    </row>
    <row r="792" spans="1:17" x14ac:dyDescent="0.3">
      <c r="A792" t="s">
        <v>17</v>
      </c>
      <c r="B792">
        <v>67</v>
      </c>
      <c r="C792" t="s">
        <v>28</v>
      </c>
      <c r="D792" s="2">
        <v>45777</v>
      </c>
      <c r="E792" s="3">
        <f t="shared" si="12"/>
        <v>45748</v>
      </c>
      <c r="F792" t="s">
        <v>881</v>
      </c>
      <c r="G792" t="s">
        <v>101</v>
      </c>
      <c r="H792" s="4">
        <v>73.48</v>
      </c>
      <c r="I792" t="s">
        <v>31</v>
      </c>
      <c r="J792" t="s">
        <v>74</v>
      </c>
      <c r="K792" t="s">
        <v>620</v>
      </c>
      <c r="L792" s="2">
        <v>45748</v>
      </c>
      <c r="M792" t="s">
        <v>76</v>
      </c>
      <c r="N792">
        <v>0</v>
      </c>
      <c r="O792" t="s">
        <v>31</v>
      </c>
      <c r="P792" t="s">
        <v>28</v>
      </c>
      <c r="Q792">
        <v>0</v>
      </c>
    </row>
    <row r="793" spans="1:17" x14ac:dyDescent="0.3">
      <c r="A793" t="s">
        <v>17</v>
      </c>
      <c r="B793">
        <v>67</v>
      </c>
      <c r="C793" t="s">
        <v>28</v>
      </c>
      <c r="D793" s="2">
        <v>45777</v>
      </c>
      <c r="E793" s="3">
        <f t="shared" si="12"/>
        <v>45748</v>
      </c>
      <c r="F793" t="s">
        <v>881</v>
      </c>
      <c r="G793" t="s">
        <v>101</v>
      </c>
      <c r="H793" s="4">
        <v>1779.84</v>
      </c>
      <c r="I793" t="s">
        <v>31</v>
      </c>
      <c r="J793" t="s">
        <v>74</v>
      </c>
      <c r="K793" t="s">
        <v>621</v>
      </c>
      <c r="L793" s="2">
        <v>45748</v>
      </c>
      <c r="M793" t="s">
        <v>76</v>
      </c>
      <c r="N793">
        <v>0</v>
      </c>
      <c r="O793" t="s">
        <v>31</v>
      </c>
      <c r="P793" t="s">
        <v>28</v>
      </c>
      <c r="Q793">
        <v>0</v>
      </c>
    </row>
    <row r="794" spans="1:17" x14ac:dyDescent="0.3">
      <c r="A794" t="s">
        <v>17</v>
      </c>
      <c r="B794">
        <v>67</v>
      </c>
      <c r="C794" t="s">
        <v>28</v>
      </c>
      <c r="D794" s="2">
        <v>45777</v>
      </c>
      <c r="E794" s="3">
        <f t="shared" si="12"/>
        <v>45748</v>
      </c>
      <c r="F794" t="s">
        <v>885</v>
      </c>
      <c r="G794" t="s">
        <v>639</v>
      </c>
      <c r="H794" s="4">
        <v>21.78</v>
      </c>
      <c r="I794" t="s">
        <v>31</v>
      </c>
      <c r="J794" t="s">
        <v>74</v>
      </c>
      <c r="K794" t="s">
        <v>886</v>
      </c>
      <c r="L794" s="2">
        <v>45748</v>
      </c>
      <c r="M794" t="s">
        <v>76</v>
      </c>
      <c r="N794">
        <v>0</v>
      </c>
      <c r="O794" t="s">
        <v>31</v>
      </c>
      <c r="P794" t="s">
        <v>28</v>
      </c>
      <c r="Q794">
        <v>0</v>
      </c>
    </row>
    <row r="795" spans="1:17" x14ac:dyDescent="0.3">
      <c r="A795" t="s">
        <v>17</v>
      </c>
      <c r="B795">
        <v>67</v>
      </c>
      <c r="C795" t="s">
        <v>28</v>
      </c>
      <c r="D795" s="2">
        <v>45777</v>
      </c>
      <c r="E795" s="3">
        <f t="shared" si="12"/>
        <v>45748</v>
      </c>
      <c r="F795" t="s">
        <v>885</v>
      </c>
      <c r="G795" t="s">
        <v>210</v>
      </c>
      <c r="H795" s="4">
        <v>11.99</v>
      </c>
      <c r="I795" t="s">
        <v>31</v>
      </c>
      <c r="J795" t="s">
        <v>74</v>
      </c>
      <c r="K795" t="s">
        <v>211</v>
      </c>
      <c r="L795" s="2">
        <v>45748</v>
      </c>
      <c r="M795" t="s">
        <v>76</v>
      </c>
      <c r="N795">
        <v>0</v>
      </c>
      <c r="O795" t="s">
        <v>31</v>
      </c>
      <c r="P795" t="s">
        <v>28</v>
      </c>
      <c r="Q795">
        <v>0</v>
      </c>
    </row>
    <row r="796" spans="1:17" x14ac:dyDescent="0.3">
      <c r="A796" t="s">
        <v>17</v>
      </c>
      <c r="B796">
        <v>67</v>
      </c>
      <c r="C796" t="s">
        <v>28</v>
      </c>
      <c r="D796" s="2">
        <v>45777</v>
      </c>
      <c r="E796" s="3">
        <f t="shared" si="12"/>
        <v>45748</v>
      </c>
      <c r="F796" t="s">
        <v>885</v>
      </c>
      <c r="G796" t="s">
        <v>210</v>
      </c>
      <c r="H796" s="4">
        <v>16.989999999999998</v>
      </c>
      <c r="I796" t="s">
        <v>31</v>
      </c>
      <c r="J796" t="s">
        <v>74</v>
      </c>
      <c r="K796" t="s">
        <v>698</v>
      </c>
      <c r="L796" s="2">
        <v>45748</v>
      </c>
      <c r="M796" t="s">
        <v>76</v>
      </c>
      <c r="N796">
        <v>0</v>
      </c>
      <c r="O796" t="s">
        <v>31</v>
      </c>
      <c r="P796" t="s">
        <v>28</v>
      </c>
      <c r="Q796">
        <v>0</v>
      </c>
    </row>
    <row r="797" spans="1:17" x14ac:dyDescent="0.3">
      <c r="A797" t="s">
        <v>17</v>
      </c>
      <c r="B797">
        <v>66</v>
      </c>
      <c r="C797" t="s">
        <v>134</v>
      </c>
      <c r="D797" s="2">
        <v>45777</v>
      </c>
      <c r="E797" s="3">
        <f t="shared" si="12"/>
        <v>45748</v>
      </c>
      <c r="F797" t="s">
        <v>887</v>
      </c>
      <c r="G797" t="s">
        <v>254</v>
      </c>
      <c r="H797" s="4">
        <v>200</v>
      </c>
      <c r="I797" t="s">
        <v>108</v>
      </c>
      <c r="J797" t="s">
        <v>255</v>
      </c>
      <c r="K797" t="s">
        <v>888</v>
      </c>
      <c r="L797" s="2">
        <v>45748</v>
      </c>
      <c r="M797" t="s">
        <v>257</v>
      </c>
      <c r="N797">
        <v>0</v>
      </c>
      <c r="O797" t="s">
        <v>111</v>
      </c>
      <c r="P797" t="s">
        <v>134</v>
      </c>
      <c r="Q797">
        <v>0</v>
      </c>
    </row>
    <row r="798" spans="1:17" x14ac:dyDescent="0.3">
      <c r="A798" t="s">
        <v>17</v>
      </c>
      <c r="B798">
        <v>67</v>
      </c>
      <c r="C798" t="s">
        <v>28</v>
      </c>
      <c r="D798" s="2">
        <v>45777</v>
      </c>
      <c r="E798" s="3">
        <f t="shared" si="12"/>
        <v>45748</v>
      </c>
      <c r="F798" t="s">
        <v>889</v>
      </c>
      <c r="G798" t="s">
        <v>30</v>
      </c>
      <c r="H798" s="4">
        <v>776</v>
      </c>
      <c r="I798" t="s">
        <v>31</v>
      </c>
      <c r="J798" t="s">
        <v>32</v>
      </c>
      <c r="K798" t="s">
        <v>33</v>
      </c>
      <c r="L798" s="2">
        <v>45748</v>
      </c>
      <c r="M798" t="s">
        <v>32</v>
      </c>
      <c r="N798">
        <v>0</v>
      </c>
      <c r="O798" t="s">
        <v>31</v>
      </c>
      <c r="P798" t="s">
        <v>28</v>
      </c>
      <c r="Q798">
        <v>0</v>
      </c>
    </row>
    <row r="799" spans="1:17" x14ac:dyDescent="0.3">
      <c r="A799" t="s">
        <v>17</v>
      </c>
      <c r="B799">
        <v>67</v>
      </c>
      <c r="C799" t="s">
        <v>28</v>
      </c>
      <c r="D799" s="2">
        <v>45777</v>
      </c>
      <c r="E799" s="3">
        <f t="shared" si="12"/>
        <v>45748</v>
      </c>
      <c r="F799" t="s">
        <v>890</v>
      </c>
      <c r="G799" t="s">
        <v>891</v>
      </c>
      <c r="H799" s="4">
        <v>5563.59</v>
      </c>
      <c r="I799" t="s">
        <v>31</v>
      </c>
      <c r="J799" t="s">
        <v>32</v>
      </c>
      <c r="K799" t="s">
        <v>892</v>
      </c>
      <c r="L799" s="2">
        <v>45748</v>
      </c>
      <c r="M799" t="s">
        <v>32</v>
      </c>
      <c r="N799">
        <v>0</v>
      </c>
      <c r="O799" t="s">
        <v>31</v>
      </c>
      <c r="P799" t="s">
        <v>28</v>
      </c>
      <c r="Q799">
        <v>0</v>
      </c>
    </row>
    <row r="800" spans="1:17" x14ac:dyDescent="0.3">
      <c r="A800" t="s">
        <v>17</v>
      </c>
      <c r="B800">
        <v>67</v>
      </c>
      <c r="C800" t="s">
        <v>28</v>
      </c>
      <c r="D800" s="2">
        <v>45777</v>
      </c>
      <c r="E800" s="3">
        <f t="shared" si="12"/>
        <v>45748</v>
      </c>
      <c r="F800" t="s">
        <v>893</v>
      </c>
      <c r="G800" t="s">
        <v>259</v>
      </c>
      <c r="H800" s="4">
        <v>15463.72</v>
      </c>
      <c r="I800" t="s">
        <v>31</v>
      </c>
      <c r="J800" t="s">
        <v>32</v>
      </c>
      <c r="K800" t="s">
        <v>894</v>
      </c>
      <c r="L800" s="2">
        <v>45748</v>
      </c>
      <c r="M800" t="s">
        <v>32</v>
      </c>
      <c r="N800">
        <v>0</v>
      </c>
      <c r="O800" t="s">
        <v>31</v>
      </c>
      <c r="P800" t="s">
        <v>28</v>
      </c>
      <c r="Q800">
        <v>0</v>
      </c>
    </row>
    <row r="801" spans="1:17" x14ac:dyDescent="0.3">
      <c r="A801" t="s">
        <v>17</v>
      </c>
      <c r="B801">
        <v>68</v>
      </c>
      <c r="C801" t="s">
        <v>34</v>
      </c>
      <c r="D801" s="2">
        <v>45777</v>
      </c>
      <c r="E801" s="3">
        <f t="shared" si="12"/>
        <v>45748</v>
      </c>
      <c r="F801" t="s">
        <v>881</v>
      </c>
      <c r="G801" t="s">
        <v>101</v>
      </c>
      <c r="H801" s="4">
        <v>-42.35</v>
      </c>
      <c r="I801" t="s">
        <v>31</v>
      </c>
      <c r="J801" t="s">
        <v>79</v>
      </c>
      <c r="K801" t="s">
        <v>895</v>
      </c>
      <c r="L801" s="2">
        <v>45748</v>
      </c>
      <c r="M801" t="s">
        <v>79</v>
      </c>
      <c r="N801">
        <v>0</v>
      </c>
      <c r="O801" t="s">
        <v>31</v>
      </c>
      <c r="P801" t="s">
        <v>34</v>
      </c>
      <c r="Q801">
        <v>0</v>
      </c>
    </row>
    <row r="802" spans="1:17" x14ac:dyDescent="0.3">
      <c r="A802" t="s">
        <v>17</v>
      </c>
      <c r="B802">
        <v>68</v>
      </c>
      <c r="C802" t="s">
        <v>34</v>
      </c>
      <c r="D802" s="2">
        <v>45777</v>
      </c>
      <c r="E802" s="3">
        <f t="shared" si="12"/>
        <v>45748</v>
      </c>
      <c r="F802" t="s">
        <v>896</v>
      </c>
      <c r="G802" t="s">
        <v>266</v>
      </c>
      <c r="H802" s="4">
        <v>184.69</v>
      </c>
      <c r="I802" t="s">
        <v>31</v>
      </c>
      <c r="J802" t="s">
        <v>79</v>
      </c>
      <c r="K802" t="s">
        <v>897</v>
      </c>
      <c r="L802" s="2">
        <v>45748</v>
      </c>
      <c r="M802" t="s">
        <v>79</v>
      </c>
      <c r="N802">
        <v>0</v>
      </c>
      <c r="O802" t="s">
        <v>31</v>
      </c>
      <c r="P802" t="s">
        <v>34</v>
      </c>
      <c r="Q802">
        <v>0</v>
      </c>
    </row>
    <row r="803" spans="1:17" x14ac:dyDescent="0.3">
      <c r="A803" t="s">
        <v>17</v>
      </c>
      <c r="B803">
        <v>66</v>
      </c>
      <c r="C803" t="s">
        <v>134</v>
      </c>
      <c r="D803" s="2">
        <v>45777</v>
      </c>
      <c r="E803" s="3">
        <f t="shared" si="12"/>
        <v>45748</v>
      </c>
      <c r="F803" t="s">
        <v>898</v>
      </c>
      <c r="G803" t="s">
        <v>877</v>
      </c>
      <c r="H803" s="4">
        <v>591.1</v>
      </c>
      <c r="I803" t="s">
        <v>47</v>
      </c>
      <c r="J803" t="s">
        <v>223</v>
      </c>
      <c r="K803" t="s">
        <v>878</v>
      </c>
      <c r="L803" s="2">
        <v>45748</v>
      </c>
      <c r="M803" t="s">
        <v>223</v>
      </c>
      <c r="N803">
        <v>0</v>
      </c>
      <c r="O803" t="s">
        <v>111</v>
      </c>
      <c r="P803" t="s">
        <v>134</v>
      </c>
      <c r="Q803">
        <v>0</v>
      </c>
    </row>
    <row r="804" spans="1:17" x14ac:dyDescent="0.3">
      <c r="A804" t="s">
        <v>17</v>
      </c>
      <c r="B804">
        <v>66</v>
      </c>
      <c r="C804" t="s">
        <v>134</v>
      </c>
      <c r="D804" s="2">
        <v>45777</v>
      </c>
      <c r="E804" s="3">
        <f t="shared" si="12"/>
        <v>45748</v>
      </c>
      <c r="F804" t="s">
        <v>898</v>
      </c>
      <c r="G804" t="s">
        <v>877</v>
      </c>
      <c r="H804" s="4">
        <v>591.1</v>
      </c>
      <c r="I804" t="s">
        <v>108</v>
      </c>
      <c r="J804" t="s">
        <v>223</v>
      </c>
      <c r="K804" t="s">
        <v>878</v>
      </c>
      <c r="L804" s="2">
        <v>45748</v>
      </c>
      <c r="M804" t="s">
        <v>223</v>
      </c>
      <c r="N804">
        <v>0</v>
      </c>
      <c r="O804" t="s">
        <v>111</v>
      </c>
      <c r="P804" t="s">
        <v>134</v>
      </c>
      <c r="Q804">
        <v>0</v>
      </c>
    </row>
    <row r="805" spans="1:17" x14ac:dyDescent="0.3">
      <c r="A805" t="s">
        <v>17</v>
      </c>
      <c r="B805">
        <v>66</v>
      </c>
      <c r="C805" t="s">
        <v>134</v>
      </c>
      <c r="D805" s="2">
        <v>45777</v>
      </c>
      <c r="E805" s="3">
        <f t="shared" si="12"/>
        <v>45748</v>
      </c>
      <c r="F805" t="s">
        <v>898</v>
      </c>
      <c r="G805" t="s">
        <v>877</v>
      </c>
      <c r="H805" s="4">
        <v>1182.2</v>
      </c>
      <c r="I805" t="s">
        <v>137</v>
      </c>
      <c r="J805" t="s">
        <v>223</v>
      </c>
      <c r="K805" t="s">
        <v>878</v>
      </c>
      <c r="L805" s="2">
        <v>45748</v>
      </c>
      <c r="M805" t="s">
        <v>223</v>
      </c>
      <c r="N805" t="s">
        <v>141</v>
      </c>
      <c r="O805" t="s">
        <v>111</v>
      </c>
      <c r="P805" t="s">
        <v>134</v>
      </c>
      <c r="Q805">
        <v>0</v>
      </c>
    </row>
    <row r="806" spans="1:17" x14ac:dyDescent="0.3">
      <c r="A806" t="s">
        <v>17</v>
      </c>
      <c r="B806">
        <v>64</v>
      </c>
      <c r="C806" t="s">
        <v>83</v>
      </c>
      <c r="D806" s="2">
        <v>45777</v>
      </c>
      <c r="E806" s="3">
        <f t="shared" si="12"/>
        <v>45748</v>
      </c>
      <c r="F806" t="s">
        <v>899</v>
      </c>
      <c r="G806" t="s">
        <v>158</v>
      </c>
      <c r="H806" s="4">
        <v>60</v>
      </c>
      <c r="I806" t="s">
        <v>159</v>
      </c>
      <c r="J806" t="s">
        <v>511</v>
      </c>
      <c r="K806" t="s">
        <v>900</v>
      </c>
      <c r="L806" s="2">
        <v>45748</v>
      </c>
      <c r="M806" t="s">
        <v>513</v>
      </c>
      <c r="N806">
        <v>0</v>
      </c>
      <c r="O806" t="s">
        <v>159</v>
      </c>
      <c r="P806" t="s">
        <v>83</v>
      </c>
      <c r="Q806">
        <v>0</v>
      </c>
    </row>
    <row r="807" spans="1:17" x14ac:dyDescent="0.3">
      <c r="A807" t="s">
        <v>17</v>
      </c>
      <c r="B807">
        <v>67</v>
      </c>
      <c r="C807" t="s">
        <v>28</v>
      </c>
      <c r="D807" s="2">
        <v>45777</v>
      </c>
      <c r="E807" s="3">
        <f t="shared" si="12"/>
        <v>45748</v>
      </c>
      <c r="F807" t="s">
        <v>881</v>
      </c>
      <c r="G807" t="s">
        <v>101</v>
      </c>
      <c r="H807" s="4">
        <v>274.18</v>
      </c>
      <c r="I807" t="s">
        <v>31</v>
      </c>
      <c r="J807" t="s">
        <v>64</v>
      </c>
      <c r="K807" t="s">
        <v>623</v>
      </c>
      <c r="L807" s="2">
        <v>45748</v>
      </c>
      <c r="M807" t="s">
        <v>64</v>
      </c>
      <c r="N807">
        <v>0</v>
      </c>
      <c r="O807" t="s">
        <v>31</v>
      </c>
      <c r="P807" t="s">
        <v>28</v>
      </c>
      <c r="Q807">
        <v>0</v>
      </c>
    </row>
    <row r="808" spans="1:17" x14ac:dyDescent="0.3">
      <c r="A808" t="s">
        <v>17</v>
      </c>
      <c r="B808">
        <v>68</v>
      </c>
      <c r="C808" t="s">
        <v>34</v>
      </c>
      <c r="D808" s="2">
        <v>45777</v>
      </c>
      <c r="E808" s="3">
        <f t="shared" si="12"/>
        <v>45748</v>
      </c>
      <c r="F808" t="s">
        <v>881</v>
      </c>
      <c r="G808" t="s">
        <v>101</v>
      </c>
      <c r="H808" s="4">
        <v>65.33</v>
      </c>
      <c r="I808" t="s">
        <v>31</v>
      </c>
      <c r="J808" t="s">
        <v>37</v>
      </c>
      <c r="K808" t="s">
        <v>38</v>
      </c>
      <c r="L808" s="2">
        <v>45748</v>
      </c>
      <c r="M808" t="s">
        <v>37</v>
      </c>
      <c r="N808">
        <v>0</v>
      </c>
      <c r="O808" t="s">
        <v>31</v>
      </c>
      <c r="P808" t="s">
        <v>34</v>
      </c>
      <c r="Q808">
        <v>0</v>
      </c>
    </row>
    <row r="809" spans="1:17" x14ac:dyDescent="0.3">
      <c r="A809" t="s">
        <v>17</v>
      </c>
      <c r="B809">
        <v>67</v>
      </c>
      <c r="C809" t="s">
        <v>28</v>
      </c>
      <c r="D809" s="2">
        <v>45777</v>
      </c>
      <c r="E809" s="3">
        <f t="shared" si="12"/>
        <v>45748</v>
      </c>
      <c r="F809" t="s">
        <v>901</v>
      </c>
      <c r="G809" t="s">
        <v>119</v>
      </c>
      <c r="H809" s="4">
        <v>438.75</v>
      </c>
      <c r="I809" t="s">
        <v>31</v>
      </c>
      <c r="J809" t="s">
        <v>68</v>
      </c>
      <c r="K809" t="s">
        <v>902</v>
      </c>
      <c r="L809" s="2">
        <v>45748</v>
      </c>
      <c r="M809" t="s">
        <v>68</v>
      </c>
      <c r="N809">
        <v>0</v>
      </c>
      <c r="O809" t="s">
        <v>31</v>
      </c>
      <c r="P809" t="s">
        <v>28</v>
      </c>
      <c r="Q809">
        <v>0</v>
      </c>
    </row>
    <row r="810" spans="1:17" x14ac:dyDescent="0.3">
      <c r="A810" t="s">
        <v>17</v>
      </c>
      <c r="B810">
        <v>67</v>
      </c>
      <c r="C810" t="s">
        <v>28</v>
      </c>
      <c r="D810" s="2">
        <v>45777</v>
      </c>
      <c r="E810" s="3">
        <f t="shared" si="12"/>
        <v>45748</v>
      </c>
      <c r="F810" t="s">
        <v>903</v>
      </c>
      <c r="G810" t="s">
        <v>283</v>
      </c>
      <c r="H810" s="4">
        <v>150</v>
      </c>
      <c r="I810" t="s">
        <v>31</v>
      </c>
      <c r="J810" t="s">
        <v>48</v>
      </c>
      <c r="K810" t="s">
        <v>904</v>
      </c>
      <c r="L810" s="2">
        <v>45748</v>
      </c>
      <c r="M810" t="s">
        <v>50</v>
      </c>
      <c r="N810">
        <v>0</v>
      </c>
      <c r="O810" t="s">
        <v>31</v>
      </c>
      <c r="P810" t="s">
        <v>28</v>
      </c>
      <c r="Q810">
        <v>0</v>
      </c>
    </row>
    <row r="811" spans="1:17" x14ac:dyDescent="0.3">
      <c r="A811" t="s">
        <v>17</v>
      </c>
      <c r="B811">
        <v>67</v>
      </c>
      <c r="C811" t="s">
        <v>28</v>
      </c>
      <c r="D811" s="2">
        <v>45777</v>
      </c>
      <c r="E811" s="3">
        <f t="shared" si="12"/>
        <v>45748</v>
      </c>
      <c r="F811" t="s">
        <v>905</v>
      </c>
      <c r="G811" t="s">
        <v>673</v>
      </c>
      <c r="H811" s="4">
        <v>3000</v>
      </c>
      <c r="I811" t="s">
        <v>47</v>
      </c>
      <c r="J811" t="s">
        <v>48</v>
      </c>
      <c r="K811" t="s">
        <v>906</v>
      </c>
      <c r="L811" s="2">
        <v>45748</v>
      </c>
      <c r="M811" t="s">
        <v>50</v>
      </c>
      <c r="N811">
        <v>0</v>
      </c>
      <c r="O811" t="s">
        <v>26</v>
      </c>
      <c r="P811" t="s">
        <v>28</v>
      </c>
      <c r="Q811">
        <v>0</v>
      </c>
    </row>
    <row r="812" spans="1:17" x14ac:dyDescent="0.3">
      <c r="A812" t="s">
        <v>17</v>
      </c>
      <c r="B812">
        <v>64</v>
      </c>
      <c r="C812" t="s">
        <v>83</v>
      </c>
      <c r="D812" s="2">
        <v>45777</v>
      </c>
      <c r="E812" s="3">
        <f t="shared" si="12"/>
        <v>45748</v>
      </c>
      <c r="F812" t="s">
        <v>885</v>
      </c>
      <c r="G812" t="s">
        <v>210</v>
      </c>
      <c r="H812" s="4">
        <v>2.9</v>
      </c>
      <c r="I812" t="s">
        <v>31</v>
      </c>
      <c r="J812" t="s">
        <v>87</v>
      </c>
      <c r="K812" t="s">
        <v>907</v>
      </c>
      <c r="L812" s="2">
        <v>45748</v>
      </c>
      <c r="M812" t="s">
        <v>89</v>
      </c>
      <c r="N812">
        <v>0</v>
      </c>
      <c r="O812" t="s">
        <v>31</v>
      </c>
      <c r="P812" t="s">
        <v>83</v>
      </c>
      <c r="Q812">
        <v>0</v>
      </c>
    </row>
    <row r="813" spans="1:17" x14ac:dyDescent="0.3">
      <c r="A813" t="s">
        <v>17</v>
      </c>
      <c r="B813">
        <v>64</v>
      </c>
      <c r="C813" t="s">
        <v>83</v>
      </c>
      <c r="D813" s="2">
        <v>45777</v>
      </c>
      <c r="E813" s="3">
        <f t="shared" si="12"/>
        <v>45748</v>
      </c>
      <c r="F813" t="s">
        <v>908</v>
      </c>
      <c r="G813" t="s">
        <v>73</v>
      </c>
      <c r="H813" s="4">
        <v>51.55</v>
      </c>
      <c r="I813" t="s">
        <v>31</v>
      </c>
      <c r="J813" t="s">
        <v>91</v>
      </c>
      <c r="K813" t="s">
        <v>909</v>
      </c>
      <c r="L813" s="2">
        <v>45748</v>
      </c>
      <c r="M813" t="s">
        <v>93</v>
      </c>
      <c r="N813">
        <v>0</v>
      </c>
      <c r="O813" t="s">
        <v>31</v>
      </c>
      <c r="P813" t="s">
        <v>83</v>
      </c>
      <c r="Q813">
        <v>0</v>
      </c>
    </row>
    <row r="814" spans="1:17" x14ac:dyDescent="0.3">
      <c r="A814" t="s">
        <v>17</v>
      </c>
      <c r="B814">
        <v>68</v>
      </c>
      <c r="C814" t="s">
        <v>34</v>
      </c>
      <c r="D814" s="2">
        <v>45777</v>
      </c>
      <c r="E814" s="3">
        <f t="shared" si="12"/>
        <v>45748</v>
      </c>
      <c r="F814" t="s">
        <v>910</v>
      </c>
      <c r="G814" t="s">
        <v>122</v>
      </c>
      <c r="H814" s="4">
        <v>2343.94</v>
      </c>
      <c r="I814" t="s">
        <v>108</v>
      </c>
      <c r="J814" t="s">
        <v>109</v>
      </c>
      <c r="K814" t="s">
        <v>388</v>
      </c>
      <c r="L814" s="2">
        <v>45748</v>
      </c>
      <c r="M814" t="s">
        <v>109</v>
      </c>
      <c r="N814">
        <v>0</v>
      </c>
      <c r="O814" t="s">
        <v>111</v>
      </c>
      <c r="P814" t="s">
        <v>112</v>
      </c>
      <c r="Q814" t="s">
        <v>113</v>
      </c>
    </row>
    <row r="815" spans="1:17" x14ac:dyDescent="0.3">
      <c r="A815" t="s">
        <v>17</v>
      </c>
      <c r="B815">
        <v>68</v>
      </c>
      <c r="C815" t="s">
        <v>34</v>
      </c>
      <c r="D815" s="2">
        <v>45777</v>
      </c>
      <c r="E815" s="3">
        <f t="shared" si="12"/>
        <v>45748</v>
      </c>
      <c r="F815" t="s">
        <v>911</v>
      </c>
      <c r="G815" t="s">
        <v>122</v>
      </c>
      <c r="H815" s="4">
        <v>110.51</v>
      </c>
      <c r="I815" t="s">
        <v>108</v>
      </c>
      <c r="J815" t="s">
        <v>109</v>
      </c>
      <c r="K815" t="s">
        <v>662</v>
      </c>
      <c r="L815" s="2">
        <v>45748</v>
      </c>
      <c r="M815" t="s">
        <v>109</v>
      </c>
      <c r="N815">
        <v>0</v>
      </c>
      <c r="O815" t="s">
        <v>111</v>
      </c>
      <c r="P815" t="s">
        <v>112</v>
      </c>
      <c r="Q815" t="s">
        <v>113</v>
      </c>
    </row>
    <row r="816" spans="1:17" x14ac:dyDescent="0.3">
      <c r="A816" t="s">
        <v>17</v>
      </c>
      <c r="B816">
        <v>65</v>
      </c>
      <c r="C816" t="s">
        <v>54</v>
      </c>
      <c r="D816" s="2">
        <v>45777</v>
      </c>
      <c r="E816" s="3">
        <f t="shared" si="12"/>
        <v>45748</v>
      </c>
      <c r="F816" t="s">
        <v>912</v>
      </c>
      <c r="H816" s="4">
        <v>0</v>
      </c>
      <c r="I816" t="s">
        <v>31</v>
      </c>
      <c r="J816" t="s">
        <v>296</v>
      </c>
      <c r="L816" s="2">
        <v>45748</v>
      </c>
      <c r="M816" t="s">
        <v>296</v>
      </c>
      <c r="N816">
        <v>0</v>
      </c>
      <c r="O816" t="s">
        <v>31</v>
      </c>
      <c r="P816" t="s">
        <v>54</v>
      </c>
      <c r="Q816">
        <v>0</v>
      </c>
    </row>
    <row r="817" spans="1:17" x14ac:dyDescent="0.3">
      <c r="A817" t="s">
        <v>17</v>
      </c>
      <c r="B817">
        <v>65</v>
      </c>
      <c r="C817" t="s">
        <v>54</v>
      </c>
      <c r="D817" s="2">
        <v>45777</v>
      </c>
      <c r="E817" s="3">
        <f t="shared" si="12"/>
        <v>45748</v>
      </c>
      <c r="F817" t="s">
        <v>913</v>
      </c>
      <c r="H817" s="4">
        <v>581.03</v>
      </c>
      <c r="I817" t="s">
        <v>31</v>
      </c>
      <c r="J817" t="s">
        <v>296</v>
      </c>
      <c r="L817" s="2">
        <v>45748</v>
      </c>
      <c r="M817" t="s">
        <v>296</v>
      </c>
      <c r="N817">
        <v>0</v>
      </c>
      <c r="O817" t="s">
        <v>31</v>
      </c>
      <c r="P817" t="s">
        <v>54</v>
      </c>
      <c r="Q817">
        <v>0</v>
      </c>
    </row>
    <row r="818" spans="1:17" x14ac:dyDescent="0.3">
      <c r="A818" t="s">
        <v>17</v>
      </c>
      <c r="B818">
        <v>65</v>
      </c>
      <c r="C818" t="s">
        <v>54</v>
      </c>
      <c r="D818" s="2">
        <v>45777</v>
      </c>
      <c r="E818" s="3">
        <f t="shared" si="12"/>
        <v>45748</v>
      </c>
      <c r="F818" t="s">
        <v>913</v>
      </c>
      <c r="H818" s="4">
        <v>23940.66</v>
      </c>
      <c r="I818" t="s">
        <v>31</v>
      </c>
      <c r="J818" t="s">
        <v>296</v>
      </c>
      <c r="L818" s="2">
        <v>45748</v>
      </c>
      <c r="M818" t="s">
        <v>296</v>
      </c>
      <c r="N818">
        <v>0</v>
      </c>
      <c r="O818" t="s">
        <v>31</v>
      </c>
      <c r="P818" t="s">
        <v>54</v>
      </c>
      <c r="Q818">
        <v>0</v>
      </c>
    </row>
    <row r="819" spans="1:17" x14ac:dyDescent="0.3">
      <c r="A819" t="s">
        <v>17</v>
      </c>
      <c r="B819">
        <v>69</v>
      </c>
      <c r="C819" t="s">
        <v>297</v>
      </c>
      <c r="D819" s="2">
        <v>45777</v>
      </c>
      <c r="E819" s="3">
        <f t="shared" si="12"/>
        <v>45748</v>
      </c>
      <c r="F819" t="s">
        <v>914</v>
      </c>
      <c r="H819" s="4">
        <v>1954.72</v>
      </c>
      <c r="I819" t="s">
        <v>31</v>
      </c>
      <c r="J819" t="s">
        <v>299</v>
      </c>
      <c r="K819" t="s">
        <v>300</v>
      </c>
      <c r="L819" s="2">
        <v>45748</v>
      </c>
      <c r="M819" t="s">
        <v>301</v>
      </c>
      <c r="N819">
        <v>0</v>
      </c>
      <c r="O819" t="s">
        <v>31</v>
      </c>
      <c r="P819" t="s">
        <v>297</v>
      </c>
      <c r="Q819">
        <v>0</v>
      </c>
    </row>
    <row r="820" spans="1:17" x14ac:dyDescent="0.3">
      <c r="A820" t="s">
        <v>17</v>
      </c>
      <c r="B820">
        <v>67</v>
      </c>
      <c r="C820" t="s">
        <v>28</v>
      </c>
      <c r="D820" s="2">
        <v>45777</v>
      </c>
      <c r="E820" s="3">
        <f t="shared" si="12"/>
        <v>45748</v>
      </c>
      <c r="F820" t="s">
        <v>915</v>
      </c>
      <c r="H820" s="4">
        <v>839</v>
      </c>
      <c r="I820" t="s">
        <v>31</v>
      </c>
      <c r="J820" t="s">
        <v>74</v>
      </c>
      <c r="K820" t="s">
        <v>303</v>
      </c>
      <c r="L820" s="2">
        <v>45748</v>
      </c>
      <c r="M820" t="s">
        <v>76</v>
      </c>
      <c r="N820">
        <v>0</v>
      </c>
      <c r="O820" t="s">
        <v>31</v>
      </c>
      <c r="P820" t="s">
        <v>28</v>
      </c>
      <c r="Q820">
        <v>0</v>
      </c>
    </row>
    <row r="821" spans="1:17" x14ac:dyDescent="0.3">
      <c r="A821" t="s">
        <v>17</v>
      </c>
      <c r="B821">
        <v>67</v>
      </c>
      <c r="C821" t="s">
        <v>28</v>
      </c>
      <c r="D821" s="2">
        <v>45777</v>
      </c>
      <c r="E821" s="3">
        <f t="shared" si="12"/>
        <v>45748</v>
      </c>
      <c r="F821" t="s">
        <v>916</v>
      </c>
      <c r="H821" s="4">
        <v>9.99</v>
      </c>
      <c r="I821" t="s">
        <v>31</v>
      </c>
      <c r="J821" t="s">
        <v>74</v>
      </c>
      <c r="K821" t="s">
        <v>315</v>
      </c>
      <c r="L821" s="2">
        <v>45748</v>
      </c>
      <c r="M821" t="s">
        <v>76</v>
      </c>
      <c r="N821">
        <v>0</v>
      </c>
      <c r="O821" t="s">
        <v>31</v>
      </c>
      <c r="P821" t="s">
        <v>28</v>
      </c>
      <c r="Q821">
        <v>0</v>
      </c>
    </row>
    <row r="822" spans="1:17" x14ac:dyDescent="0.3">
      <c r="A822" t="s">
        <v>17</v>
      </c>
      <c r="B822">
        <v>67</v>
      </c>
      <c r="C822" t="s">
        <v>28</v>
      </c>
      <c r="D822" s="2">
        <v>45777</v>
      </c>
      <c r="E822" s="3">
        <f t="shared" si="12"/>
        <v>45748</v>
      </c>
      <c r="F822" t="s">
        <v>917</v>
      </c>
      <c r="H822" s="4">
        <v>2198.19</v>
      </c>
      <c r="I822" t="s">
        <v>31</v>
      </c>
      <c r="J822" t="s">
        <v>74</v>
      </c>
      <c r="K822" t="s">
        <v>918</v>
      </c>
      <c r="L822" s="2">
        <v>45748</v>
      </c>
      <c r="M822" t="s">
        <v>76</v>
      </c>
      <c r="N822">
        <v>0</v>
      </c>
      <c r="O822" t="s">
        <v>31</v>
      </c>
      <c r="P822" t="s">
        <v>28</v>
      </c>
      <c r="Q822">
        <v>0</v>
      </c>
    </row>
    <row r="823" spans="1:17" x14ac:dyDescent="0.3">
      <c r="A823" t="s">
        <v>17</v>
      </c>
      <c r="B823">
        <v>67</v>
      </c>
      <c r="C823" t="s">
        <v>28</v>
      </c>
      <c r="D823" s="2">
        <v>45777</v>
      </c>
      <c r="E823" s="3">
        <f t="shared" si="12"/>
        <v>45748</v>
      </c>
      <c r="F823" t="s">
        <v>919</v>
      </c>
      <c r="H823" s="4">
        <v>2721.82</v>
      </c>
      <c r="I823" t="s">
        <v>31</v>
      </c>
      <c r="J823" t="s">
        <v>74</v>
      </c>
      <c r="K823" t="s">
        <v>307</v>
      </c>
      <c r="L823" s="2">
        <v>45748</v>
      </c>
      <c r="M823" t="s">
        <v>76</v>
      </c>
      <c r="N823">
        <v>0</v>
      </c>
      <c r="O823" t="s">
        <v>31</v>
      </c>
      <c r="P823" t="s">
        <v>28</v>
      </c>
      <c r="Q823">
        <v>0</v>
      </c>
    </row>
    <row r="824" spans="1:17" x14ac:dyDescent="0.3">
      <c r="A824" t="s">
        <v>17</v>
      </c>
      <c r="B824">
        <v>67</v>
      </c>
      <c r="C824" t="s">
        <v>28</v>
      </c>
      <c r="D824" s="2">
        <v>45777</v>
      </c>
      <c r="E824" s="3">
        <f t="shared" si="12"/>
        <v>45748</v>
      </c>
      <c r="F824" t="s">
        <v>920</v>
      </c>
      <c r="H824" s="4">
        <v>13.6</v>
      </c>
      <c r="I824" t="s">
        <v>31</v>
      </c>
      <c r="J824" t="s">
        <v>74</v>
      </c>
      <c r="K824" t="s">
        <v>921</v>
      </c>
      <c r="L824" s="2">
        <v>45748</v>
      </c>
      <c r="M824" t="s">
        <v>76</v>
      </c>
      <c r="N824">
        <v>0</v>
      </c>
      <c r="O824" t="s">
        <v>31</v>
      </c>
      <c r="P824" t="s">
        <v>28</v>
      </c>
      <c r="Q824">
        <v>0</v>
      </c>
    </row>
    <row r="825" spans="1:17" x14ac:dyDescent="0.3">
      <c r="A825" t="s">
        <v>17</v>
      </c>
      <c r="B825">
        <v>67</v>
      </c>
      <c r="C825" t="s">
        <v>28</v>
      </c>
      <c r="D825" s="2">
        <v>45777</v>
      </c>
      <c r="E825" s="3">
        <f t="shared" si="12"/>
        <v>45748</v>
      </c>
      <c r="F825" t="s">
        <v>922</v>
      </c>
      <c r="H825" s="4">
        <v>431.42</v>
      </c>
      <c r="I825" t="s">
        <v>31</v>
      </c>
      <c r="J825" t="s">
        <v>74</v>
      </c>
      <c r="K825" t="s">
        <v>541</v>
      </c>
      <c r="L825" s="2">
        <v>45748</v>
      </c>
      <c r="M825" t="s">
        <v>76</v>
      </c>
      <c r="N825">
        <v>0</v>
      </c>
      <c r="O825" t="s">
        <v>31</v>
      </c>
      <c r="P825" t="s">
        <v>28</v>
      </c>
      <c r="Q825">
        <v>0</v>
      </c>
    </row>
    <row r="826" spans="1:17" x14ac:dyDescent="0.3">
      <c r="A826" t="s">
        <v>17</v>
      </c>
      <c r="B826">
        <v>67</v>
      </c>
      <c r="C826" t="s">
        <v>28</v>
      </c>
      <c r="D826" s="2">
        <v>45777</v>
      </c>
      <c r="E826" s="3">
        <f t="shared" si="12"/>
        <v>45748</v>
      </c>
      <c r="F826" t="s">
        <v>923</v>
      </c>
      <c r="H826" s="4">
        <v>226.82</v>
      </c>
      <c r="I826" t="s">
        <v>31</v>
      </c>
      <c r="J826" t="s">
        <v>74</v>
      </c>
      <c r="K826" t="s">
        <v>355</v>
      </c>
      <c r="L826" s="2">
        <v>45748</v>
      </c>
      <c r="M826" t="s">
        <v>76</v>
      </c>
      <c r="N826">
        <v>0</v>
      </c>
      <c r="O826" t="s">
        <v>31</v>
      </c>
      <c r="P826" t="s">
        <v>28</v>
      </c>
      <c r="Q826">
        <v>0</v>
      </c>
    </row>
    <row r="827" spans="1:17" x14ac:dyDescent="0.3">
      <c r="A827" t="s">
        <v>17</v>
      </c>
      <c r="B827">
        <v>68</v>
      </c>
      <c r="C827" t="s">
        <v>34</v>
      </c>
      <c r="D827" s="2">
        <v>45777</v>
      </c>
      <c r="E827" s="3">
        <f t="shared" si="12"/>
        <v>45748</v>
      </c>
      <c r="F827" t="s">
        <v>924</v>
      </c>
      <c r="H827" s="4">
        <v>44.7</v>
      </c>
      <c r="I827" t="s">
        <v>21</v>
      </c>
      <c r="J827" t="s">
        <v>79</v>
      </c>
      <c r="K827" t="s">
        <v>320</v>
      </c>
      <c r="L827" s="2">
        <v>45748</v>
      </c>
      <c r="M827" t="s">
        <v>79</v>
      </c>
      <c r="N827" t="s">
        <v>25</v>
      </c>
      <c r="O827" t="s">
        <v>81</v>
      </c>
      <c r="P827" t="s">
        <v>34</v>
      </c>
      <c r="Q827">
        <v>0</v>
      </c>
    </row>
    <row r="828" spans="1:17" x14ac:dyDescent="0.3">
      <c r="A828" t="s">
        <v>17</v>
      </c>
      <c r="B828">
        <v>63</v>
      </c>
      <c r="C828" t="s">
        <v>18</v>
      </c>
      <c r="D828" s="2">
        <v>45777</v>
      </c>
      <c r="E828" s="3">
        <f t="shared" si="12"/>
        <v>45748</v>
      </c>
      <c r="F828" t="s">
        <v>925</v>
      </c>
      <c r="H828" s="4">
        <v>40291.67</v>
      </c>
      <c r="I828" t="s">
        <v>47</v>
      </c>
      <c r="J828" t="s">
        <v>272</v>
      </c>
      <c r="K828" t="s">
        <v>755</v>
      </c>
      <c r="L828" s="2">
        <v>45748</v>
      </c>
      <c r="M828" t="s">
        <v>272</v>
      </c>
      <c r="N828">
        <v>0</v>
      </c>
      <c r="O828" t="s">
        <v>26</v>
      </c>
      <c r="P828" t="s">
        <v>18</v>
      </c>
      <c r="Q828" t="s">
        <v>274</v>
      </c>
    </row>
    <row r="829" spans="1:17" x14ac:dyDescent="0.3">
      <c r="A829" t="s">
        <v>17</v>
      </c>
      <c r="B829">
        <v>63</v>
      </c>
      <c r="C829" t="s">
        <v>18</v>
      </c>
      <c r="D829" s="2">
        <v>45777</v>
      </c>
      <c r="E829" s="3">
        <f t="shared" si="12"/>
        <v>45748</v>
      </c>
      <c r="F829" t="s">
        <v>926</v>
      </c>
      <c r="H829" s="4">
        <v>596.32000000000005</v>
      </c>
      <c r="I829" t="s">
        <v>47</v>
      </c>
      <c r="J829" t="s">
        <v>326</v>
      </c>
      <c r="K829" t="s">
        <v>927</v>
      </c>
      <c r="L829" s="2">
        <v>45748</v>
      </c>
      <c r="M829" t="s">
        <v>328</v>
      </c>
      <c r="N829">
        <v>0</v>
      </c>
      <c r="O829" t="s">
        <v>26</v>
      </c>
      <c r="P829" t="s">
        <v>18</v>
      </c>
      <c r="Q829" t="s">
        <v>329</v>
      </c>
    </row>
    <row r="830" spans="1:17" x14ac:dyDescent="0.3">
      <c r="A830" t="s">
        <v>17</v>
      </c>
      <c r="B830">
        <v>66</v>
      </c>
      <c r="C830" t="s">
        <v>134</v>
      </c>
      <c r="D830" s="2">
        <v>45777</v>
      </c>
      <c r="E830" s="3">
        <f t="shared" si="12"/>
        <v>45748</v>
      </c>
      <c r="F830" t="s">
        <v>928</v>
      </c>
      <c r="H830" s="4">
        <v>194.07</v>
      </c>
      <c r="I830" t="s">
        <v>47</v>
      </c>
      <c r="J830" t="s">
        <v>223</v>
      </c>
      <c r="K830" t="s">
        <v>929</v>
      </c>
      <c r="L830" s="2">
        <v>45748</v>
      </c>
      <c r="M830" t="s">
        <v>223</v>
      </c>
      <c r="N830">
        <v>0</v>
      </c>
      <c r="O830" t="s">
        <v>111</v>
      </c>
      <c r="P830" t="s">
        <v>134</v>
      </c>
      <c r="Q830">
        <v>0</v>
      </c>
    </row>
    <row r="831" spans="1:17" x14ac:dyDescent="0.3">
      <c r="A831" t="s">
        <v>17</v>
      </c>
      <c r="B831">
        <v>65</v>
      </c>
      <c r="C831" t="s">
        <v>54</v>
      </c>
      <c r="D831" s="2">
        <v>45777</v>
      </c>
      <c r="E831" s="3">
        <f t="shared" si="12"/>
        <v>45748</v>
      </c>
      <c r="F831" t="s">
        <v>913</v>
      </c>
      <c r="H831" s="4">
        <v>-606</v>
      </c>
      <c r="I831" t="s">
        <v>31</v>
      </c>
      <c r="J831" t="s">
        <v>155</v>
      </c>
      <c r="L831" s="2">
        <v>45748</v>
      </c>
      <c r="M831" t="s">
        <v>155</v>
      </c>
      <c r="N831">
        <v>0</v>
      </c>
      <c r="O831" t="s">
        <v>31</v>
      </c>
      <c r="P831" t="s">
        <v>54</v>
      </c>
      <c r="Q831">
        <v>0</v>
      </c>
    </row>
    <row r="832" spans="1:17" x14ac:dyDescent="0.3">
      <c r="A832" t="s">
        <v>17</v>
      </c>
      <c r="B832">
        <v>67</v>
      </c>
      <c r="C832" t="s">
        <v>28</v>
      </c>
      <c r="D832" s="2">
        <v>45777</v>
      </c>
      <c r="E832" s="3">
        <f t="shared" si="12"/>
        <v>45748</v>
      </c>
      <c r="F832" t="s">
        <v>930</v>
      </c>
      <c r="H832" s="4">
        <v>501.9</v>
      </c>
      <c r="I832" t="s">
        <v>31</v>
      </c>
      <c r="J832" t="s">
        <v>60</v>
      </c>
      <c r="K832" t="s">
        <v>342</v>
      </c>
      <c r="L832" s="2">
        <v>45748</v>
      </c>
      <c r="M832" t="s">
        <v>60</v>
      </c>
      <c r="N832">
        <v>0</v>
      </c>
      <c r="O832" t="s">
        <v>31</v>
      </c>
      <c r="P832" t="s">
        <v>28</v>
      </c>
      <c r="Q832">
        <v>0</v>
      </c>
    </row>
    <row r="833" spans="1:17" x14ac:dyDescent="0.3">
      <c r="A833" t="s">
        <v>17</v>
      </c>
      <c r="B833">
        <v>67</v>
      </c>
      <c r="C833" t="s">
        <v>28</v>
      </c>
      <c r="D833" s="2">
        <v>45777</v>
      </c>
      <c r="E833" s="3">
        <f t="shared" si="12"/>
        <v>45748</v>
      </c>
      <c r="F833" t="s">
        <v>931</v>
      </c>
      <c r="H833" s="4">
        <v>-48.49</v>
      </c>
      <c r="I833" t="s">
        <v>31</v>
      </c>
      <c r="J833" t="s">
        <v>60</v>
      </c>
      <c r="L833" s="2">
        <v>45748</v>
      </c>
      <c r="M833" t="s">
        <v>60</v>
      </c>
      <c r="N833">
        <v>0</v>
      </c>
      <c r="O833" t="s">
        <v>31</v>
      </c>
      <c r="P833" t="s">
        <v>28</v>
      </c>
      <c r="Q833">
        <v>0</v>
      </c>
    </row>
    <row r="834" spans="1:17" x14ac:dyDescent="0.3">
      <c r="A834" t="s">
        <v>17</v>
      </c>
      <c r="B834">
        <v>67</v>
      </c>
      <c r="C834" t="s">
        <v>28</v>
      </c>
      <c r="D834" s="2">
        <v>45777</v>
      </c>
      <c r="E834" s="3">
        <f t="shared" si="12"/>
        <v>45748</v>
      </c>
      <c r="F834" t="s">
        <v>931</v>
      </c>
      <c r="H834" s="4">
        <v>-16.11</v>
      </c>
      <c r="I834" t="s">
        <v>31</v>
      </c>
      <c r="J834" t="s">
        <v>60</v>
      </c>
      <c r="L834" s="2">
        <v>45748</v>
      </c>
      <c r="M834" t="s">
        <v>60</v>
      </c>
      <c r="N834">
        <v>0</v>
      </c>
      <c r="O834" t="s">
        <v>31</v>
      </c>
      <c r="P834" t="s">
        <v>28</v>
      </c>
      <c r="Q834">
        <v>0</v>
      </c>
    </row>
    <row r="835" spans="1:17" x14ac:dyDescent="0.3">
      <c r="A835" t="s">
        <v>17</v>
      </c>
      <c r="B835">
        <v>67</v>
      </c>
      <c r="C835" t="s">
        <v>28</v>
      </c>
      <c r="D835" s="2">
        <v>45777</v>
      </c>
      <c r="E835" s="3">
        <f t="shared" ref="E835:E898" si="13">IF($D835="","",DATE(YEAR($D835),MONTH($D835),1))</f>
        <v>45748</v>
      </c>
      <c r="F835" t="s">
        <v>931</v>
      </c>
      <c r="H835" s="4">
        <v>-117.23</v>
      </c>
      <c r="I835" t="s">
        <v>31</v>
      </c>
      <c r="J835" t="s">
        <v>60</v>
      </c>
      <c r="L835" s="2">
        <v>45748</v>
      </c>
      <c r="M835" t="s">
        <v>60</v>
      </c>
      <c r="N835">
        <v>0</v>
      </c>
      <c r="O835" t="s">
        <v>31</v>
      </c>
      <c r="P835" t="s">
        <v>28</v>
      </c>
      <c r="Q835">
        <v>0</v>
      </c>
    </row>
    <row r="836" spans="1:17" x14ac:dyDescent="0.3">
      <c r="A836" t="s">
        <v>17</v>
      </c>
      <c r="B836">
        <v>67</v>
      </c>
      <c r="C836" t="s">
        <v>28</v>
      </c>
      <c r="D836" s="2">
        <v>45777</v>
      </c>
      <c r="E836" s="3">
        <f t="shared" si="13"/>
        <v>45748</v>
      </c>
      <c r="F836" t="s">
        <v>931</v>
      </c>
      <c r="H836" s="4">
        <v>-12.34</v>
      </c>
      <c r="I836" t="s">
        <v>31</v>
      </c>
      <c r="J836" t="s">
        <v>60</v>
      </c>
      <c r="L836" s="2">
        <v>45748</v>
      </c>
      <c r="M836" t="s">
        <v>60</v>
      </c>
      <c r="N836">
        <v>0</v>
      </c>
      <c r="O836" t="s">
        <v>31</v>
      </c>
      <c r="P836" t="s">
        <v>28</v>
      </c>
      <c r="Q836">
        <v>0</v>
      </c>
    </row>
    <row r="837" spans="1:17" x14ac:dyDescent="0.3">
      <c r="A837" t="s">
        <v>17</v>
      </c>
      <c r="B837">
        <v>67</v>
      </c>
      <c r="C837" t="s">
        <v>28</v>
      </c>
      <c r="D837" s="2">
        <v>45777</v>
      </c>
      <c r="E837" s="3">
        <f t="shared" si="13"/>
        <v>45748</v>
      </c>
      <c r="F837" t="s">
        <v>931</v>
      </c>
      <c r="H837" s="4">
        <v>-56.16</v>
      </c>
      <c r="I837" t="s">
        <v>31</v>
      </c>
      <c r="J837" t="s">
        <v>60</v>
      </c>
      <c r="L837" s="2">
        <v>45748</v>
      </c>
      <c r="M837" t="s">
        <v>60</v>
      </c>
      <c r="N837">
        <v>0</v>
      </c>
      <c r="O837" t="s">
        <v>31</v>
      </c>
      <c r="P837" t="s">
        <v>28</v>
      </c>
      <c r="Q837">
        <v>0</v>
      </c>
    </row>
    <row r="838" spans="1:17" x14ac:dyDescent="0.3">
      <c r="A838" t="s">
        <v>17</v>
      </c>
      <c r="B838">
        <v>67</v>
      </c>
      <c r="C838" t="s">
        <v>28</v>
      </c>
      <c r="D838" s="2">
        <v>45777</v>
      </c>
      <c r="E838" s="3">
        <f t="shared" si="13"/>
        <v>45748</v>
      </c>
      <c r="F838" t="s">
        <v>931</v>
      </c>
      <c r="H838" s="4">
        <v>-115.69</v>
      </c>
      <c r="I838" t="s">
        <v>31</v>
      </c>
      <c r="J838" t="s">
        <v>60</v>
      </c>
      <c r="L838" s="2">
        <v>45748</v>
      </c>
      <c r="M838" t="s">
        <v>60</v>
      </c>
      <c r="N838">
        <v>0</v>
      </c>
      <c r="O838" t="s">
        <v>31</v>
      </c>
      <c r="P838" t="s">
        <v>28</v>
      </c>
      <c r="Q838">
        <v>0</v>
      </c>
    </row>
    <row r="839" spans="1:17" x14ac:dyDescent="0.3">
      <c r="A839" t="s">
        <v>17</v>
      </c>
      <c r="B839">
        <v>67</v>
      </c>
      <c r="C839" t="s">
        <v>28</v>
      </c>
      <c r="D839" s="2">
        <v>45777</v>
      </c>
      <c r="E839" s="3">
        <f t="shared" si="13"/>
        <v>45748</v>
      </c>
      <c r="F839" t="s">
        <v>931</v>
      </c>
      <c r="H839" s="4">
        <v>-54.24</v>
      </c>
      <c r="I839" t="s">
        <v>31</v>
      </c>
      <c r="J839" t="s">
        <v>60</v>
      </c>
      <c r="L839" s="2">
        <v>45748</v>
      </c>
      <c r="M839" t="s">
        <v>60</v>
      </c>
      <c r="N839">
        <v>0</v>
      </c>
      <c r="O839" t="s">
        <v>31</v>
      </c>
      <c r="P839" t="s">
        <v>28</v>
      </c>
      <c r="Q839">
        <v>0</v>
      </c>
    </row>
    <row r="840" spans="1:17" x14ac:dyDescent="0.3">
      <c r="A840" t="s">
        <v>17</v>
      </c>
      <c r="B840">
        <v>67</v>
      </c>
      <c r="C840" t="s">
        <v>28</v>
      </c>
      <c r="D840" s="2">
        <v>45777</v>
      </c>
      <c r="E840" s="3">
        <f t="shared" si="13"/>
        <v>45748</v>
      </c>
      <c r="F840" t="s">
        <v>932</v>
      </c>
      <c r="H840" s="4">
        <v>1062.5</v>
      </c>
      <c r="I840" t="s">
        <v>31</v>
      </c>
      <c r="J840" t="s">
        <v>60</v>
      </c>
      <c r="K840" t="s">
        <v>339</v>
      </c>
      <c r="L840" s="2">
        <v>45748</v>
      </c>
      <c r="M840" t="s">
        <v>60</v>
      </c>
      <c r="N840">
        <v>0</v>
      </c>
      <c r="O840" t="s">
        <v>31</v>
      </c>
      <c r="P840" t="s">
        <v>28</v>
      </c>
      <c r="Q840">
        <v>0</v>
      </c>
    </row>
    <row r="841" spans="1:17" x14ac:dyDescent="0.3">
      <c r="A841" t="s">
        <v>17</v>
      </c>
      <c r="B841">
        <v>68</v>
      </c>
      <c r="C841" t="s">
        <v>34</v>
      </c>
      <c r="D841" s="2">
        <v>45777</v>
      </c>
      <c r="E841" s="3">
        <f t="shared" si="13"/>
        <v>45748</v>
      </c>
      <c r="F841" t="s">
        <v>933</v>
      </c>
      <c r="H841" s="4">
        <v>260.62</v>
      </c>
      <c r="I841" t="s">
        <v>31</v>
      </c>
      <c r="J841" t="s">
        <v>37</v>
      </c>
      <c r="K841" t="s">
        <v>934</v>
      </c>
      <c r="L841" s="2">
        <v>45748</v>
      </c>
      <c r="M841" t="s">
        <v>37</v>
      </c>
      <c r="N841">
        <v>0</v>
      </c>
      <c r="O841" t="s">
        <v>31</v>
      </c>
      <c r="P841" t="s">
        <v>34</v>
      </c>
      <c r="Q841">
        <v>0</v>
      </c>
    </row>
    <row r="842" spans="1:17" x14ac:dyDescent="0.3">
      <c r="A842" t="s">
        <v>17</v>
      </c>
      <c r="B842">
        <v>69</v>
      </c>
      <c r="C842" t="s">
        <v>297</v>
      </c>
      <c r="D842" s="2">
        <v>45777</v>
      </c>
      <c r="E842" s="3">
        <f t="shared" si="13"/>
        <v>45748</v>
      </c>
      <c r="F842" t="s">
        <v>935</v>
      </c>
      <c r="H842" s="4">
        <v>66.72</v>
      </c>
      <c r="I842" t="s">
        <v>159</v>
      </c>
      <c r="J842" t="s">
        <v>346</v>
      </c>
      <c r="L842" s="2">
        <v>45748</v>
      </c>
      <c r="M842" t="s">
        <v>347</v>
      </c>
      <c r="N842">
        <v>0</v>
      </c>
      <c r="O842" t="s">
        <v>159</v>
      </c>
      <c r="P842" t="s">
        <v>297</v>
      </c>
      <c r="Q842">
        <v>0</v>
      </c>
    </row>
    <row r="843" spans="1:17" x14ac:dyDescent="0.3">
      <c r="A843" t="s">
        <v>17</v>
      </c>
      <c r="B843">
        <v>69</v>
      </c>
      <c r="C843" t="s">
        <v>297</v>
      </c>
      <c r="D843" s="2">
        <v>45777</v>
      </c>
      <c r="E843" s="3">
        <f t="shared" si="13"/>
        <v>45748</v>
      </c>
      <c r="F843" t="s">
        <v>935</v>
      </c>
      <c r="H843" s="4">
        <v>113.67</v>
      </c>
      <c r="I843" t="s">
        <v>137</v>
      </c>
      <c r="J843" t="s">
        <v>346</v>
      </c>
      <c r="L843" s="2">
        <v>45748</v>
      </c>
      <c r="M843" t="s">
        <v>347</v>
      </c>
      <c r="N843" t="s">
        <v>141</v>
      </c>
      <c r="O843" t="s">
        <v>141</v>
      </c>
      <c r="P843" t="s">
        <v>297</v>
      </c>
      <c r="Q843">
        <v>0</v>
      </c>
    </row>
    <row r="844" spans="1:17" x14ac:dyDescent="0.3">
      <c r="A844" t="s">
        <v>17</v>
      </c>
      <c r="B844">
        <v>69</v>
      </c>
      <c r="C844" t="s">
        <v>297</v>
      </c>
      <c r="D844" s="2">
        <v>45777</v>
      </c>
      <c r="E844" s="3">
        <f t="shared" si="13"/>
        <v>45748</v>
      </c>
      <c r="F844" t="s">
        <v>935</v>
      </c>
      <c r="H844" s="4">
        <v>178</v>
      </c>
      <c r="I844" t="s">
        <v>21</v>
      </c>
      <c r="J844" t="s">
        <v>346</v>
      </c>
      <c r="L844" s="2">
        <v>45748</v>
      </c>
      <c r="M844" t="s">
        <v>347</v>
      </c>
      <c r="N844" t="s">
        <v>25</v>
      </c>
      <c r="O844" t="s">
        <v>81</v>
      </c>
      <c r="P844" t="s">
        <v>297</v>
      </c>
      <c r="Q844">
        <v>0</v>
      </c>
    </row>
    <row r="845" spans="1:17" x14ac:dyDescent="0.3">
      <c r="A845" t="s">
        <v>17</v>
      </c>
      <c r="B845">
        <v>69</v>
      </c>
      <c r="C845" t="s">
        <v>297</v>
      </c>
      <c r="D845" s="2">
        <v>45777</v>
      </c>
      <c r="E845" s="3">
        <f t="shared" si="13"/>
        <v>45748</v>
      </c>
      <c r="F845" t="s">
        <v>935</v>
      </c>
      <c r="H845" s="4">
        <v>147.88999999999999</v>
      </c>
      <c r="I845" t="s">
        <v>108</v>
      </c>
      <c r="J845" t="s">
        <v>346</v>
      </c>
      <c r="L845" s="2">
        <v>45748</v>
      </c>
      <c r="M845" t="s">
        <v>347</v>
      </c>
      <c r="N845">
        <v>0</v>
      </c>
      <c r="O845" t="s">
        <v>111</v>
      </c>
      <c r="P845" t="s">
        <v>297</v>
      </c>
      <c r="Q845">
        <v>0</v>
      </c>
    </row>
    <row r="846" spans="1:17" x14ac:dyDescent="0.3">
      <c r="A846" t="s">
        <v>17</v>
      </c>
      <c r="B846">
        <v>69</v>
      </c>
      <c r="C846" t="s">
        <v>297</v>
      </c>
      <c r="D846" s="2">
        <v>45777</v>
      </c>
      <c r="E846" s="3">
        <f t="shared" si="13"/>
        <v>45748</v>
      </c>
      <c r="F846" t="s">
        <v>935</v>
      </c>
      <c r="H846" s="4">
        <v>188.91</v>
      </c>
      <c r="I846" t="s">
        <v>104</v>
      </c>
      <c r="J846" t="s">
        <v>346</v>
      </c>
      <c r="L846" s="2">
        <v>45748</v>
      </c>
      <c r="M846" t="s">
        <v>347</v>
      </c>
      <c r="N846">
        <v>0</v>
      </c>
      <c r="O846" t="s">
        <v>104</v>
      </c>
      <c r="P846" t="s">
        <v>297</v>
      </c>
      <c r="Q846">
        <v>0</v>
      </c>
    </row>
    <row r="847" spans="1:17" x14ac:dyDescent="0.3">
      <c r="A847" t="s">
        <v>17</v>
      </c>
      <c r="B847">
        <v>69</v>
      </c>
      <c r="C847" t="s">
        <v>297</v>
      </c>
      <c r="D847" s="2">
        <v>45777</v>
      </c>
      <c r="E847" s="3">
        <f t="shared" si="13"/>
        <v>45748</v>
      </c>
      <c r="F847" t="s">
        <v>935</v>
      </c>
      <c r="H847" s="4">
        <v>65.48</v>
      </c>
      <c r="I847" t="s">
        <v>348</v>
      </c>
      <c r="J847" t="s">
        <v>346</v>
      </c>
      <c r="L847" s="2">
        <v>45748</v>
      </c>
      <c r="M847" t="s">
        <v>347</v>
      </c>
      <c r="N847">
        <v>0</v>
      </c>
      <c r="O847" t="s">
        <v>348</v>
      </c>
      <c r="P847" t="s">
        <v>297</v>
      </c>
      <c r="Q847">
        <v>0</v>
      </c>
    </row>
    <row r="848" spans="1:17" x14ac:dyDescent="0.3">
      <c r="A848" t="s">
        <v>17</v>
      </c>
      <c r="B848">
        <v>69</v>
      </c>
      <c r="C848" t="s">
        <v>297</v>
      </c>
      <c r="D848" s="2">
        <v>45777</v>
      </c>
      <c r="E848" s="3">
        <f t="shared" si="13"/>
        <v>45748</v>
      </c>
      <c r="F848" t="s">
        <v>935</v>
      </c>
      <c r="H848" s="4">
        <v>166.9</v>
      </c>
      <c r="I848" t="s">
        <v>47</v>
      </c>
      <c r="J848" t="s">
        <v>346</v>
      </c>
      <c r="L848" s="2">
        <v>45748</v>
      </c>
      <c r="M848" t="s">
        <v>347</v>
      </c>
      <c r="N848">
        <v>0</v>
      </c>
      <c r="O848" t="s">
        <v>26</v>
      </c>
      <c r="P848" t="s">
        <v>297</v>
      </c>
      <c r="Q848">
        <v>0</v>
      </c>
    </row>
    <row r="849" spans="1:17" x14ac:dyDescent="0.3">
      <c r="A849" t="s">
        <v>17</v>
      </c>
      <c r="B849">
        <v>69</v>
      </c>
      <c r="C849" t="s">
        <v>297</v>
      </c>
      <c r="D849" s="2">
        <v>45777</v>
      </c>
      <c r="E849" s="3">
        <f t="shared" si="13"/>
        <v>45748</v>
      </c>
      <c r="F849" t="s">
        <v>935</v>
      </c>
      <c r="H849" s="4">
        <v>574.73</v>
      </c>
      <c r="I849" t="s">
        <v>31</v>
      </c>
      <c r="J849" t="s">
        <v>346</v>
      </c>
      <c r="L849" s="2">
        <v>45748</v>
      </c>
      <c r="M849" t="s">
        <v>347</v>
      </c>
      <c r="N849">
        <v>0</v>
      </c>
      <c r="O849" t="s">
        <v>31</v>
      </c>
      <c r="P849" t="s">
        <v>297</v>
      </c>
      <c r="Q849">
        <v>0</v>
      </c>
    </row>
    <row r="850" spans="1:17" x14ac:dyDescent="0.3">
      <c r="A850" t="s">
        <v>17</v>
      </c>
      <c r="B850">
        <v>69</v>
      </c>
      <c r="C850" t="s">
        <v>297</v>
      </c>
      <c r="D850" s="2">
        <v>45777</v>
      </c>
      <c r="E850" s="3">
        <f t="shared" si="13"/>
        <v>45748</v>
      </c>
      <c r="F850" t="s">
        <v>935</v>
      </c>
      <c r="H850" s="4">
        <v>238.77</v>
      </c>
      <c r="I850" t="s">
        <v>137</v>
      </c>
      <c r="J850" t="s">
        <v>349</v>
      </c>
      <c r="L850" s="2">
        <v>45748</v>
      </c>
      <c r="M850" t="s">
        <v>350</v>
      </c>
      <c r="N850" t="s">
        <v>141</v>
      </c>
      <c r="O850" t="s">
        <v>141</v>
      </c>
      <c r="P850" t="s">
        <v>297</v>
      </c>
      <c r="Q850">
        <v>0</v>
      </c>
    </row>
    <row r="851" spans="1:17" x14ac:dyDescent="0.3">
      <c r="A851" t="s">
        <v>17</v>
      </c>
      <c r="B851">
        <v>69</v>
      </c>
      <c r="C851" t="s">
        <v>297</v>
      </c>
      <c r="D851" s="2">
        <v>45777</v>
      </c>
      <c r="E851" s="3">
        <f t="shared" si="13"/>
        <v>45748</v>
      </c>
      <c r="F851" t="s">
        <v>935</v>
      </c>
      <c r="H851" s="4">
        <v>141.36000000000001</v>
      </c>
      <c r="I851" t="s">
        <v>31</v>
      </c>
      <c r="J851" t="s">
        <v>349</v>
      </c>
      <c r="L851" s="2">
        <v>45748</v>
      </c>
      <c r="M851" t="s">
        <v>350</v>
      </c>
      <c r="N851">
        <v>0</v>
      </c>
      <c r="O851" t="s">
        <v>31</v>
      </c>
      <c r="P851" t="s">
        <v>297</v>
      </c>
      <c r="Q851">
        <v>0</v>
      </c>
    </row>
    <row r="852" spans="1:17" x14ac:dyDescent="0.3">
      <c r="A852" t="s">
        <v>17</v>
      </c>
      <c r="B852">
        <v>67</v>
      </c>
      <c r="C852" t="s">
        <v>28</v>
      </c>
      <c r="D852" s="2">
        <v>45777</v>
      </c>
      <c r="E852" s="3">
        <f t="shared" si="13"/>
        <v>45748</v>
      </c>
      <c r="F852" t="s">
        <v>936</v>
      </c>
      <c r="H852" s="4">
        <v>833.33</v>
      </c>
      <c r="I852" t="s">
        <v>31</v>
      </c>
      <c r="J852" t="s">
        <v>48</v>
      </c>
      <c r="K852" t="s">
        <v>937</v>
      </c>
      <c r="L852" s="2">
        <v>45748</v>
      </c>
      <c r="M852" t="s">
        <v>50</v>
      </c>
      <c r="N852">
        <v>0</v>
      </c>
      <c r="O852" t="s">
        <v>31</v>
      </c>
      <c r="P852" t="s">
        <v>28</v>
      </c>
      <c r="Q852">
        <v>0</v>
      </c>
    </row>
    <row r="853" spans="1:17" x14ac:dyDescent="0.3">
      <c r="A853" t="s">
        <v>17</v>
      </c>
      <c r="B853">
        <v>68</v>
      </c>
      <c r="C853" t="s">
        <v>34</v>
      </c>
      <c r="D853" s="2">
        <v>45777</v>
      </c>
      <c r="E853" s="3">
        <f t="shared" si="13"/>
        <v>45748</v>
      </c>
      <c r="F853" t="s">
        <v>938</v>
      </c>
      <c r="H853" s="4">
        <v>-774.1</v>
      </c>
      <c r="I853" t="s">
        <v>137</v>
      </c>
      <c r="J853" t="s">
        <v>767</v>
      </c>
      <c r="L853" s="2">
        <v>45748</v>
      </c>
      <c r="M853" t="s">
        <v>767</v>
      </c>
      <c r="N853" t="s">
        <v>141</v>
      </c>
      <c r="O853" t="s">
        <v>141</v>
      </c>
      <c r="P853" t="s">
        <v>34</v>
      </c>
      <c r="Q853">
        <v>0</v>
      </c>
    </row>
    <row r="854" spans="1:17" x14ac:dyDescent="0.3">
      <c r="A854" t="s">
        <v>17</v>
      </c>
      <c r="B854">
        <v>67</v>
      </c>
      <c r="C854" t="s">
        <v>28</v>
      </c>
      <c r="D854" s="2">
        <v>45777</v>
      </c>
      <c r="E854" s="3">
        <f t="shared" si="13"/>
        <v>45748</v>
      </c>
      <c r="F854" t="s">
        <v>939</v>
      </c>
      <c r="H854" s="4">
        <v>153</v>
      </c>
      <c r="I854" t="s">
        <v>47</v>
      </c>
      <c r="J854" t="s">
        <v>352</v>
      </c>
      <c r="K854" t="s">
        <v>359</v>
      </c>
      <c r="L854" s="2">
        <v>45748</v>
      </c>
      <c r="M854" t="s">
        <v>352</v>
      </c>
      <c r="N854">
        <v>0</v>
      </c>
      <c r="O854" t="s">
        <v>26</v>
      </c>
      <c r="P854" t="s">
        <v>28</v>
      </c>
      <c r="Q854">
        <v>0</v>
      </c>
    </row>
    <row r="855" spans="1:17" x14ac:dyDescent="0.3">
      <c r="A855" t="s">
        <v>17</v>
      </c>
      <c r="B855">
        <v>67</v>
      </c>
      <c r="C855" t="s">
        <v>28</v>
      </c>
      <c r="D855" s="2">
        <v>45777</v>
      </c>
      <c r="E855" s="3">
        <f t="shared" si="13"/>
        <v>45748</v>
      </c>
      <c r="F855" t="s">
        <v>940</v>
      </c>
      <c r="H855" s="4">
        <v>175</v>
      </c>
      <c r="I855" t="s">
        <v>108</v>
      </c>
      <c r="J855" t="s">
        <v>352</v>
      </c>
      <c r="K855" t="s">
        <v>941</v>
      </c>
      <c r="L855" s="2">
        <v>45748</v>
      </c>
      <c r="M855" t="s">
        <v>352</v>
      </c>
      <c r="N855">
        <v>0</v>
      </c>
      <c r="O855" t="s">
        <v>111</v>
      </c>
      <c r="P855" t="s">
        <v>28</v>
      </c>
      <c r="Q855">
        <v>0</v>
      </c>
    </row>
    <row r="856" spans="1:17" x14ac:dyDescent="0.3">
      <c r="A856" t="s">
        <v>17</v>
      </c>
      <c r="B856">
        <v>65</v>
      </c>
      <c r="C856" t="s">
        <v>54</v>
      </c>
      <c r="D856" s="2">
        <v>45777</v>
      </c>
      <c r="E856" s="3">
        <f t="shared" si="13"/>
        <v>45748</v>
      </c>
      <c r="F856" t="s">
        <v>913</v>
      </c>
      <c r="H856" s="4">
        <v>-30113.77</v>
      </c>
      <c r="I856" t="s">
        <v>31</v>
      </c>
      <c r="J856" t="s">
        <v>55</v>
      </c>
      <c r="L856" s="2">
        <v>45748</v>
      </c>
      <c r="M856" t="s">
        <v>55</v>
      </c>
      <c r="N856">
        <v>0</v>
      </c>
      <c r="O856" t="s">
        <v>31</v>
      </c>
      <c r="P856" t="s">
        <v>54</v>
      </c>
      <c r="Q856">
        <v>0</v>
      </c>
    </row>
    <row r="857" spans="1:17" x14ac:dyDescent="0.3">
      <c r="A857" t="s">
        <v>17</v>
      </c>
      <c r="B857">
        <v>69</v>
      </c>
      <c r="C857" t="s">
        <v>297</v>
      </c>
      <c r="D857" s="2">
        <v>45777</v>
      </c>
      <c r="E857" s="3">
        <f t="shared" si="13"/>
        <v>45748</v>
      </c>
      <c r="F857" t="s">
        <v>935</v>
      </c>
      <c r="H857" s="4">
        <v>14.15</v>
      </c>
      <c r="I857" t="s">
        <v>31</v>
      </c>
      <c r="J857" t="s">
        <v>360</v>
      </c>
      <c r="L857" s="2">
        <v>45748</v>
      </c>
      <c r="M857" t="s">
        <v>361</v>
      </c>
      <c r="N857">
        <v>0</v>
      </c>
      <c r="O857" t="s">
        <v>31</v>
      </c>
      <c r="P857" t="s">
        <v>297</v>
      </c>
      <c r="Q857">
        <v>0</v>
      </c>
    </row>
    <row r="858" spans="1:17" x14ac:dyDescent="0.3">
      <c r="A858" t="s">
        <v>17</v>
      </c>
      <c r="B858">
        <v>69</v>
      </c>
      <c r="C858" t="s">
        <v>297</v>
      </c>
      <c r="D858" s="2">
        <v>45777</v>
      </c>
      <c r="E858" s="3">
        <f t="shared" si="13"/>
        <v>45748</v>
      </c>
      <c r="F858" t="s">
        <v>935</v>
      </c>
      <c r="H858" s="4">
        <v>15.83</v>
      </c>
      <c r="I858" t="s">
        <v>108</v>
      </c>
      <c r="J858" t="s">
        <v>360</v>
      </c>
      <c r="L858" s="2">
        <v>45748</v>
      </c>
      <c r="M858" t="s">
        <v>361</v>
      </c>
      <c r="N858">
        <v>0</v>
      </c>
      <c r="O858" t="s">
        <v>111</v>
      </c>
      <c r="P858" t="s">
        <v>297</v>
      </c>
      <c r="Q858">
        <v>0</v>
      </c>
    </row>
    <row r="859" spans="1:17" x14ac:dyDescent="0.3">
      <c r="A859" t="s">
        <v>17</v>
      </c>
      <c r="B859">
        <v>67</v>
      </c>
      <c r="C859" t="s">
        <v>28</v>
      </c>
      <c r="D859" s="2">
        <v>45778</v>
      </c>
      <c r="E859" s="3">
        <f t="shared" si="13"/>
        <v>45778</v>
      </c>
      <c r="F859" t="s">
        <v>942</v>
      </c>
      <c r="G859" t="s">
        <v>578</v>
      </c>
      <c r="H859" s="4">
        <v>2001.3</v>
      </c>
      <c r="I859" t="s">
        <v>31</v>
      </c>
      <c r="J859" t="s">
        <v>60</v>
      </c>
      <c r="K859" t="s">
        <v>943</v>
      </c>
      <c r="L859" s="2">
        <v>45778</v>
      </c>
      <c r="M859" t="s">
        <v>60</v>
      </c>
      <c r="N859">
        <v>0</v>
      </c>
      <c r="O859" t="s">
        <v>31</v>
      </c>
      <c r="P859" t="s">
        <v>28</v>
      </c>
      <c r="Q859">
        <v>0</v>
      </c>
    </row>
    <row r="860" spans="1:17" x14ac:dyDescent="0.3">
      <c r="A860" t="s">
        <v>17</v>
      </c>
      <c r="B860">
        <v>68</v>
      </c>
      <c r="C860" t="s">
        <v>34</v>
      </c>
      <c r="D860" s="2">
        <v>45778</v>
      </c>
      <c r="E860" s="3">
        <f t="shared" si="13"/>
        <v>45778</v>
      </c>
      <c r="F860" t="s">
        <v>944</v>
      </c>
      <c r="G860" t="s">
        <v>40</v>
      </c>
      <c r="H860" s="4">
        <v>260.62</v>
      </c>
      <c r="I860" t="s">
        <v>31</v>
      </c>
      <c r="J860" t="s">
        <v>37</v>
      </c>
      <c r="K860" t="s">
        <v>945</v>
      </c>
      <c r="L860" s="2">
        <v>45778</v>
      </c>
      <c r="M860" t="s">
        <v>37</v>
      </c>
      <c r="N860">
        <v>0</v>
      </c>
      <c r="O860" t="s">
        <v>31</v>
      </c>
      <c r="P860" t="s">
        <v>34</v>
      </c>
      <c r="Q860">
        <v>0</v>
      </c>
    </row>
    <row r="861" spans="1:17" x14ac:dyDescent="0.3">
      <c r="A861" t="s">
        <v>17</v>
      </c>
      <c r="B861">
        <v>68</v>
      </c>
      <c r="C861" t="s">
        <v>34</v>
      </c>
      <c r="D861" s="2">
        <v>45778</v>
      </c>
      <c r="E861" s="3">
        <f t="shared" si="13"/>
        <v>45778</v>
      </c>
      <c r="F861" t="s">
        <v>946</v>
      </c>
      <c r="G861" t="s">
        <v>43</v>
      </c>
      <c r="H861" s="4">
        <v>269.97000000000003</v>
      </c>
      <c r="I861" t="s">
        <v>31</v>
      </c>
      <c r="J861" t="s">
        <v>37</v>
      </c>
      <c r="K861" t="s">
        <v>947</v>
      </c>
      <c r="L861" s="2">
        <v>45778</v>
      </c>
      <c r="M861" t="s">
        <v>37</v>
      </c>
      <c r="N861">
        <v>0</v>
      </c>
      <c r="O861" t="s">
        <v>31</v>
      </c>
      <c r="P861" t="s">
        <v>34</v>
      </c>
      <c r="Q861">
        <v>0</v>
      </c>
    </row>
    <row r="862" spans="1:17" x14ac:dyDescent="0.3">
      <c r="A862" t="s">
        <v>17</v>
      </c>
      <c r="B862">
        <v>67</v>
      </c>
      <c r="C862" t="s">
        <v>28</v>
      </c>
      <c r="D862" s="2">
        <v>45778</v>
      </c>
      <c r="E862" s="3">
        <f t="shared" si="13"/>
        <v>45778</v>
      </c>
      <c r="F862" t="s">
        <v>948</v>
      </c>
      <c r="G862" t="s">
        <v>398</v>
      </c>
      <c r="H862" s="4">
        <v>6000</v>
      </c>
      <c r="I862" t="s">
        <v>31</v>
      </c>
      <c r="J862" t="s">
        <v>48</v>
      </c>
      <c r="K862" t="s">
        <v>783</v>
      </c>
      <c r="L862" s="2">
        <v>45778</v>
      </c>
      <c r="M862" t="s">
        <v>50</v>
      </c>
      <c r="N862">
        <v>0</v>
      </c>
      <c r="O862" t="s">
        <v>31</v>
      </c>
      <c r="P862" t="s">
        <v>28</v>
      </c>
      <c r="Q862">
        <v>0</v>
      </c>
    </row>
    <row r="863" spans="1:17" x14ac:dyDescent="0.3">
      <c r="A863" t="s">
        <v>17</v>
      </c>
      <c r="B863">
        <v>67</v>
      </c>
      <c r="C863" t="s">
        <v>28</v>
      </c>
      <c r="D863" s="2">
        <v>45778</v>
      </c>
      <c r="E863" s="3">
        <f t="shared" si="13"/>
        <v>45778</v>
      </c>
      <c r="F863" t="s">
        <v>949</v>
      </c>
      <c r="G863" t="s">
        <v>52</v>
      </c>
      <c r="H863" s="4">
        <v>3292.9</v>
      </c>
      <c r="I863" t="s">
        <v>31</v>
      </c>
      <c r="J863" t="s">
        <v>48</v>
      </c>
      <c r="K863" t="s">
        <v>950</v>
      </c>
      <c r="L863" s="2">
        <v>45778</v>
      </c>
      <c r="M863" t="s">
        <v>50</v>
      </c>
      <c r="N863">
        <v>0</v>
      </c>
      <c r="O863" t="s">
        <v>31</v>
      </c>
      <c r="P863" t="s">
        <v>28</v>
      </c>
      <c r="Q863">
        <v>0</v>
      </c>
    </row>
    <row r="864" spans="1:17" x14ac:dyDescent="0.3">
      <c r="A864" t="s">
        <v>17</v>
      </c>
      <c r="B864">
        <v>67</v>
      </c>
      <c r="C864" t="s">
        <v>28</v>
      </c>
      <c r="D864" s="2">
        <v>45778</v>
      </c>
      <c r="E864" s="3">
        <f t="shared" si="13"/>
        <v>45778</v>
      </c>
      <c r="F864" t="s">
        <v>951</v>
      </c>
      <c r="G864" t="s">
        <v>952</v>
      </c>
      <c r="H864" s="4">
        <v>115</v>
      </c>
      <c r="I864" t="s">
        <v>31</v>
      </c>
      <c r="J864" t="s">
        <v>48</v>
      </c>
      <c r="K864" t="s">
        <v>953</v>
      </c>
      <c r="L864" s="2">
        <v>45778</v>
      </c>
      <c r="M864" t="s">
        <v>50</v>
      </c>
      <c r="N864">
        <v>0</v>
      </c>
      <c r="O864" t="s">
        <v>31</v>
      </c>
      <c r="P864" t="s">
        <v>28</v>
      </c>
      <c r="Q864">
        <v>0</v>
      </c>
    </row>
    <row r="865" spans="1:17" x14ac:dyDescent="0.3">
      <c r="A865" t="s">
        <v>17</v>
      </c>
      <c r="B865">
        <v>67</v>
      </c>
      <c r="C865" t="s">
        <v>28</v>
      </c>
      <c r="D865" s="2">
        <v>45778</v>
      </c>
      <c r="E865" s="3">
        <f t="shared" si="13"/>
        <v>45778</v>
      </c>
      <c r="F865" t="s">
        <v>954</v>
      </c>
      <c r="G865" t="s">
        <v>955</v>
      </c>
      <c r="H865" s="4">
        <v>345</v>
      </c>
      <c r="I865" t="s">
        <v>31</v>
      </c>
      <c r="J865" t="s">
        <v>48</v>
      </c>
      <c r="K865" t="s">
        <v>956</v>
      </c>
      <c r="L865" s="2">
        <v>45778</v>
      </c>
      <c r="M865" t="s">
        <v>50</v>
      </c>
      <c r="N865">
        <v>0</v>
      </c>
      <c r="O865" t="s">
        <v>31</v>
      </c>
      <c r="P865" t="s">
        <v>28</v>
      </c>
      <c r="Q865">
        <v>0</v>
      </c>
    </row>
    <row r="866" spans="1:17" x14ac:dyDescent="0.3">
      <c r="A866" t="s">
        <v>17</v>
      </c>
      <c r="B866">
        <v>65</v>
      </c>
      <c r="C866" t="s">
        <v>54</v>
      </c>
      <c r="D866" s="2">
        <v>45778</v>
      </c>
      <c r="E866" s="3">
        <f t="shared" si="13"/>
        <v>45778</v>
      </c>
      <c r="F866" t="s">
        <v>944</v>
      </c>
      <c r="G866" t="s">
        <v>40</v>
      </c>
      <c r="H866" s="4">
        <v>30113.77</v>
      </c>
      <c r="I866" t="s">
        <v>31</v>
      </c>
      <c r="J866" t="s">
        <v>55</v>
      </c>
      <c r="K866" t="s">
        <v>957</v>
      </c>
      <c r="L866" s="2">
        <v>45778</v>
      </c>
      <c r="M866" t="s">
        <v>55</v>
      </c>
      <c r="N866">
        <v>0</v>
      </c>
      <c r="O866" t="s">
        <v>31</v>
      </c>
      <c r="P866" t="s">
        <v>54</v>
      </c>
      <c r="Q866">
        <v>0</v>
      </c>
    </row>
    <row r="867" spans="1:17" x14ac:dyDescent="0.3">
      <c r="A867" t="s">
        <v>17</v>
      </c>
      <c r="B867">
        <v>67</v>
      </c>
      <c r="C867" t="s">
        <v>28</v>
      </c>
      <c r="D867" s="2">
        <v>45778</v>
      </c>
      <c r="E867" s="3">
        <f t="shared" si="13"/>
        <v>45778</v>
      </c>
      <c r="F867" t="s">
        <v>958</v>
      </c>
      <c r="H867" s="4">
        <v>48.49</v>
      </c>
      <c r="I867" t="s">
        <v>31</v>
      </c>
      <c r="J867" t="s">
        <v>60</v>
      </c>
      <c r="L867" s="2">
        <v>45778</v>
      </c>
      <c r="M867" t="s">
        <v>60</v>
      </c>
      <c r="N867">
        <v>0</v>
      </c>
      <c r="O867" t="s">
        <v>31</v>
      </c>
      <c r="P867" t="s">
        <v>28</v>
      </c>
      <c r="Q867">
        <v>0</v>
      </c>
    </row>
    <row r="868" spans="1:17" x14ac:dyDescent="0.3">
      <c r="A868" t="s">
        <v>17</v>
      </c>
      <c r="B868">
        <v>67</v>
      </c>
      <c r="C868" t="s">
        <v>28</v>
      </c>
      <c r="D868" s="2">
        <v>45778</v>
      </c>
      <c r="E868" s="3">
        <f t="shared" si="13"/>
        <v>45778</v>
      </c>
      <c r="F868" t="s">
        <v>958</v>
      </c>
      <c r="H868" s="4">
        <v>16.11</v>
      </c>
      <c r="I868" t="s">
        <v>31</v>
      </c>
      <c r="J868" t="s">
        <v>60</v>
      </c>
      <c r="L868" s="2">
        <v>45778</v>
      </c>
      <c r="M868" t="s">
        <v>60</v>
      </c>
      <c r="N868">
        <v>0</v>
      </c>
      <c r="O868" t="s">
        <v>31</v>
      </c>
      <c r="P868" t="s">
        <v>28</v>
      </c>
      <c r="Q868">
        <v>0</v>
      </c>
    </row>
    <row r="869" spans="1:17" x14ac:dyDescent="0.3">
      <c r="A869" t="s">
        <v>17</v>
      </c>
      <c r="B869">
        <v>67</v>
      </c>
      <c r="C869" t="s">
        <v>28</v>
      </c>
      <c r="D869" s="2">
        <v>45778</v>
      </c>
      <c r="E869" s="3">
        <f t="shared" si="13"/>
        <v>45778</v>
      </c>
      <c r="F869" t="s">
        <v>958</v>
      </c>
      <c r="H869" s="4">
        <v>117.23</v>
      </c>
      <c r="I869" t="s">
        <v>31</v>
      </c>
      <c r="J869" t="s">
        <v>60</v>
      </c>
      <c r="L869" s="2">
        <v>45778</v>
      </c>
      <c r="M869" t="s">
        <v>60</v>
      </c>
      <c r="N869">
        <v>0</v>
      </c>
      <c r="O869" t="s">
        <v>31</v>
      </c>
      <c r="P869" t="s">
        <v>28</v>
      </c>
      <c r="Q869">
        <v>0</v>
      </c>
    </row>
    <row r="870" spans="1:17" x14ac:dyDescent="0.3">
      <c r="A870" t="s">
        <v>17</v>
      </c>
      <c r="B870">
        <v>67</v>
      </c>
      <c r="C870" t="s">
        <v>28</v>
      </c>
      <c r="D870" s="2">
        <v>45778</v>
      </c>
      <c r="E870" s="3">
        <f t="shared" si="13"/>
        <v>45778</v>
      </c>
      <c r="F870" t="s">
        <v>958</v>
      </c>
      <c r="H870" s="4">
        <v>12.34</v>
      </c>
      <c r="I870" t="s">
        <v>31</v>
      </c>
      <c r="J870" t="s">
        <v>60</v>
      </c>
      <c r="L870" s="2">
        <v>45778</v>
      </c>
      <c r="M870" t="s">
        <v>60</v>
      </c>
      <c r="N870">
        <v>0</v>
      </c>
      <c r="O870" t="s">
        <v>31</v>
      </c>
      <c r="P870" t="s">
        <v>28</v>
      </c>
      <c r="Q870">
        <v>0</v>
      </c>
    </row>
    <row r="871" spans="1:17" x14ac:dyDescent="0.3">
      <c r="A871" t="s">
        <v>17</v>
      </c>
      <c r="B871">
        <v>67</v>
      </c>
      <c r="C871" t="s">
        <v>28</v>
      </c>
      <c r="D871" s="2">
        <v>45778</v>
      </c>
      <c r="E871" s="3">
        <f t="shared" si="13"/>
        <v>45778</v>
      </c>
      <c r="F871" t="s">
        <v>958</v>
      </c>
      <c r="H871" s="4">
        <v>56.16</v>
      </c>
      <c r="I871" t="s">
        <v>31</v>
      </c>
      <c r="J871" t="s">
        <v>60</v>
      </c>
      <c r="L871" s="2">
        <v>45778</v>
      </c>
      <c r="M871" t="s">
        <v>60</v>
      </c>
      <c r="N871">
        <v>0</v>
      </c>
      <c r="O871" t="s">
        <v>31</v>
      </c>
      <c r="P871" t="s">
        <v>28</v>
      </c>
      <c r="Q871">
        <v>0</v>
      </c>
    </row>
    <row r="872" spans="1:17" x14ac:dyDescent="0.3">
      <c r="A872" t="s">
        <v>17</v>
      </c>
      <c r="B872">
        <v>67</v>
      </c>
      <c r="C872" t="s">
        <v>28</v>
      </c>
      <c r="D872" s="2">
        <v>45778</v>
      </c>
      <c r="E872" s="3">
        <f t="shared" si="13"/>
        <v>45778</v>
      </c>
      <c r="F872" t="s">
        <v>958</v>
      </c>
      <c r="H872" s="4">
        <v>115.69</v>
      </c>
      <c r="I872" t="s">
        <v>31</v>
      </c>
      <c r="J872" t="s">
        <v>60</v>
      </c>
      <c r="L872" s="2">
        <v>45778</v>
      </c>
      <c r="M872" t="s">
        <v>60</v>
      </c>
      <c r="N872">
        <v>0</v>
      </c>
      <c r="O872" t="s">
        <v>31</v>
      </c>
      <c r="P872" t="s">
        <v>28</v>
      </c>
      <c r="Q872">
        <v>0</v>
      </c>
    </row>
    <row r="873" spans="1:17" x14ac:dyDescent="0.3">
      <c r="A873" t="s">
        <v>17</v>
      </c>
      <c r="B873">
        <v>67</v>
      </c>
      <c r="C873" t="s">
        <v>28</v>
      </c>
      <c r="D873" s="2">
        <v>45778</v>
      </c>
      <c r="E873" s="3">
        <f t="shared" si="13"/>
        <v>45778</v>
      </c>
      <c r="F873" t="s">
        <v>958</v>
      </c>
      <c r="H873" s="4">
        <v>54.24</v>
      </c>
      <c r="I873" t="s">
        <v>31</v>
      </c>
      <c r="J873" t="s">
        <v>60</v>
      </c>
      <c r="L873" s="2">
        <v>45778</v>
      </c>
      <c r="M873" t="s">
        <v>60</v>
      </c>
      <c r="N873">
        <v>0</v>
      </c>
      <c r="O873" t="s">
        <v>31</v>
      </c>
      <c r="P873" t="s">
        <v>28</v>
      </c>
      <c r="Q873">
        <v>0</v>
      </c>
    </row>
    <row r="874" spans="1:17" x14ac:dyDescent="0.3">
      <c r="A874" t="s">
        <v>17</v>
      </c>
      <c r="B874">
        <v>68</v>
      </c>
      <c r="C874" t="s">
        <v>34</v>
      </c>
      <c r="D874" s="2">
        <v>45778</v>
      </c>
      <c r="E874" s="3">
        <f t="shared" si="13"/>
        <v>45778</v>
      </c>
      <c r="F874" t="s">
        <v>959</v>
      </c>
      <c r="H874" s="4">
        <v>-260.62</v>
      </c>
      <c r="I874" t="s">
        <v>31</v>
      </c>
      <c r="J874" t="s">
        <v>37</v>
      </c>
      <c r="K874" t="s">
        <v>934</v>
      </c>
      <c r="L874" s="2">
        <v>45778</v>
      </c>
      <c r="M874" t="s">
        <v>37</v>
      </c>
      <c r="N874">
        <v>0</v>
      </c>
      <c r="O874" t="s">
        <v>31</v>
      </c>
      <c r="P874" t="s">
        <v>34</v>
      </c>
      <c r="Q874">
        <v>0</v>
      </c>
    </row>
    <row r="875" spans="1:17" x14ac:dyDescent="0.3">
      <c r="A875" t="s">
        <v>17</v>
      </c>
      <c r="B875">
        <v>67</v>
      </c>
      <c r="C875" t="s">
        <v>28</v>
      </c>
      <c r="D875" s="2">
        <v>45779</v>
      </c>
      <c r="E875" s="3">
        <f t="shared" si="13"/>
        <v>45778</v>
      </c>
      <c r="F875" t="s">
        <v>960</v>
      </c>
      <c r="G875" t="s">
        <v>67</v>
      </c>
      <c r="H875" s="4">
        <v>552.64</v>
      </c>
      <c r="I875" t="s">
        <v>31</v>
      </c>
      <c r="J875" t="s">
        <v>68</v>
      </c>
      <c r="K875" t="s">
        <v>961</v>
      </c>
      <c r="L875" s="2">
        <v>45778</v>
      </c>
      <c r="M875" t="s">
        <v>68</v>
      </c>
      <c r="N875">
        <v>0</v>
      </c>
      <c r="O875" t="s">
        <v>31</v>
      </c>
      <c r="P875" t="s">
        <v>28</v>
      </c>
      <c r="Q875">
        <v>0</v>
      </c>
    </row>
    <row r="876" spans="1:17" x14ac:dyDescent="0.3">
      <c r="A876" t="s">
        <v>17</v>
      </c>
      <c r="B876">
        <v>67</v>
      </c>
      <c r="C876" t="s">
        <v>28</v>
      </c>
      <c r="D876" s="2">
        <v>45779</v>
      </c>
      <c r="E876" s="3">
        <f t="shared" si="13"/>
        <v>45778</v>
      </c>
      <c r="F876" t="s">
        <v>962</v>
      </c>
      <c r="H876" s="4">
        <v>-37.299999999999997</v>
      </c>
      <c r="I876" t="s">
        <v>31</v>
      </c>
      <c r="J876" t="s">
        <v>60</v>
      </c>
      <c r="L876" s="2">
        <v>45778</v>
      </c>
      <c r="M876" t="s">
        <v>60</v>
      </c>
      <c r="N876">
        <v>0</v>
      </c>
      <c r="O876" t="s">
        <v>31</v>
      </c>
      <c r="P876" t="s">
        <v>28</v>
      </c>
      <c r="Q876">
        <v>0</v>
      </c>
    </row>
    <row r="877" spans="1:17" x14ac:dyDescent="0.3">
      <c r="A877" t="s">
        <v>17</v>
      </c>
      <c r="B877">
        <v>67</v>
      </c>
      <c r="C877" t="s">
        <v>28</v>
      </c>
      <c r="D877" s="2">
        <v>45779</v>
      </c>
      <c r="E877" s="3">
        <f t="shared" si="13"/>
        <v>45778</v>
      </c>
      <c r="F877" t="s">
        <v>962</v>
      </c>
      <c r="H877" s="4">
        <v>-12.39</v>
      </c>
      <c r="I877" t="s">
        <v>31</v>
      </c>
      <c r="J877" t="s">
        <v>60</v>
      </c>
      <c r="L877" s="2">
        <v>45778</v>
      </c>
      <c r="M877" t="s">
        <v>60</v>
      </c>
      <c r="N877">
        <v>0</v>
      </c>
      <c r="O877" t="s">
        <v>31</v>
      </c>
      <c r="P877" t="s">
        <v>28</v>
      </c>
      <c r="Q877">
        <v>0</v>
      </c>
    </row>
    <row r="878" spans="1:17" x14ac:dyDescent="0.3">
      <c r="A878" t="s">
        <v>17</v>
      </c>
      <c r="B878">
        <v>67</v>
      </c>
      <c r="C878" t="s">
        <v>28</v>
      </c>
      <c r="D878" s="2">
        <v>45779</v>
      </c>
      <c r="E878" s="3">
        <f t="shared" si="13"/>
        <v>45778</v>
      </c>
      <c r="F878" t="s">
        <v>962</v>
      </c>
      <c r="H878" s="4">
        <v>-90.18</v>
      </c>
      <c r="I878" t="s">
        <v>31</v>
      </c>
      <c r="J878" t="s">
        <v>60</v>
      </c>
      <c r="L878" s="2">
        <v>45778</v>
      </c>
      <c r="M878" t="s">
        <v>60</v>
      </c>
      <c r="N878">
        <v>0</v>
      </c>
      <c r="O878" t="s">
        <v>31</v>
      </c>
      <c r="P878" t="s">
        <v>28</v>
      </c>
      <c r="Q878">
        <v>0</v>
      </c>
    </row>
    <row r="879" spans="1:17" x14ac:dyDescent="0.3">
      <c r="A879" t="s">
        <v>17</v>
      </c>
      <c r="B879">
        <v>67</v>
      </c>
      <c r="C879" t="s">
        <v>28</v>
      </c>
      <c r="D879" s="2">
        <v>45779</v>
      </c>
      <c r="E879" s="3">
        <f t="shared" si="13"/>
        <v>45778</v>
      </c>
      <c r="F879" t="s">
        <v>962</v>
      </c>
      <c r="H879" s="4">
        <v>-9.49</v>
      </c>
      <c r="I879" t="s">
        <v>31</v>
      </c>
      <c r="J879" t="s">
        <v>60</v>
      </c>
      <c r="L879" s="2">
        <v>45778</v>
      </c>
      <c r="M879" t="s">
        <v>60</v>
      </c>
      <c r="N879">
        <v>0</v>
      </c>
      <c r="O879" t="s">
        <v>31</v>
      </c>
      <c r="P879" t="s">
        <v>28</v>
      </c>
      <c r="Q879">
        <v>0</v>
      </c>
    </row>
    <row r="880" spans="1:17" x14ac:dyDescent="0.3">
      <c r="A880" t="s">
        <v>17</v>
      </c>
      <c r="B880">
        <v>67</v>
      </c>
      <c r="C880" t="s">
        <v>28</v>
      </c>
      <c r="D880" s="2">
        <v>45779</v>
      </c>
      <c r="E880" s="3">
        <f t="shared" si="13"/>
        <v>45778</v>
      </c>
      <c r="F880" t="s">
        <v>962</v>
      </c>
      <c r="H880" s="4">
        <v>-43.2</v>
      </c>
      <c r="I880" t="s">
        <v>31</v>
      </c>
      <c r="J880" t="s">
        <v>60</v>
      </c>
      <c r="L880" s="2">
        <v>45778</v>
      </c>
      <c r="M880" t="s">
        <v>60</v>
      </c>
      <c r="N880">
        <v>0</v>
      </c>
      <c r="O880" t="s">
        <v>31</v>
      </c>
      <c r="P880" t="s">
        <v>28</v>
      </c>
      <c r="Q880">
        <v>0</v>
      </c>
    </row>
    <row r="881" spans="1:17" x14ac:dyDescent="0.3">
      <c r="A881" t="s">
        <v>17</v>
      </c>
      <c r="B881">
        <v>67</v>
      </c>
      <c r="C881" t="s">
        <v>28</v>
      </c>
      <c r="D881" s="2">
        <v>45779</v>
      </c>
      <c r="E881" s="3">
        <f t="shared" si="13"/>
        <v>45778</v>
      </c>
      <c r="F881" t="s">
        <v>962</v>
      </c>
      <c r="H881" s="4">
        <v>-88.99</v>
      </c>
      <c r="I881" t="s">
        <v>31</v>
      </c>
      <c r="J881" t="s">
        <v>60</v>
      </c>
      <c r="L881" s="2">
        <v>45778</v>
      </c>
      <c r="M881" t="s">
        <v>60</v>
      </c>
      <c r="N881">
        <v>0</v>
      </c>
      <c r="O881" t="s">
        <v>31</v>
      </c>
      <c r="P881" t="s">
        <v>28</v>
      </c>
      <c r="Q881">
        <v>0</v>
      </c>
    </row>
    <row r="882" spans="1:17" x14ac:dyDescent="0.3">
      <c r="A882" t="s">
        <v>17</v>
      </c>
      <c r="B882">
        <v>67</v>
      </c>
      <c r="C882" t="s">
        <v>28</v>
      </c>
      <c r="D882" s="2">
        <v>45779</v>
      </c>
      <c r="E882" s="3">
        <f t="shared" si="13"/>
        <v>45778</v>
      </c>
      <c r="F882" t="s">
        <v>962</v>
      </c>
      <c r="H882" s="4">
        <v>-41.72</v>
      </c>
      <c r="I882" t="s">
        <v>31</v>
      </c>
      <c r="J882" t="s">
        <v>60</v>
      </c>
      <c r="L882" s="2">
        <v>45778</v>
      </c>
      <c r="M882" t="s">
        <v>60</v>
      </c>
      <c r="N882">
        <v>0</v>
      </c>
      <c r="O882" t="s">
        <v>31</v>
      </c>
      <c r="P882" t="s">
        <v>28</v>
      </c>
      <c r="Q882">
        <v>0</v>
      </c>
    </row>
    <row r="883" spans="1:17" x14ac:dyDescent="0.3">
      <c r="A883" t="s">
        <v>17</v>
      </c>
      <c r="B883">
        <v>68</v>
      </c>
      <c r="C883" t="s">
        <v>34</v>
      </c>
      <c r="D883" s="2">
        <v>45781</v>
      </c>
      <c r="E883" s="3">
        <f t="shared" si="13"/>
        <v>45778</v>
      </c>
      <c r="F883" t="s">
        <v>963</v>
      </c>
      <c r="G883" t="s">
        <v>101</v>
      </c>
      <c r="H883" s="4">
        <v>10.1</v>
      </c>
      <c r="I883" t="s">
        <v>31</v>
      </c>
      <c r="J883" t="s">
        <v>109</v>
      </c>
      <c r="K883" t="s">
        <v>964</v>
      </c>
      <c r="L883" s="2">
        <v>45778</v>
      </c>
      <c r="M883" t="s">
        <v>109</v>
      </c>
      <c r="N883">
        <v>0</v>
      </c>
      <c r="O883" t="s">
        <v>31</v>
      </c>
      <c r="P883" t="s">
        <v>112</v>
      </c>
      <c r="Q883" t="s">
        <v>113</v>
      </c>
    </row>
    <row r="884" spans="1:17" x14ac:dyDescent="0.3">
      <c r="A884" t="s">
        <v>17</v>
      </c>
      <c r="B884">
        <v>67</v>
      </c>
      <c r="C884" t="s">
        <v>28</v>
      </c>
      <c r="D884" s="2">
        <v>45781</v>
      </c>
      <c r="E884" s="3">
        <f t="shared" si="13"/>
        <v>45778</v>
      </c>
      <c r="F884" t="s">
        <v>963</v>
      </c>
      <c r="G884" t="s">
        <v>101</v>
      </c>
      <c r="H884" s="4">
        <v>75.849999999999994</v>
      </c>
      <c r="I884" t="s">
        <v>31</v>
      </c>
      <c r="J884" t="s">
        <v>74</v>
      </c>
      <c r="K884" t="s">
        <v>965</v>
      </c>
      <c r="L884" s="2">
        <v>45778</v>
      </c>
      <c r="M884" t="s">
        <v>76</v>
      </c>
      <c r="N884">
        <v>0</v>
      </c>
      <c r="O884" t="s">
        <v>31</v>
      </c>
      <c r="P884" t="s">
        <v>28</v>
      </c>
      <c r="Q884">
        <v>0</v>
      </c>
    </row>
    <row r="885" spans="1:17" x14ac:dyDescent="0.3">
      <c r="A885" t="s">
        <v>17</v>
      </c>
      <c r="B885">
        <v>67</v>
      </c>
      <c r="C885" t="s">
        <v>28</v>
      </c>
      <c r="D885" s="2">
        <v>45781</v>
      </c>
      <c r="E885" s="3">
        <f t="shared" si="13"/>
        <v>45778</v>
      </c>
      <c r="F885" t="s">
        <v>963</v>
      </c>
      <c r="G885" t="s">
        <v>101</v>
      </c>
      <c r="H885" s="4">
        <v>1265.06</v>
      </c>
      <c r="I885" t="s">
        <v>31</v>
      </c>
      <c r="J885" t="s">
        <v>74</v>
      </c>
      <c r="K885" t="s">
        <v>966</v>
      </c>
      <c r="L885" s="2">
        <v>45778</v>
      </c>
      <c r="M885" t="s">
        <v>76</v>
      </c>
      <c r="N885">
        <v>0</v>
      </c>
      <c r="O885" t="s">
        <v>31</v>
      </c>
      <c r="P885" t="s">
        <v>28</v>
      </c>
      <c r="Q885">
        <v>0</v>
      </c>
    </row>
    <row r="886" spans="1:17" x14ac:dyDescent="0.3">
      <c r="A886" t="s">
        <v>17</v>
      </c>
      <c r="B886">
        <v>67</v>
      </c>
      <c r="C886" t="s">
        <v>28</v>
      </c>
      <c r="D886" s="2">
        <v>45781</v>
      </c>
      <c r="E886" s="3">
        <f t="shared" si="13"/>
        <v>45778</v>
      </c>
      <c r="F886" t="s">
        <v>963</v>
      </c>
      <c r="G886" t="s">
        <v>101</v>
      </c>
      <c r="H886" s="4">
        <v>1494</v>
      </c>
      <c r="I886" t="s">
        <v>104</v>
      </c>
      <c r="J886" t="s">
        <v>74</v>
      </c>
      <c r="K886" t="s">
        <v>404</v>
      </c>
      <c r="L886" s="2">
        <v>45778</v>
      </c>
      <c r="M886" t="s">
        <v>76</v>
      </c>
      <c r="N886">
        <v>0</v>
      </c>
      <c r="O886" t="s">
        <v>104</v>
      </c>
      <c r="P886" t="s">
        <v>28</v>
      </c>
      <c r="Q886">
        <v>0</v>
      </c>
    </row>
    <row r="887" spans="1:17" x14ac:dyDescent="0.3">
      <c r="A887" t="s">
        <v>17</v>
      </c>
      <c r="B887">
        <v>67</v>
      </c>
      <c r="C887" t="s">
        <v>28</v>
      </c>
      <c r="D887" s="2">
        <v>45781</v>
      </c>
      <c r="E887" s="3">
        <f t="shared" si="13"/>
        <v>45778</v>
      </c>
      <c r="F887" t="s">
        <v>963</v>
      </c>
      <c r="G887" t="s">
        <v>101</v>
      </c>
      <c r="H887" s="4">
        <v>1779.84</v>
      </c>
      <c r="I887" t="s">
        <v>31</v>
      </c>
      <c r="J887" t="s">
        <v>74</v>
      </c>
      <c r="K887" t="s">
        <v>967</v>
      </c>
      <c r="L887" s="2">
        <v>45778</v>
      </c>
      <c r="M887" t="s">
        <v>76</v>
      </c>
      <c r="N887">
        <v>0</v>
      </c>
      <c r="O887" t="s">
        <v>31</v>
      </c>
      <c r="P887" t="s">
        <v>28</v>
      </c>
      <c r="Q887">
        <v>0</v>
      </c>
    </row>
    <row r="888" spans="1:17" x14ac:dyDescent="0.3">
      <c r="A888" t="s">
        <v>17</v>
      </c>
      <c r="B888">
        <v>68</v>
      </c>
      <c r="C888" t="s">
        <v>34</v>
      </c>
      <c r="D888" s="2">
        <v>45781</v>
      </c>
      <c r="E888" s="3">
        <f t="shared" si="13"/>
        <v>45778</v>
      </c>
      <c r="F888" t="s">
        <v>963</v>
      </c>
      <c r="G888" t="s">
        <v>101</v>
      </c>
      <c r="H888" s="4">
        <v>65.33</v>
      </c>
      <c r="I888" t="s">
        <v>31</v>
      </c>
      <c r="J888" t="s">
        <v>79</v>
      </c>
      <c r="K888" t="s">
        <v>968</v>
      </c>
      <c r="L888" s="2">
        <v>45778</v>
      </c>
      <c r="M888" t="s">
        <v>79</v>
      </c>
      <c r="N888">
        <v>0</v>
      </c>
      <c r="O888" t="s">
        <v>31</v>
      </c>
      <c r="P888" t="s">
        <v>34</v>
      </c>
      <c r="Q888">
        <v>0</v>
      </c>
    </row>
    <row r="889" spans="1:17" x14ac:dyDescent="0.3">
      <c r="A889" t="s">
        <v>17</v>
      </c>
      <c r="B889">
        <v>64</v>
      </c>
      <c r="C889" t="s">
        <v>83</v>
      </c>
      <c r="D889" s="2">
        <v>45781</v>
      </c>
      <c r="E889" s="3">
        <f t="shared" si="13"/>
        <v>45778</v>
      </c>
      <c r="F889" t="s">
        <v>963</v>
      </c>
      <c r="G889" t="s">
        <v>101</v>
      </c>
      <c r="H889" s="4">
        <v>5</v>
      </c>
      <c r="I889" t="s">
        <v>31</v>
      </c>
      <c r="J889" t="s">
        <v>511</v>
      </c>
      <c r="K889" t="s">
        <v>969</v>
      </c>
      <c r="L889" s="2">
        <v>45778</v>
      </c>
      <c r="M889" t="s">
        <v>513</v>
      </c>
      <c r="N889">
        <v>0</v>
      </c>
      <c r="O889" t="s">
        <v>31</v>
      </c>
      <c r="P889" t="s">
        <v>83</v>
      </c>
      <c r="Q889">
        <v>0</v>
      </c>
    </row>
    <row r="890" spans="1:17" x14ac:dyDescent="0.3">
      <c r="A890" t="s">
        <v>17</v>
      </c>
      <c r="B890">
        <v>67</v>
      </c>
      <c r="C890" t="s">
        <v>28</v>
      </c>
      <c r="D890" s="2">
        <v>45781</v>
      </c>
      <c r="E890" s="3">
        <f t="shared" si="13"/>
        <v>45778</v>
      </c>
      <c r="F890" t="s">
        <v>963</v>
      </c>
      <c r="G890" t="s">
        <v>101</v>
      </c>
      <c r="H890" s="4">
        <v>1.1399999999999999</v>
      </c>
      <c r="I890" t="s">
        <v>31</v>
      </c>
      <c r="J890" t="s">
        <v>64</v>
      </c>
      <c r="K890" t="s">
        <v>623</v>
      </c>
      <c r="L890" s="2">
        <v>45778</v>
      </c>
      <c r="M890" t="s">
        <v>64</v>
      </c>
      <c r="N890">
        <v>0</v>
      </c>
      <c r="O890" t="s">
        <v>31</v>
      </c>
      <c r="P890" t="s">
        <v>28</v>
      </c>
      <c r="Q890">
        <v>0</v>
      </c>
    </row>
    <row r="891" spans="1:17" x14ac:dyDescent="0.3">
      <c r="A891" t="s">
        <v>17</v>
      </c>
      <c r="B891">
        <v>64</v>
      </c>
      <c r="C891" t="s">
        <v>83</v>
      </c>
      <c r="D891" s="2">
        <v>45781</v>
      </c>
      <c r="E891" s="3">
        <f t="shared" si="13"/>
        <v>45778</v>
      </c>
      <c r="F891" t="s">
        <v>963</v>
      </c>
      <c r="G891" t="s">
        <v>101</v>
      </c>
      <c r="H891" s="4">
        <v>2985.51</v>
      </c>
      <c r="I891" t="s">
        <v>31</v>
      </c>
      <c r="J891" t="s">
        <v>530</v>
      </c>
      <c r="K891" t="s">
        <v>970</v>
      </c>
      <c r="L891" s="2">
        <v>45778</v>
      </c>
      <c r="M891" t="s">
        <v>531</v>
      </c>
      <c r="N891">
        <v>0</v>
      </c>
      <c r="O891" t="s">
        <v>31</v>
      </c>
      <c r="P891" t="s">
        <v>83</v>
      </c>
      <c r="Q891">
        <v>0</v>
      </c>
    </row>
    <row r="892" spans="1:17" x14ac:dyDescent="0.3">
      <c r="A892" t="s">
        <v>17</v>
      </c>
      <c r="B892">
        <v>68</v>
      </c>
      <c r="C892" t="s">
        <v>34</v>
      </c>
      <c r="D892" s="2">
        <v>45781</v>
      </c>
      <c r="E892" s="3">
        <f t="shared" si="13"/>
        <v>45778</v>
      </c>
      <c r="F892" t="s">
        <v>963</v>
      </c>
      <c r="G892" t="s">
        <v>101</v>
      </c>
      <c r="H892" s="4">
        <v>23.07</v>
      </c>
      <c r="I892" t="s">
        <v>108</v>
      </c>
      <c r="J892" t="s">
        <v>109</v>
      </c>
      <c r="K892" t="s">
        <v>971</v>
      </c>
      <c r="L892" s="2">
        <v>45778</v>
      </c>
      <c r="M892" t="s">
        <v>109</v>
      </c>
      <c r="N892">
        <v>0</v>
      </c>
      <c r="O892" t="s">
        <v>111</v>
      </c>
      <c r="P892" t="s">
        <v>112</v>
      </c>
      <c r="Q892" t="s">
        <v>113</v>
      </c>
    </row>
    <row r="893" spans="1:17" x14ac:dyDescent="0.3">
      <c r="A893" t="s">
        <v>17</v>
      </c>
      <c r="B893">
        <v>68</v>
      </c>
      <c r="C893" t="s">
        <v>34</v>
      </c>
      <c r="D893" s="2">
        <v>45781</v>
      </c>
      <c r="E893" s="3">
        <f t="shared" si="13"/>
        <v>45778</v>
      </c>
      <c r="F893" t="s">
        <v>963</v>
      </c>
      <c r="G893" t="s">
        <v>101</v>
      </c>
      <c r="H893" s="4">
        <v>30.9</v>
      </c>
      <c r="I893" t="s">
        <v>31</v>
      </c>
      <c r="J893" t="s">
        <v>109</v>
      </c>
      <c r="K893" t="s">
        <v>972</v>
      </c>
      <c r="L893" s="2">
        <v>45778</v>
      </c>
      <c r="M893" t="s">
        <v>109</v>
      </c>
      <c r="N893">
        <v>0</v>
      </c>
      <c r="O893" t="s">
        <v>31</v>
      </c>
      <c r="P893" t="s">
        <v>112</v>
      </c>
      <c r="Q893" t="s">
        <v>113</v>
      </c>
    </row>
    <row r="894" spans="1:17" x14ac:dyDescent="0.3">
      <c r="A894" t="s">
        <v>17</v>
      </c>
      <c r="B894">
        <v>67</v>
      </c>
      <c r="C894" t="s">
        <v>28</v>
      </c>
      <c r="D894" s="2">
        <v>45782</v>
      </c>
      <c r="E894" s="3">
        <f t="shared" si="13"/>
        <v>45778</v>
      </c>
      <c r="F894" t="s">
        <v>973</v>
      </c>
      <c r="G894" t="s">
        <v>369</v>
      </c>
      <c r="H894" s="4">
        <v>543.5</v>
      </c>
      <c r="I894" t="s">
        <v>31</v>
      </c>
      <c r="J894" t="s">
        <v>74</v>
      </c>
      <c r="K894" s="5">
        <v>45778</v>
      </c>
      <c r="L894" s="2">
        <v>45778</v>
      </c>
      <c r="M894" t="s">
        <v>76</v>
      </c>
      <c r="N894">
        <v>0</v>
      </c>
      <c r="O894" t="s">
        <v>31</v>
      </c>
      <c r="P894" t="s">
        <v>28</v>
      </c>
      <c r="Q894">
        <v>0</v>
      </c>
    </row>
    <row r="895" spans="1:17" x14ac:dyDescent="0.3">
      <c r="A895" t="s">
        <v>17</v>
      </c>
      <c r="B895">
        <v>67</v>
      </c>
      <c r="C895" t="s">
        <v>28</v>
      </c>
      <c r="D895" s="2">
        <v>45784</v>
      </c>
      <c r="E895" s="3">
        <f t="shared" si="13"/>
        <v>45778</v>
      </c>
      <c r="F895" t="s">
        <v>974</v>
      </c>
      <c r="G895" t="s">
        <v>119</v>
      </c>
      <c r="H895" s="4">
        <v>708.75</v>
      </c>
      <c r="I895" t="s">
        <v>31</v>
      </c>
      <c r="J895" t="s">
        <v>68</v>
      </c>
      <c r="K895" t="s">
        <v>975</v>
      </c>
      <c r="L895" s="2">
        <v>45778</v>
      </c>
      <c r="M895" t="s">
        <v>68</v>
      </c>
      <c r="N895">
        <v>0</v>
      </c>
      <c r="O895" t="s">
        <v>31</v>
      </c>
      <c r="P895" t="s">
        <v>28</v>
      </c>
      <c r="Q895">
        <v>0</v>
      </c>
    </row>
    <row r="896" spans="1:17" x14ac:dyDescent="0.3">
      <c r="A896" t="s">
        <v>17</v>
      </c>
      <c r="B896">
        <v>68</v>
      </c>
      <c r="C896" t="s">
        <v>34</v>
      </c>
      <c r="D896" s="2">
        <v>45784</v>
      </c>
      <c r="E896" s="3">
        <f t="shared" si="13"/>
        <v>45778</v>
      </c>
      <c r="F896" t="s">
        <v>976</v>
      </c>
      <c r="G896" t="s">
        <v>122</v>
      </c>
      <c r="H896" s="4">
        <v>115.06</v>
      </c>
      <c r="I896" t="s">
        <v>108</v>
      </c>
      <c r="J896" t="s">
        <v>109</v>
      </c>
      <c r="K896" t="s">
        <v>662</v>
      </c>
      <c r="L896" s="2">
        <v>45778</v>
      </c>
      <c r="M896" t="s">
        <v>109</v>
      </c>
      <c r="N896">
        <v>0</v>
      </c>
      <c r="O896" t="s">
        <v>111</v>
      </c>
      <c r="P896" t="s">
        <v>112</v>
      </c>
      <c r="Q896" t="s">
        <v>113</v>
      </c>
    </row>
    <row r="897" spans="1:17" x14ac:dyDescent="0.3">
      <c r="A897" t="s">
        <v>17</v>
      </c>
      <c r="B897">
        <v>68</v>
      </c>
      <c r="C897" t="s">
        <v>34</v>
      </c>
      <c r="D897" s="2">
        <v>45784</v>
      </c>
      <c r="E897" s="3">
        <f t="shared" si="13"/>
        <v>45778</v>
      </c>
      <c r="F897" t="s">
        <v>977</v>
      </c>
      <c r="G897" t="s">
        <v>122</v>
      </c>
      <c r="H897" s="4">
        <v>1355.56</v>
      </c>
      <c r="I897" t="s">
        <v>108</v>
      </c>
      <c r="J897" t="s">
        <v>109</v>
      </c>
      <c r="K897" t="s">
        <v>388</v>
      </c>
      <c r="L897" s="2">
        <v>45778</v>
      </c>
      <c r="M897" t="s">
        <v>109</v>
      </c>
      <c r="N897">
        <v>0</v>
      </c>
      <c r="O897" t="s">
        <v>111</v>
      </c>
      <c r="P897" t="s">
        <v>112</v>
      </c>
      <c r="Q897" t="s">
        <v>113</v>
      </c>
    </row>
    <row r="898" spans="1:17" x14ac:dyDescent="0.3">
      <c r="A898" t="s">
        <v>17</v>
      </c>
      <c r="B898">
        <v>68</v>
      </c>
      <c r="C898" t="s">
        <v>34</v>
      </c>
      <c r="D898" s="2">
        <v>45785</v>
      </c>
      <c r="E898" s="3">
        <f t="shared" si="13"/>
        <v>45778</v>
      </c>
      <c r="F898" t="s">
        <v>978</v>
      </c>
      <c r="G898" t="s">
        <v>174</v>
      </c>
      <c r="H898" s="4">
        <v>167.06</v>
      </c>
      <c r="I898" t="s">
        <v>31</v>
      </c>
      <c r="J898" t="s">
        <v>79</v>
      </c>
      <c r="K898" t="s">
        <v>979</v>
      </c>
      <c r="L898" s="2">
        <v>45778</v>
      </c>
      <c r="M898" t="s">
        <v>79</v>
      </c>
      <c r="N898">
        <v>0</v>
      </c>
      <c r="O898" t="s">
        <v>31</v>
      </c>
      <c r="P898" t="s">
        <v>34</v>
      </c>
      <c r="Q898">
        <v>0</v>
      </c>
    </row>
    <row r="899" spans="1:17" x14ac:dyDescent="0.3">
      <c r="A899" t="s">
        <v>17</v>
      </c>
      <c r="B899">
        <v>64</v>
      </c>
      <c r="C899" t="s">
        <v>83</v>
      </c>
      <c r="D899" s="2">
        <v>45785</v>
      </c>
      <c r="E899" s="3">
        <f t="shared" ref="E899:E962" si="14">IF($D899="","",DATE(YEAR($D899),MONTH($D899),1))</f>
        <v>45778</v>
      </c>
      <c r="F899" t="s">
        <v>978</v>
      </c>
      <c r="G899" t="s">
        <v>174</v>
      </c>
      <c r="H899" s="4">
        <v>25.87</v>
      </c>
      <c r="I899" t="s">
        <v>31</v>
      </c>
      <c r="J899" t="s">
        <v>511</v>
      </c>
      <c r="K899" t="s">
        <v>980</v>
      </c>
      <c r="L899" s="2">
        <v>45778</v>
      </c>
      <c r="M899" t="s">
        <v>513</v>
      </c>
      <c r="N899">
        <v>0</v>
      </c>
      <c r="O899" t="s">
        <v>31</v>
      </c>
      <c r="P899" t="s">
        <v>83</v>
      </c>
      <c r="Q899">
        <v>0</v>
      </c>
    </row>
    <row r="900" spans="1:17" x14ac:dyDescent="0.3">
      <c r="A900" t="s">
        <v>17</v>
      </c>
      <c r="B900">
        <v>67</v>
      </c>
      <c r="C900" t="s">
        <v>28</v>
      </c>
      <c r="D900" s="2">
        <v>45786</v>
      </c>
      <c r="E900" s="3">
        <f t="shared" si="14"/>
        <v>45778</v>
      </c>
      <c r="F900" t="s">
        <v>981</v>
      </c>
      <c r="G900" t="s">
        <v>67</v>
      </c>
      <c r="H900" s="4">
        <v>368.77</v>
      </c>
      <c r="I900" t="s">
        <v>31</v>
      </c>
      <c r="J900" t="s">
        <v>68</v>
      </c>
      <c r="K900" t="s">
        <v>982</v>
      </c>
      <c r="L900" s="2">
        <v>45778</v>
      </c>
      <c r="M900" t="s">
        <v>68</v>
      </c>
      <c r="N900">
        <v>0</v>
      </c>
      <c r="O900" t="s">
        <v>31</v>
      </c>
      <c r="P900" t="s">
        <v>28</v>
      </c>
      <c r="Q900">
        <v>0</v>
      </c>
    </row>
    <row r="901" spans="1:17" x14ac:dyDescent="0.3">
      <c r="A901" t="s">
        <v>17</v>
      </c>
      <c r="B901">
        <v>66</v>
      </c>
      <c r="C901" t="s">
        <v>134</v>
      </c>
      <c r="D901" s="2">
        <v>45786</v>
      </c>
      <c r="E901" s="3">
        <f t="shared" si="14"/>
        <v>45778</v>
      </c>
      <c r="F901" t="s">
        <v>983</v>
      </c>
      <c r="G901" t="s">
        <v>984</v>
      </c>
      <c r="H901" s="4">
        <v>1236.9000000000001</v>
      </c>
      <c r="I901" t="s">
        <v>108</v>
      </c>
      <c r="J901" t="s">
        <v>223</v>
      </c>
      <c r="K901" t="s">
        <v>985</v>
      </c>
      <c r="L901" s="2">
        <v>45778</v>
      </c>
      <c r="M901" t="s">
        <v>223</v>
      </c>
      <c r="N901">
        <v>0</v>
      </c>
      <c r="O901" t="s">
        <v>111</v>
      </c>
      <c r="P901" t="s">
        <v>134</v>
      </c>
      <c r="Q901">
        <v>0</v>
      </c>
    </row>
    <row r="902" spans="1:17" x14ac:dyDescent="0.3">
      <c r="A902" t="s">
        <v>17</v>
      </c>
      <c r="B902">
        <v>66</v>
      </c>
      <c r="C902" t="s">
        <v>134</v>
      </c>
      <c r="D902" s="2">
        <v>45786</v>
      </c>
      <c r="E902" s="3">
        <f t="shared" si="14"/>
        <v>45778</v>
      </c>
      <c r="F902" t="s">
        <v>983</v>
      </c>
      <c r="G902" t="s">
        <v>984</v>
      </c>
      <c r="H902" s="4">
        <v>1236.9000000000001</v>
      </c>
      <c r="I902" t="s">
        <v>47</v>
      </c>
      <c r="J902" t="s">
        <v>223</v>
      </c>
      <c r="K902" t="s">
        <v>985</v>
      </c>
      <c r="L902" s="2">
        <v>45778</v>
      </c>
      <c r="M902" t="s">
        <v>223</v>
      </c>
      <c r="N902">
        <v>0</v>
      </c>
      <c r="O902" t="s">
        <v>111</v>
      </c>
      <c r="P902" t="s">
        <v>134</v>
      </c>
      <c r="Q902">
        <v>0</v>
      </c>
    </row>
    <row r="903" spans="1:17" x14ac:dyDescent="0.3">
      <c r="A903" t="s">
        <v>17</v>
      </c>
      <c r="B903">
        <v>66</v>
      </c>
      <c r="C903" t="s">
        <v>134</v>
      </c>
      <c r="D903" s="2">
        <v>45786</v>
      </c>
      <c r="E903" s="3">
        <f t="shared" si="14"/>
        <v>45778</v>
      </c>
      <c r="F903" t="s">
        <v>983</v>
      </c>
      <c r="G903" t="s">
        <v>984</v>
      </c>
      <c r="H903" s="4">
        <v>2473.8000000000002</v>
      </c>
      <c r="I903" t="s">
        <v>137</v>
      </c>
      <c r="J903" t="s">
        <v>223</v>
      </c>
      <c r="K903" t="s">
        <v>985</v>
      </c>
      <c r="L903" s="2">
        <v>45778</v>
      </c>
      <c r="M903" t="s">
        <v>223</v>
      </c>
      <c r="N903" t="s">
        <v>141</v>
      </c>
      <c r="O903" t="s">
        <v>111</v>
      </c>
      <c r="P903" t="s">
        <v>134</v>
      </c>
      <c r="Q903">
        <v>0</v>
      </c>
    </row>
    <row r="904" spans="1:17" x14ac:dyDescent="0.3">
      <c r="A904" t="s">
        <v>17</v>
      </c>
      <c r="B904">
        <v>68</v>
      </c>
      <c r="C904" t="s">
        <v>34</v>
      </c>
      <c r="D904" s="2">
        <v>45787</v>
      </c>
      <c r="E904" s="3">
        <f t="shared" si="14"/>
        <v>45778</v>
      </c>
      <c r="F904" t="s">
        <v>986</v>
      </c>
      <c r="G904" t="s">
        <v>131</v>
      </c>
      <c r="H904" s="4">
        <v>1034.31</v>
      </c>
      <c r="I904" t="s">
        <v>31</v>
      </c>
      <c r="J904" t="s">
        <v>79</v>
      </c>
      <c r="K904" t="s">
        <v>132</v>
      </c>
      <c r="L904" s="2">
        <v>45778</v>
      </c>
      <c r="M904" t="s">
        <v>79</v>
      </c>
      <c r="N904">
        <v>0</v>
      </c>
      <c r="O904" t="s">
        <v>31</v>
      </c>
      <c r="P904" t="s">
        <v>34</v>
      </c>
      <c r="Q904">
        <v>0</v>
      </c>
    </row>
    <row r="905" spans="1:17" x14ac:dyDescent="0.3">
      <c r="A905" t="s">
        <v>17</v>
      </c>
      <c r="B905">
        <v>67</v>
      </c>
      <c r="C905" t="s">
        <v>28</v>
      </c>
      <c r="D905" s="2">
        <v>45789</v>
      </c>
      <c r="E905" s="3">
        <f t="shared" si="14"/>
        <v>45778</v>
      </c>
      <c r="F905" t="s">
        <v>987</v>
      </c>
      <c r="G905" t="s">
        <v>398</v>
      </c>
      <c r="H905" s="4">
        <v>66250</v>
      </c>
      <c r="I905" t="s">
        <v>31</v>
      </c>
      <c r="J905" t="s">
        <v>399</v>
      </c>
      <c r="K905" t="s">
        <v>988</v>
      </c>
      <c r="L905" s="2">
        <v>45778</v>
      </c>
      <c r="M905" t="s">
        <v>401</v>
      </c>
      <c r="N905">
        <v>0</v>
      </c>
      <c r="O905" t="s">
        <v>31</v>
      </c>
      <c r="P905" t="s">
        <v>28</v>
      </c>
      <c r="Q905">
        <v>0</v>
      </c>
    </row>
    <row r="906" spans="1:17" x14ac:dyDescent="0.3">
      <c r="A906" t="s">
        <v>17</v>
      </c>
      <c r="B906">
        <v>63</v>
      </c>
      <c r="C906" t="s">
        <v>18</v>
      </c>
      <c r="D906" s="2">
        <v>45790</v>
      </c>
      <c r="E906" s="3">
        <f t="shared" si="14"/>
        <v>45778</v>
      </c>
      <c r="F906" t="s">
        <v>989</v>
      </c>
      <c r="G906" t="s">
        <v>125</v>
      </c>
      <c r="H906" s="4">
        <v>660</v>
      </c>
      <c r="I906" t="s">
        <v>21</v>
      </c>
      <c r="J906" t="s">
        <v>22</v>
      </c>
      <c r="K906" t="s">
        <v>990</v>
      </c>
      <c r="L906" s="2">
        <v>45778</v>
      </c>
      <c r="M906" t="s">
        <v>24</v>
      </c>
      <c r="N906" t="s">
        <v>25</v>
      </c>
      <c r="O906" t="s">
        <v>26</v>
      </c>
      <c r="P906" t="s">
        <v>18</v>
      </c>
      <c r="Q906" t="s">
        <v>27</v>
      </c>
    </row>
    <row r="907" spans="1:17" x14ac:dyDescent="0.3">
      <c r="A907" t="s">
        <v>17</v>
      </c>
      <c r="B907">
        <v>66</v>
      </c>
      <c r="C907" t="s">
        <v>134</v>
      </c>
      <c r="D907" s="2">
        <v>45790</v>
      </c>
      <c r="E907" s="3">
        <f t="shared" si="14"/>
        <v>45778</v>
      </c>
      <c r="F907" t="s">
        <v>991</v>
      </c>
      <c r="H907" s="4">
        <v>-1674</v>
      </c>
      <c r="I907" t="s">
        <v>137</v>
      </c>
      <c r="J907" t="s">
        <v>223</v>
      </c>
      <c r="K907" t="s">
        <v>992</v>
      </c>
      <c r="L907" s="2">
        <v>45778</v>
      </c>
      <c r="M907" t="s">
        <v>223</v>
      </c>
      <c r="N907" t="s">
        <v>141</v>
      </c>
      <c r="O907" t="s">
        <v>111</v>
      </c>
      <c r="P907" t="s">
        <v>134</v>
      </c>
      <c r="Q907">
        <v>0</v>
      </c>
    </row>
    <row r="908" spans="1:17" x14ac:dyDescent="0.3">
      <c r="A908" t="s">
        <v>17</v>
      </c>
      <c r="B908">
        <v>66</v>
      </c>
      <c r="C908" t="s">
        <v>134</v>
      </c>
      <c r="D908" s="2">
        <v>45790</v>
      </c>
      <c r="E908" s="3">
        <f t="shared" si="14"/>
        <v>45778</v>
      </c>
      <c r="F908" t="s">
        <v>991</v>
      </c>
      <c r="H908" s="4">
        <v>-837</v>
      </c>
      <c r="I908" t="s">
        <v>47</v>
      </c>
      <c r="J908" t="s">
        <v>223</v>
      </c>
      <c r="K908" t="s">
        <v>992</v>
      </c>
      <c r="L908" s="2">
        <v>45778</v>
      </c>
      <c r="M908" t="s">
        <v>223</v>
      </c>
      <c r="N908">
        <v>0</v>
      </c>
      <c r="O908" t="s">
        <v>111</v>
      </c>
      <c r="P908" t="s">
        <v>134</v>
      </c>
      <c r="Q908">
        <v>0</v>
      </c>
    </row>
    <row r="909" spans="1:17" x14ac:dyDescent="0.3">
      <c r="A909" t="s">
        <v>17</v>
      </c>
      <c r="B909">
        <v>66</v>
      </c>
      <c r="C909" t="s">
        <v>134</v>
      </c>
      <c r="D909" s="2">
        <v>45790</v>
      </c>
      <c r="E909" s="3">
        <f t="shared" si="14"/>
        <v>45778</v>
      </c>
      <c r="F909" t="s">
        <v>991</v>
      </c>
      <c r="H909" s="4">
        <v>-837</v>
      </c>
      <c r="I909" t="s">
        <v>21</v>
      </c>
      <c r="J909" t="s">
        <v>223</v>
      </c>
      <c r="K909" t="s">
        <v>992</v>
      </c>
      <c r="L909" s="2">
        <v>45778</v>
      </c>
      <c r="M909" t="s">
        <v>223</v>
      </c>
      <c r="N909" t="s">
        <v>25</v>
      </c>
      <c r="O909" t="s">
        <v>111</v>
      </c>
      <c r="P909" t="s">
        <v>134</v>
      </c>
      <c r="Q909">
        <v>0</v>
      </c>
    </row>
    <row r="910" spans="1:17" x14ac:dyDescent="0.3">
      <c r="A910" t="s">
        <v>17</v>
      </c>
      <c r="B910">
        <v>67</v>
      </c>
      <c r="C910" t="s">
        <v>28</v>
      </c>
      <c r="D910" s="2">
        <v>45791</v>
      </c>
      <c r="E910" s="3">
        <f t="shared" si="14"/>
        <v>45778</v>
      </c>
      <c r="F910" t="s">
        <v>993</v>
      </c>
      <c r="G910" t="s">
        <v>158</v>
      </c>
      <c r="H910" s="4">
        <v>21.78</v>
      </c>
      <c r="I910" t="s">
        <v>159</v>
      </c>
      <c r="J910" t="s">
        <v>74</v>
      </c>
      <c r="K910" t="s">
        <v>994</v>
      </c>
      <c r="L910" s="2">
        <v>45778</v>
      </c>
      <c r="M910" t="s">
        <v>76</v>
      </c>
      <c r="N910">
        <v>0</v>
      </c>
      <c r="O910" t="s">
        <v>159</v>
      </c>
      <c r="P910" t="s">
        <v>28</v>
      </c>
      <c r="Q910">
        <v>0</v>
      </c>
    </row>
    <row r="911" spans="1:17" x14ac:dyDescent="0.3">
      <c r="A911" t="s">
        <v>17</v>
      </c>
      <c r="B911">
        <v>66</v>
      </c>
      <c r="C911" t="s">
        <v>134</v>
      </c>
      <c r="D911" s="2">
        <v>45791</v>
      </c>
      <c r="E911" s="3">
        <f t="shared" si="14"/>
        <v>45778</v>
      </c>
      <c r="F911" t="s">
        <v>993</v>
      </c>
      <c r="G911" t="s">
        <v>158</v>
      </c>
      <c r="H911" s="4">
        <v>245.97</v>
      </c>
      <c r="I911" t="s">
        <v>108</v>
      </c>
      <c r="J911" t="s">
        <v>223</v>
      </c>
      <c r="K911" t="s">
        <v>995</v>
      </c>
      <c r="L911" s="2">
        <v>45778</v>
      </c>
      <c r="M911" t="s">
        <v>223</v>
      </c>
      <c r="N911">
        <v>0</v>
      </c>
      <c r="O911" t="s">
        <v>111</v>
      </c>
      <c r="P911" t="s">
        <v>134</v>
      </c>
      <c r="Q911">
        <v>0</v>
      </c>
    </row>
    <row r="912" spans="1:17" x14ac:dyDescent="0.3">
      <c r="A912" t="s">
        <v>17</v>
      </c>
      <c r="B912">
        <v>67</v>
      </c>
      <c r="C912" t="s">
        <v>28</v>
      </c>
      <c r="D912" s="2">
        <v>45791</v>
      </c>
      <c r="E912" s="3">
        <f t="shared" si="14"/>
        <v>45778</v>
      </c>
      <c r="F912" t="s">
        <v>993</v>
      </c>
      <c r="G912" t="s">
        <v>158</v>
      </c>
      <c r="H912" s="4">
        <v>4.67</v>
      </c>
      <c r="I912" t="s">
        <v>47</v>
      </c>
      <c r="J912" t="s">
        <v>64</v>
      </c>
      <c r="K912" t="s">
        <v>996</v>
      </c>
      <c r="L912" s="2">
        <v>45778</v>
      </c>
      <c r="M912" t="s">
        <v>64</v>
      </c>
      <c r="N912">
        <v>0</v>
      </c>
      <c r="O912" t="s">
        <v>26</v>
      </c>
      <c r="P912" t="s">
        <v>28</v>
      </c>
      <c r="Q912">
        <v>0</v>
      </c>
    </row>
    <row r="913" spans="1:17" x14ac:dyDescent="0.3">
      <c r="A913" t="s">
        <v>17</v>
      </c>
      <c r="B913">
        <v>67</v>
      </c>
      <c r="C913" t="s">
        <v>28</v>
      </c>
      <c r="D913" s="2">
        <v>45791</v>
      </c>
      <c r="E913" s="3">
        <f t="shared" si="14"/>
        <v>45778</v>
      </c>
      <c r="F913" t="s">
        <v>997</v>
      </c>
      <c r="G913" t="s">
        <v>119</v>
      </c>
      <c r="H913" s="4">
        <v>843.75</v>
      </c>
      <c r="I913" t="s">
        <v>31</v>
      </c>
      <c r="J913" t="s">
        <v>68</v>
      </c>
      <c r="K913" t="s">
        <v>998</v>
      </c>
      <c r="L913" s="2">
        <v>45778</v>
      </c>
      <c r="M913" t="s">
        <v>68</v>
      </c>
      <c r="N913">
        <v>0</v>
      </c>
      <c r="O913" t="s">
        <v>31</v>
      </c>
      <c r="P913" t="s">
        <v>28</v>
      </c>
      <c r="Q913">
        <v>0</v>
      </c>
    </row>
    <row r="914" spans="1:17" x14ac:dyDescent="0.3">
      <c r="A914" t="s">
        <v>17</v>
      </c>
      <c r="B914">
        <v>67</v>
      </c>
      <c r="C914" t="s">
        <v>28</v>
      </c>
      <c r="D914" s="2">
        <v>45791</v>
      </c>
      <c r="E914" s="3">
        <f t="shared" si="14"/>
        <v>45778</v>
      </c>
      <c r="F914" t="s">
        <v>999</v>
      </c>
      <c r="G914" t="s">
        <v>673</v>
      </c>
      <c r="H914" s="4">
        <v>11362.47</v>
      </c>
      <c r="I914" t="s">
        <v>47</v>
      </c>
      <c r="J914" t="s">
        <v>48</v>
      </c>
      <c r="K914" t="s">
        <v>1000</v>
      </c>
      <c r="L914" s="2">
        <v>45778</v>
      </c>
      <c r="M914" t="s">
        <v>50</v>
      </c>
      <c r="N914">
        <v>0</v>
      </c>
      <c r="O914" t="s">
        <v>26</v>
      </c>
      <c r="P914" t="s">
        <v>28</v>
      </c>
      <c r="Q914">
        <v>0</v>
      </c>
    </row>
    <row r="915" spans="1:17" x14ac:dyDescent="0.3">
      <c r="A915" t="s">
        <v>17</v>
      </c>
      <c r="B915">
        <v>64</v>
      </c>
      <c r="C915" t="s">
        <v>83</v>
      </c>
      <c r="D915" s="2">
        <v>45791</v>
      </c>
      <c r="E915" s="3">
        <f t="shared" si="14"/>
        <v>45778</v>
      </c>
      <c r="F915" t="s">
        <v>993</v>
      </c>
      <c r="G915" t="s">
        <v>158</v>
      </c>
      <c r="H915" s="4">
        <v>39.26</v>
      </c>
      <c r="I915" t="s">
        <v>159</v>
      </c>
      <c r="J915" t="s">
        <v>91</v>
      </c>
      <c r="K915" t="s">
        <v>165</v>
      </c>
      <c r="L915" s="2">
        <v>45778</v>
      </c>
      <c r="M915" t="s">
        <v>93</v>
      </c>
      <c r="N915">
        <v>0</v>
      </c>
      <c r="O915" t="s">
        <v>159</v>
      </c>
      <c r="P915" t="s">
        <v>83</v>
      </c>
      <c r="Q915">
        <v>0</v>
      </c>
    </row>
    <row r="916" spans="1:17" x14ac:dyDescent="0.3">
      <c r="A916" t="s">
        <v>17</v>
      </c>
      <c r="B916">
        <v>64</v>
      </c>
      <c r="C916" t="s">
        <v>83</v>
      </c>
      <c r="D916" s="2">
        <v>45791</v>
      </c>
      <c r="E916" s="3">
        <f t="shared" si="14"/>
        <v>45778</v>
      </c>
      <c r="F916" t="s">
        <v>993</v>
      </c>
      <c r="G916" t="s">
        <v>158</v>
      </c>
      <c r="H916" s="4">
        <v>78.2</v>
      </c>
      <c r="I916" t="s">
        <v>159</v>
      </c>
      <c r="J916" t="s">
        <v>91</v>
      </c>
      <c r="K916" t="s">
        <v>165</v>
      </c>
      <c r="L916" s="2">
        <v>45778</v>
      </c>
      <c r="M916" t="s">
        <v>93</v>
      </c>
      <c r="N916">
        <v>0</v>
      </c>
      <c r="O916" t="s">
        <v>159</v>
      </c>
      <c r="P916" t="s">
        <v>83</v>
      </c>
      <c r="Q916">
        <v>0</v>
      </c>
    </row>
    <row r="917" spans="1:17" x14ac:dyDescent="0.3">
      <c r="A917" t="s">
        <v>17</v>
      </c>
      <c r="B917">
        <v>64</v>
      </c>
      <c r="C917" t="s">
        <v>83</v>
      </c>
      <c r="D917" s="2">
        <v>45791</v>
      </c>
      <c r="E917" s="3">
        <f t="shared" si="14"/>
        <v>45778</v>
      </c>
      <c r="F917" t="s">
        <v>993</v>
      </c>
      <c r="G917" t="s">
        <v>158</v>
      </c>
      <c r="H917" s="4">
        <v>103.73</v>
      </c>
      <c r="I917" t="s">
        <v>159</v>
      </c>
      <c r="J917" t="s">
        <v>91</v>
      </c>
      <c r="K917" t="s">
        <v>165</v>
      </c>
      <c r="L917" s="2">
        <v>45778</v>
      </c>
      <c r="M917" t="s">
        <v>93</v>
      </c>
      <c r="N917">
        <v>0</v>
      </c>
      <c r="O917" t="s">
        <v>159</v>
      </c>
      <c r="P917" t="s">
        <v>83</v>
      </c>
      <c r="Q917">
        <v>0</v>
      </c>
    </row>
    <row r="918" spans="1:17" x14ac:dyDescent="0.3">
      <c r="A918" t="s">
        <v>17</v>
      </c>
      <c r="B918">
        <v>64</v>
      </c>
      <c r="C918" t="s">
        <v>83</v>
      </c>
      <c r="D918" s="2">
        <v>45791</v>
      </c>
      <c r="E918" s="3">
        <f t="shared" si="14"/>
        <v>45778</v>
      </c>
      <c r="F918" t="s">
        <v>993</v>
      </c>
      <c r="G918" t="s">
        <v>158</v>
      </c>
      <c r="H918" s="4">
        <v>68.069999999999993</v>
      </c>
      <c r="I918" t="s">
        <v>159</v>
      </c>
      <c r="J918" t="s">
        <v>91</v>
      </c>
      <c r="K918" t="s">
        <v>165</v>
      </c>
      <c r="L918" s="2">
        <v>45778</v>
      </c>
      <c r="M918" t="s">
        <v>93</v>
      </c>
      <c r="N918">
        <v>0</v>
      </c>
      <c r="O918" t="s">
        <v>159</v>
      </c>
      <c r="P918" t="s">
        <v>83</v>
      </c>
      <c r="Q918">
        <v>0</v>
      </c>
    </row>
    <row r="919" spans="1:17" x14ac:dyDescent="0.3">
      <c r="A919" t="s">
        <v>17</v>
      </c>
      <c r="B919">
        <v>64</v>
      </c>
      <c r="C919" t="s">
        <v>83</v>
      </c>
      <c r="D919" s="2">
        <v>45791</v>
      </c>
      <c r="E919" s="3">
        <f t="shared" si="14"/>
        <v>45778</v>
      </c>
      <c r="F919" t="s">
        <v>993</v>
      </c>
      <c r="G919" t="s">
        <v>158</v>
      </c>
      <c r="H919" s="4">
        <v>60.85</v>
      </c>
      <c r="I919" t="s">
        <v>159</v>
      </c>
      <c r="J919" t="s">
        <v>91</v>
      </c>
      <c r="K919" t="s">
        <v>165</v>
      </c>
      <c r="L919" s="2">
        <v>45778</v>
      </c>
      <c r="M919" t="s">
        <v>93</v>
      </c>
      <c r="N919">
        <v>0</v>
      </c>
      <c r="O919" t="s">
        <v>159</v>
      </c>
      <c r="P919" t="s">
        <v>83</v>
      </c>
      <c r="Q919">
        <v>0</v>
      </c>
    </row>
    <row r="920" spans="1:17" x14ac:dyDescent="0.3">
      <c r="A920" t="s">
        <v>17</v>
      </c>
      <c r="B920">
        <v>64</v>
      </c>
      <c r="C920" t="s">
        <v>83</v>
      </c>
      <c r="D920" s="2">
        <v>45791</v>
      </c>
      <c r="E920" s="3">
        <f t="shared" si="14"/>
        <v>45778</v>
      </c>
      <c r="F920" t="s">
        <v>993</v>
      </c>
      <c r="G920" t="s">
        <v>158</v>
      </c>
      <c r="H920" s="4">
        <v>86.35</v>
      </c>
      <c r="I920" t="s">
        <v>159</v>
      </c>
      <c r="J920" t="s">
        <v>91</v>
      </c>
      <c r="K920" t="s">
        <v>165</v>
      </c>
      <c r="L920" s="2">
        <v>45778</v>
      </c>
      <c r="M920" t="s">
        <v>93</v>
      </c>
      <c r="N920">
        <v>0</v>
      </c>
      <c r="O920" t="s">
        <v>159</v>
      </c>
      <c r="P920" t="s">
        <v>83</v>
      </c>
      <c r="Q920">
        <v>0</v>
      </c>
    </row>
    <row r="921" spans="1:17" x14ac:dyDescent="0.3">
      <c r="A921" t="s">
        <v>17</v>
      </c>
      <c r="B921">
        <v>64</v>
      </c>
      <c r="C921" t="s">
        <v>83</v>
      </c>
      <c r="D921" s="2">
        <v>45791</v>
      </c>
      <c r="E921" s="3">
        <f t="shared" si="14"/>
        <v>45778</v>
      </c>
      <c r="F921" t="s">
        <v>993</v>
      </c>
      <c r="G921" t="s">
        <v>158</v>
      </c>
      <c r="H921" s="4">
        <v>62.16</v>
      </c>
      <c r="I921" t="s">
        <v>159</v>
      </c>
      <c r="J921" t="s">
        <v>91</v>
      </c>
      <c r="K921" t="s">
        <v>165</v>
      </c>
      <c r="L921" s="2">
        <v>45778</v>
      </c>
      <c r="M921" t="s">
        <v>93</v>
      </c>
      <c r="N921">
        <v>0</v>
      </c>
      <c r="O921" t="s">
        <v>159</v>
      </c>
      <c r="P921" t="s">
        <v>83</v>
      </c>
      <c r="Q921">
        <v>0</v>
      </c>
    </row>
    <row r="922" spans="1:17" x14ac:dyDescent="0.3">
      <c r="A922" t="s">
        <v>17</v>
      </c>
      <c r="B922">
        <v>64</v>
      </c>
      <c r="C922" t="s">
        <v>83</v>
      </c>
      <c r="D922" s="2">
        <v>45791</v>
      </c>
      <c r="E922" s="3">
        <f t="shared" si="14"/>
        <v>45778</v>
      </c>
      <c r="F922" t="s">
        <v>993</v>
      </c>
      <c r="G922" t="s">
        <v>158</v>
      </c>
      <c r="H922" s="4">
        <v>73.180000000000007</v>
      </c>
      <c r="I922" t="s">
        <v>159</v>
      </c>
      <c r="J922" t="s">
        <v>91</v>
      </c>
      <c r="K922" t="s">
        <v>165</v>
      </c>
      <c r="L922" s="2">
        <v>45778</v>
      </c>
      <c r="M922" t="s">
        <v>93</v>
      </c>
      <c r="N922">
        <v>0</v>
      </c>
      <c r="O922" t="s">
        <v>159</v>
      </c>
      <c r="P922" t="s">
        <v>83</v>
      </c>
      <c r="Q922">
        <v>0</v>
      </c>
    </row>
    <row r="923" spans="1:17" x14ac:dyDescent="0.3">
      <c r="A923" t="s">
        <v>17</v>
      </c>
      <c r="B923">
        <v>64</v>
      </c>
      <c r="C923" t="s">
        <v>83</v>
      </c>
      <c r="D923" s="2">
        <v>45791</v>
      </c>
      <c r="E923" s="3">
        <f t="shared" si="14"/>
        <v>45778</v>
      </c>
      <c r="F923" t="s">
        <v>993</v>
      </c>
      <c r="G923" t="s">
        <v>158</v>
      </c>
      <c r="H923" s="4">
        <v>112.37</v>
      </c>
      <c r="I923" t="s">
        <v>159</v>
      </c>
      <c r="J923" t="s">
        <v>91</v>
      </c>
      <c r="K923" t="s">
        <v>165</v>
      </c>
      <c r="L923" s="2">
        <v>45778</v>
      </c>
      <c r="M923" t="s">
        <v>93</v>
      </c>
      <c r="N923">
        <v>0</v>
      </c>
      <c r="O923" t="s">
        <v>159</v>
      </c>
      <c r="P923" t="s">
        <v>83</v>
      </c>
      <c r="Q923">
        <v>0</v>
      </c>
    </row>
    <row r="924" spans="1:17" x14ac:dyDescent="0.3">
      <c r="A924" t="s">
        <v>17</v>
      </c>
      <c r="B924">
        <v>68</v>
      </c>
      <c r="C924" t="s">
        <v>34</v>
      </c>
      <c r="D924" s="2">
        <v>45791</v>
      </c>
      <c r="E924" s="3">
        <f t="shared" si="14"/>
        <v>45778</v>
      </c>
      <c r="F924" t="s">
        <v>993</v>
      </c>
      <c r="G924" t="s">
        <v>158</v>
      </c>
      <c r="H924" s="4">
        <v>107.79</v>
      </c>
      <c r="I924" t="s">
        <v>31</v>
      </c>
      <c r="J924" t="s">
        <v>109</v>
      </c>
      <c r="K924" t="s">
        <v>1001</v>
      </c>
      <c r="L924" s="2">
        <v>45778</v>
      </c>
      <c r="M924" t="s">
        <v>109</v>
      </c>
      <c r="N924">
        <v>0</v>
      </c>
      <c r="O924" t="s">
        <v>31</v>
      </c>
      <c r="P924" t="s">
        <v>112</v>
      </c>
      <c r="Q924" t="s">
        <v>113</v>
      </c>
    </row>
    <row r="925" spans="1:17" x14ac:dyDescent="0.3">
      <c r="A925" t="s">
        <v>17</v>
      </c>
      <c r="B925">
        <v>68</v>
      </c>
      <c r="C925" t="s">
        <v>34</v>
      </c>
      <c r="D925" s="2">
        <v>45791</v>
      </c>
      <c r="E925" s="3">
        <f t="shared" si="14"/>
        <v>45778</v>
      </c>
      <c r="F925" t="s">
        <v>993</v>
      </c>
      <c r="G925" t="s">
        <v>158</v>
      </c>
      <c r="H925" s="4">
        <v>311.11</v>
      </c>
      <c r="I925" t="s">
        <v>47</v>
      </c>
      <c r="J925" t="s">
        <v>109</v>
      </c>
      <c r="K925" t="s">
        <v>996</v>
      </c>
      <c r="L925" s="2">
        <v>45778</v>
      </c>
      <c r="M925" t="s">
        <v>109</v>
      </c>
      <c r="N925">
        <v>0</v>
      </c>
      <c r="O925" t="s">
        <v>26</v>
      </c>
      <c r="P925" t="s">
        <v>112</v>
      </c>
      <c r="Q925" t="s">
        <v>113</v>
      </c>
    </row>
    <row r="926" spans="1:17" x14ac:dyDescent="0.3">
      <c r="A926" t="s">
        <v>17</v>
      </c>
      <c r="B926">
        <v>68</v>
      </c>
      <c r="C926" t="s">
        <v>34</v>
      </c>
      <c r="D926" s="2">
        <v>45791</v>
      </c>
      <c r="E926" s="3">
        <f t="shared" si="14"/>
        <v>45778</v>
      </c>
      <c r="F926" t="s">
        <v>1002</v>
      </c>
      <c r="G926" t="s">
        <v>122</v>
      </c>
      <c r="H926" s="4">
        <v>3517.63</v>
      </c>
      <c r="I926" t="s">
        <v>108</v>
      </c>
      <c r="J926" t="s">
        <v>109</v>
      </c>
      <c r="K926" t="s">
        <v>388</v>
      </c>
      <c r="L926" s="2">
        <v>45778</v>
      </c>
      <c r="M926" t="s">
        <v>109</v>
      </c>
      <c r="N926">
        <v>0</v>
      </c>
      <c r="O926" t="s">
        <v>111</v>
      </c>
      <c r="P926" t="s">
        <v>112</v>
      </c>
      <c r="Q926" t="s">
        <v>113</v>
      </c>
    </row>
    <row r="927" spans="1:17" x14ac:dyDescent="0.3">
      <c r="A927" t="s">
        <v>17</v>
      </c>
      <c r="B927">
        <v>68</v>
      </c>
      <c r="C927" t="s">
        <v>34</v>
      </c>
      <c r="D927" s="2">
        <v>45791</v>
      </c>
      <c r="E927" s="3">
        <f t="shared" si="14"/>
        <v>45778</v>
      </c>
      <c r="F927" t="s">
        <v>1003</v>
      </c>
      <c r="G927" t="s">
        <v>122</v>
      </c>
      <c r="H927" s="4">
        <v>56.46</v>
      </c>
      <c r="I927" t="s">
        <v>108</v>
      </c>
      <c r="J927" t="s">
        <v>109</v>
      </c>
      <c r="K927" t="s">
        <v>662</v>
      </c>
      <c r="L927" s="2">
        <v>45778</v>
      </c>
      <c r="M927" t="s">
        <v>109</v>
      </c>
      <c r="N927">
        <v>0</v>
      </c>
      <c r="O927" t="s">
        <v>111</v>
      </c>
      <c r="P927" t="s">
        <v>112</v>
      </c>
      <c r="Q927" t="s">
        <v>113</v>
      </c>
    </row>
    <row r="928" spans="1:17" x14ac:dyDescent="0.3">
      <c r="A928" t="s">
        <v>17</v>
      </c>
      <c r="B928">
        <v>65</v>
      </c>
      <c r="C928" t="s">
        <v>54</v>
      </c>
      <c r="D928" s="2">
        <v>45792</v>
      </c>
      <c r="E928" s="3">
        <f t="shared" si="14"/>
        <v>45778</v>
      </c>
      <c r="F928" t="s">
        <v>1004</v>
      </c>
      <c r="G928" t="s">
        <v>154</v>
      </c>
      <c r="H928" s="4">
        <v>740.48</v>
      </c>
      <c r="I928" t="s">
        <v>31</v>
      </c>
      <c r="J928" t="s">
        <v>155</v>
      </c>
      <c r="K928" t="s">
        <v>1005</v>
      </c>
      <c r="L928" s="2">
        <v>45778</v>
      </c>
      <c r="M928" t="s">
        <v>155</v>
      </c>
      <c r="N928">
        <v>0</v>
      </c>
      <c r="O928" t="s">
        <v>31</v>
      </c>
      <c r="P928" t="s">
        <v>54</v>
      </c>
      <c r="Q928">
        <v>0</v>
      </c>
    </row>
    <row r="929" spans="1:17" x14ac:dyDescent="0.3">
      <c r="A929" t="s">
        <v>17</v>
      </c>
      <c r="B929">
        <v>67</v>
      </c>
      <c r="C929" t="s">
        <v>28</v>
      </c>
      <c r="D929" s="2">
        <v>45792</v>
      </c>
      <c r="E929" s="3">
        <f t="shared" si="14"/>
        <v>45778</v>
      </c>
      <c r="F929" t="s">
        <v>1006</v>
      </c>
      <c r="H929" s="4">
        <v>361.6</v>
      </c>
      <c r="I929" t="s">
        <v>31</v>
      </c>
      <c r="J929" t="s">
        <v>64</v>
      </c>
      <c r="K929" t="s">
        <v>168</v>
      </c>
      <c r="L929" s="2">
        <v>45778</v>
      </c>
      <c r="M929" t="s">
        <v>64</v>
      </c>
      <c r="N929">
        <v>0</v>
      </c>
      <c r="O929" t="s">
        <v>31</v>
      </c>
      <c r="P929" t="s">
        <v>28</v>
      </c>
      <c r="Q929">
        <v>0</v>
      </c>
    </row>
    <row r="930" spans="1:17" x14ac:dyDescent="0.3">
      <c r="A930" t="s">
        <v>17</v>
      </c>
      <c r="B930">
        <v>67</v>
      </c>
      <c r="C930" t="s">
        <v>28</v>
      </c>
      <c r="D930" s="2">
        <v>45793</v>
      </c>
      <c r="E930" s="3">
        <f t="shared" si="14"/>
        <v>45778</v>
      </c>
      <c r="F930" t="s">
        <v>1007</v>
      </c>
      <c r="H930" s="4">
        <v>-37.299999999999997</v>
      </c>
      <c r="I930" t="s">
        <v>31</v>
      </c>
      <c r="J930" t="s">
        <v>60</v>
      </c>
      <c r="L930" s="2">
        <v>45778</v>
      </c>
      <c r="M930" t="s">
        <v>60</v>
      </c>
      <c r="N930">
        <v>0</v>
      </c>
      <c r="O930" t="s">
        <v>31</v>
      </c>
      <c r="P930" t="s">
        <v>28</v>
      </c>
      <c r="Q930">
        <v>0</v>
      </c>
    </row>
    <row r="931" spans="1:17" x14ac:dyDescent="0.3">
      <c r="A931" t="s">
        <v>17</v>
      </c>
      <c r="B931">
        <v>67</v>
      </c>
      <c r="C931" t="s">
        <v>28</v>
      </c>
      <c r="D931" s="2">
        <v>45793</v>
      </c>
      <c r="E931" s="3">
        <f t="shared" si="14"/>
        <v>45778</v>
      </c>
      <c r="F931" t="s">
        <v>1007</v>
      </c>
      <c r="H931" s="4">
        <v>-12.39</v>
      </c>
      <c r="I931" t="s">
        <v>31</v>
      </c>
      <c r="J931" t="s">
        <v>60</v>
      </c>
      <c r="L931" s="2">
        <v>45778</v>
      </c>
      <c r="M931" t="s">
        <v>60</v>
      </c>
      <c r="N931">
        <v>0</v>
      </c>
      <c r="O931" t="s">
        <v>31</v>
      </c>
      <c r="P931" t="s">
        <v>28</v>
      </c>
      <c r="Q931">
        <v>0</v>
      </c>
    </row>
    <row r="932" spans="1:17" x14ac:dyDescent="0.3">
      <c r="A932" t="s">
        <v>17</v>
      </c>
      <c r="B932">
        <v>67</v>
      </c>
      <c r="C932" t="s">
        <v>28</v>
      </c>
      <c r="D932" s="2">
        <v>45793</v>
      </c>
      <c r="E932" s="3">
        <f t="shared" si="14"/>
        <v>45778</v>
      </c>
      <c r="F932" t="s">
        <v>1007</v>
      </c>
      <c r="H932" s="4">
        <v>-81.3</v>
      </c>
      <c r="I932" t="s">
        <v>31</v>
      </c>
      <c r="J932" t="s">
        <v>60</v>
      </c>
      <c r="L932" s="2">
        <v>45778</v>
      </c>
      <c r="M932" t="s">
        <v>60</v>
      </c>
      <c r="N932">
        <v>0</v>
      </c>
      <c r="O932" t="s">
        <v>31</v>
      </c>
      <c r="P932" t="s">
        <v>28</v>
      </c>
      <c r="Q932">
        <v>0</v>
      </c>
    </row>
    <row r="933" spans="1:17" x14ac:dyDescent="0.3">
      <c r="A933" t="s">
        <v>17</v>
      </c>
      <c r="B933">
        <v>67</v>
      </c>
      <c r="C933" t="s">
        <v>28</v>
      </c>
      <c r="D933" s="2">
        <v>45793</v>
      </c>
      <c r="E933" s="3">
        <f t="shared" si="14"/>
        <v>45778</v>
      </c>
      <c r="F933" t="s">
        <v>1007</v>
      </c>
      <c r="H933" s="4">
        <v>-1.2</v>
      </c>
      <c r="I933" t="s">
        <v>31</v>
      </c>
      <c r="J933" t="s">
        <v>60</v>
      </c>
      <c r="L933" s="2">
        <v>45778</v>
      </c>
      <c r="M933" t="s">
        <v>60</v>
      </c>
      <c r="N933">
        <v>0</v>
      </c>
      <c r="O933" t="s">
        <v>31</v>
      </c>
      <c r="P933" t="s">
        <v>28</v>
      </c>
      <c r="Q933">
        <v>0</v>
      </c>
    </row>
    <row r="934" spans="1:17" x14ac:dyDescent="0.3">
      <c r="A934" t="s">
        <v>17</v>
      </c>
      <c r="B934">
        <v>67</v>
      </c>
      <c r="C934" t="s">
        <v>28</v>
      </c>
      <c r="D934" s="2">
        <v>45793</v>
      </c>
      <c r="E934" s="3">
        <f t="shared" si="14"/>
        <v>45778</v>
      </c>
      <c r="F934" t="s">
        <v>1007</v>
      </c>
      <c r="H934" s="4">
        <v>-43.2</v>
      </c>
      <c r="I934" t="s">
        <v>31</v>
      </c>
      <c r="J934" t="s">
        <v>60</v>
      </c>
      <c r="L934" s="2">
        <v>45778</v>
      </c>
      <c r="M934" t="s">
        <v>60</v>
      </c>
      <c r="N934">
        <v>0</v>
      </c>
      <c r="O934" t="s">
        <v>31</v>
      </c>
      <c r="P934" t="s">
        <v>28</v>
      </c>
      <c r="Q934">
        <v>0</v>
      </c>
    </row>
    <row r="935" spans="1:17" x14ac:dyDescent="0.3">
      <c r="A935" t="s">
        <v>17</v>
      </c>
      <c r="B935">
        <v>67</v>
      </c>
      <c r="C935" t="s">
        <v>28</v>
      </c>
      <c r="D935" s="2">
        <v>45793</v>
      </c>
      <c r="E935" s="3">
        <f t="shared" si="14"/>
        <v>45778</v>
      </c>
      <c r="F935" t="s">
        <v>1007</v>
      </c>
      <c r="H935" s="4">
        <v>-88.99</v>
      </c>
      <c r="I935" t="s">
        <v>31</v>
      </c>
      <c r="J935" t="s">
        <v>60</v>
      </c>
      <c r="L935" s="2">
        <v>45778</v>
      </c>
      <c r="M935" t="s">
        <v>60</v>
      </c>
      <c r="N935">
        <v>0</v>
      </c>
      <c r="O935" t="s">
        <v>31</v>
      </c>
      <c r="P935" t="s">
        <v>28</v>
      </c>
      <c r="Q935">
        <v>0</v>
      </c>
    </row>
    <row r="936" spans="1:17" x14ac:dyDescent="0.3">
      <c r="A936" t="s">
        <v>17</v>
      </c>
      <c r="B936">
        <v>67</v>
      </c>
      <c r="C936" t="s">
        <v>28</v>
      </c>
      <c r="D936" s="2">
        <v>45793</v>
      </c>
      <c r="E936" s="3">
        <f t="shared" si="14"/>
        <v>45778</v>
      </c>
      <c r="F936" t="s">
        <v>1007</v>
      </c>
      <c r="H936" s="4">
        <v>-43.84</v>
      </c>
      <c r="I936" t="s">
        <v>31</v>
      </c>
      <c r="J936" t="s">
        <v>60</v>
      </c>
      <c r="L936" s="2">
        <v>45778</v>
      </c>
      <c r="M936" t="s">
        <v>60</v>
      </c>
      <c r="N936">
        <v>0</v>
      </c>
      <c r="O936" t="s">
        <v>31</v>
      </c>
      <c r="P936" t="s">
        <v>28</v>
      </c>
      <c r="Q936">
        <v>0</v>
      </c>
    </row>
    <row r="937" spans="1:17" x14ac:dyDescent="0.3">
      <c r="A937" t="s">
        <v>17</v>
      </c>
      <c r="B937">
        <v>68</v>
      </c>
      <c r="C937" t="s">
        <v>34</v>
      </c>
      <c r="D937" s="2">
        <v>45796</v>
      </c>
      <c r="E937" s="3">
        <f t="shared" si="14"/>
        <v>45778</v>
      </c>
      <c r="F937" t="s">
        <v>1008</v>
      </c>
      <c r="G937" t="s">
        <v>122</v>
      </c>
      <c r="H937" s="4">
        <v>657.49</v>
      </c>
      <c r="I937" t="s">
        <v>108</v>
      </c>
      <c r="J937" t="s">
        <v>109</v>
      </c>
      <c r="K937" t="s">
        <v>609</v>
      </c>
      <c r="L937" s="2">
        <v>45778</v>
      </c>
      <c r="M937" t="s">
        <v>109</v>
      </c>
      <c r="N937">
        <v>0</v>
      </c>
      <c r="O937" t="s">
        <v>111</v>
      </c>
      <c r="P937" t="s">
        <v>112</v>
      </c>
      <c r="Q937" t="s">
        <v>113</v>
      </c>
    </row>
    <row r="938" spans="1:17" x14ac:dyDescent="0.3">
      <c r="A938" t="s">
        <v>17</v>
      </c>
      <c r="B938">
        <v>67</v>
      </c>
      <c r="C938" t="s">
        <v>28</v>
      </c>
      <c r="D938" s="2">
        <v>45796</v>
      </c>
      <c r="E938" s="3">
        <f t="shared" si="14"/>
        <v>45778</v>
      </c>
      <c r="F938" t="s">
        <v>1009</v>
      </c>
      <c r="G938" t="s">
        <v>398</v>
      </c>
      <c r="H938" s="4">
        <v>18750</v>
      </c>
      <c r="I938" t="s">
        <v>31</v>
      </c>
      <c r="J938" t="s">
        <v>399</v>
      </c>
      <c r="K938" t="s">
        <v>1010</v>
      </c>
      <c r="L938" s="2">
        <v>45778</v>
      </c>
      <c r="M938" t="s">
        <v>401</v>
      </c>
      <c r="N938">
        <v>0</v>
      </c>
      <c r="O938" t="s">
        <v>31</v>
      </c>
      <c r="P938" t="s">
        <v>28</v>
      </c>
      <c r="Q938">
        <v>0</v>
      </c>
    </row>
    <row r="939" spans="1:17" x14ac:dyDescent="0.3">
      <c r="A939" t="s">
        <v>17</v>
      </c>
      <c r="B939">
        <v>67</v>
      </c>
      <c r="C939" t="s">
        <v>28</v>
      </c>
      <c r="D939" s="2">
        <v>45796</v>
      </c>
      <c r="E939" s="3">
        <f t="shared" si="14"/>
        <v>45778</v>
      </c>
      <c r="F939" t="s">
        <v>1011</v>
      </c>
      <c r="G939" t="s">
        <v>398</v>
      </c>
      <c r="H939" s="4">
        <v>6000</v>
      </c>
      <c r="I939" t="s">
        <v>31</v>
      </c>
      <c r="J939" t="s">
        <v>48</v>
      </c>
      <c r="K939" t="s">
        <v>783</v>
      </c>
      <c r="L939" s="2">
        <v>45778</v>
      </c>
      <c r="M939" t="s">
        <v>50</v>
      </c>
      <c r="N939">
        <v>0</v>
      </c>
      <c r="O939" t="s">
        <v>31</v>
      </c>
      <c r="P939" t="s">
        <v>28</v>
      </c>
      <c r="Q939">
        <v>0</v>
      </c>
    </row>
    <row r="940" spans="1:17" x14ac:dyDescent="0.3">
      <c r="A940" t="s">
        <v>17</v>
      </c>
      <c r="B940">
        <v>68</v>
      </c>
      <c r="C940" t="s">
        <v>34</v>
      </c>
      <c r="D940" s="2">
        <v>45797</v>
      </c>
      <c r="E940" s="3">
        <f t="shared" si="14"/>
        <v>45778</v>
      </c>
      <c r="F940" t="s">
        <v>1012</v>
      </c>
      <c r="G940" t="s">
        <v>122</v>
      </c>
      <c r="H940" s="4">
        <v>55.83</v>
      </c>
      <c r="I940" t="s">
        <v>108</v>
      </c>
      <c r="J940" t="s">
        <v>109</v>
      </c>
      <c r="K940" t="s">
        <v>609</v>
      </c>
      <c r="L940" s="2">
        <v>45778</v>
      </c>
      <c r="M940" t="s">
        <v>109</v>
      </c>
      <c r="N940">
        <v>0</v>
      </c>
      <c r="O940" t="s">
        <v>111</v>
      </c>
      <c r="P940" t="s">
        <v>112</v>
      </c>
      <c r="Q940" t="s">
        <v>113</v>
      </c>
    </row>
    <row r="941" spans="1:17" x14ac:dyDescent="0.3">
      <c r="A941" t="s">
        <v>17</v>
      </c>
      <c r="B941">
        <v>67</v>
      </c>
      <c r="C941" t="s">
        <v>28</v>
      </c>
      <c r="D941" s="2">
        <v>45797</v>
      </c>
      <c r="E941" s="3">
        <f t="shared" si="14"/>
        <v>45778</v>
      </c>
      <c r="F941" t="s">
        <v>1013</v>
      </c>
      <c r="G941" t="s">
        <v>210</v>
      </c>
      <c r="H941" s="4">
        <v>21.78</v>
      </c>
      <c r="I941" t="s">
        <v>31</v>
      </c>
      <c r="J941" t="s">
        <v>74</v>
      </c>
      <c r="K941" t="s">
        <v>212</v>
      </c>
      <c r="L941" s="2">
        <v>45778</v>
      </c>
      <c r="M941" t="s">
        <v>76</v>
      </c>
      <c r="N941">
        <v>0</v>
      </c>
      <c r="O941" t="s">
        <v>31</v>
      </c>
      <c r="P941" t="s">
        <v>28</v>
      </c>
      <c r="Q941">
        <v>0</v>
      </c>
    </row>
    <row r="942" spans="1:17" x14ac:dyDescent="0.3">
      <c r="A942" t="s">
        <v>17</v>
      </c>
      <c r="B942">
        <v>67</v>
      </c>
      <c r="C942" t="s">
        <v>28</v>
      </c>
      <c r="D942" s="2">
        <v>45797</v>
      </c>
      <c r="E942" s="3">
        <f t="shared" si="14"/>
        <v>45778</v>
      </c>
      <c r="F942" t="s">
        <v>1013</v>
      </c>
      <c r="G942" t="s">
        <v>210</v>
      </c>
      <c r="H942" s="4">
        <v>11.99</v>
      </c>
      <c r="I942" t="s">
        <v>31</v>
      </c>
      <c r="J942" t="s">
        <v>74</v>
      </c>
      <c r="K942" t="s">
        <v>211</v>
      </c>
      <c r="L942" s="2">
        <v>45778</v>
      </c>
      <c r="M942" t="s">
        <v>76</v>
      </c>
      <c r="N942">
        <v>0</v>
      </c>
      <c r="O942" t="s">
        <v>31</v>
      </c>
      <c r="P942" t="s">
        <v>28</v>
      </c>
      <c r="Q942">
        <v>0</v>
      </c>
    </row>
    <row r="943" spans="1:17" x14ac:dyDescent="0.3">
      <c r="A943" t="s">
        <v>17</v>
      </c>
      <c r="B943">
        <v>67</v>
      </c>
      <c r="C943" t="s">
        <v>28</v>
      </c>
      <c r="D943" s="2">
        <v>45797</v>
      </c>
      <c r="E943" s="3">
        <f t="shared" si="14"/>
        <v>45778</v>
      </c>
      <c r="F943" t="s">
        <v>1013</v>
      </c>
      <c r="G943" t="s">
        <v>639</v>
      </c>
      <c r="H943" s="4">
        <v>16.989999999999998</v>
      </c>
      <c r="I943" t="s">
        <v>31</v>
      </c>
      <c r="J943" t="s">
        <v>74</v>
      </c>
      <c r="K943" t="s">
        <v>886</v>
      </c>
      <c r="L943" s="2">
        <v>45778</v>
      </c>
      <c r="M943" t="s">
        <v>76</v>
      </c>
      <c r="N943">
        <v>0</v>
      </c>
      <c r="O943" t="s">
        <v>31</v>
      </c>
      <c r="P943" t="s">
        <v>28</v>
      </c>
      <c r="Q943">
        <v>0</v>
      </c>
    </row>
    <row r="944" spans="1:17" x14ac:dyDescent="0.3">
      <c r="A944" t="s">
        <v>17</v>
      </c>
      <c r="B944">
        <v>64</v>
      </c>
      <c r="C944" t="s">
        <v>83</v>
      </c>
      <c r="D944" s="2">
        <v>45797</v>
      </c>
      <c r="E944" s="3">
        <f t="shared" si="14"/>
        <v>45778</v>
      </c>
      <c r="F944" t="s">
        <v>1014</v>
      </c>
      <c r="G944" t="s">
        <v>210</v>
      </c>
      <c r="H944" s="4">
        <v>512.98</v>
      </c>
      <c r="I944" t="s">
        <v>31</v>
      </c>
      <c r="J944" t="s">
        <v>84</v>
      </c>
      <c r="K944" t="s">
        <v>1015</v>
      </c>
      <c r="L944" s="2">
        <v>45778</v>
      </c>
      <c r="M944" t="s">
        <v>86</v>
      </c>
      <c r="N944">
        <v>0</v>
      </c>
      <c r="O944" t="s">
        <v>31</v>
      </c>
      <c r="P944" t="s">
        <v>83</v>
      </c>
      <c r="Q944">
        <v>0</v>
      </c>
    </row>
    <row r="945" spans="1:17" x14ac:dyDescent="0.3">
      <c r="A945" t="s">
        <v>17</v>
      </c>
      <c r="B945">
        <v>64</v>
      </c>
      <c r="C945" t="s">
        <v>83</v>
      </c>
      <c r="D945" s="2">
        <v>45797</v>
      </c>
      <c r="E945" s="3">
        <f t="shared" si="14"/>
        <v>45778</v>
      </c>
      <c r="F945" t="s">
        <v>1014</v>
      </c>
      <c r="G945" t="s">
        <v>210</v>
      </c>
      <c r="H945" s="4">
        <v>512.98</v>
      </c>
      <c r="I945" t="s">
        <v>31</v>
      </c>
      <c r="J945" t="s">
        <v>84</v>
      </c>
      <c r="K945" t="s">
        <v>1015</v>
      </c>
      <c r="L945" s="2">
        <v>45778</v>
      </c>
      <c r="M945" t="s">
        <v>86</v>
      </c>
      <c r="N945">
        <v>0</v>
      </c>
      <c r="O945" t="s">
        <v>31</v>
      </c>
      <c r="P945" t="s">
        <v>83</v>
      </c>
      <c r="Q945">
        <v>0</v>
      </c>
    </row>
    <row r="946" spans="1:17" x14ac:dyDescent="0.3">
      <c r="A946" t="s">
        <v>17</v>
      </c>
      <c r="B946">
        <v>64</v>
      </c>
      <c r="C946" t="s">
        <v>83</v>
      </c>
      <c r="D946" s="2">
        <v>45797</v>
      </c>
      <c r="E946" s="3">
        <f t="shared" si="14"/>
        <v>45778</v>
      </c>
      <c r="F946" t="s">
        <v>1014</v>
      </c>
      <c r="G946" t="s">
        <v>210</v>
      </c>
      <c r="H946" s="4">
        <v>512.98</v>
      </c>
      <c r="I946" t="s">
        <v>31</v>
      </c>
      <c r="J946" t="s">
        <v>84</v>
      </c>
      <c r="K946" t="s">
        <v>1015</v>
      </c>
      <c r="L946" s="2">
        <v>45778</v>
      </c>
      <c r="M946" t="s">
        <v>86</v>
      </c>
      <c r="N946">
        <v>0</v>
      </c>
      <c r="O946" t="s">
        <v>31</v>
      </c>
      <c r="P946" t="s">
        <v>83</v>
      </c>
      <c r="Q946">
        <v>0</v>
      </c>
    </row>
    <row r="947" spans="1:17" x14ac:dyDescent="0.3">
      <c r="A947" t="s">
        <v>17</v>
      </c>
      <c r="B947">
        <v>64</v>
      </c>
      <c r="C947" t="s">
        <v>83</v>
      </c>
      <c r="D947" s="2">
        <v>45797</v>
      </c>
      <c r="E947" s="3">
        <f t="shared" si="14"/>
        <v>45778</v>
      </c>
      <c r="F947" t="s">
        <v>1014</v>
      </c>
      <c r="G947" t="s">
        <v>210</v>
      </c>
      <c r="H947" s="4">
        <v>512.98</v>
      </c>
      <c r="I947" t="s">
        <v>31</v>
      </c>
      <c r="J947" t="s">
        <v>84</v>
      </c>
      <c r="K947" t="s">
        <v>1015</v>
      </c>
      <c r="L947" s="2">
        <v>45778</v>
      </c>
      <c r="M947" t="s">
        <v>86</v>
      </c>
      <c r="N947">
        <v>0</v>
      </c>
      <c r="O947" t="s">
        <v>31</v>
      </c>
      <c r="P947" t="s">
        <v>83</v>
      </c>
      <c r="Q947">
        <v>0</v>
      </c>
    </row>
    <row r="948" spans="1:17" x14ac:dyDescent="0.3">
      <c r="A948" t="s">
        <v>17</v>
      </c>
      <c r="B948">
        <v>64</v>
      </c>
      <c r="C948" t="s">
        <v>83</v>
      </c>
      <c r="D948" s="2">
        <v>45797</v>
      </c>
      <c r="E948" s="3">
        <f t="shared" si="14"/>
        <v>45778</v>
      </c>
      <c r="F948" t="s">
        <v>1014</v>
      </c>
      <c r="G948" t="s">
        <v>210</v>
      </c>
      <c r="H948" s="4">
        <v>512.98</v>
      </c>
      <c r="I948" t="s">
        <v>31</v>
      </c>
      <c r="J948" t="s">
        <v>84</v>
      </c>
      <c r="K948" t="s">
        <v>1015</v>
      </c>
      <c r="L948" s="2">
        <v>45778</v>
      </c>
      <c r="M948" t="s">
        <v>86</v>
      </c>
      <c r="N948">
        <v>0</v>
      </c>
      <c r="O948" t="s">
        <v>31</v>
      </c>
      <c r="P948" t="s">
        <v>83</v>
      </c>
      <c r="Q948">
        <v>0</v>
      </c>
    </row>
    <row r="949" spans="1:17" x14ac:dyDescent="0.3">
      <c r="A949" t="s">
        <v>17</v>
      </c>
      <c r="B949">
        <v>64</v>
      </c>
      <c r="C949" t="s">
        <v>83</v>
      </c>
      <c r="D949" s="2">
        <v>45797</v>
      </c>
      <c r="E949" s="3">
        <f t="shared" si="14"/>
        <v>45778</v>
      </c>
      <c r="F949" t="s">
        <v>1014</v>
      </c>
      <c r="G949" t="s">
        <v>210</v>
      </c>
      <c r="H949" s="4">
        <v>512.98</v>
      </c>
      <c r="I949" t="s">
        <v>31</v>
      </c>
      <c r="J949" t="s">
        <v>84</v>
      </c>
      <c r="K949" t="s">
        <v>1015</v>
      </c>
      <c r="L949" s="2">
        <v>45778</v>
      </c>
      <c r="M949" t="s">
        <v>86</v>
      </c>
      <c r="N949">
        <v>0</v>
      </c>
      <c r="O949" t="s">
        <v>31</v>
      </c>
      <c r="P949" t="s">
        <v>83</v>
      </c>
      <c r="Q949">
        <v>0</v>
      </c>
    </row>
    <row r="950" spans="1:17" x14ac:dyDescent="0.3">
      <c r="A950" t="s">
        <v>17</v>
      </c>
      <c r="B950">
        <v>67</v>
      </c>
      <c r="C950" t="s">
        <v>28</v>
      </c>
      <c r="D950" s="2">
        <v>45797</v>
      </c>
      <c r="E950" s="3">
        <f t="shared" si="14"/>
        <v>45778</v>
      </c>
      <c r="F950" t="s">
        <v>1016</v>
      </c>
      <c r="G950" t="s">
        <v>817</v>
      </c>
      <c r="H950" s="4">
        <v>1245</v>
      </c>
      <c r="I950" t="s">
        <v>31</v>
      </c>
      <c r="J950" t="s">
        <v>60</v>
      </c>
      <c r="K950" t="s">
        <v>1017</v>
      </c>
      <c r="L950" s="2">
        <v>45778</v>
      </c>
      <c r="M950" t="s">
        <v>60</v>
      </c>
      <c r="N950">
        <v>0</v>
      </c>
      <c r="O950" t="s">
        <v>31</v>
      </c>
      <c r="P950" t="s">
        <v>28</v>
      </c>
      <c r="Q950">
        <v>0</v>
      </c>
    </row>
    <row r="951" spans="1:17" x14ac:dyDescent="0.3">
      <c r="A951" t="s">
        <v>17</v>
      </c>
      <c r="B951">
        <v>64</v>
      </c>
      <c r="C951" t="s">
        <v>83</v>
      </c>
      <c r="D951" s="2">
        <v>45797</v>
      </c>
      <c r="E951" s="3">
        <f t="shared" si="14"/>
        <v>45778</v>
      </c>
      <c r="F951" t="s">
        <v>1014</v>
      </c>
      <c r="G951" t="s">
        <v>210</v>
      </c>
      <c r="H951" s="4">
        <v>663.27</v>
      </c>
      <c r="I951" t="s">
        <v>31</v>
      </c>
      <c r="J951" t="s">
        <v>91</v>
      </c>
      <c r="K951" t="s">
        <v>1018</v>
      </c>
      <c r="L951" s="2">
        <v>45778</v>
      </c>
      <c r="M951" t="s">
        <v>93</v>
      </c>
      <c r="N951">
        <v>0</v>
      </c>
      <c r="O951" t="s">
        <v>31</v>
      </c>
      <c r="P951" t="s">
        <v>83</v>
      </c>
      <c r="Q951">
        <v>0</v>
      </c>
    </row>
    <row r="952" spans="1:17" x14ac:dyDescent="0.3">
      <c r="A952" t="s">
        <v>17</v>
      </c>
      <c r="B952">
        <v>64</v>
      </c>
      <c r="C952" t="s">
        <v>83</v>
      </c>
      <c r="D952" s="2">
        <v>45797</v>
      </c>
      <c r="E952" s="3">
        <f t="shared" si="14"/>
        <v>45778</v>
      </c>
      <c r="F952" t="s">
        <v>1013</v>
      </c>
      <c r="G952" t="s">
        <v>210</v>
      </c>
      <c r="H952" s="4">
        <v>32.659999999999997</v>
      </c>
      <c r="I952" t="s">
        <v>47</v>
      </c>
      <c r="J952" t="s">
        <v>91</v>
      </c>
      <c r="K952" t="s">
        <v>1019</v>
      </c>
      <c r="L952" s="2">
        <v>45778</v>
      </c>
      <c r="M952" t="s">
        <v>93</v>
      </c>
      <c r="N952">
        <v>0</v>
      </c>
      <c r="O952" t="s">
        <v>26</v>
      </c>
      <c r="P952" t="s">
        <v>83</v>
      </c>
      <c r="Q952">
        <v>0</v>
      </c>
    </row>
    <row r="953" spans="1:17" x14ac:dyDescent="0.3">
      <c r="A953" t="s">
        <v>17</v>
      </c>
      <c r="B953">
        <v>64</v>
      </c>
      <c r="C953" t="s">
        <v>83</v>
      </c>
      <c r="D953" s="2">
        <v>45797</v>
      </c>
      <c r="E953" s="3">
        <f t="shared" si="14"/>
        <v>45778</v>
      </c>
      <c r="F953" t="s">
        <v>1013</v>
      </c>
      <c r="G953" t="s">
        <v>210</v>
      </c>
      <c r="H953" s="4">
        <v>27.8</v>
      </c>
      <c r="I953" t="s">
        <v>137</v>
      </c>
      <c r="J953" t="s">
        <v>91</v>
      </c>
      <c r="K953" t="s">
        <v>1020</v>
      </c>
      <c r="L953" s="2">
        <v>45778</v>
      </c>
      <c r="M953" t="s">
        <v>93</v>
      </c>
      <c r="N953" t="s">
        <v>141</v>
      </c>
      <c r="O953" t="s">
        <v>141</v>
      </c>
      <c r="P953" t="s">
        <v>83</v>
      </c>
      <c r="Q953">
        <v>0</v>
      </c>
    </row>
    <row r="954" spans="1:17" x14ac:dyDescent="0.3">
      <c r="A954" t="s">
        <v>17</v>
      </c>
      <c r="B954">
        <v>68</v>
      </c>
      <c r="C954" t="s">
        <v>34</v>
      </c>
      <c r="D954" s="2">
        <v>45797</v>
      </c>
      <c r="E954" s="3">
        <f t="shared" si="14"/>
        <v>45778</v>
      </c>
      <c r="F954" t="s">
        <v>1021</v>
      </c>
      <c r="G954" t="s">
        <v>122</v>
      </c>
      <c r="H954" s="4">
        <v>34.92</v>
      </c>
      <c r="I954" t="s">
        <v>108</v>
      </c>
      <c r="J954" t="s">
        <v>109</v>
      </c>
      <c r="K954" t="s">
        <v>609</v>
      </c>
      <c r="L954" s="2">
        <v>45778</v>
      </c>
      <c r="M954" t="s">
        <v>109</v>
      </c>
      <c r="N954">
        <v>0</v>
      </c>
      <c r="O954" t="s">
        <v>111</v>
      </c>
      <c r="P954" t="s">
        <v>112</v>
      </c>
      <c r="Q954" t="s">
        <v>113</v>
      </c>
    </row>
    <row r="955" spans="1:17" x14ac:dyDescent="0.3">
      <c r="A955" t="s">
        <v>17</v>
      </c>
      <c r="B955">
        <v>67</v>
      </c>
      <c r="C955" t="s">
        <v>28</v>
      </c>
      <c r="D955" s="2">
        <v>45798</v>
      </c>
      <c r="E955" s="3">
        <f t="shared" si="14"/>
        <v>45778</v>
      </c>
      <c r="F955" t="s">
        <v>1022</v>
      </c>
      <c r="G955" t="s">
        <v>1023</v>
      </c>
      <c r="H955" s="4">
        <v>1461.04</v>
      </c>
      <c r="I955" t="s">
        <v>31</v>
      </c>
      <c r="J955" t="s">
        <v>74</v>
      </c>
      <c r="K955" t="s">
        <v>1024</v>
      </c>
      <c r="L955" s="2">
        <v>45778</v>
      </c>
      <c r="M955" t="s">
        <v>76</v>
      </c>
      <c r="N955">
        <v>0</v>
      </c>
      <c r="O955" t="s">
        <v>31</v>
      </c>
      <c r="P955" t="s">
        <v>28</v>
      </c>
      <c r="Q955">
        <v>0</v>
      </c>
    </row>
    <row r="956" spans="1:17" x14ac:dyDescent="0.3">
      <c r="A956" t="s">
        <v>17</v>
      </c>
      <c r="B956">
        <v>67</v>
      </c>
      <c r="C956" t="s">
        <v>28</v>
      </c>
      <c r="D956" s="2">
        <v>45798</v>
      </c>
      <c r="E956" s="3">
        <f t="shared" si="14"/>
        <v>45778</v>
      </c>
      <c r="F956" t="s">
        <v>1025</v>
      </c>
      <c r="G956" t="s">
        <v>119</v>
      </c>
      <c r="H956" s="4">
        <v>641.25</v>
      </c>
      <c r="I956" t="s">
        <v>31</v>
      </c>
      <c r="J956" t="s">
        <v>68</v>
      </c>
      <c r="K956" t="s">
        <v>1026</v>
      </c>
      <c r="L956" s="2">
        <v>45778</v>
      </c>
      <c r="M956" t="s">
        <v>68</v>
      </c>
      <c r="N956">
        <v>0</v>
      </c>
      <c r="O956" t="s">
        <v>31</v>
      </c>
      <c r="P956" t="s">
        <v>28</v>
      </c>
      <c r="Q956">
        <v>0</v>
      </c>
    </row>
    <row r="957" spans="1:17" x14ac:dyDescent="0.3">
      <c r="A957" t="s">
        <v>17</v>
      </c>
      <c r="B957">
        <v>68</v>
      </c>
      <c r="C957" t="s">
        <v>34</v>
      </c>
      <c r="D957" s="2">
        <v>45798</v>
      </c>
      <c r="E957" s="3">
        <f t="shared" si="14"/>
        <v>45778</v>
      </c>
      <c r="F957" t="s">
        <v>1027</v>
      </c>
      <c r="G957" t="s">
        <v>122</v>
      </c>
      <c r="H957" s="4">
        <v>56.46</v>
      </c>
      <c r="I957" t="s">
        <v>108</v>
      </c>
      <c r="J957" t="s">
        <v>109</v>
      </c>
      <c r="K957" t="s">
        <v>662</v>
      </c>
      <c r="L957" s="2">
        <v>45778</v>
      </c>
      <c r="M957" t="s">
        <v>109</v>
      </c>
      <c r="N957">
        <v>0</v>
      </c>
      <c r="O957" t="s">
        <v>111</v>
      </c>
      <c r="P957" t="s">
        <v>112</v>
      </c>
      <c r="Q957" t="s">
        <v>113</v>
      </c>
    </row>
    <row r="958" spans="1:17" x14ac:dyDescent="0.3">
      <c r="A958" t="s">
        <v>17</v>
      </c>
      <c r="B958">
        <v>68</v>
      </c>
      <c r="C958" t="s">
        <v>34</v>
      </c>
      <c r="D958" s="2">
        <v>45798</v>
      </c>
      <c r="E958" s="3">
        <f t="shared" si="14"/>
        <v>45778</v>
      </c>
      <c r="F958" t="s">
        <v>1028</v>
      </c>
      <c r="G958" t="s">
        <v>122</v>
      </c>
      <c r="H958" s="4">
        <v>426.99</v>
      </c>
      <c r="I958" t="s">
        <v>108</v>
      </c>
      <c r="J958" t="s">
        <v>109</v>
      </c>
      <c r="K958" t="s">
        <v>388</v>
      </c>
      <c r="L958" s="2">
        <v>45778</v>
      </c>
      <c r="M958" t="s">
        <v>109</v>
      </c>
      <c r="N958">
        <v>0</v>
      </c>
      <c r="O958" t="s">
        <v>111</v>
      </c>
      <c r="P958" t="s">
        <v>112</v>
      </c>
      <c r="Q958" t="s">
        <v>113</v>
      </c>
    </row>
    <row r="959" spans="1:17" x14ac:dyDescent="0.3">
      <c r="A959" t="s">
        <v>17</v>
      </c>
      <c r="B959">
        <v>68</v>
      </c>
      <c r="C959" t="s">
        <v>34</v>
      </c>
      <c r="D959" s="2">
        <v>45798</v>
      </c>
      <c r="E959" s="3">
        <f t="shared" si="14"/>
        <v>45778</v>
      </c>
      <c r="F959" t="s">
        <v>1029</v>
      </c>
      <c r="G959" t="s">
        <v>122</v>
      </c>
      <c r="H959" s="4">
        <v>68.11</v>
      </c>
      <c r="I959" t="s">
        <v>108</v>
      </c>
      <c r="J959" t="s">
        <v>109</v>
      </c>
      <c r="K959" t="s">
        <v>609</v>
      </c>
      <c r="L959" s="2">
        <v>45778</v>
      </c>
      <c r="M959" t="s">
        <v>109</v>
      </c>
      <c r="N959">
        <v>0</v>
      </c>
      <c r="O959" t="s">
        <v>111</v>
      </c>
      <c r="P959" t="s">
        <v>112</v>
      </c>
      <c r="Q959" t="s">
        <v>113</v>
      </c>
    </row>
    <row r="960" spans="1:17" x14ac:dyDescent="0.3">
      <c r="A960" t="s">
        <v>17</v>
      </c>
      <c r="B960">
        <v>67</v>
      </c>
      <c r="C960" t="s">
        <v>28</v>
      </c>
      <c r="D960" s="2">
        <v>45800</v>
      </c>
      <c r="E960" s="3">
        <f t="shared" si="14"/>
        <v>45778</v>
      </c>
      <c r="F960" t="s">
        <v>1030</v>
      </c>
      <c r="G960" t="s">
        <v>67</v>
      </c>
      <c r="H960" s="4">
        <v>504.79</v>
      </c>
      <c r="I960" t="s">
        <v>31</v>
      </c>
      <c r="J960" t="s">
        <v>68</v>
      </c>
      <c r="K960" t="s">
        <v>1031</v>
      </c>
      <c r="L960" s="2">
        <v>45778</v>
      </c>
      <c r="M960" t="s">
        <v>68</v>
      </c>
      <c r="N960">
        <v>0</v>
      </c>
      <c r="O960" t="s">
        <v>31</v>
      </c>
      <c r="P960" t="s">
        <v>28</v>
      </c>
      <c r="Q960">
        <v>0</v>
      </c>
    </row>
    <row r="961" spans="1:17" x14ac:dyDescent="0.3">
      <c r="A961" t="s">
        <v>17</v>
      </c>
      <c r="B961">
        <v>63</v>
      </c>
      <c r="C961" t="s">
        <v>18</v>
      </c>
      <c r="D961" s="2">
        <v>45804</v>
      </c>
      <c r="E961" s="3">
        <f t="shared" si="14"/>
        <v>45778</v>
      </c>
      <c r="F961" t="s">
        <v>1032</v>
      </c>
      <c r="G961" t="s">
        <v>125</v>
      </c>
      <c r="H961" s="4">
        <v>4320</v>
      </c>
      <c r="I961" t="s">
        <v>21</v>
      </c>
      <c r="J961" t="s">
        <v>22</v>
      </c>
      <c r="K961" t="s">
        <v>1033</v>
      </c>
      <c r="L961" s="2">
        <v>45778</v>
      </c>
      <c r="M961" t="s">
        <v>24</v>
      </c>
      <c r="N961" t="s">
        <v>25</v>
      </c>
      <c r="O961" t="s">
        <v>26</v>
      </c>
      <c r="P961" t="s">
        <v>18</v>
      </c>
      <c r="Q961" t="s">
        <v>27</v>
      </c>
    </row>
    <row r="962" spans="1:17" x14ac:dyDescent="0.3">
      <c r="A962" t="s">
        <v>17</v>
      </c>
      <c r="B962">
        <v>67</v>
      </c>
      <c r="C962" t="s">
        <v>28</v>
      </c>
      <c r="D962" s="2">
        <v>45804</v>
      </c>
      <c r="E962" s="3">
        <f t="shared" si="14"/>
        <v>45778</v>
      </c>
      <c r="F962" t="s">
        <v>1034</v>
      </c>
      <c r="G962" t="s">
        <v>205</v>
      </c>
      <c r="H962" s="4">
        <v>1000</v>
      </c>
      <c r="I962" t="s">
        <v>31</v>
      </c>
      <c r="J962" t="s">
        <v>32</v>
      </c>
      <c r="K962" t="s">
        <v>1035</v>
      </c>
      <c r="L962" s="2">
        <v>45778</v>
      </c>
      <c r="M962" t="s">
        <v>32</v>
      </c>
      <c r="N962">
        <v>0</v>
      </c>
      <c r="O962" t="s">
        <v>31</v>
      </c>
      <c r="P962" t="s">
        <v>28</v>
      </c>
      <c r="Q962">
        <v>0</v>
      </c>
    </row>
    <row r="963" spans="1:17" x14ac:dyDescent="0.3">
      <c r="A963" t="s">
        <v>17</v>
      </c>
      <c r="B963">
        <v>67</v>
      </c>
      <c r="C963" t="s">
        <v>28</v>
      </c>
      <c r="D963" s="2">
        <v>45804</v>
      </c>
      <c r="E963" s="3">
        <f t="shared" ref="E963:E1026" si="15">IF($D963="","",DATE(YEAR($D963),MONTH($D963),1))</f>
        <v>45778</v>
      </c>
      <c r="F963" t="s">
        <v>1036</v>
      </c>
      <c r="G963" t="s">
        <v>208</v>
      </c>
      <c r="H963" s="4">
        <v>500</v>
      </c>
      <c r="I963" t="s">
        <v>31</v>
      </c>
      <c r="J963" t="s">
        <v>32</v>
      </c>
      <c r="K963" t="s">
        <v>1037</v>
      </c>
      <c r="L963" s="2">
        <v>45778</v>
      </c>
      <c r="M963" t="s">
        <v>32</v>
      </c>
      <c r="N963">
        <v>0</v>
      </c>
      <c r="O963" t="s">
        <v>31</v>
      </c>
      <c r="P963" t="s">
        <v>28</v>
      </c>
      <c r="Q963">
        <v>0</v>
      </c>
    </row>
    <row r="964" spans="1:17" x14ac:dyDescent="0.3">
      <c r="A964" t="s">
        <v>17</v>
      </c>
      <c r="B964">
        <v>64</v>
      </c>
      <c r="C964" t="s">
        <v>83</v>
      </c>
      <c r="D964" s="2">
        <v>45804</v>
      </c>
      <c r="E964" s="3">
        <f t="shared" si="15"/>
        <v>45778</v>
      </c>
      <c r="F964" t="s">
        <v>1038</v>
      </c>
      <c r="G964" t="s">
        <v>1039</v>
      </c>
      <c r="H964" s="4">
        <v>14.5</v>
      </c>
      <c r="I964" t="s">
        <v>137</v>
      </c>
      <c r="J964" t="s">
        <v>87</v>
      </c>
      <c r="K964" t="s">
        <v>1040</v>
      </c>
      <c r="L964" s="2">
        <v>45778</v>
      </c>
      <c r="M964" t="s">
        <v>89</v>
      </c>
      <c r="N964" t="s">
        <v>141</v>
      </c>
      <c r="O964" t="s">
        <v>141</v>
      </c>
      <c r="P964" t="s">
        <v>83</v>
      </c>
      <c r="Q964">
        <v>0</v>
      </c>
    </row>
    <row r="965" spans="1:17" x14ac:dyDescent="0.3">
      <c r="A965" t="s">
        <v>17</v>
      </c>
      <c r="B965">
        <v>64</v>
      </c>
      <c r="C965" t="s">
        <v>83</v>
      </c>
      <c r="D965" s="2">
        <v>45804</v>
      </c>
      <c r="E965" s="3">
        <f t="shared" si="15"/>
        <v>45778</v>
      </c>
      <c r="F965" t="s">
        <v>1038</v>
      </c>
      <c r="G965" t="s">
        <v>1039</v>
      </c>
      <c r="H965" s="4">
        <v>14.5</v>
      </c>
      <c r="I965" t="s">
        <v>137</v>
      </c>
      <c r="J965" t="s">
        <v>87</v>
      </c>
      <c r="K965" t="s">
        <v>1040</v>
      </c>
      <c r="L965" s="2">
        <v>45778</v>
      </c>
      <c r="M965" t="s">
        <v>89</v>
      </c>
      <c r="N965" t="s">
        <v>141</v>
      </c>
      <c r="O965" t="s">
        <v>141</v>
      </c>
      <c r="P965" t="s">
        <v>83</v>
      </c>
      <c r="Q965">
        <v>0</v>
      </c>
    </row>
    <row r="966" spans="1:17" x14ac:dyDescent="0.3">
      <c r="A966" t="s">
        <v>17</v>
      </c>
      <c r="B966">
        <v>64</v>
      </c>
      <c r="C966" t="s">
        <v>83</v>
      </c>
      <c r="D966" s="2">
        <v>45804</v>
      </c>
      <c r="E966" s="3">
        <f t="shared" si="15"/>
        <v>45778</v>
      </c>
      <c r="F966" t="s">
        <v>1038</v>
      </c>
      <c r="G966" t="s">
        <v>1039</v>
      </c>
      <c r="H966" s="4">
        <v>102</v>
      </c>
      <c r="I966" t="s">
        <v>137</v>
      </c>
      <c r="J966" t="s">
        <v>87</v>
      </c>
      <c r="K966" t="s">
        <v>1041</v>
      </c>
      <c r="L966" s="2">
        <v>45778</v>
      </c>
      <c r="M966" t="s">
        <v>89</v>
      </c>
      <c r="N966" t="s">
        <v>141</v>
      </c>
      <c r="O966" t="s">
        <v>141</v>
      </c>
      <c r="P966" t="s">
        <v>83</v>
      </c>
      <c r="Q966">
        <v>0</v>
      </c>
    </row>
    <row r="967" spans="1:17" x14ac:dyDescent="0.3">
      <c r="A967" t="s">
        <v>17</v>
      </c>
      <c r="B967">
        <v>64</v>
      </c>
      <c r="C967" t="s">
        <v>83</v>
      </c>
      <c r="D967" s="2">
        <v>45804</v>
      </c>
      <c r="E967" s="3">
        <f t="shared" si="15"/>
        <v>45778</v>
      </c>
      <c r="F967" t="s">
        <v>1038</v>
      </c>
      <c r="G967" t="s">
        <v>1039</v>
      </c>
      <c r="H967" s="4">
        <v>287</v>
      </c>
      <c r="I967" t="s">
        <v>137</v>
      </c>
      <c r="J967" t="s">
        <v>87</v>
      </c>
      <c r="K967" t="s">
        <v>1040</v>
      </c>
      <c r="L967" s="2">
        <v>45778</v>
      </c>
      <c r="M967" t="s">
        <v>89</v>
      </c>
      <c r="N967" t="s">
        <v>141</v>
      </c>
      <c r="O967" t="s">
        <v>141</v>
      </c>
      <c r="P967" t="s">
        <v>83</v>
      </c>
      <c r="Q967">
        <v>0</v>
      </c>
    </row>
    <row r="968" spans="1:17" x14ac:dyDescent="0.3">
      <c r="A968" t="s">
        <v>17</v>
      </c>
      <c r="B968">
        <v>64</v>
      </c>
      <c r="C968" t="s">
        <v>83</v>
      </c>
      <c r="D968" s="2">
        <v>45804</v>
      </c>
      <c r="E968" s="3">
        <f t="shared" si="15"/>
        <v>45778</v>
      </c>
      <c r="F968" t="s">
        <v>1038</v>
      </c>
      <c r="G968" t="s">
        <v>1039</v>
      </c>
      <c r="H968" s="4">
        <v>266.38</v>
      </c>
      <c r="I968" t="s">
        <v>137</v>
      </c>
      <c r="J968" t="s">
        <v>530</v>
      </c>
      <c r="K968" t="s">
        <v>1042</v>
      </c>
      <c r="L968" s="2">
        <v>45778</v>
      </c>
      <c r="M968" t="s">
        <v>531</v>
      </c>
      <c r="N968" t="s">
        <v>141</v>
      </c>
      <c r="O968" t="s">
        <v>141</v>
      </c>
      <c r="P968" t="s">
        <v>83</v>
      </c>
      <c r="Q968">
        <v>0</v>
      </c>
    </row>
    <row r="969" spans="1:17" x14ac:dyDescent="0.3">
      <c r="A969" t="s">
        <v>17</v>
      </c>
      <c r="B969">
        <v>68</v>
      </c>
      <c r="C969" t="s">
        <v>34</v>
      </c>
      <c r="D969" s="2">
        <v>45804</v>
      </c>
      <c r="E969" s="3">
        <f t="shared" si="15"/>
        <v>45778</v>
      </c>
      <c r="F969" t="s">
        <v>1043</v>
      </c>
      <c r="G969" t="s">
        <v>122</v>
      </c>
      <c r="H969" s="4">
        <v>54.99</v>
      </c>
      <c r="I969" t="s">
        <v>108</v>
      </c>
      <c r="J969" t="s">
        <v>109</v>
      </c>
      <c r="K969" t="s">
        <v>1044</v>
      </c>
      <c r="L969" s="2">
        <v>45778</v>
      </c>
      <c r="M969" t="s">
        <v>109</v>
      </c>
      <c r="N969">
        <v>0</v>
      </c>
      <c r="O969" t="s">
        <v>111</v>
      </c>
      <c r="P969" t="s">
        <v>112</v>
      </c>
      <c r="Q969" t="s">
        <v>113</v>
      </c>
    </row>
    <row r="970" spans="1:17" x14ac:dyDescent="0.3">
      <c r="A970" t="s">
        <v>17</v>
      </c>
      <c r="B970">
        <v>67</v>
      </c>
      <c r="C970" t="s">
        <v>28</v>
      </c>
      <c r="D970" s="2">
        <v>45805</v>
      </c>
      <c r="E970" s="3">
        <f t="shared" si="15"/>
        <v>45778</v>
      </c>
      <c r="F970" t="s">
        <v>1045</v>
      </c>
      <c r="G970" t="s">
        <v>119</v>
      </c>
      <c r="H970" s="4">
        <v>1282.5</v>
      </c>
      <c r="I970" t="s">
        <v>31</v>
      </c>
      <c r="J970" t="s">
        <v>68</v>
      </c>
      <c r="K970" t="s">
        <v>1046</v>
      </c>
      <c r="L970" s="2">
        <v>45778</v>
      </c>
      <c r="M970" t="s">
        <v>68</v>
      </c>
      <c r="N970">
        <v>0</v>
      </c>
      <c r="O970" t="s">
        <v>31</v>
      </c>
      <c r="P970" t="s">
        <v>28</v>
      </c>
      <c r="Q970">
        <v>0</v>
      </c>
    </row>
    <row r="971" spans="1:17" x14ac:dyDescent="0.3">
      <c r="A971" t="s">
        <v>17</v>
      </c>
      <c r="B971">
        <v>68</v>
      </c>
      <c r="C971" t="s">
        <v>34</v>
      </c>
      <c r="D971" s="2">
        <v>45805</v>
      </c>
      <c r="E971" s="3">
        <f t="shared" si="15"/>
        <v>45778</v>
      </c>
      <c r="F971" t="s">
        <v>1047</v>
      </c>
      <c r="G971" t="s">
        <v>122</v>
      </c>
      <c r="H971" s="4">
        <v>132.71</v>
      </c>
      <c r="I971" t="s">
        <v>108</v>
      </c>
      <c r="J971" t="s">
        <v>109</v>
      </c>
      <c r="K971" t="s">
        <v>1048</v>
      </c>
      <c r="L971" s="2">
        <v>45778</v>
      </c>
      <c r="M971" t="s">
        <v>109</v>
      </c>
      <c r="N971">
        <v>0</v>
      </c>
      <c r="O971" t="s">
        <v>111</v>
      </c>
      <c r="P971" t="s">
        <v>112</v>
      </c>
      <c r="Q971" t="s">
        <v>113</v>
      </c>
    </row>
    <row r="972" spans="1:17" x14ac:dyDescent="0.3">
      <c r="A972" t="s">
        <v>17</v>
      </c>
      <c r="B972">
        <v>68</v>
      </c>
      <c r="C972" t="s">
        <v>34</v>
      </c>
      <c r="D972" s="2">
        <v>45805</v>
      </c>
      <c r="E972" s="3">
        <f t="shared" si="15"/>
        <v>45778</v>
      </c>
      <c r="F972" t="s">
        <v>1049</v>
      </c>
      <c r="G972" t="s">
        <v>122</v>
      </c>
      <c r="H972" s="4">
        <v>23.61</v>
      </c>
      <c r="I972" t="s">
        <v>108</v>
      </c>
      <c r="J972" t="s">
        <v>109</v>
      </c>
      <c r="K972" t="s">
        <v>1044</v>
      </c>
      <c r="L972" s="2">
        <v>45778</v>
      </c>
      <c r="M972" t="s">
        <v>109</v>
      </c>
      <c r="N972">
        <v>0</v>
      </c>
      <c r="O972" t="s">
        <v>111</v>
      </c>
      <c r="P972" t="s">
        <v>112</v>
      </c>
      <c r="Q972" t="s">
        <v>113</v>
      </c>
    </row>
    <row r="973" spans="1:17" x14ac:dyDescent="0.3">
      <c r="A973" t="s">
        <v>17</v>
      </c>
      <c r="B973">
        <v>68</v>
      </c>
      <c r="C973" t="s">
        <v>34</v>
      </c>
      <c r="D973" s="2">
        <v>45805</v>
      </c>
      <c r="E973" s="3">
        <f t="shared" si="15"/>
        <v>45778</v>
      </c>
      <c r="F973" t="s">
        <v>1050</v>
      </c>
      <c r="G973" t="s">
        <v>122</v>
      </c>
      <c r="H973" s="4">
        <v>54.99</v>
      </c>
      <c r="I973" t="s">
        <v>108</v>
      </c>
      <c r="J973" t="s">
        <v>109</v>
      </c>
      <c r="K973" t="s">
        <v>1044</v>
      </c>
      <c r="L973" s="2">
        <v>45778</v>
      </c>
      <c r="M973" t="s">
        <v>109</v>
      </c>
      <c r="N973">
        <v>0</v>
      </c>
      <c r="O973" t="s">
        <v>111</v>
      </c>
      <c r="P973" t="s">
        <v>112</v>
      </c>
      <c r="Q973" t="s">
        <v>113</v>
      </c>
    </row>
    <row r="974" spans="1:17" x14ac:dyDescent="0.3">
      <c r="A974" t="s">
        <v>17</v>
      </c>
      <c r="B974">
        <v>67</v>
      </c>
      <c r="C974" t="s">
        <v>28</v>
      </c>
      <c r="D974" s="2">
        <v>45805</v>
      </c>
      <c r="E974" s="3">
        <f t="shared" si="15"/>
        <v>45778</v>
      </c>
      <c r="F974" t="s">
        <v>1051</v>
      </c>
      <c r="H974" s="4">
        <v>-734.29</v>
      </c>
      <c r="I974" t="s">
        <v>31</v>
      </c>
      <c r="J974" t="s">
        <v>32</v>
      </c>
      <c r="K974" t="s">
        <v>1052</v>
      </c>
      <c r="L974" s="2">
        <v>45778</v>
      </c>
      <c r="M974" t="s">
        <v>32</v>
      </c>
      <c r="N974">
        <v>0</v>
      </c>
      <c r="O974" t="s">
        <v>31</v>
      </c>
      <c r="P974" t="s">
        <v>28</v>
      </c>
      <c r="Q974">
        <v>0</v>
      </c>
    </row>
    <row r="975" spans="1:17" x14ac:dyDescent="0.3">
      <c r="A975" t="s">
        <v>17</v>
      </c>
      <c r="B975">
        <v>66</v>
      </c>
      <c r="C975" t="s">
        <v>134</v>
      </c>
      <c r="D975" s="2">
        <v>45806</v>
      </c>
      <c r="E975" s="3">
        <f t="shared" si="15"/>
        <v>45778</v>
      </c>
      <c r="F975" t="s">
        <v>1053</v>
      </c>
      <c r="G975" t="s">
        <v>222</v>
      </c>
      <c r="H975" s="4">
        <v>179.65</v>
      </c>
      <c r="I975" t="s">
        <v>104</v>
      </c>
      <c r="J975" t="s">
        <v>223</v>
      </c>
      <c r="K975" t="s">
        <v>468</v>
      </c>
      <c r="L975" s="2">
        <v>45778</v>
      </c>
      <c r="M975" t="s">
        <v>223</v>
      </c>
      <c r="N975">
        <v>0</v>
      </c>
      <c r="O975" t="s">
        <v>104</v>
      </c>
      <c r="P975" t="s">
        <v>134</v>
      </c>
      <c r="Q975">
        <v>0</v>
      </c>
    </row>
    <row r="976" spans="1:17" x14ac:dyDescent="0.3">
      <c r="A976" t="s">
        <v>17</v>
      </c>
      <c r="B976">
        <v>66</v>
      </c>
      <c r="C976" t="s">
        <v>134</v>
      </c>
      <c r="D976" s="2">
        <v>45806</v>
      </c>
      <c r="E976" s="3">
        <f t="shared" si="15"/>
        <v>45778</v>
      </c>
      <c r="F976" t="s">
        <v>1053</v>
      </c>
      <c r="G976" t="s">
        <v>222</v>
      </c>
      <c r="H976" s="4">
        <v>146</v>
      </c>
      <c r="I976" t="s">
        <v>104</v>
      </c>
      <c r="J976" t="s">
        <v>223</v>
      </c>
      <c r="K976" t="s">
        <v>468</v>
      </c>
      <c r="L976" s="2">
        <v>45778</v>
      </c>
      <c r="M976" t="s">
        <v>223</v>
      </c>
      <c r="N976">
        <v>0</v>
      </c>
      <c r="O976" t="s">
        <v>104</v>
      </c>
      <c r="P976" t="s">
        <v>134</v>
      </c>
      <c r="Q976">
        <v>0</v>
      </c>
    </row>
    <row r="977" spans="1:17" x14ac:dyDescent="0.3">
      <c r="A977" t="s">
        <v>17</v>
      </c>
      <c r="B977">
        <v>66</v>
      </c>
      <c r="C977" t="s">
        <v>134</v>
      </c>
      <c r="D977" s="2">
        <v>45806</v>
      </c>
      <c r="E977" s="3">
        <f t="shared" si="15"/>
        <v>45778</v>
      </c>
      <c r="F977" t="s">
        <v>1053</v>
      </c>
      <c r="G977" t="s">
        <v>222</v>
      </c>
      <c r="H977" s="4">
        <v>-49.8</v>
      </c>
      <c r="I977" t="s">
        <v>104</v>
      </c>
      <c r="J977" t="s">
        <v>223</v>
      </c>
      <c r="K977" t="s">
        <v>468</v>
      </c>
      <c r="L977" s="2">
        <v>45778</v>
      </c>
      <c r="M977" t="s">
        <v>223</v>
      </c>
      <c r="N977">
        <v>0</v>
      </c>
      <c r="O977" t="s">
        <v>104</v>
      </c>
      <c r="P977" t="s">
        <v>134</v>
      </c>
      <c r="Q977">
        <v>0</v>
      </c>
    </row>
    <row r="978" spans="1:17" x14ac:dyDescent="0.3">
      <c r="A978" t="s">
        <v>17</v>
      </c>
      <c r="B978">
        <v>66</v>
      </c>
      <c r="C978" t="s">
        <v>134</v>
      </c>
      <c r="D978" s="2">
        <v>45806</v>
      </c>
      <c r="E978" s="3">
        <f t="shared" si="15"/>
        <v>45778</v>
      </c>
      <c r="F978" t="s">
        <v>1053</v>
      </c>
      <c r="G978" t="s">
        <v>222</v>
      </c>
      <c r="H978" s="4">
        <v>49.8</v>
      </c>
      <c r="I978" t="s">
        <v>104</v>
      </c>
      <c r="J978" t="s">
        <v>223</v>
      </c>
      <c r="K978" t="s">
        <v>468</v>
      </c>
      <c r="L978" s="2">
        <v>45778</v>
      </c>
      <c r="M978" t="s">
        <v>223</v>
      </c>
      <c r="N978">
        <v>0</v>
      </c>
      <c r="O978" t="s">
        <v>104</v>
      </c>
      <c r="P978" t="s">
        <v>134</v>
      </c>
      <c r="Q978">
        <v>0</v>
      </c>
    </row>
    <row r="979" spans="1:17" x14ac:dyDescent="0.3">
      <c r="A979" t="s">
        <v>17</v>
      </c>
      <c r="B979">
        <v>66</v>
      </c>
      <c r="C979" t="s">
        <v>134</v>
      </c>
      <c r="D979" s="2">
        <v>45806</v>
      </c>
      <c r="E979" s="3">
        <f t="shared" si="15"/>
        <v>45778</v>
      </c>
      <c r="F979" t="s">
        <v>1053</v>
      </c>
      <c r="G979" t="s">
        <v>222</v>
      </c>
      <c r="H979" s="4">
        <v>-14.9</v>
      </c>
      <c r="I979" t="s">
        <v>104</v>
      </c>
      <c r="J979" t="s">
        <v>223</v>
      </c>
      <c r="K979" t="s">
        <v>468</v>
      </c>
      <c r="L979" s="2">
        <v>45778</v>
      </c>
      <c r="M979" t="s">
        <v>223</v>
      </c>
      <c r="N979">
        <v>0</v>
      </c>
      <c r="O979" t="s">
        <v>104</v>
      </c>
      <c r="P979" t="s">
        <v>134</v>
      </c>
      <c r="Q979">
        <v>0</v>
      </c>
    </row>
    <row r="980" spans="1:17" x14ac:dyDescent="0.3">
      <c r="A980" t="s">
        <v>17</v>
      </c>
      <c r="B980">
        <v>66</v>
      </c>
      <c r="C980" t="s">
        <v>134</v>
      </c>
      <c r="D980" s="2">
        <v>45806</v>
      </c>
      <c r="E980" s="3">
        <f t="shared" si="15"/>
        <v>45778</v>
      </c>
      <c r="F980" t="s">
        <v>1053</v>
      </c>
      <c r="G980" t="s">
        <v>222</v>
      </c>
      <c r="H980" s="4">
        <v>29.8</v>
      </c>
      <c r="I980" t="s">
        <v>104</v>
      </c>
      <c r="J980" t="s">
        <v>223</v>
      </c>
      <c r="K980" t="s">
        <v>468</v>
      </c>
      <c r="L980" s="2">
        <v>45778</v>
      </c>
      <c r="M980" t="s">
        <v>223</v>
      </c>
      <c r="N980">
        <v>0</v>
      </c>
      <c r="O980" t="s">
        <v>104</v>
      </c>
      <c r="P980" t="s">
        <v>134</v>
      </c>
      <c r="Q980">
        <v>0</v>
      </c>
    </row>
    <row r="981" spans="1:17" x14ac:dyDescent="0.3">
      <c r="A981" t="s">
        <v>17</v>
      </c>
      <c r="B981">
        <v>66</v>
      </c>
      <c r="C981" t="s">
        <v>134</v>
      </c>
      <c r="D981" s="2">
        <v>45806</v>
      </c>
      <c r="E981" s="3">
        <f t="shared" si="15"/>
        <v>45778</v>
      </c>
      <c r="F981" t="s">
        <v>1053</v>
      </c>
      <c r="G981" t="s">
        <v>222</v>
      </c>
      <c r="H981" s="4">
        <v>-35.93</v>
      </c>
      <c r="I981" t="s">
        <v>104</v>
      </c>
      <c r="J981" t="s">
        <v>223</v>
      </c>
      <c r="K981" t="s">
        <v>468</v>
      </c>
      <c r="L981" s="2">
        <v>45778</v>
      </c>
      <c r="M981" t="s">
        <v>223</v>
      </c>
      <c r="N981">
        <v>0</v>
      </c>
      <c r="O981" t="s">
        <v>104</v>
      </c>
      <c r="P981" t="s">
        <v>134</v>
      </c>
      <c r="Q981">
        <v>0</v>
      </c>
    </row>
    <row r="982" spans="1:17" x14ac:dyDescent="0.3">
      <c r="A982" t="s">
        <v>17</v>
      </c>
      <c r="B982">
        <v>66</v>
      </c>
      <c r="C982" t="s">
        <v>134</v>
      </c>
      <c r="D982" s="2">
        <v>45806</v>
      </c>
      <c r="E982" s="3">
        <f t="shared" si="15"/>
        <v>45778</v>
      </c>
      <c r="F982" t="s">
        <v>1053</v>
      </c>
      <c r="G982" t="s">
        <v>222</v>
      </c>
      <c r="H982" s="4">
        <v>58</v>
      </c>
      <c r="I982" t="s">
        <v>104</v>
      </c>
      <c r="J982" t="s">
        <v>223</v>
      </c>
      <c r="K982" t="s">
        <v>468</v>
      </c>
      <c r="L982" s="2">
        <v>45778</v>
      </c>
      <c r="M982" t="s">
        <v>223</v>
      </c>
      <c r="N982">
        <v>0</v>
      </c>
      <c r="O982" t="s">
        <v>104</v>
      </c>
      <c r="P982" t="s">
        <v>134</v>
      </c>
      <c r="Q982">
        <v>0</v>
      </c>
    </row>
    <row r="983" spans="1:17" x14ac:dyDescent="0.3">
      <c r="A983" t="s">
        <v>17</v>
      </c>
      <c r="B983">
        <v>66</v>
      </c>
      <c r="C983" t="s">
        <v>134</v>
      </c>
      <c r="D983" s="2">
        <v>45806</v>
      </c>
      <c r="E983" s="3">
        <f t="shared" si="15"/>
        <v>45778</v>
      </c>
      <c r="F983" t="s">
        <v>1053</v>
      </c>
      <c r="G983" t="s">
        <v>222</v>
      </c>
      <c r="H983" s="4">
        <v>98</v>
      </c>
      <c r="I983" t="s">
        <v>104</v>
      </c>
      <c r="J983" t="s">
        <v>223</v>
      </c>
      <c r="K983" t="s">
        <v>468</v>
      </c>
      <c r="L983" s="2">
        <v>45778</v>
      </c>
      <c r="M983" t="s">
        <v>223</v>
      </c>
      <c r="N983">
        <v>0</v>
      </c>
      <c r="O983" t="s">
        <v>104</v>
      </c>
      <c r="P983" t="s">
        <v>134</v>
      </c>
      <c r="Q983">
        <v>0</v>
      </c>
    </row>
    <row r="984" spans="1:17" x14ac:dyDescent="0.3">
      <c r="A984" t="s">
        <v>17</v>
      </c>
      <c r="B984">
        <v>66</v>
      </c>
      <c r="C984" t="s">
        <v>134</v>
      </c>
      <c r="D984" s="2">
        <v>45806</v>
      </c>
      <c r="E984" s="3">
        <f t="shared" si="15"/>
        <v>45778</v>
      </c>
      <c r="F984" t="s">
        <v>1053</v>
      </c>
      <c r="G984" t="s">
        <v>222</v>
      </c>
      <c r="H984" s="4">
        <v>-143.72</v>
      </c>
      <c r="I984" t="s">
        <v>104</v>
      </c>
      <c r="J984" t="s">
        <v>223</v>
      </c>
      <c r="K984" t="s">
        <v>468</v>
      </c>
      <c r="L984" s="2">
        <v>45778</v>
      </c>
      <c r="M984" t="s">
        <v>223</v>
      </c>
      <c r="N984">
        <v>0</v>
      </c>
      <c r="O984" t="s">
        <v>104</v>
      </c>
      <c r="P984" t="s">
        <v>134</v>
      </c>
      <c r="Q984">
        <v>0</v>
      </c>
    </row>
    <row r="985" spans="1:17" x14ac:dyDescent="0.3">
      <c r="A985" t="s">
        <v>17</v>
      </c>
      <c r="B985">
        <v>66</v>
      </c>
      <c r="C985" t="s">
        <v>134</v>
      </c>
      <c r="D985" s="2">
        <v>45806</v>
      </c>
      <c r="E985" s="3">
        <f t="shared" si="15"/>
        <v>45778</v>
      </c>
      <c r="F985" t="s">
        <v>1053</v>
      </c>
      <c r="G985" t="s">
        <v>222</v>
      </c>
      <c r="H985" s="4">
        <v>-98</v>
      </c>
      <c r="I985" t="s">
        <v>104</v>
      </c>
      <c r="J985" t="s">
        <v>223</v>
      </c>
      <c r="K985" t="s">
        <v>468</v>
      </c>
      <c r="L985" s="2">
        <v>45778</v>
      </c>
      <c r="M985" t="s">
        <v>223</v>
      </c>
      <c r="N985">
        <v>0</v>
      </c>
      <c r="O985" t="s">
        <v>104</v>
      </c>
      <c r="P985" t="s">
        <v>134</v>
      </c>
      <c r="Q985">
        <v>0</v>
      </c>
    </row>
    <row r="986" spans="1:17" x14ac:dyDescent="0.3">
      <c r="A986" t="s">
        <v>17</v>
      </c>
      <c r="B986">
        <v>66</v>
      </c>
      <c r="C986" t="s">
        <v>134</v>
      </c>
      <c r="D986" s="2">
        <v>45806</v>
      </c>
      <c r="E986" s="3">
        <f t="shared" si="15"/>
        <v>45778</v>
      </c>
      <c r="F986" t="s">
        <v>1053</v>
      </c>
      <c r="G986" t="s">
        <v>222</v>
      </c>
      <c r="H986" s="4">
        <v>-146</v>
      </c>
      <c r="I986" t="s">
        <v>104</v>
      </c>
      <c r="J986" t="s">
        <v>223</v>
      </c>
      <c r="K986" t="s">
        <v>468</v>
      </c>
      <c r="L986" s="2">
        <v>45778</v>
      </c>
      <c r="M986" t="s">
        <v>223</v>
      </c>
      <c r="N986">
        <v>0</v>
      </c>
      <c r="O986" t="s">
        <v>104</v>
      </c>
      <c r="P986" t="s">
        <v>134</v>
      </c>
      <c r="Q986">
        <v>0</v>
      </c>
    </row>
    <row r="987" spans="1:17" x14ac:dyDescent="0.3">
      <c r="A987" t="s">
        <v>17</v>
      </c>
      <c r="B987">
        <v>64</v>
      </c>
      <c r="C987" t="s">
        <v>83</v>
      </c>
      <c r="D987" s="2">
        <v>45807</v>
      </c>
      <c r="E987" s="3">
        <f t="shared" si="15"/>
        <v>45778</v>
      </c>
      <c r="F987" t="s">
        <v>1054</v>
      </c>
      <c r="G987" t="s">
        <v>73</v>
      </c>
      <c r="H987" s="4">
        <v>22.12</v>
      </c>
      <c r="I987" t="s">
        <v>31</v>
      </c>
      <c r="J987" t="s">
        <v>511</v>
      </c>
      <c r="K987" t="s">
        <v>1055</v>
      </c>
      <c r="L987" s="2">
        <v>45778</v>
      </c>
      <c r="M987" t="s">
        <v>513</v>
      </c>
      <c r="N987">
        <v>0</v>
      </c>
      <c r="O987" t="s">
        <v>31</v>
      </c>
      <c r="P987" t="s">
        <v>83</v>
      </c>
      <c r="Q987">
        <v>0</v>
      </c>
    </row>
    <row r="988" spans="1:17" x14ac:dyDescent="0.3">
      <c r="A988" t="s">
        <v>17</v>
      </c>
      <c r="B988">
        <v>64</v>
      </c>
      <c r="C988" t="s">
        <v>83</v>
      </c>
      <c r="D988" s="2">
        <v>45807</v>
      </c>
      <c r="E988" s="3">
        <f t="shared" si="15"/>
        <v>45778</v>
      </c>
      <c r="F988" t="s">
        <v>1056</v>
      </c>
      <c r="G988" t="s">
        <v>73</v>
      </c>
      <c r="H988" s="4">
        <v>22.45</v>
      </c>
      <c r="I988" t="s">
        <v>31</v>
      </c>
      <c r="J988" t="s">
        <v>511</v>
      </c>
      <c r="K988" t="s">
        <v>1057</v>
      </c>
      <c r="L988" s="2">
        <v>45778</v>
      </c>
      <c r="M988" t="s">
        <v>513</v>
      </c>
      <c r="N988">
        <v>0</v>
      </c>
      <c r="O988" t="s">
        <v>31</v>
      </c>
      <c r="P988" t="s">
        <v>83</v>
      </c>
      <c r="Q988">
        <v>0</v>
      </c>
    </row>
    <row r="989" spans="1:17" x14ac:dyDescent="0.3">
      <c r="A989" t="s">
        <v>17</v>
      </c>
      <c r="B989">
        <v>64</v>
      </c>
      <c r="C989" t="s">
        <v>83</v>
      </c>
      <c r="D989" s="2">
        <v>45807</v>
      </c>
      <c r="E989" s="3">
        <f t="shared" si="15"/>
        <v>45778</v>
      </c>
      <c r="F989" t="s">
        <v>1058</v>
      </c>
      <c r="G989" t="s">
        <v>78</v>
      </c>
      <c r="H989" s="4">
        <v>1079.3499999999999</v>
      </c>
      <c r="I989" t="s">
        <v>21</v>
      </c>
      <c r="J989" t="s">
        <v>84</v>
      </c>
      <c r="K989" t="s">
        <v>1059</v>
      </c>
      <c r="L989" s="2">
        <v>45778</v>
      </c>
      <c r="M989" t="s">
        <v>86</v>
      </c>
      <c r="N989" t="s">
        <v>25</v>
      </c>
      <c r="O989" t="s">
        <v>81</v>
      </c>
      <c r="P989" t="s">
        <v>83</v>
      </c>
      <c r="Q989">
        <v>0</v>
      </c>
    </row>
    <row r="990" spans="1:17" x14ac:dyDescent="0.3">
      <c r="A990" t="s">
        <v>17</v>
      </c>
      <c r="B990">
        <v>64</v>
      </c>
      <c r="C990" t="s">
        <v>83</v>
      </c>
      <c r="D990" s="2">
        <v>45807</v>
      </c>
      <c r="E990" s="3">
        <f t="shared" si="15"/>
        <v>45778</v>
      </c>
      <c r="F990" t="s">
        <v>1058</v>
      </c>
      <c r="G990" t="s">
        <v>78</v>
      </c>
      <c r="H990" s="4">
        <v>360.36</v>
      </c>
      <c r="I990" t="s">
        <v>21</v>
      </c>
      <c r="J990" t="s">
        <v>84</v>
      </c>
      <c r="K990" t="s">
        <v>1059</v>
      </c>
      <c r="L990" s="2">
        <v>45778</v>
      </c>
      <c r="M990" t="s">
        <v>86</v>
      </c>
      <c r="N990" t="s">
        <v>25</v>
      </c>
      <c r="O990" t="s">
        <v>81</v>
      </c>
      <c r="P990" t="s">
        <v>83</v>
      </c>
      <c r="Q990">
        <v>0</v>
      </c>
    </row>
    <row r="991" spans="1:17" x14ac:dyDescent="0.3">
      <c r="A991" t="s">
        <v>17</v>
      </c>
      <c r="B991">
        <v>64</v>
      </c>
      <c r="C991" t="s">
        <v>83</v>
      </c>
      <c r="D991" s="2">
        <v>45807</v>
      </c>
      <c r="E991" s="3">
        <f t="shared" si="15"/>
        <v>45778</v>
      </c>
      <c r="F991" t="s">
        <v>1054</v>
      </c>
      <c r="G991" t="s">
        <v>73</v>
      </c>
      <c r="H991" s="4">
        <v>54.2</v>
      </c>
      <c r="I991" t="s">
        <v>31</v>
      </c>
      <c r="J991" t="s">
        <v>84</v>
      </c>
      <c r="K991" t="s">
        <v>1060</v>
      </c>
      <c r="L991" s="2">
        <v>45778</v>
      </c>
      <c r="M991" t="s">
        <v>86</v>
      </c>
      <c r="N991">
        <v>0</v>
      </c>
      <c r="O991" t="s">
        <v>31</v>
      </c>
      <c r="P991" t="s">
        <v>83</v>
      </c>
      <c r="Q991">
        <v>0</v>
      </c>
    </row>
    <row r="992" spans="1:17" x14ac:dyDescent="0.3">
      <c r="A992" t="s">
        <v>17</v>
      </c>
      <c r="B992">
        <v>64</v>
      </c>
      <c r="C992" t="s">
        <v>83</v>
      </c>
      <c r="D992" s="2">
        <v>45807</v>
      </c>
      <c r="E992" s="3">
        <f t="shared" si="15"/>
        <v>45778</v>
      </c>
      <c r="F992" t="s">
        <v>1054</v>
      </c>
      <c r="G992" t="s">
        <v>73</v>
      </c>
      <c r="H992" s="4">
        <v>456.13</v>
      </c>
      <c r="I992" t="s">
        <v>31</v>
      </c>
      <c r="J992" t="s">
        <v>84</v>
      </c>
      <c r="K992" t="s">
        <v>1061</v>
      </c>
      <c r="L992" s="2">
        <v>45778</v>
      </c>
      <c r="M992" t="s">
        <v>86</v>
      </c>
      <c r="N992">
        <v>0</v>
      </c>
      <c r="O992" t="s">
        <v>31</v>
      </c>
      <c r="P992" t="s">
        <v>83</v>
      </c>
      <c r="Q992">
        <v>0</v>
      </c>
    </row>
    <row r="993" spans="1:17" x14ac:dyDescent="0.3">
      <c r="A993" t="s">
        <v>17</v>
      </c>
      <c r="B993">
        <v>67</v>
      </c>
      <c r="C993" t="s">
        <v>28</v>
      </c>
      <c r="D993" s="2">
        <v>45807</v>
      </c>
      <c r="E993" s="3">
        <f t="shared" si="15"/>
        <v>45778</v>
      </c>
      <c r="F993" t="s">
        <v>1054</v>
      </c>
      <c r="G993" t="s">
        <v>73</v>
      </c>
      <c r="H993" s="4">
        <v>6.84</v>
      </c>
      <c r="I993" t="s">
        <v>31</v>
      </c>
      <c r="J993" t="s">
        <v>64</v>
      </c>
      <c r="K993" t="s">
        <v>1062</v>
      </c>
      <c r="L993" s="2">
        <v>45778</v>
      </c>
      <c r="M993" t="s">
        <v>64</v>
      </c>
      <c r="N993">
        <v>0</v>
      </c>
      <c r="O993" t="s">
        <v>31</v>
      </c>
      <c r="P993" t="s">
        <v>28</v>
      </c>
      <c r="Q993">
        <v>0</v>
      </c>
    </row>
    <row r="994" spans="1:17" x14ac:dyDescent="0.3">
      <c r="A994" t="s">
        <v>17</v>
      </c>
      <c r="B994">
        <v>67</v>
      </c>
      <c r="C994" t="s">
        <v>28</v>
      </c>
      <c r="D994" s="2">
        <v>45807</v>
      </c>
      <c r="E994" s="3">
        <f t="shared" si="15"/>
        <v>45778</v>
      </c>
      <c r="F994" t="s">
        <v>1054</v>
      </c>
      <c r="G994" t="s">
        <v>73</v>
      </c>
      <c r="H994" s="4">
        <v>0.47</v>
      </c>
      <c r="I994" t="s">
        <v>31</v>
      </c>
      <c r="J994" t="s">
        <v>64</v>
      </c>
      <c r="K994" t="s">
        <v>1062</v>
      </c>
      <c r="L994" s="2">
        <v>45778</v>
      </c>
      <c r="M994" t="s">
        <v>64</v>
      </c>
      <c r="N994">
        <v>0</v>
      </c>
      <c r="O994" t="s">
        <v>31</v>
      </c>
      <c r="P994" t="s">
        <v>28</v>
      </c>
      <c r="Q994">
        <v>0</v>
      </c>
    </row>
    <row r="995" spans="1:17" x14ac:dyDescent="0.3">
      <c r="A995" t="s">
        <v>17</v>
      </c>
      <c r="B995">
        <v>67</v>
      </c>
      <c r="C995" t="s">
        <v>28</v>
      </c>
      <c r="D995" s="2">
        <v>45807</v>
      </c>
      <c r="E995" s="3">
        <f t="shared" si="15"/>
        <v>45778</v>
      </c>
      <c r="F995" t="s">
        <v>1054</v>
      </c>
      <c r="G995" t="s">
        <v>73</v>
      </c>
      <c r="H995" s="4">
        <v>0.21</v>
      </c>
      <c r="I995" t="s">
        <v>31</v>
      </c>
      <c r="J995" t="s">
        <v>64</v>
      </c>
      <c r="K995" t="s">
        <v>1062</v>
      </c>
      <c r="L995" s="2">
        <v>45778</v>
      </c>
      <c r="M995" t="s">
        <v>64</v>
      </c>
      <c r="N995">
        <v>0</v>
      </c>
      <c r="O995" t="s">
        <v>31</v>
      </c>
      <c r="P995" t="s">
        <v>28</v>
      </c>
      <c r="Q995">
        <v>0</v>
      </c>
    </row>
    <row r="996" spans="1:17" x14ac:dyDescent="0.3">
      <c r="A996" t="s">
        <v>17</v>
      </c>
      <c r="B996">
        <v>67</v>
      </c>
      <c r="C996" t="s">
        <v>28</v>
      </c>
      <c r="D996" s="2">
        <v>45807</v>
      </c>
      <c r="E996" s="3">
        <f t="shared" si="15"/>
        <v>45778</v>
      </c>
      <c r="F996" t="s">
        <v>1054</v>
      </c>
      <c r="G996" t="s">
        <v>73</v>
      </c>
      <c r="H996" s="4">
        <v>0.15</v>
      </c>
      <c r="I996" t="s">
        <v>31</v>
      </c>
      <c r="J996" t="s">
        <v>64</v>
      </c>
      <c r="K996" t="s">
        <v>1062</v>
      </c>
      <c r="L996" s="2">
        <v>45778</v>
      </c>
      <c r="M996" t="s">
        <v>64</v>
      </c>
      <c r="N996">
        <v>0</v>
      </c>
      <c r="O996" t="s">
        <v>31</v>
      </c>
      <c r="P996" t="s">
        <v>28</v>
      </c>
      <c r="Q996">
        <v>0</v>
      </c>
    </row>
    <row r="997" spans="1:17" x14ac:dyDescent="0.3">
      <c r="A997" t="s">
        <v>17</v>
      </c>
      <c r="B997">
        <v>67</v>
      </c>
      <c r="C997" t="s">
        <v>28</v>
      </c>
      <c r="D997" s="2">
        <v>45807</v>
      </c>
      <c r="E997" s="3">
        <f t="shared" si="15"/>
        <v>45778</v>
      </c>
      <c r="F997" t="s">
        <v>1054</v>
      </c>
      <c r="G997" t="s">
        <v>73</v>
      </c>
      <c r="H997" s="4">
        <v>0.27</v>
      </c>
      <c r="I997" t="s">
        <v>31</v>
      </c>
      <c r="J997" t="s">
        <v>64</v>
      </c>
      <c r="K997" t="s">
        <v>1062</v>
      </c>
      <c r="L997" s="2">
        <v>45778</v>
      </c>
      <c r="M997" t="s">
        <v>64</v>
      </c>
      <c r="N997">
        <v>0</v>
      </c>
      <c r="O997" t="s">
        <v>31</v>
      </c>
      <c r="P997" t="s">
        <v>28</v>
      </c>
      <c r="Q997">
        <v>0</v>
      </c>
    </row>
    <row r="998" spans="1:17" x14ac:dyDescent="0.3">
      <c r="A998" t="s">
        <v>17</v>
      </c>
      <c r="B998">
        <v>67</v>
      </c>
      <c r="C998" t="s">
        <v>28</v>
      </c>
      <c r="D998" s="2">
        <v>45807</v>
      </c>
      <c r="E998" s="3">
        <f t="shared" si="15"/>
        <v>45778</v>
      </c>
      <c r="F998" t="s">
        <v>1054</v>
      </c>
      <c r="G998" t="s">
        <v>73</v>
      </c>
      <c r="H998" s="4">
        <v>0.3</v>
      </c>
      <c r="I998" t="s">
        <v>31</v>
      </c>
      <c r="J998" t="s">
        <v>64</v>
      </c>
      <c r="K998" t="s">
        <v>1062</v>
      </c>
      <c r="L998" s="2">
        <v>45778</v>
      </c>
      <c r="M998" t="s">
        <v>64</v>
      </c>
      <c r="N998">
        <v>0</v>
      </c>
      <c r="O998" t="s">
        <v>31</v>
      </c>
      <c r="P998" t="s">
        <v>28</v>
      </c>
      <c r="Q998">
        <v>0</v>
      </c>
    </row>
    <row r="999" spans="1:17" x14ac:dyDescent="0.3">
      <c r="A999" t="s">
        <v>17</v>
      </c>
      <c r="B999">
        <v>67</v>
      </c>
      <c r="C999" t="s">
        <v>28</v>
      </c>
      <c r="D999" s="2">
        <v>45807</v>
      </c>
      <c r="E999" s="3">
        <f t="shared" si="15"/>
        <v>45778</v>
      </c>
      <c r="F999" t="s">
        <v>1054</v>
      </c>
      <c r="G999" t="s">
        <v>73</v>
      </c>
      <c r="H999" s="4">
        <v>0.39</v>
      </c>
      <c r="I999" t="s">
        <v>31</v>
      </c>
      <c r="J999" t="s">
        <v>64</v>
      </c>
      <c r="K999" t="s">
        <v>1062</v>
      </c>
      <c r="L999" s="2">
        <v>45778</v>
      </c>
      <c r="M999" t="s">
        <v>64</v>
      </c>
      <c r="N999">
        <v>0</v>
      </c>
      <c r="O999" t="s">
        <v>31</v>
      </c>
      <c r="P999" t="s">
        <v>28</v>
      </c>
      <c r="Q999">
        <v>0</v>
      </c>
    </row>
    <row r="1000" spans="1:17" x14ac:dyDescent="0.3">
      <c r="A1000" t="s">
        <v>17</v>
      </c>
      <c r="B1000">
        <v>67</v>
      </c>
      <c r="C1000" t="s">
        <v>28</v>
      </c>
      <c r="D1000" s="2">
        <v>45807</v>
      </c>
      <c r="E1000" s="3">
        <f t="shared" si="15"/>
        <v>45778</v>
      </c>
      <c r="F1000" t="s">
        <v>1054</v>
      </c>
      <c r="G1000" t="s">
        <v>73</v>
      </c>
      <c r="H1000" s="4">
        <v>0.22</v>
      </c>
      <c r="I1000" t="s">
        <v>31</v>
      </c>
      <c r="J1000" t="s">
        <v>64</v>
      </c>
      <c r="K1000" t="s">
        <v>1062</v>
      </c>
      <c r="L1000" s="2">
        <v>45778</v>
      </c>
      <c r="M1000" t="s">
        <v>64</v>
      </c>
      <c r="N1000">
        <v>0</v>
      </c>
      <c r="O1000" t="s">
        <v>31</v>
      </c>
      <c r="P1000" t="s">
        <v>28</v>
      </c>
      <c r="Q1000">
        <v>0</v>
      </c>
    </row>
    <row r="1001" spans="1:17" x14ac:dyDescent="0.3">
      <c r="A1001" t="s">
        <v>17</v>
      </c>
      <c r="B1001">
        <v>64</v>
      </c>
      <c r="C1001" t="s">
        <v>83</v>
      </c>
      <c r="D1001" s="2">
        <v>45807</v>
      </c>
      <c r="E1001" s="3">
        <f t="shared" si="15"/>
        <v>45778</v>
      </c>
      <c r="F1001" t="s">
        <v>1054</v>
      </c>
      <c r="G1001" t="s">
        <v>73</v>
      </c>
      <c r="H1001" s="4">
        <v>119.52</v>
      </c>
      <c r="I1001" t="s">
        <v>31</v>
      </c>
      <c r="J1001" t="s">
        <v>87</v>
      </c>
      <c r="K1001" t="s">
        <v>1063</v>
      </c>
      <c r="L1001" s="2">
        <v>45778</v>
      </c>
      <c r="M1001" t="s">
        <v>89</v>
      </c>
      <c r="N1001">
        <v>0</v>
      </c>
      <c r="O1001" t="s">
        <v>31</v>
      </c>
      <c r="P1001" t="s">
        <v>83</v>
      </c>
      <c r="Q1001">
        <v>0</v>
      </c>
    </row>
    <row r="1002" spans="1:17" x14ac:dyDescent="0.3">
      <c r="A1002" t="s">
        <v>17</v>
      </c>
      <c r="B1002">
        <v>64</v>
      </c>
      <c r="C1002" t="s">
        <v>83</v>
      </c>
      <c r="D1002" s="2">
        <v>45807</v>
      </c>
      <c r="E1002" s="3">
        <f t="shared" si="15"/>
        <v>45778</v>
      </c>
      <c r="F1002" t="s">
        <v>1054</v>
      </c>
      <c r="G1002" t="s">
        <v>73</v>
      </c>
      <c r="H1002" s="4">
        <v>62.57</v>
      </c>
      <c r="I1002" t="s">
        <v>31</v>
      </c>
      <c r="J1002" t="s">
        <v>87</v>
      </c>
      <c r="K1002" t="s">
        <v>1064</v>
      </c>
      <c r="L1002" s="2">
        <v>45778</v>
      </c>
      <c r="M1002" t="s">
        <v>89</v>
      </c>
      <c r="N1002">
        <v>0</v>
      </c>
      <c r="O1002" t="s">
        <v>31</v>
      </c>
      <c r="P1002" t="s">
        <v>83</v>
      </c>
      <c r="Q1002">
        <v>0</v>
      </c>
    </row>
    <row r="1003" spans="1:17" x14ac:dyDescent="0.3">
      <c r="A1003" t="s">
        <v>17</v>
      </c>
      <c r="B1003">
        <v>64</v>
      </c>
      <c r="C1003" t="s">
        <v>83</v>
      </c>
      <c r="D1003" s="2">
        <v>45807</v>
      </c>
      <c r="E1003" s="3">
        <f t="shared" si="15"/>
        <v>45778</v>
      </c>
      <c r="F1003" t="s">
        <v>1056</v>
      </c>
      <c r="G1003" t="s">
        <v>73</v>
      </c>
      <c r="H1003" s="4">
        <v>53.6</v>
      </c>
      <c r="I1003" t="s">
        <v>31</v>
      </c>
      <c r="J1003" t="s">
        <v>87</v>
      </c>
      <c r="K1003" t="s">
        <v>1065</v>
      </c>
      <c r="L1003" s="2">
        <v>45778</v>
      </c>
      <c r="M1003" t="s">
        <v>89</v>
      </c>
      <c r="N1003">
        <v>0</v>
      </c>
      <c r="O1003" t="s">
        <v>31</v>
      </c>
      <c r="P1003" t="s">
        <v>83</v>
      </c>
      <c r="Q1003">
        <v>0</v>
      </c>
    </row>
    <row r="1004" spans="1:17" x14ac:dyDescent="0.3">
      <c r="A1004" t="s">
        <v>17</v>
      </c>
      <c r="B1004">
        <v>64</v>
      </c>
      <c r="C1004" t="s">
        <v>83</v>
      </c>
      <c r="D1004" s="2">
        <v>45807</v>
      </c>
      <c r="E1004" s="3">
        <f t="shared" si="15"/>
        <v>45778</v>
      </c>
      <c r="F1004" t="s">
        <v>1056</v>
      </c>
      <c r="G1004" t="s">
        <v>73</v>
      </c>
      <c r="H1004" s="4">
        <v>75.989999999999995</v>
      </c>
      <c r="I1004" t="s">
        <v>31</v>
      </c>
      <c r="J1004" t="s">
        <v>87</v>
      </c>
      <c r="K1004" t="s">
        <v>1065</v>
      </c>
      <c r="L1004" s="2">
        <v>45778</v>
      </c>
      <c r="M1004" t="s">
        <v>89</v>
      </c>
      <c r="N1004">
        <v>0</v>
      </c>
      <c r="O1004" t="s">
        <v>31</v>
      </c>
      <c r="P1004" t="s">
        <v>83</v>
      </c>
      <c r="Q1004">
        <v>0</v>
      </c>
    </row>
    <row r="1005" spans="1:17" x14ac:dyDescent="0.3">
      <c r="A1005" t="s">
        <v>17</v>
      </c>
      <c r="B1005">
        <v>64</v>
      </c>
      <c r="C1005" t="s">
        <v>83</v>
      </c>
      <c r="D1005" s="2">
        <v>45807</v>
      </c>
      <c r="E1005" s="3">
        <f t="shared" si="15"/>
        <v>45778</v>
      </c>
      <c r="F1005" t="s">
        <v>1054</v>
      </c>
      <c r="G1005" t="s">
        <v>73</v>
      </c>
      <c r="H1005" s="4">
        <v>48.3</v>
      </c>
      <c r="I1005" t="s">
        <v>31</v>
      </c>
      <c r="J1005" t="s">
        <v>530</v>
      </c>
      <c r="K1005" t="s">
        <v>1066</v>
      </c>
      <c r="L1005" s="2">
        <v>45778</v>
      </c>
      <c r="M1005" t="s">
        <v>531</v>
      </c>
      <c r="N1005">
        <v>0</v>
      </c>
      <c r="O1005" t="s">
        <v>31</v>
      </c>
      <c r="P1005" t="s">
        <v>83</v>
      </c>
      <c r="Q1005">
        <v>0</v>
      </c>
    </row>
    <row r="1006" spans="1:17" x14ac:dyDescent="0.3">
      <c r="A1006" t="s">
        <v>17</v>
      </c>
      <c r="B1006">
        <v>64</v>
      </c>
      <c r="C1006" t="s">
        <v>83</v>
      </c>
      <c r="D1006" s="2">
        <v>45807</v>
      </c>
      <c r="E1006" s="3">
        <f t="shared" si="15"/>
        <v>45778</v>
      </c>
      <c r="F1006" t="s">
        <v>1058</v>
      </c>
      <c r="G1006" t="s">
        <v>78</v>
      </c>
      <c r="H1006" s="4">
        <v>200</v>
      </c>
      <c r="I1006" t="s">
        <v>21</v>
      </c>
      <c r="J1006" t="s">
        <v>91</v>
      </c>
      <c r="K1006" t="s">
        <v>533</v>
      </c>
      <c r="L1006" s="2">
        <v>45778</v>
      </c>
      <c r="M1006" t="s">
        <v>93</v>
      </c>
      <c r="N1006" t="s">
        <v>25</v>
      </c>
      <c r="O1006" t="s">
        <v>81</v>
      </c>
      <c r="P1006" t="s">
        <v>83</v>
      </c>
      <c r="Q1006">
        <v>0</v>
      </c>
    </row>
    <row r="1007" spans="1:17" x14ac:dyDescent="0.3">
      <c r="A1007" t="s">
        <v>17</v>
      </c>
      <c r="B1007">
        <v>64</v>
      </c>
      <c r="C1007" t="s">
        <v>83</v>
      </c>
      <c r="D1007" s="2">
        <v>45807</v>
      </c>
      <c r="E1007" s="3">
        <f t="shared" si="15"/>
        <v>45778</v>
      </c>
      <c r="F1007" t="s">
        <v>1054</v>
      </c>
      <c r="G1007" t="s">
        <v>73</v>
      </c>
      <c r="H1007" s="4">
        <v>31.33</v>
      </c>
      <c r="I1007" t="s">
        <v>31</v>
      </c>
      <c r="J1007" t="s">
        <v>91</v>
      </c>
      <c r="K1007" t="s">
        <v>1067</v>
      </c>
      <c r="L1007" s="2">
        <v>45778</v>
      </c>
      <c r="M1007" t="s">
        <v>93</v>
      </c>
      <c r="N1007">
        <v>0</v>
      </c>
      <c r="O1007" t="s">
        <v>31</v>
      </c>
      <c r="P1007" t="s">
        <v>83</v>
      </c>
      <c r="Q1007">
        <v>0</v>
      </c>
    </row>
    <row r="1008" spans="1:17" x14ac:dyDescent="0.3">
      <c r="A1008" t="s">
        <v>17</v>
      </c>
      <c r="B1008">
        <v>64</v>
      </c>
      <c r="C1008" t="s">
        <v>83</v>
      </c>
      <c r="D1008" s="2">
        <v>45807</v>
      </c>
      <c r="E1008" s="3">
        <f t="shared" si="15"/>
        <v>45778</v>
      </c>
      <c r="F1008" t="s">
        <v>1054</v>
      </c>
      <c r="G1008" t="s">
        <v>73</v>
      </c>
      <c r="H1008" s="4">
        <v>14.24</v>
      </c>
      <c r="I1008" t="s">
        <v>31</v>
      </c>
      <c r="J1008" t="s">
        <v>91</v>
      </c>
      <c r="K1008" t="s">
        <v>1068</v>
      </c>
      <c r="L1008" s="2">
        <v>45778</v>
      </c>
      <c r="M1008" t="s">
        <v>93</v>
      </c>
      <c r="N1008">
        <v>0</v>
      </c>
      <c r="O1008" t="s">
        <v>31</v>
      </c>
      <c r="P1008" t="s">
        <v>83</v>
      </c>
      <c r="Q1008">
        <v>0</v>
      </c>
    </row>
    <row r="1009" spans="1:17" x14ac:dyDescent="0.3">
      <c r="A1009" t="s">
        <v>17</v>
      </c>
      <c r="B1009">
        <v>64</v>
      </c>
      <c r="C1009" t="s">
        <v>83</v>
      </c>
      <c r="D1009" s="2">
        <v>45807</v>
      </c>
      <c r="E1009" s="3">
        <f t="shared" si="15"/>
        <v>45778</v>
      </c>
      <c r="F1009" t="s">
        <v>1054</v>
      </c>
      <c r="G1009" t="s">
        <v>73</v>
      </c>
      <c r="H1009" s="4">
        <v>10.1</v>
      </c>
      <c r="I1009" t="s">
        <v>31</v>
      </c>
      <c r="J1009" t="s">
        <v>91</v>
      </c>
      <c r="K1009" t="s">
        <v>1068</v>
      </c>
      <c r="L1009" s="2">
        <v>45778</v>
      </c>
      <c r="M1009" t="s">
        <v>93</v>
      </c>
      <c r="N1009">
        <v>0</v>
      </c>
      <c r="O1009" t="s">
        <v>31</v>
      </c>
      <c r="P1009" t="s">
        <v>83</v>
      </c>
      <c r="Q1009">
        <v>0</v>
      </c>
    </row>
    <row r="1010" spans="1:17" x14ac:dyDescent="0.3">
      <c r="A1010" t="s">
        <v>17</v>
      </c>
      <c r="B1010">
        <v>64</v>
      </c>
      <c r="C1010" t="s">
        <v>83</v>
      </c>
      <c r="D1010" s="2">
        <v>45807</v>
      </c>
      <c r="E1010" s="3">
        <f t="shared" si="15"/>
        <v>45778</v>
      </c>
      <c r="F1010" t="s">
        <v>1054</v>
      </c>
      <c r="G1010" t="s">
        <v>73</v>
      </c>
      <c r="H1010" s="4">
        <v>18.239999999999998</v>
      </c>
      <c r="I1010" t="s">
        <v>31</v>
      </c>
      <c r="J1010" t="s">
        <v>91</v>
      </c>
      <c r="K1010" t="s">
        <v>1069</v>
      </c>
      <c r="L1010" s="2">
        <v>45778</v>
      </c>
      <c r="M1010" t="s">
        <v>93</v>
      </c>
      <c r="N1010">
        <v>0</v>
      </c>
      <c r="O1010" t="s">
        <v>31</v>
      </c>
      <c r="P1010" t="s">
        <v>83</v>
      </c>
      <c r="Q1010">
        <v>0</v>
      </c>
    </row>
    <row r="1011" spans="1:17" x14ac:dyDescent="0.3">
      <c r="A1011" t="s">
        <v>17</v>
      </c>
      <c r="B1011">
        <v>64</v>
      </c>
      <c r="C1011" t="s">
        <v>83</v>
      </c>
      <c r="D1011" s="2">
        <v>45807</v>
      </c>
      <c r="E1011" s="3">
        <f t="shared" si="15"/>
        <v>45778</v>
      </c>
      <c r="F1011" t="s">
        <v>1054</v>
      </c>
      <c r="G1011" t="s">
        <v>73</v>
      </c>
      <c r="H1011" s="4">
        <v>19.760000000000002</v>
      </c>
      <c r="I1011" t="s">
        <v>31</v>
      </c>
      <c r="J1011" t="s">
        <v>91</v>
      </c>
      <c r="K1011" t="s">
        <v>1070</v>
      </c>
      <c r="L1011" s="2">
        <v>45778</v>
      </c>
      <c r="M1011" t="s">
        <v>93</v>
      </c>
      <c r="N1011">
        <v>0</v>
      </c>
      <c r="O1011" t="s">
        <v>31</v>
      </c>
      <c r="P1011" t="s">
        <v>83</v>
      </c>
      <c r="Q1011">
        <v>0</v>
      </c>
    </row>
    <row r="1012" spans="1:17" x14ac:dyDescent="0.3">
      <c r="A1012" t="s">
        <v>17</v>
      </c>
      <c r="B1012">
        <v>64</v>
      </c>
      <c r="C1012" t="s">
        <v>83</v>
      </c>
      <c r="D1012" s="2">
        <v>45807</v>
      </c>
      <c r="E1012" s="3">
        <f t="shared" si="15"/>
        <v>45778</v>
      </c>
      <c r="F1012" t="s">
        <v>1054</v>
      </c>
      <c r="G1012" t="s">
        <v>73</v>
      </c>
      <c r="H1012" s="4">
        <v>26.25</v>
      </c>
      <c r="I1012" t="s">
        <v>31</v>
      </c>
      <c r="J1012" t="s">
        <v>91</v>
      </c>
      <c r="K1012" t="s">
        <v>1070</v>
      </c>
      <c r="L1012" s="2">
        <v>45778</v>
      </c>
      <c r="M1012" t="s">
        <v>93</v>
      </c>
      <c r="N1012">
        <v>0</v>
      </c>
      <c r="O1012" t="s">
        <v>31</v>
      </c>
      <c r="P1012" t="s">
        <v>83</v>
      </c>
      <c r="Q1012">
        <v>0</v>
      </c>
    </row>
    <row r="1013" spans="1:17" x14ac:dyDescent="0.3">
      <c r="A1013" t="s">
        <v>17</v>
      </c>
      <c r="B1013">
        <v>64</v>
      </c>
      <c r="C1013" t="s">
        <v>83</v>
      </c>
      <c r="D1013" s="2">
        <v>45807</v>
      </c>
      <c r="E1013" s="3">
        <f t="shared" si="15"/>
        <v>45778</v>
      </c>
      <c r="F1013" t="s">
        <v>1054</v>
      </c>
      <c r="G1013" t="s">
        <v>73</v>
      </c>
      <c r="H1013" s="4">
        <v>14.9</v>
      </c>
      <c r="I1013" t="s">
        <v>31</v>
      </c>
      <c r="J1013" t="s">
        <v>91</v>
      </c>
      <c r="K1013" t="s">
        <v>1070</v>
      </c>
      <c r="L1013" s="2">
        <v>45778</v>
      </c>
      <c r="M1013" t="s">
        <v>93</v>
      </c>
      <c r="N1013">
        <v>0</v>
      </c>
      <c r="O1013" t="s">
        <v>31</v>
      </c>
      <c r="P1013" t="s">
        <v>83</v>
      </c>
      <c r="Q1013">
        <v>0</v>
      </c>
    </row>
    <row r="1014" spans="1:17" x14ac:dyDescent="0.3">
      <c r="A1014" t="s">
        <v>17</v>
      </c>
      <c r="B1014">
        <v>64</v>
      </c>
      <c r="C1014" t="s">
        <v>83</v>
      </c>
      <c r="D1014" s="2">
        <v>45807</v>
      </c>
      <c r="E1014" s="3">
        <f t="shared" si="15"/>
        <v>45778</v>
      </c>
      <c r="F1014" t="s">
        <v>1054</v>
      </c>
      <c r="G1014" t="s">
        <v>73</v>
      </c>
      <c r="H1014" s="4">
        <v>12.95</v>
      </c>
      <c r="I1014" t="s">
        <v>31</v>
      </c>
      <c r="J1014" t="s">
        <v>91</v>
      </c>
      <c r="K1014" t="s">
        <v>1071</v>
      </c>
      <c r="L1014" s="2">
        <v>45778</v>
      </c>
      <c r="M1014" t="s">
        <v>93</v>
      </c>
      <c r="N1014">
        <v>0</v>
      </c>
      <c r="O1014" t="s">
        <v>31</v>
      </c>
      <c r="P1014" t="s">
        <v>83</v>
      </c>
      <c r="Q1014">
        <v>0</v>
      </c>
    </row>
    <row r="1015" spans="1:17" x14ac:dyDescent="0.3">
      <c r="A1015" t="s">
        <v>17</v>
      </c>
      <c r="B1015">
        <v>64</v>
      </c>
      <c r="C1015" t="s">
        <v>83</v>
      </c>
      <c r="D1015" s="2">
        <v>45807</v>
      </c>
      <c r="E1015" s="3">
        <f t="shared" si="15"/>
        <v>45778</v>
      </c>
      <c r="F1015" t="s">
        <v>1056</v>
      </c>
      <c r="G1015" t="s">
        <v>73</v>
      </c>
      <c r="H1015" s="4">
        <v>21.26</v>
      </c>
      <c r="I1015" t="s">
        <v>31</v>
      </c>
      <c r="J1015" t="s">
        <v>91</v>
      </c>
      <c r="K1015" t="s">
        <v>1072</v>
      </c>
      <c r="L1015" s="2">
        <v>45778</v>
      </c>
      <c r="M1015" t="s">
        <v>93</v>
      </c>
      <c r="N1015">
        <v>0</v>
      </c>
      <c r="O1015" t="s">
        <v>31</v>
      </c>
      <c r="P1015" t="s">
        <v>83</v>
      </c>
      <c r="Q1015">
        <v>0</v>
      </c>
    </row>
    <row r="1016" spans="1:17" x14ac:dyDescent="0.3">
      <c r="A1016" t="s">
        <v>17</v>
      </c>
      <c r="B1016">
        <v>68</v>
      </c>
      <c r="C1016" t="s">
        <v>34</v>
      </c>
      <c r="D1016" s="2">
        <v>45807</v>
      </c>
      <c r="E1016" s="3">
        <f t="shared" si="15"/>
        <v>45778</v>
      </c>
      <c r="F1016" t="s">
        <v>1073</v>
      </c>
      <c r="G1016" t="s">
        <v>122</v>
      </c>
      <c r="H1016" s="4">
        <v>31.03</v>
      </c>
      <c r="I1016" t="s">
        <v>108</v>
      </c>
      <c r="J1016" t="s">
        <v>109</v>
      </c>
      <c r="K1016" t="s">
        <v>1044</v>
      </c>
      <c r="L1016" s="2">
        <v>45778</v>
      </c>
      <c r="M1016" t="s">
        <v>109</v>
      </c>
      <c r="N1016">
        <v>0</v>
      </c>
      <c r="O1016" t="s">
        <v>111</v>
      </c>
      <c r="P1016" t="s">
        <v>112</v>
      </c>
      <c r="Q1016" t="s">
        <v>113</v>
      </c>
    </row>
    <row r="1017" spans="1:17" x14ac:dyDescent="0.3">
      <c r="A1017" t="s">
        <v>17</v>
      </c>
      <c r="B1017">
        <v>67</v>
      </c>
      <c r="C1017" t="s">
        <v>28</v>
      </c>
      <c r="D1017" s="2">
        <v>45807</v>
      </c>
      <c r="E1017" s="3">
        <f t="shared" si="15"/>
        <v>45778</v>
      </c>
      <c r="F1017" t="s">
        <v>1074</v>
      </c>
      <c r="H1017" s="4">
        <v>-46.15</v>
      </c>
      <c r="I1017" t="s">
        <v>31</v>
      </c>
      <c r="J1017" t="s">
        <v>60</v>
      </c>
      <c r="L1017" s="2">
        <v>45778</v>
      </c>
      <c r="M1017" t="s">
        <v>60</v>
      </c>
      <c r="N1017">
        <v>0</v>
      </c>
      <c r="O1017" t="s">
        <v>31</v>
      </c>
      <c r="P1017" t="s">
        <v>28</v>
      </c>
      <c r="Q1017">
        <v>0</v>
      </c>
    </row>
    <row r="1018" spans="1:17" x14ac:dyDescent="0.3">
      <c r="A1018" t="s">
        <v>17</v>
      </c>
      <c r="B1018">
        <v>67</v>
      </c>
      <c r="C1018" t="s">
        <v>28</v>
      </c>
      <c r="D1018" s="2">
        <v>45807</v>
      </c>
      <c r="E1018" s="3">
        <f t="shared" si="15"/>
        <v>45778</v>
      </c>
      <c r="F1018" t="s">
        <v>1074</v>
      </c>
      <c r="H1018" s="4">
        <v>-34.81</v>
      </c>
      <c r="I1018" t="s">
        <v>31</v>
      </c>
      <c r="J1018" t="s">
        <v>60</v>
      </c>
      <c r="L1018" s="2">
        <v>45778</v>
      </c>
      <c r="M1018" t="s">
        <v>60</v>
      </c>
      <c r="N1018">
        <v>0</v>
      </c>
      <c r="O1018" t="s">
        <v>31</v>
      </c>
      <c r="P1018" t="s">
        <v>28</v>
      </c>
      <c r="Q1018">
        <v>0</v>
      </c>
    </row>
    <row r="1019" spans="1:17" x14ac:dyDescent="0.3">
      <c r="A1019" t="s">
        <v>17</v>
      </c>
      <c r="B1019">
        <v>67</v>
      </c>
      <c r="C1019" t="s">
        <v>28</v>
      </c>
      <c r="D1019" s="2">
        <v>45807</v>
      </c>
      <c r="E1019" s="3">
        <f t="shared" si="15"/>
        <v>45778</v>
      </c>
      <c r="F1019" t="s">
        <v>1074</v>
      </c>
      <c r="H1019" s="4">
        <v>-111.14</v>
      </c>
      <c r="I1019" t="s">
        <v>31</v>
      </c>
      <c r="J1019" t="s">
        <v>60</v>
      </c>
      <c r="L1019" s="2">
        <v>45778</v>
      </c>
      <c r="M1019" t="s">
        <v>60</v>
      </c>
      <c r="N1019">
        <v>0</v>
      </c>
      <c r="O1019" t="s">
        <v>31</v>
      </c>
      <c r="P1019" t="s">
        <v>28</v>
      </c>
      <c r="Q1019">
        <v>0</v>
      </c>
    </row>
    <row r="1020" spans="1:17" x14ac:dyDescent="0.3">
      <c r="A1020" t="s">
        <v>17</v>
      </c>
      <c r="B1020">
        <v>67</v>
      </c>
      <c r="C1020" t="s">
        <v>28</v>
      </c>
      <c r="D1020" s="2">
        <v>45807</v>
      </c>
      <c r="E1020" s="3">
        <f t="shared" si="15"/>
        <v>45778</v>
      </c>
      <c r="F1020" t="s">
        <v>1074</v>
      </c>
      <c r="H1020" s="4">
        <v>-6.8</v>
      </c>
      <c r="I1020" t="s">
        <v>31</v>
      </c>
      <c r="J1020" t="s">
        <v>60</v>
      </c>
      <c r="L1020" s="2">
        <v>45778</v>
      </c>
      <c r="M1020" t="s">
        <v>60</v>
      </c>
      <c r="N1020">
        <v>0</v>
      </c>
      <c r="O1020" t="s">
        <v>31</v>
      </c>
      <c r="P1020" t="s">
        <v>28</v>
      </c>
      <c r="Q1020">
        <v>0</v>
      </c>
    </row>
    <row r="1021" spans="1:17" x14ac:dyDescent="0.3">
      <c r="A1021" t="s">
        <v>17</v>
      </c>
      <c r="B1021">
        <v>67</v>
      </c>
      <c r="C1021" t="s">
        <v>28</v>
      </c>
      <c r="D1021" s="2">
        <v>45807</v>
      </c>
      <c r="E1021" s="3">
        <f t="shared" si="15"/>
        <v>45778</v>
      </c>
      <c r="F1021" t="s">
        <v>1074</v>
      </c>
      <c r="H1021" s="4">
        <v>-2.4</v>
      </c>
      <c r="I1021" t="s">
        <v>31</v>
      </c>
      <c r="J1021" t="s">
        <v>60</v>
      </c>
      <c r="L1021" s="2">
        <v>45778</v>
      </c>
      <c r="M1021" t="s">
        <v>60</v>
      </c>
      <c r="N1021">
        <v>0</v>
      </c>
      <c r="O1021" t="s">
        <v>31</v>
      </c>
      <c r="P1021" t="s">
        <v>28</v>
      </c>
      <c r="Q1021">
        <v>0</v>
      </c>
    </row>
    <row r="1022" spans="1:17" x14ac:dyDescent="0.3">
      <c r="A1022" t="s">
        <v>17</v>
      </c>
      <c r="B1022">
        <v>67</v>
      </c>
      <c r="C1022" t="s">
        <v>28</v>
      </c>
      <c r="D1022" s="2">
        <v>45807</v>
      </c>
      <c r="E1022" s="3">
        <f t="shared" si="15"/>
        <v>45778</v>
      </c>
      <c r="F1022" t="s">
        <v>1074</v>
      </c>
      <c r="H1022" s="4">
        <v>-125.68</v>
      </c>
      <c r="I1022" t="s">
        <v>31</v>
      </c>
      <c r="J1022" t="s">
        <v>60</v>
      </c>
      <c r="L1022" s="2">
        <v>45778</v>
      </c>
      <c r="M1022" t="s">
        <v>60</v>
      </c>
      <c r="N1022">
        <v>0</v>
      </c>
      <c r="O1022" t="s">
        <v>31</v>
      </c>
      <c r="P1022" t="s">
        <v>28</v>
      </c>
      <c r="Q1022">
        <v>0</v>
      </c>
    </row>
    <row r="1023" spans="1:17" x14ac:dyDescent="0.3">
      <c r="A1023" t="s">
        <v>17</v>
      </c>
      <c r="B1023">
        <v>67</v>
      </c>
      <c r="C1023" t="s">
        <v>28</v>
      </c>
      <c r="D1023" s="2">
        <v>45807</v>
      </c>
      <c r="E1023" s="3">
        <f t="shared" si="15"/>
        <v>45778</v>
      </c>
      <c r="F1023" t="s">
        <v>1074</v>
      </c>
      <c r="H1023" s="4">
        <v>-49.7</v>
      </c>
      <c r="I1023" t="s">
        <v>31</v>
      </c>
      <c r="J1023" t="s">
        <v>60</v>
      </c>
      <c r="L1023" s="2">
        <v>45778</v>
      </c>
      <c r="M1023" t="s">
        <v>60</v>
      </c>
      <c r="N1023">
        <v>0</v>
      </c>
      <c r="O1023" t="s">
        <v>31</v>
      </c>
      <c r="P1023" t="s">
        <v>28</v>
      </c>
      <c r="Q1023">
        <v>0</v>
      </c>
    </row>
    <row r="1024" spans="1:17" x14ac:dyDescent="0.3">
      <c r="A1024" t="s">
        <v>17</v>
      </c>
      <c r="B1024">
        <v>67</v>
      </c>
      <c r="C1024" t="s">
        <v>28</v>
      </c>
      <c r="D1024" s="2">
        <v>45807</v>
      </c>
      <c r="E1024" s="3">
        <f t="shared" si="15"/>
        <v>45778</v>
      </c>
      <c r="F1024" t="s">
        <v>1074</v>
      </c>
      <c r="H1024" s="4">
        <v>-192.65</v>
      </c>
      <c r="I1024" t="s">
        <v>31</v>
      </c>
      <c r="J1024" t="s">
        <v>60</v>
      </c>
      <c r="L1024" s="2">
        <v>45778</v>
      </c>
      <c r="M1024" t="s">
        <v>60</v>
      </c>
      <c r="N1024">
        <v>0</v>
      </c>
      <c r="O1024" t="s">
        <v>31</v>
      </c>
      <c r="P1024" t="s">
        <v>28</v>
      </c>
      <c r="Q1024">
        <v>0</v>
      </c>
    </row>
    <row r="1025" spans="1:17" x14ac:dyDescent="0.3">
      <c r="A1025" t="s">
        <v>17</v>
      </c>
      <c r="B1025">
        <v>63</v>
      </c>
      <c r="C1025" t="s">
        <v>18</v>
      </c>
      <c r="D1025" s="2">
        <v>45808</v>
      </c>
      <c r="E1025" s="3">
        <f t="shared" si="15"/>
        <v>45778</v>
      </c>
      <c r="F1025" t="s">
        <v>1075</v>
      </c>
      <c r="G1025" t="s">
        <v>235</v>
      </c>
      <c r="H1025" s="4">
        <v>10037.14</v>
      </c>
      <c r="I1025" t="s">
        <v>21</v>
      </c>
      <c r="J1025" t="s">
        <v>236</v>
      </c>
      <c r="K1025" t="s">
        <v>237</v>
      </c>
      <c r="L1025" s="2">
        <v>45778</v>
      </c>
      <c r="M1025" t="s">
        <v>238</v>
      </c>
      <c r="N1025" t="s">
        <v>25</v>
      </c>
      <c r="O1025" t="s">
        <v>26</v>
      </c>
      <c r="P1025" t="s">
        <v>18</v>
      </c>
      <c r="Q1025" t="s">
        <v>239</v>
      </c>
    </row>
    <row r="1026" spans="1:17" x14ac:dyDescent="0.3">
      <c r="A1026" t="s">
        <v>17</v>
      </c>
      <c r="B1026">
        <v>63</v>
      </c>
      <c r="C1026" t="s">
        <v>18</v>
      </c>
      <c r="D1026" s="2">
        <v>45808</v>
      </c>
      <c r="E1026" s="3">
        <f t="shared" si="15"/>
        <v>45778</v>
      </c>
      <c r="F1026" t="s">
        <v>1076</v>
      </c>
      <c r="G1026" t="s">
        <v>235</v>
      </c>
      <c r="H1026" s="4">
        <v>813.01</v>
      </c>
      <c r="I1026" t="s">
        <v>241</v>
      </c>
      <c r="J1026" t="s">
        <v>236</v>
      </c>
      <c r="K1026" t="s">
        <v>237</v>
      </c>
      <c r="L1026" s="2">
        <v>45778</v>
      </c>
      <c r="M1026" t="s">
        <v>238</v>
      </c>
      <c r="N1026" t="s">
        <v>242</v>
      </c>
      <c r="O1026" t="s">
        <v>26</v>
      </c>
      <c r="P1026" t="s">
        <v>18</v>
      </c>
      <c r="Q1026" t="s">
        <v>239</v>
      </c>
    </row>
    <row r="1027" spans="1:17" x14ac:dyDescent="0.3">
      <c r="A1027" t="s">
        <v>17</v>
      </c>
      <c r="B1027">
        <v>67</v>
      </c>
      <c r="C1027" t="s">
        <v>28</v>
      </c>
      <c r="D1027" s="2">
        <v>45808</v>
      </c>
      <c r="E1027" s="3">
        <f t="shared" ref="E1027:E1090" si="16">IF($D1027="","",DATE(YEAR($D1027),MONTH($D1027),1))</f>
        <v>45778</v>
      </c>
      <c r="F1027" t="s">
        <v>1077</v>
      </c>
      <c r="G1027" t="s">
        <v>30</v>
      </c>
      <c r="H1027" s="4">
        <v>120</v>
      </c>
      <c r="I1027" t="s">
        <v>31</v>
      </c>
      <c r="J1027" t="s">
        <v>32</v>
      </c>
      <c r="K1027" t="s">
        <v>33</v>
      </c>
      <c r="L1027" s="2">
        <v>45778</v>
      </c>
      <c r="M1027" t="s">
        <v>32</v>
      </c>
      <c r="N1027">
        <v>0</v>
      </c>
      <c r="O1027" t="s">
        <v>31</v>
      </c>
      <c r="P1027" t="s">
        <v>28</v>
      </c>
      <c r="Q1027">
        <v>0</v>
      </c>
    </row>
    <row r="1028" spans="1:17" x14ac:dyDescent="0.3">
      <c r="A1028" t="s">
        <v>17</v>
      </c>
      <c r="B1028">
        <v>67</v>
      </c>
      <c r="C1028" t="s">
        <v>28</v>
      </c>
      <c r="D1028" s="2">
        <v>45808</v>
      </c>
      <c r="E1028" s="3">
        <f t="shared" si="16"/>
        <v>45778</v>
      </c>
      <c r="F1028" t="s">
        <v>1078</v>
      </c>
      <c r="G1028" t="s">
        <v>259</v>
      </c>
      <c r="H1028" s="4">
        <v>10318.950000000001</v>
      </c>
      <c r="I1028" t="s">
        <v>31</v>
      </c>
      <c r="J1028" t="s">
        <v>32</v>
      </c>
      <c r="K1028" t="s">
        <v>1079</v>
      </c>
      <c r="L1028" s="2">
        <v>45778</v>
      </c>
      <c r="M1028" t="s">
        <v>32</v>
      </c>
      <c r="N1028">
        <v>0</v>
      </c>
      <c r="O1028" t="s">
        <v>31</v>
      </c>
      <c r="P1028" t="s">
        <v>28</v>
      </c>
      <c r="Q1028">
        <v>0</v>
      </c>
    </row>
    <row r="1029" spans="1:17" x14ac:dyDescent="0.3">
      <c r="A1029" t="s">
        <v>17</v>
      </c>
      <c r="B1029">
        <v>68</v>
      </c>
      <c r="C1029" t="s">
        <v>34</v>
      </c>
      <c r="D1029" s="2">
        <v>45808</v>
      </c>
      <c r="E1029" s="3">
        <f t="shared" si="16"/>
        <v>45778</v>
      </c>
      <c r="F1029" t="s">
        <v>1080</v>
      </c>
      <c r="G1029" t="s">
        <v>266</v>
      </c>
      <c r="H1029" s="4">
        <v>641.35</v>
      </c>
      <c r="I1029" t="s">
        <v>31</v>
      </c>
      <c r="J1029" t="s">
        <v>79</v>
      </c>
      <c r="K1029" t="s">
        <v>1081</v>
      </c>
      <c r="L1029" s="2">
        <v>45778</v>
      </c>
      <c r="M1029" t="s">
        <v>79</v>
      </c>
      <c r="N1029">
        <v>0</v>
      </c>
      <c r="O1029" t="s">
        <v>31</v>
      </c>
      <c r="P1029" t="s">
        <v>34</v>
      </c>
      <c r="Q1029">
        <v>0</v>
      </c>
    </row>
    <row r="1030" spans="1:17" x14ac:dyDescent="0.3">
      <c r="A1030" t="s">
        <v>17</v>
      </c>
      <c r="B1030">
        <v>68</v>
      </c>
      <c r="C1030" t="s">
        <v>34</v>
      </c>
      <c r="D1030" s="2">
        <v>45808</v>
      </c>
      <c r="E1030" s="3">
        <f t="shared" si="16"/>
        <v>45778</v>
      </c>
      <c r="F1030" t="s">
        <v>1082</v>
      </c>
      <c r="G1030" t="s">
        <v>824</v>
      </c>
      <c r="H1030" s="4">
        <v>67.06</v>
      </c>
      <c r="I1030" t="s">
        <v>108</v>
      </c>
      <c r="J1030" t="s">
        <v>79</v>
      </c>
      <c r="K1030" t="s">
        <v>1083</v>
      </c>
      <c r="L1030" s="2">
        <v>45778</v>
      </c>
      <c r="M1030" t="s">
        <v>79</v>
      </c>
      <c r="N1030">
        <v>0</v>
      </c>
      <c r="O1030" t="s">
        <v>111</v>
      </c>
      <c r="P1030" t="s">
        <v>34</v>
      </c>
      <c r="Q1030">
        <v>0</v>
      </c>
    </row>
    <row r="1031" spans="1:17" x14ac:dyDescent="0.3">
      <c r="A1031" t="s">
        <v>17</v>
      </c>
      <c r="B1031">
        <v>67</v>
      </c>
      <c r="C1031" t="s">
        <v>28</v>
      </c>
      <c r="D1031" s="2">
        <v>45808</v>
      </c>
      <c r="E1031" s="3">
        <f t="shared" si="16"/>
        <v>45778</v>
      </c>
      <c r="F1031" t="s">
        <v>1084</v>
      </c>
      <c r="G1031" t="s">
        <v>119</v>
      </c>
      <c r="H1031" s="4">
        <v>843.75</v>
      </c>
      <c r="I1031" t="s">
        <v>31</v>
      </c>
      <c r="J1031" t="s">
        <v>68</v>
      </c>
      <c r="K1031" t="s">
        <v>1085</v>
      </c>
      <c r="L1031" s="2">
        <v>45778</v>
      </c>
      <c r="M1031" t="s">
        <v>68</v>
      </c>
      <c r="N1031">
        <v>0</v>
      </c>
      <c r="O1031" t="s">
        <v>31</v>
      </c>
      <c r="P1031" t="s">
        <v>28</v>
      </c>
      <c r="Q1031">
        <v>0</v>
      </c>
    </row>
    <row r="1032" spans="1:17" x14ac:dyDescent="0.3">
      <c r="A1032" t="s">
        <v>17</v>
      </c>
      <c r="B1032">
        <v>67</v>
      </c>
      <c r="C1032" t="s">
        <v>28</v>
      </c>
      <c r="D1032" s="2">
        <v>45808</v>
      </c>
      <c r="E1032" s="3">
        <f t="shared" si="16"/>
        <v>45778</v>
      </c>
      <c r="F1032" t="s">
        <v>1086</v>
      </c>
      <c r="G1032" t="s">
        <v>283</v>
      </c>
      <c r="H1032" s="4">
        <v>175</v>
      </c>
      <c r="I1032" t="s">
        <v>31</v>
      </c>
      <c r="J1032" t="s">
        <v>48</v>
      </c>
      <c r="K1032" t="s">
        <v>1087</v>
      </c>
      <c r="L1032" s="2">
        <v>45778</v>
      </c>
      <c r="M1032" t="s">
        <v>50</v>
      </c>
      <c r="N1032">
        <v>0</v>
      </c>
      <c r="O1032" t="s">
        <v>31</v>
      </c>
      <c r="P1032" t="s">
        <v>28</v>
      </c>
      <c r="Q1032">
        <v>0</v>
      </c>
    </row>
    <row r="1033" spans="1:17" x14ac:dyDescent="0.3">
      <c r="A1033" t="s">
        <v>17</v>
      </c>
      <c r="B1033">
        <v>64</v>
      </c>
      <c r="C1033" t="s">
        <v>83</v>
      </c>
      <c r="D1033" s="2">
        <v>45808</v>
      </c>
      <c r="E1033" s="3">
        <f t="shared" si="16"/>
        <v>45778</v>
      </c>
      <c r="F1033" t="s">
        <v>1082</v>
      </c>
      <c r="G1033" t="s">
        <v>824</v>
      </c>
      <c r="H1033" s="4">
        <v>40.99</v>
      </c>
      <c r="I1033" t="s">
        <v>108</v>
      </c>
      <c r="J1033" t="s">
        <v>87</v>
      </c>
      <c r="K1033" t="s">
        <v>1088</v>
      </c>
      <c r="L1033" s="2">
        <v>45778</v>
      </c>
      <c r="M1033" t="s">
        <v>89</v>
      </c>
      <c r="N1033">
        <v>0</v>
      </c>
      <c r="O1033" t="s">
        <v>111</v>
      </c>
      <c r="P1033" t="s">
        <v>83</v>
      </c>
      <c r="Q1033">
        <v>0</v>
      </c>
    </row>
    <row r="1034" spans="1:17" x14ac:dyDescent="0.3">
      <c r="A1034" t="s">
        <v>17</v>
      </c>
      <c r="B1034">
        <v>64</v>
      </c>
      <c r="C1034" t="s">
        <v>83</v>
      </c>
      <c r="D1034" s="2">
        <v>45808</v>
      </c>
      <c r="E1034" s="3">
        <f t="shared" si="16"/>
        <v>45778</v>
      </c>
      <c r="F1034" t="s">
        <v>1089</v>
      </c>
      <c r="G1034" t="s">
        <v>190</v>
      </c>
      <c r="H1034" s="4">
        <v>58</v>
      </c>
      <c r="I1034" t="s">
        <v>21</v>
      </c>
      <c r="J1034" t="s">
        <v>87</v>
      </c>
      <c r="K1034" t="s">
        <v>1090</v>
      </c>
      <c r="L1034" s="2">
        <v>45778</v>
      </c>
      <c r="M1034" t="s">
        <v>89</v>
      </c>
      <c r="N1034" t="s">
        <v>25</v>
      </c>
      <c r="O1034" t="s">
        <v>81</v>
      </c>
      <c r="P1034" t="s">
        <v>83</v>
      </c>
      <c r="Q1034">
        <v>0</v>
      </c>
    </row>
    <row r="1035" spans="1:17" x14ac:dyDescent="0.3">
      <c r="A1035" t="s">
        <v>17</v>
      </c>
      <c r="B1035">
        <v>64</v>
      </c>
      <c r="C1035" t="s">
        <v>83</v>
      </c>
      <c r="D1035" s="2">
        <v>45808</v>
      </c>
      <c r="E1035" s="3">
        <f t="shared" si="16"/>
        <v>45778</v>
      </c>
      <c r="F1035" t="s">
        <v>1082</v>
      </c>
      <c r="G1035" t="s">
        <v>824</v>
      </c>
      <c r="H1035" s="4">
        <v>450</v>
      </c>
      <c r="I1035" t="s">
        <v>108</v>
      </c>
      <c r="J1035" t="s">
        <v>91</v>
      </c>
      <c r="K1035" t="s">
        <v>1091</v>
      </c>
      <c r="L1035" s="2">
        <v>45778</v>
      </c>
      <c r="M1035" t="s">
        <v>93</v>
      </c>
      <c r="N1035">
        <v>0</v>
      </c>
      <c r="O1035" t="s">
        <v>111</v>
      </c>
      <c r="P1035" t="s">
        <v>83</v>
      </c>
      <c r="Q1035">
        <v>0</v>
      </c>
    </row>
    <row r="1036" spans="1:17" x14ac:dyDescent="0.3">
      <c r="A1036" t="s">
        <v>17</v>
      </c>
      <c r="B1036">
        <v>64</v>
      </c>
      <c r="C1036" t="s">
        <v>83</v>
      </c>
      <c r="D1036" s="2">
        <v>45808</v>
      </c>
      <c r="E1036" s="3">
        <f t="shared" si="16"/>
        <v>45778</v>
      </c>
      <c r="F1036" t="s">
        <v>1082</v>
      </c>
      <c r="G1036" t="s">
        <v>824</v>
      </c>
      <c r="H1036" s="4">
        <v>300.72000000000003</v>
      </c>
      <c r="I1036" t="s">
        <v>108</v>
      </c>
      <c r="J1036" t="s">
        <v>91</v>
      </c>
      <c r="K1036" t="s">
        <v>1092</v>
      </c>
      <c r="L1036" s="2">
        <v>45778</v>
      </c>
      <c r="M1036" t="s">
        <v>93</v>
      </c>
      <c r="N1036">
        <v>0</v>
      </c>
      <c r="O1036" t="s">
        <v>111</v>
      </c>
      <c r="P1036" t="s">
        <v>83</v>
      </c>
      <c r="Q1036">
        <v>0</v>
      </c>
    </row>
    <row r="1037" spans="1:17" x14ac:dyDescent="0.3">
      <c r="A1037" t="s">
        <v>17</v>
      </c>
      <c r="B1037">
        <v>68</v>
      </c>
      <c r="C1037" t="s">
        <v>34</v>
      </c>
      <c r="D1037" s="2">
        <v>45808</v>
      </c>
      <c r="E1037" s="3">
        <f t="shared" si="16"/>
        <v>45778</v>
      </c>
      <c r="F1037" t="s">
        <v>1093</v>
      </c>
      <c r="G1037" t="s">
        <v>122</v>
      </c>
      <c r="H1037" s="4">
        <v>1248.1199999999999</v>
      </c>
      <c r="I1037" t="s">
        <v>108</v>
      </c>
      <c r="J1037" t="s">
        <v>109</v>
      </c>
      <c r="K1037" t="s">
        <v>388</v>
      </c>
      <c r="L1037" s="2">
        <v>45778</v>
      </c>
      <c r="M1037" t="s">
        <v>109</v>
      </c>
      <c r="N1037">
        <v>0</v>
      </c>
      <c r="O1037" t="s">
        <v>111</v>
      </c>
      <c r="P1037" t="s">
        <v>112</v>
      </c>
      <c r="Q1037" t="s">
        <v>113</v>
      </c>
    </row>
    <row r="1038" spans="1:17" x14ac:dyDescent="0.3">
      <c r="A1038" t="s">
        <v>17</v>
      </c>
      <c r="B1038">
        <v>68</v>
      </c>
      <c r="C1038" t="s">
        <v>34</v>
      </c>
      <c r="D1038" s="2">
        <v>45808</v>
      </c>
      <c r="E1038" s="3">
        <f t="shared" si="16"/>
        <v>45778</v>
      </c>
      <c r="F1038" t="s">
        <v>1094</v>
      </c>
      <c r="G1038" t="s">
        <v>122</v>
      </c>
      <c r="H1038" s="4">
        <v>104.46</v>
      </c>
      <c r="I1038" t="s">
        <v>108</v>
      </c>
      <c r="J1038" t="s">
        <v>109</v>
      </c>
      <c r="K1038" t="s">
        <v>662</v>
      </c>
      <c r="L1038" s="2">
        <v>45778</v>
      </c>
      <c r="M1038" t="s">
        <v>109</v>
      </c>
      <c r="N1038">
        <v>0</v>
      </c>
      <c r="O1038" t="s">
        <v>111</v>
      </c>
      <c r="P1038" t="s">
        <v>112</v>
      </c>
      <c r="Q1038" t="s">
        <v>113</v>
      </c>
    </row>
    <row r="1039" spans="1:17" x14ac:dyDescent="0.3">
      <c r="A1039" t="s">
        <v>17</v>
      </c>
      <c r="B1039">
        <v>65</v>
      </c>
      <c r="C1039" t="s">
        <v>54</v>
      </c>
      <c r="D1039" s="2">
        <v>45808</v>
      </c>
      <c r="E1039" s="3">
        <f t="shared" si="16"/>
        <v>45778</v>
      </c>
      <c r="F1039" t="s">
        <v>1095</v>
      </c>
      <c r="H1039" s="4">
        <v>583.25</v>
      </c>
      <c r="I1039" t="s">
        <v>31</v>
      </c>
      <c r="J1039" t="s">
        <v>296</v>
      </c>
      <c r="L1039" s="2">
        <v>45778</v>
      </c>
      <c r="M1039" t="s">
        <v>296</v>
      </c>
      <c r="N1039">
        <v>0</v>
      </c>
      <c r="O1039" t="s">
        <v>31</v>
      </c>
      <c r="P1039" t="s">
        <v>54</v>
      </c>
      <c r="Q1039">
        <v>0</v>
      </c>
    </row>
    <row r="1040" spans="1:17" x14ac:dyDescent="0.3">
      <c r="A1040" t="s">
        <v>17</v>
      </c>
      <c r="B1040">
        <v>65</v>
      </c>
      <c r="C1040" t="s">
        <v>54</v>
      </c>
      <c r="D1040" s="2">
        <v>45808</v>
      </c>
      <c r="E1040" s="3">
        <f t="shared" si="16"/>
        <v>45778</v>
      </c>
      <c r="F1040" t="s">
        <v>1095</v>
      </c>
      <c r="H1040" s="4">
        <v>23940.66</v>
      </c>
      <c r="I1040" t="s">
        <v>31</v>
      </c>
      <c r="J1040" t="s">
        <v>296</v>
      </c>
      <c r="L1040" s="2">
        <v>45778</v>
      </c>
      <c r="M1040" t="s">
        <v>296</v>
      </c>
      <c r="N1040">
        <v>0</v>
      </c>
      <c r="O1040" t="s">
        <v>31</v>
      </c>
      <c r="P1040" t="s">
        <v>54</v>
      </c>
      <c r="Q1040">
        <v>0</v>
      </c>
    </row>
    <row r="1041" spans="1:17" x14ac:dyDescent="0.3">
      <c r="A1041" t="s">
        <v>17</v>
      </c>
      <c r="B1041">
        <v>69</v>
      </c>
      <c r="C1041" t="s">
        <v>297</v>
      </c>
      <c r="D1041" s="2">
        <v>45808</v>
      </c>
      <c r="E1041" s="3">
        <f t="shared" si="16"/>
        <v>45778</v>
      </c>
      <c r="F1041" t="s">
        <v>1096</v>
      </c>
      <c r="H1041" s="4">
        <v>1954.72</v>
      </c>
      <c r="I1041" t="s">
        <v>31</v>
      </c>
      <c r="J1041" t="s">
        <v>299</v>
      </c>
      <c r="K1041" t="s">
        <v>300</v>
      </c>
      <c r="L1041" s="2">
        <v>45778</v>
      </c>
      <c r="M1041" t="s">
        <v>301</v>
      </c>
      <c r="N1041">
        <v>0</v>
      </c>
      <c r="O1041" t="s">
        <v>31</v>
      </c>
      <c r="P1041" t="s">
        <v>297</v>
      </c>
      <c r="Q1041">
        <v>0</v>
      </c>
    </row>
    <row r="1042" spans="1:17" x14ac:dyDescent="0.3">
      <c r="A1042" t="s">
        <v>17</v>
      </c>
      <c r="B1042">
        <v>67</v>
      </c>
      <c r="C1042" t="s">
        <v>28</v>
      </c>
      <c r="D1042" s="2">
        <v>45808</v>
      </c>
      <c r="E1042" s="3">
        <f t="shared" si="16"/>
        <v>45778</v>
      </c>
      <c r="F1042" t="s">
        <v>1097</v>
      </c>
      <c r="H1042" s="4">
        <v>3179.22</v>
      </c>
      <c r="I1042" t="s">
        <v>31</v>
      </c>
      <c r="J1042" t="s">
        <v>74</v>
      </c>
      <c r="K1042" t="s">
        <v>1098</v>
      </c>
      <c r="L1042" s="2">
        <v>45778</v>
      </c>
      <c r="M1042" t="s">
        <v>76</v>
      </c>
      <c r="N1042">
        <v>0</v>
      </c>
      <c r="O1042" t="s">
        <v>31</v>
      </c>
      <c r="P1042" t="s">
        <v>28</v>
      </c>
      <c r="Q1042">
        <v>0</v>
      </c>
    </row>
    <row r="1043" spans="1:17" x14ac:dyDescent="0.3">
      <c r="A1043" t="s">
        <v>17</v>
      </c>
      <c r="B1043">
        <v>67</v>
      </c>
      <c r="C1043" t="s">
        <v>28</v>
      </c>
      <c r="D1043" s="2">
        <v>45808</v>
      </c>
      <c r="E1043" s="3">
        <f t="shared" si="16"/>
        <v>45778</v>
      </c>
      <c r="F1043" t="s">
        <v>1099</v>
      </c>
      <c r="H1043" s="4">
        <v>2582.46</v>
      </c>
      <c r="I1043" t="s">
        <v>31</v>
      </c>
      <c r="J1043" t="s">
        <v>74</v>
      </c>
      <c r="K1043" t="s">
        <v>1100</v>
      </c>
      <c r="L1043" s="2">
        <v>45778</v>
      </c>
      <c r="M1043" t="s">
        <v>76</v>
      </c>
      <c r="N1043">
        <v>0</v>
      </c>
      <c r="O1043" t="s">
        <v>31</v>
      </c>
      <c r="P1043" t="s">
        <v>28</v>
      </c>
      <c r="Q1043">
        <v>0</v>
      </c>
    </row>
    <row r="1044" spans="1:17" x14ac:dyDescent="0.3">
      <c r="A1044" t="s">
        <v>17</v>
      </c>
      <c r="B1044">
        <v>67</v>
      </c>
      <c r="C1044" t="s">
        <v>28</v>
      </c>
      <c r="D1044" s="2">
        <v>45808</v>
      </c>
      <c r="E1044" s="3">
        <f t="shared" si="16"/>
        <v>45778</v>
      </c>
      <c r="F1044" t="s">
        <v>1101</v>
      </c>
      <c r="H1044" s="4">
        <v>226.82</v>
      </c>
      <c r="I1044" t="s">
        <v>31</v>
      </c>
      <c r="J1044" t="s">
        <v>74</v>
      </c>
      <c r="K1044" t="s">
        <v>355</v>
      </c>
      <c r="L1044" s="2">
        <v>45778</v>
      </c>
      <c r="M1044" t="s">
        <v>76</v>
      </c>
      <c r="N1044">
        <v>0</v>
      </c>
      <c r="O1044" t="s">
        <v>31</v>
      </c>
      <c r="P1044" t="s">
        <v>28</v>
      </c>
      <c r="Q1044">
        <v>0</v>
      </c>
    </row>
    <row r="1045" spans="1:17" x14ac:dyDescent="0.3">
      <c r="A1045" t="s">
        <v>17</v>
      </c>
      <c r="B1045">
        <v>67</v>
      </c>
      <c r="C1045" t="s">
        <v>28</v>
      </c>
      <c r="D1045" s="2">
        <v>45808</v>
      </c>
      <c r="E1045" s="3">
        <f t="shared" si="16"/>
        <v>45778</v>
      </c>
      <c r="F1045" t="s">
        <v>1102</v>
      </c>
      <c r="H1045" s="4">
        <v>842.09</v>
      </c>
      <c r="I1045" t="s">
        <v>31</v>
      </c>
      <c r="J1045" t="s">
        <v>74</v>
      </c>
      <c r="K1045" t="s">
        <v>303</v>
      </c>
      <c r="L1045" s="2">
        <v>45778</v>
      </c>
      <c r="M1045" t="s">
        <v>76</v>
      </c>
      <c r="N1045">
        <v>0</v>
      </c>
      <c r="O1045" t="s">
        <v>31</v>
      </c>
      <c r="P1045" t="s">
        <v>28</v>
      </c>
      <c r="Q1045">
        <v>0</v>
      </c>
    </row>
    <row r="1046" spans="1:17" x14ac:dyDescent="0.3">
      <c r="A1046" t="s">
        <v>17</v>
      </c>
      <c r="B1046">
        <v>67</v>
      </c>
      <c r="C1046" t="s">
        <v>28</v>
      </c>
      <c r="D1046" s="2">
        <v>45808</v>
      </c>
      <c r="E1046" s="3">
        <f t="shared" si="16"/>
        <v>45778</v>
      </c>
      <c r="F1046" t="s">
        <v>1103</v>
      </c>
      <c r="H1046" s="4">
        <v>431.42</v>
      </c>
      <c r="I1046" t="s">
        <v>31</v>
      </c>
      <c r="J1046" t="s">
        <v>74</v>
      </c>
      <c r="K1046" t="s">
        <v>541</v>
      </c>
      <c r="L1046" s="2">
        <v>45778</v>
      </c>
      <c r="M1046" t="s">
        <v>76</v>
      </c>
      <c r="N1046">
        <v>0</v>
      </c>
      <c r="O1046" t="s">
        <v>31</v>
      </c>
      <c r="P1046" t="s">
        <v>28</v>
      </c>
      <c r="Q1046">
        <v>0</v>
      </c>
    </row>
    <row r="1047" spans="1:17" x14ac:dyDescent="0.3">
      <c r="A1047" t="s">
        <v>17</v>
      </c>
      <c r="B1047">
        <v>67</v>
      </c>
      <c r="C1047" t="s">
        <v>28</v>
      </c>
      <c r="D1047" s="2">
        <v>45808</v>
      </c>
      <c r="E1047" s="3">
        <f t="shared" si="16"/>
        <v>45778</v>
      </c>
      <c r="F1047" t="s">
        <v>1104</v>
      </c>
      <c r="H1047" s="4">
        <v>9.99</v>
      </c>
      <c r="I1047" t="s">
        <v>31</v>
      </c>
      <c r="J1047" t="s">
        <v>74</v>
      </c>
      <c r="K1047" t="s">
        <v>315</v>
      </c>
      <c r="L1047" s="2">
        <v>45778</v>
      </c>
      <c r="M1047" t="s">
        <v>76</v>
      </c>
      <c r="N1047">
        <v>0</v>
      </c>
      <c r="O1047" t="s">
        <v>31</v>
      </c>
      <c r="P1047" t="s">
        <v>28</v>
      </c>
      <c r="Q1047">
        <v>0</v>
      </c>
    </row>
    <row r="1048" spans="1:17" x14ac:dyDescent="0.3">
      <c r="A1048" t="s">
        <v>17</v>
      </c>
      <c r="B1048">
        <v>67</v>
      </c>
      <c r="C1048" t="s">
        <v>28</v>
      </c>
      <c r="D1048" s="2">
        <v>45808</v>
      </c>
      <c r="E1048" s="3">
        <f t="shared" si="16"/>
        <v>45778</v>
      </c>
      <c r="F1048" t="s">
        <v>1105</v>
      </c>
      <c r="H1048" s="4">
        <v>2198.15</v>
      </c>
      <c r="I1048" t="s">
        <v>31</v>
      </c>
      <c r="J1048" t="s">
        <v>74</v>
      </c>
      <c r="K1048" t="s">
        <v>1106</v>
      </c>
      <c r="L1048" s="2">
        <v>45778</v>
      </c>
      <c r="M1048" t="s">
        <v>76</v>
      </c>
      <c r="N1048">
        <v>0</v>
      </c>
      <c r="O1048" t="s">
        <v>31</v>
      </c>
      <c r="P1048" t="s">
        <v>28</v>
      </c>
      <c r="Q1048">
        <v>0</v>
      </c>
    </row>
    <row r="1049" spans="1:17" x14ac:dyDescent="0.3">
      <c r="A1049" t="s">
        <v>17</v>
      </c>
      <c r="B1049">
        <v>67</v>
      </c>
      <c r="C1049" t="s">
        <v>28</v>
      </c>
      <c r="D1049" s="2">
        <v>45808</v>
      </c>
      <c r="E1049" s="3">
        <f t="shared" si="16"/>
        <v>45778</v>
      </c>
      <c r="F1049" t="s">
        <v>1107</v>
      </c>
      <c r="H1049" s="4">
        <v>4536.46</v>
      </c>
      <c r="I1049" t="s">
        <v>47</v>
      </c>
      <c r="J1049" t="s">
        <v>74</v>
      </c>
      <c r="K1049" t="s">
        <v>1108</v>
      </c>
      <c r="L1049" s="2">
        <v>45778</v>
      </c>
      <c r="M1049" t="s">
        <v>76</v>
      </c>
      <c r="N1049">
        <v>0</v>
      </c>
      <c r="O1049" t="s">
        <v>26</v>
      </c>
      <c r="P1049" t="s">
        <v>28</v>
      </c>
      <c r="Q1049">
        <v>0</v>
      </c>
    </row>
    <row r="1050" spans="1:17" x14ac:dyDescent="0.3">
      <c r="A1050" t="s">
        <v>17</v>
      </c>
      <c r="B1050">
        <v>66</v>
      </c>
      <c r="C1050" t="s">
        <v>134</v>
      </c>
      <c r="D1050" s="2">
        <v>45808</v>
      </c>
      <c r="E1050" s="3">
        <f t="shared" si="16"/>
        <v>45778</v>
      </c>
      <c r="F1050" t="s">
        <v>1109</v>
      </c>
      <c r="H1050" s="4">
        <v>400</v>
      </c>
      <c r="I1050" t="s">
        <v>108</v>
      </c>
      <c r="J1050" t="s">
        <v>255</v>
      </c>
      <c r="K1050" t="s">
        <v>1110</v>
      </c>
      <c r="L1050" s="2">
        <v>45778</v>
      </c>
      <c r="M1050" t="s">
        <v>257</v>
      </c>
      <c r="N1050">
        <v>0</v>
      </c>
      <c r="O1050" t="s">
        <v>111</v>
      </c>
      <c r="P1050" t="s">
        <v>134</v>
      </c>
      <c r="Q1050">
        <v>0</v>
      </c>
    </row>
    <row r="1051" spans="1:17" x14ac:dyDescent="0.3">
      <c r="A1051" t="s">
        <v>17</v>
      </c>
      <c r="B1051">
        <v>68</v>
      </c>
      <c r="C1051" t="s">
        <v>34</v>
      </c>
      <c r="D1051" s="2">
        <v>45808</v>
      </c>
      <c r="E1051" s="3">
        <f t="shared" si="16"/>
        <v>45778</v>
      </c>
      <c r="F1051" t="s">
        <v>1111</v>
      </c>
      <c r="H1051" s="4">
        <v>81.599999999999994</v>
      </c>
      <c r="I1051" t="s">
        <v>21</v>
      </c>
      <c r="J1051" t="s">
        <v>79</v>
      </c>
      <c r="K1051" t="s">
        <v>320</v>
      </c>
      <c r="L1051" s="2">
        <v>45778</v>
      </c>
      <c r="M1051" t="s">
        <v>79</v>
      </c>
      <c r="N1051" t="s">
        <v>25</v>
      </c>
      <c r="O1051" t="s">
        <v>81</v>
      </c>
      <c r="P1051" t="s">
        <v>34</v>
      </c>
      <c r="Q1051">
        <v>0</v>
      </c>
    </row>
    <row r="1052" spans="1:17" x14ac:dyDescent="0.3">
      <c r="A1052" t="s">
        <v>17</v>
      </c>
      <c r="B1052">
        <v>63</v>
      </c>
      <c r="C1052" t="s">
        <v>18</v>
      </c>
      <c r="D1052" s="2">
        <v>45808</v>
      </c>
      <c r="E1052" s="3">
        <f t="shared" si="16"/>
        <v>45778</v>
      </c>
      <c r="F1052" t="s">
        <v>1112</v>
      </c>
      <c r="H1052" s="4">
        <v>40291.67</v>
      </c>
      <c r="I1052" t="s">
        <v>47</v>
      </c>
      <c r="J1052" t="s">
        <v>272</v>
      </c>
      <c r="K1052" t="s">
        <v>755</v>
      </c>
      <c r="L1052" s="2">
        <v>45778</v>
      </c>
      <c r="M1052" t="s">
        <v>272</v>
      </c>
      <c r="N1052">
        <v>0</v>
      </c>
      <c r="O1052" t="s">
        <v>26</v>
      </c>
      <c r="P1052" t="s">
        <v>18</v>
      </c>
      <c r="Q1052" t="s">
        <v>274</v>
      </c>
    </row>
    <row r="1053" spans="1:17" x14ac:dyDescent="0.3">
      <c r="A1053" t="s">
        <v>17</v>
      </c>
      <c r="B1053">
        <v>63</v>
      </c>
      <c r="C1053" t="s">
        <v>18</v>
      </c>
      <c r="D1053" s="2">
        <v>45808</v>
      </c>
      <c r="E1053" s="3">
        <f t="shared" si="16"/>
        <v>45778</v>
      </c>
      <c r="F1053" t="s">
        <v>1113</v>
      </c>
      <c r="H1053" s="4">
        <v>957.07</v>
      </c>
      <c r="I1053" t="s">
        <v>47</v>
      </c>
      <c r="J1053" t="s">
        <v>326</v>
      </c>
      <c r="K1053" t="s">
        <v>1114</v>
      </c>
      <c r="L1053" s="2">
        <v>45778</v>
      </c>
      <c r="M1053" t="s">
        <v>328</v>
      </c>
      <c r="N1053">
        <v>0</v>
      </c>
      <c r="O1053" t="s">
        <v>26</v>
      </c>
      <c r="P1053" t="s">
        <v>18</v>
      </c>
      <c r="Q1053" t="s">
        <v>329</v>
      </c>
    </row>
    <row r="1054" spans="1:17" x14ac:dyDescent="0.3">
      <c r="A1054" t="s">
        <v>17</v>
      </c>
      <c r="B1054">
        <v>63</v>
      </c>
      <c r="C1054" t="s">
        <v>18</v>
      </c>
      <c r="D1054" s="2">
        <v>45808</v>
      </c>
      <c r="E1054" s="3">
        <f t="shared" si="16"/>
        <v>45778</v>
      </c>
      <c r="F1054" t="s">
        <v>1115</v>
      </c>
      <c r="H1054" s="4">
        <v>3333.33</v>
      </c>
      <c r="I1054" t="s">
        <v>47</v>
      </c>
      <c r="J1054" t="s">
        <v>331</v>
      </c>
      <c r="K1054" t="s">
        <v>1116</v>
      </c>
      <c r="L1054" s="2">
        <v>45778</v>
      </c>
      <c r="M1054" t="s">
        <v>333</v>
      </c>
      <c r="N1054">
        <v>0</v>
      </c>
      <c r="O1054" t="s">
        <v>26</v>
      </c>
      <c r="P1054" t="s">
        <v>18</v>
      </c>
      <c r="Q1054" t="s">
        <v>18</v>
      </c>
    </row>
    <row r="1055" spans="1:17" x14ac:dyDescent="0.3">
      <c r="A1055" t="s">
        <v>17</v>
      </c>
      <c r="B1055">
        <v>67</v>
      </c>
      <c r="C1055" t="s">
        <v>28</v>
      </c>
      <c r="D1055" s="2">
        <v>45808</v>
      </c>
      <c r="E1055" s="3">
        <f t="shared" si="16"/>
        <v>45778</v>
      </c>
      <c r="F1055" t="s">
        <v>1117</v>
      </c>
      <c r="H1055" s="4">
        <v>61750</v>
      </c>
      <c r="I1055" t="s">
        <v>31</v>
      </c>
      <c r="J1055" t="s">
        <v>399</v>
      </c>
      <c r="K1055" t="s">
        <v>1118</v>
      </c>
      <c r="L1055" s="2">
        <v>45778</v>
      </c>
      <c r="M1055" t="s">
        <v>401</v>
      </c>
      <c r="N1055">
        <v>0</v>
      </c>
      <c r="O1055" t="s">
        <v>31</v>
      </c>
      <c r="P1055" t="s">
        <v>28</v>
      </c>
      <c r="Q1055">
        <v>0</v>
      </c>
    </row>
    <row r="1056" spans="1:17" x14ac:dyDescent="0.3">
      <c r="A1056" t="s">
        <v>17</v>
      </c>
      <c r="B1056">
        <v>65</v>
      </c>
      <c r="C1056" t="s">
        <v>54</v>
      </c>
      <c r="D1056" s="2">
        <v>45808</v>
      </c>
      <c r="E1056" s="3">
        <f t="shared" si="16"/>
        <v>45778</v>
      </c>
      <c r="F1056" t="s">
        <v>1095</v>
      </c>
      <c r="H1056" s="4">
        <v>-606</v>
      </c>
      <c r="I1056" t="s">
        <v>31</v>
      </c>
      <c r="J1056" t="s">
        <v>155</v>
      </c>
      <c r="L1056" s="2">
        <v>45778</v>
      </c>
      <c r="M1056" t="s">
        <v>155</v>
      </c>
      <c r="N1056">
        <v>0</v>
      </c>
      <c r="O1056" t="s">
        <v>31</v>
      </c>
      <c r="P1056" t="s">
        <v>54</v>
      </c>
      <c r="Q1056">
        <v>0</v>
      </c>
    </row>
    <row r="1057" spans="1:17" x14ac:dyDescent="0.3">
      <c r="A1057" t="s">
        <v>17</v>
      </c>
      <c r="B1057">
        <v>67</v>
      </c>
      <c r="C1057" t="s">
        <v>28</v>
      </c>
      <c r="D1057" s="2">
        <v>45808</v>
      </c>
      <c r="E1057" s="3">
        <f t="shared" si="16"/>
        <v>45778</v>
      </c>
      <c r="F1057" t="s">
        <v>1119</v>
      </c>
      <c r="H1057" s="4">
        <v>501.9</v>
      </c>
      <c r="I1057" t="s">
        <v>31</v>
      </c>
      <c r="J1057" t="s">
        <v>60</v>
      </c>
      <c r="K1057" t="s">
        <v>342</v>
      </c>
      <c r="L1057" s="2">
        <v>45778</v>
      </c>
      <c r="M1057" t="s">
        <v>60</v>
      </c>
      <c r="N1057">
        <v>0</v>
      </c>
      <c r="O1057" t="s">
        <v>31</v>
      </c>
      <c r="P1057" t="s">
        <v>28</v>
      </c>
      <c r="Q1057">
        <v>0</v>
      </c>
    </row>
    <row r="1058" spans="1:17" x14ac:dyDescent="0.3">
      <c r="A1058" t="s">
        <v>17</v>
      </c>
      <c r="B1058">
        <v>67</v>
      </c>
      <c r="C1058" t="s">
        <v>28</v>
      </c>
      <c r="D1058" s="2">
        <v>45808</v>
      </c>
      <c r="E1058" s="3">
        <f t="shared" si="16"/>
        <v>45778</v>
      </c>
      <c r="F1058" t="s">
        <v>1120</v>
      </c>
      <c r="H1058" s="4">
        <v>-7.65</v>
      </c>
      <c r="I1058" t="s">
        <v>31</v>
      </c>
      <c r="J1058" t="s">
        <v>60</v>
      </c>
      <c r="L1058" s="2">
        <v>45778</v>
      </c>
      <c r="M1058" t="s">
        <v>60</v>
      </c>
      <c r="N1058">
        <v>0</v>
      </c>
      <c r="O1058" t="s">
        <v>31</v>
      </c>
      <c r="P1058" t="s">
        <v>28</v>
      </c>
      <c r="Q1058">
        <v>0</v>
      </c>
    </row>
    <row r="1059" spans="1:17" x14ac:dyDescent="0.3">
      <c r="A1059" t="s">
        <v>17</v>
      </c>
      <c r="B1059">
        <v>67</v>
      </c>
      <c r="C1059" t="s">
        <v>28</v>
      </c>
      <c r="D1059" s="2">
        <v>45808</v>
      </c>
      <c r="E1059" s="3">
        <f t="shared" si="16"/>
        <v>45778</v>
      </c>
      <c r="F1059" t="s">
        <v>1120</v>
      </c>
      <c r="H1059" s="4">
        <v>-0.6</v>
      </c>
      <c r="I1059" t="s">
        <v>31</v>
      </c>
      <c r="J1059" t="s">
        <v>60</v>
      </c>
      <c r="L1059" s="2">
        <v>45778</v>
      </c>
      <c r="M1059" t="s">
        <v>60</v>
      </c>
      <c r="N1059">
        <v>0</v>
      </c>
      <c r="O1059" t="s">
        <v>31</v>
      </c>
      <c r="P1059" t="s">
        <v>28</v>
      </c>
      <c r="Q1059">
        <v>0</v>
      </c>
    </row>
    <row r="1060" spans="1:17" x14ac:dyDescent="0.3">
      <c r="A1060" t="s">
        <v>17</v>
      </c>
      <c r="B1060">
        <v>67</v>
      </c>
      <c r="C1060" t="s">
        <v>28</v>
      </c>
      <c r="D1060" s="2">
        <v>45808</v>
      </c>
      <c r="E1060" s="3">
        <f t="shared" si="16"/>
        <v>45778</v>
      </c>
      <c r="F1060" t="s">
        <v>1120</v>
      </c>
      <c r="H1060" s="4">
        <v>-42.57</v>
      </c>
      <c r="I1060" t="s">
        <v>31</v>
      </c>
      <c r="J1060" t="s">
        <v>60</v>
      </c>
      <c r="L1060" s="2">
        <v>45778</v>
      </c>
      <c r="M1060" t="s">
        <v>60</v>
      </c>
      <c r="N1060">
        <v>0</v>
      </c>
      <c r="O1060" t="s">
        <v>31</v>
      </c>
      <c r="P1060" t="s">
        <v>28</v>
      </c>
      <c r="Q1060">
        <v>0</v>
      </c>
    </row>
    <row r="1061" spans="1:17" x14ac:dyDescent="0.3">
      <c r="A1061" t="s">
        <v>17</v>
      </c>
      <c r="B1061">
        <v>67</v>
      </c>
      <c r="C1061" t="s">
        <v>28</v>
      </c>
      <c r="D1061" s="2">
        <v>45808</v>
      </c>
      <c r="E1061" s="3">
        <f t="shared" si="16"/>
        <v>45778</v>
      </c>
      <c r="F1061" t="s">
        <v>1120</v>
      </c>
      <c r="H1061" s="4">
        <v>-46.52</v>
      </c>
      <c r="I1061" t="s">
        <v>31</v>
      </c>
      <c r="J1061" t="s">
        <v>60</v>
      </c>
      <c r="L1061" s="2">
        <v>45778</v>
      </c>
      <c r="M1061" t="s">
        <v>60</v>
      </c>
      <c r="N1061">
        <v>0</v>
      </c>
      <c r="O1061" t="s">
        <v>31</v>
      </c>
      <c r="P1061" t="s">
        <v>28</v>
      </c>
      <c r="Q1061">
        <v>0</v>
      </c>
    </row>
    <row r="1062" spans="1:17" x14ac:dyDescent="0.3">
      <c r="A1062" t="s">
        <v>17</v>
      </c>
      <c r="B1062">
        <v>67</v>
      </c>
      <c r="C1062" t="s">
        <v>28</v>
      </c>
      <c r="D1062" s="2">
        <v>45808</v>
      </c>
      <c r="E1062" s="3">
        <f t="shared" si="16"/>
        <v>45778</v>
      </c>
      <c r="F1062" t="s">
        <v>1120</v>
      </c>
      <c r="H1062" s="4">
        <v>-18.760000000000002</v>
      </c>
      <c r="I1062" t="s">
        <v>31</v>
      </c>
      <c r="J1062" t="s">
        <v>60</v>
      </c>
      <c r="L1062" s="2">
        <v>45778</v>
      </c>
      <c r="M1062" t="s">
        <v>60</v>
      </c>
      <c r="N1062">
        <v>0</v>
      </c>
      <c r="O1062" t="s">
        <v>31</v>
      </c>
      <c r="P1062" t="s">
        <v>28</v>
      </c>
      <c r="Q1062">
        <v>0</v>
      </c>
    </row>
    <row r="1063" spans="1:17" x14ac:dyDescent="0.3">
      <c r="A1063" t="s">
        <v>17</v>
      </c>
      <c r="B1063">
        <v>67</v>
      </c>
      <c r="C1063" t="s">
        <v>28</v>
      </c>
      <c r="D1063" s="2">
        <v>45808</v>
      </c>
      <c r="E1063" s="3">
        <f t="shared" si="16"/>
        <v>45778</v>
      </c>
      <c r="F1063" t="s">
        <v>1120</v>
      </c>
      <c r="H1063" s="4">
        <v>-7.09</v>
      </c>
      <c r="I1063" t="s">
        <v>31</v>
      </c>
      <c r="J1063" t="s">
        <v>60</v>
      </c>
      <c r="L1063" s="2">
        <v>45778</v>
      </c>
      <c r="M1063" t="s">
        <v>60</v>
      </c>
      <c r="N1063">
        <v>0</v>
      </c>
      <c r="O1063" t="s">
        <v>31</v>
      </c>
      <c r="P1063" t="s">
        <v>28</v>
      </c>
      <c r="Q1063">
        <v>0</v>
      </c>
    </row>
    <row r="1064" spans="1:17" x14ac:dyDescent="0.3">
      <c r="A1064" t="s">
        <v>17</v>
      </c>
      <c r="B1064">
        <v>67</v>
      </c>
      <c r="C1064" t="s">
        <v>28</v>
      </c>
      <c r="D1064" s="2">
        <v>45808</v>
      </c>
      <c r="E1064" s="3">
        <f t="shared" si="16"/>
        <v>45778</v>
      </c>
      <c r="F1064" t="s">
        <v>1120</v>
      </c>
      <c r="H1064" s="4">
        <v>-31.19</v>
      </c>
      <c r="I1064" t="s">
        <v>31</v>
      </c>
      <c r="J1064" t="s">
        <v>60</v>
      </c>
      <c r="L1064" s="2">
        <v>45778</v>
      </c>
      <c r="M1064" t="s">
        <v>60</v>
      </c>
      <c r="N1064">
        <v>0</v>
      </c>
      <c r="O1064" t="s">
        <v>31</v>
      </c>
      <c r="P1064" t="s">
        <v>28</v>
      </c>
      <c r="Q1064">
        <v>0</v>
      </c>
    </row>
    <row r="1065" spans="1:17" x14ac:dyDescent="0.3">
      <c r="A1065" t="s">
        <v>17</v>
      </c>
      <c r="B1065">
        <v>67</v>
      </c>
      <c r="C1065" t="s">
        <v>28</v>
      </c>
      <c r="D1065" s="2">
        <v>45808</v>
      </c>
      <c r="E1065" s="3">
        <f t="shared" si="16"/>
        <v>45778</v>
      </c>
      <c r="F1065" t="s">
        <v>1120</v>
      </c>
      <c r="H1065" s="4">
        <v>-6.8</v>
      </c>
      <c r="I1065" t="s">
        <v>31</v>
      </c>
      <c r="J1065" t="s">
        <v>60</v>
      </c>
      <c r="L1065" s="2">
        <v>45778</v>
      </c>
      <c r="M1065" t="s">
        <v>60</v>
      </c>
      <c r="N1065">
        <v>0</v>
      </c>
      <c r="O1065" t="s">
        <v>31</v>
      </c>
      <c r="P1065" t="s">
        <v>28</v>
      </c>
      <c r="Q1065">
        <v>0</v>
      </c>
    </row>
    <row r="1066" spans="1:17" x14ac:dyDescent="0.3">
      <c r="A1066" t="s">
        <v>17</v>
      </c>
      <c r="B1066">
        <v>67</v>
      </c>
      <c r="C1066" t="s">
        <v>28</v>
      </c>
      <c r="D1066" s="2">
        <v>45808</v>
      </c>
      <c r="E1066" s="3">
        <f t="shared" si="16"/>
        <v>45778</v>
      </c>
      <c r="F1066" t="s">
        <v>1121</v>
      </c>
      <c r="H1066" s="4">
        <v>1062.5</v>
      </c>
      <c r="I1066" t="s">
        <v>31</v>
      </c>
      <c r="J1066" t="s">
        <v>60</v>
      </c>
      <c r="K1066" t="s">
        <v>339</v>
      </c>
      <c r="L1066" s="2">
        <v>45778</v>
      </c>
      <c r="M1066" t="s">
        <v>60</v>
      </c>
      <c r="N1066">
        <v>0</v>
      </c>
      <c r="O1066" t="s">
        <v>31</v>
      </c>
      <c r="P1066" t="s">
        <v>28</v>
      </c>
      <c r="Q1066">
        <v>0</v>
      </c>
    </row>
    <row r="1067" spans="1:17" x14ac:dyDescent="0.3">
      <c r="A1067" t="s">
        <v>17</v>
      </c>
      <c r="B1067">
        <v>67</v>
      </c>
      <c r="C1067" t="s">
        <v>28</v>
      </c>
      <c r="D1067" s="2">
        <v>45808</v>
      </c>
      <c r="E1067" s="3">
        <f t="shared" si="16"/>
        <v>45778</v>
      </c>
      <c r="F1067" t="s">
        <v>1122</v>
      </c>
      <c r="H1067" s="4">
        <v>1284.9000000000001</v>
      </c>
      <c r="I1067" t="s">
        <v>31</v>
      </c>
      <c r="J1067" t="s">
        <v>60</v>
      </c>
      <c r="K1067" t="s">
        <v>1123</v>
      </c>
      <c r="L1067" s="2">
        <v>45778</v>
      </c>
      <c r="M1067" t="s">
        <v>60</v>
      </c>
      <c r="N1067">
        <v>0</v>
      </c>
      <c r="O1067" t="s">
        <v>31</v>
      </c>
      <c r="P1067" t="s">
        <v>28</v>
      </c>
      <c r="Q1067">
        <v>0</v>
      </c>
    </row>
    <row r="1068" spans="1:17" x14ac:dyDescent="0.3">
      <c r="A1068" t="s">
        <v>17</v>
      </c>
      <c r="B1068">
        <v>68</v>
      </c>
      <c r="C1068" t="s">
        <v>34</v>
      </c>
      <c r="D1068" s="2">
        <v>45808</v>
      </c>
      <c r="E1068" s="3">
        <f t="shared" si="16"/>
        <v>45778</v>
      </c>
      <c r="F1068" t="s">
        <v>1124</v>
      </c>
      <c r="H1068" s="4">
        <v>275.72000000000003</v>
      </c>
      <c r="I1068" t="s">
        <v>31</v>
      </c>
      <c r="J1068" t="s">
        <v>37</v>
      </c>
      <c r="K1068" t="s">
        <v>1125</v>
      </c>
      <c r="L1068" s="2">
        <v>45778</v>
      </c>
      <c r="M1068" t="s">
        <v>37</v>
      </c>
      <c r="N1068">
        <v>0</v>
      </c>
      <c r="O1068" t="s">
        <v>31</v>
      </c>
      <c r="P1068" t="s">
        <v>34</v>
      </c>
      <c r="Q1068">
        <v>0</v>
      </c>
    </row>
    <row r="1069" spans="1:17" x14ac:dyDescent="0.3">
      <c r="A1069" t="s">
        <v>17</v>
      </c>
      <c r="B1069">
        <v>69</v>
      </c>
      <c r="C1069" t="s">
        <v>297</v>
      </c>
      <c r="D1069" s="2">
        <v>45808</v>
      </c>
      <c r="E1069" s="3">
        <f t="shared" si="16"/>
        <v>45778</v>
      </c>
      <c r="F1069" t="s">
        <v>1126</v>
      </c>
      <c r="H1069" s="4">
        <v>66.72</v>
      </c>
      <c r="I1069" t="s">
        <v>159</v>
      </c>
      <c r="J1069" t="s">
        <v>346</v>
      </c>
      <c r="L1069" s="2">
        <v>45778</v>
      </c>
      <c r="M1069" t="s">
        <v>347</v>
      </c>
      <c r="N1069">
        <v>0</v>
      </c>
      <c r="O1069" t="s">
        <v>159</v>
      </c>
      <c r="P1069" t="s">
        <v>297</v>
      </c>
      <c r="Q1069">
        <v>0</v>
      </c>
    </row>
    <row r="1070" spans="1:17" x14ac:dyDescent="0.3">
      <c r="A1070" t="s">
        <v>17</v>
      </c>
      <c r="B1070">
        <v>69</v>
      </c>
      <c r="C1070" t="s">
        <v>297</v>
      </c>
      <c r="D1070" s="2">
        <v>45808</v>
      </c>
      <c r="E1070" s="3">
        <f t="shared" si="16"/>
        <v>45778</v>
      </c>
      <c r="F1070" t="s">
        <v>1126</v>
      </c>
      <c r="H1070" s="4">
        <v>113.67</v>
      </c>
      <c r="I1070" t="s">
        <v>137</v>
      </c>
      <c r="J1070" t="s">
        <v>346</v>
      </c>
      <c r="L1070" s="2">
        <v>45778</v>
      </c>
      <c r="M1070" t="s">
        <v>347</v>
      </c>
      <c r="N1070" t="s">
        <v>141</v>
      </c>
      <c r="O1070" t="s">
        <v>141</v>
      </c>
      <c r="P1070" t="s">
        <v>297</v>
      </c>
      <c r="Q1070">
        <v>0</v>
      </c>
    </row>
    <row r="1071" spans="1:17" x14ac:dyDescent="0.3">
      <c r="A1071" t="s">
        <v>17</v>
      </c>
      <c r="B1071">
        <v>69</v>
      </c>
      <c r="C1071" t="s">
        <v>297</v>
      </c>
      <c r="D1071" s="2">
        <v>45808</v>
      </c>
      <c r="E1071" s="3">
        <f t="shared" si="16"/>
        <v>45778</v>
      </c>
      <c r="F1071" t="s">
        <v>1126</v>
      </c>
      <c r="H1071" s="4">
        <v>228.04</v>
      </c>
      <c r="I1071" t="s">
        <v>21</v>
      </c>
      <c r="J1071" t="s">
        <v>346</v>
      </c>
      <c r="L1071" s="2">
        <v>45778</v>
      </c>
      <c r="M1071" t="s">
        <v>347</v>
      </c>
      <c r="N1071" t="s">
        <v>25</v>
      </c>
      <c r="O1071" t="s">
        <v>81</v>
      </c>
      <c r="P1071" t="s">
        <v>297</v>
      </c>
      <c r="Q1071">
        <v>0</v>
      </c>
    </row>
    <row r="1072" spans="1:17" x14ac:dyDescent="0.3">
      <c r="A1072" t="s">
        <v>17</v>
      </c>
      <c r="B1072">
        <v>69</v>
      </c>
      <c r="C1072" t="s">
        <v>297</v>
      </c>
      <c r="D1072" s="2">
        <v>45808</v>
      </c>
      <c r="E1072" s="3">
        <f t="shared" si="16"/>
        <v>45778</v>
      </c>
      <c r="F1072" t="s">
        <v>1126</v>
      </c>
      <c r="H1072" s="4">
        <v>147.88999999999999</v>
      </c>
      <c r="I1072" t="s">
        <v>108</v>
      </c>
      <c r="J1072" t="s">
        <v>346</v>
      </c>
      <c r="L1072" s="2">
        <v>45778</v>
      </c>
      <c r="M1072" t="s">
        <v>347</v>
      </c>
      <c r="N1072">
        <v>0</v>
      </c>
      <c r="O1072" t="s">
        <v>111</v>
      </c>
      <c r="P1072" t="s">
        <v>297</v>
      </c>
      <c r="Q1072">
        <v>0</v>
      </c>
    </row>
    <row r="1073" spans="1:17" x14ac:dyDescent="0.3">
      <c r="A1073" t="s">
        <v>17</v>
      </c>
      <c r="B1073">
        <v>69</v>
      </c>
      <c r="C1073" t="s">
        <v>297</v>
      </c>
      <c r="D1073" s="2">
        <v>45808</v>
      </c>
      <c r="E1073" s="3">
        <f t="shared" si="16"/>
        <v>45778</v>
      </c>
      <c r="F1073" t="s">
        <v>1126</v>
      </c>
      <c r="H1073" s="4">
        <v>188.91</v>
      </c>
      <c r="I1073" t="s">
        <v>104</v>
      </c>
      <c r="J1073" t="s">
        <v>346</v>
      </c>
      <c r="L1073" s="2">
        <v>45778</v>
      </c>
      <c r="M1073" t="s">
        <v>347</v>
      </c>
      <c r="N1073">
        <v>0</v>
      </c>
      <c r="O1073" t="s">
        <v>104</v>
      </c>
      <c r="P1073" t="s">
        <v>297</v>
      </c>
      <c r="Q1073">
        <v>0</v>
      </c>
    </row>
    <row r="1074" spans="1:17" x14ac:dyDescent="0.3">
      <c r="A1074" t="s">
        <v>17</v>
      </c>
      <c r="B1074">
        <v>69</v>
      </c>
      <c r="C1074" t="s">
        <v>297</v>
      </c>
      <c r="D1074" s="2">
        <v>45808</v>
      </c>
      <c r="E1074" s="3">
        <f t="shared" si="16"/>
        <v>45778</v>
      </c>
      <c r="F1074" t="s">
        <v>1126</v>
      </c>
      <c r="H1074" s="4">
        <v>65.48</v>
      </c>
      <c r="I1074" t="s">
        <v>348</v>
      </c>
      <c r="J1074" t="s">
        <v>346</v>
      </c>
      <c r="L1074" s="2">
        <v>45778</v>
      </c>
      <c r="M1074" t="s">
        <v>347</v>
      </c>
      <c r="N1074">
        <v>0</v>
      </c>
      <c r="O1074" t="s">
        <v>348</v>
      </c>
      <c r="P1074" t="s">
        <v>297</v>
      </c>
      <c r="Q1074">
        <v>0</v>
      </c>
    </row>
    <row r="1075" spans="1:17" x14ac:dyDescent="0.3">
      <c r="A1075" t="s">
        <v>17</v>
      </c>
      <c r="B1075">
        <v>69</v>
      </c>
      <c r="C1075" t="s">
        <v>297</v>
      </c>
      <c r="D1075" s="2">
        <v>45808</v>
      </c>
      <c r="E1075" s="3">
        <f t="shared" si="16"/>
        <v>45778</v>
      </c>
      <c r="F1075" t="s">
        <v>1126</v>
      </c>
      <c r="H1075" s="4">
        <v>166.9</v>
      </c>
      <c r="I1075" t="s">
        <v>47</v>
      </c>
      <c r="J1075" t="s">
        <v>346</v>
      </c>
      <c r="L1075" s="2">
        <v>45778</v>
      </c>
      <c r="M1075" t="s">
        <v>347</v>
      </c>
      <c r="N1075">
        <v>0</v>
      </c>
      <c r="O1075" t="s">
        <v>26</v>
      </c>
      <c r="P1075" t="s">
        <v>297</v>
      </c>
      <c r="Q1075">
        <v>0</v>
      </c>
    </row>
    <row r="1076" spans="1:17" x14ac:dyDescent="0.3">
      <c r="A1076" t="s">
        <v>17</v>
      </c>
      <c r="B1076">
        <v>69</v>
      </c>
      <c r="C1076" t="s">
        <v>297</v>
      </c>
      <c r="D1076" s="2">
        <v>45808</v>
      </c>
      <c r="E1076" s="3">
        <f t="shared" si="16"/>
        <v>45778</v>
      </c>
      <c r="F1076" t="s">
        <v>1126</v>
      </c>
      <c r="H1076" s="4">
        <v>533.32000000000005</v>
      </c>
      <c r="I1076" t="s">
        <v>31</v>
      </c>
      <c r="J1076" t="s">
        <v>346</v>
      </c>
      <c r="L1076" s="2">
        <v>45778</v>
      </c>
      <c r="M1076" t="s">
        <v>347</v>
      </c>
      <c r="N1076">
        <v>0</v>
      </c>
      <c r="O1076" t="s">
        <v>31</v>
      </c>
      <c r="P1076" t="s">
        <v>297</v>
      </c>
      <c r="Q1076">
        <v>0</v>
      </c>
    </row>
    <row r="1077" spans="1:17" x14ac:dyDescent="0.3">
      <c r="A1077" t="s">
        <v>17</v>
      </c>
      <c r="B1077">
        <v>69</v>
      </c>
      <c r="C1077" t="s">
        <v>297</v>
      </c>
      <c r="D1077" s="2">
        <v>45808</v>
      </c>
      <c r="E1077" s="3">
        <f t="shared" si="16"/>
        <v>45778</v>
      </c>
      <c r="F1077" t="s">
        <v>1126</v>
      </c>
      <c r="H1077" s="4">
        <v>259.97000000000003</v>
      </c>
      <c r="I1077" t="s">
        <v>137</v>
      </c>
      <c r="J1077" t="s">
        <v>349</v>
      </c>
      <c r="L1077" s="2">
        <v>45778</v>
      </c>
      <c r="M1077" t="s">
        <v>350</v>
      </c>
      <c r="N1077" t="s">
        <v>141</v>
      </c>
      <c r="O1077" t="s">
        <v>141</v>
      </c>
      <c r="P1077" t="s">
        <v>297</v>
      </c>
      <c r="Q1077">
        <v>0</v>
      </c>
    </row>
    <row r="1078" spans="1:17" x14ac:dyDescent="0.3">
      <c r="A1078" t="s">
        <v>17</v>
      </c>
      <c r="B1078">
        <v>69</v>
      </c>
      <c r="C1078" t="s">
        <v>297</v>
      </c>
      <c r="D1078" s="2">
        <v>45808</v>
      </c>
      <c r="E1078" s="3">
        <f t="shared" si="16"/>
        <v>45778</v>
      </c>
      <c r="F1078" t="s">
        <v>1126</v>
      </c>
      <c r="H1078" s="4">
        <v>141.36000000000001</v>
      </c>
      <c r="I1078" t="s">
        <v>31</v>
      </c>
      <c r="J1078" t="s">
        <v>349</v>
      </c>
      <c r="L1078" s="2">
        <v>45778</v>
      </c>
      <c r="M1078" t="s">
        <v>350</v>
      </c>
      <c r="N1078">
        <v>0</v>
      </c>
      <c r="O1078" t="s">
        <v>31</v>
      </c>
      <c r="P1078" t="s">
        <v>297</v>
      </c>
      <c r="Q1078">
        <v>0</v>
      </c>
    </row>
    <row r="1079" spans="1:17" x14ac:dyDescent="0.3">
      <c r="A1079" t="s">
        <v>17</v>
      </c>
      <c r="B1079">
        <v>67</v>
      </c>
      <c r="C1079" t="s">
        <v>28</v>
      </c>
      <c r="D1079" s="2">
        <v>45808</v>
      </c>
      <c r="E1079" s="3">
        <f t="shared" si="16"/>
        <v>45778</v>
      </c>
      <c r="F1079" t="s">
        <v>1127</v>
      </c>
      <c r="H1079" s="4">
        <v>833.33</v>
      </c>
      <c r="I1079" t="s">
        <v>31</v>
      </c>
      <c r="J1079" t="s">
        <v>48</v>
      </c>
      <c r="K1079" t="s">
        <v>937</v>
      </c>
      <c r="L1079" s="2">
        <v>45778</v>
      </c>
      <c r="M1079" t="s">
        <v>50</v>
      </c>
      <c r="N1079">
        <v>0</v>
      </c>
      <c r="O1079" t="s">
        <v>31</v>
      </c>
      <c r="P1079" t="s">
        <v>28</v>
      </c>
      <c r="Q1079">
        <v>0</v>
      </c>
    </row>
    <row r="1080" spans="1:17" x14ac:dyDescent="0.3">
      <c r="A1080" t="s">
        <v>17</v>
      </c>
      <c r="B1080">
        <v>67</v>
      </c>
      <c r="C1080" t="s">
        <v>28</v>
      </c>
      <c r="D1080" s="2">
        <v>45808</v>
      </c>
      <c r="E1080" s="3">
        <f t="shared" si="16"/>
        <v>45778</v>
      </c>
      <c r="F1080" t="s">
        <v>1128</v>
      </c>
      <c r="H1080" s="4">
        <v>153</v>
      </c>
      <c r="I1080" t="s">
        <v>47</v>
      </c>
      <c r="J1080" t="s">
        <v>352</v>
      </c>
      <c r="K1080" t="s">
        <v>359</v>
      </c>
      <c r="L1080" s="2">
        <v>45778</v>
      </c>
      <c r="M1080" t="s">
        <v>352</v>
      </c>
      <c r="N1080">
        <v>0</v>
      </c>
      <c r="O1080" t="s">
        <v>26</v>
      </c>
      <c r="P1080" t="s">
        <v>28</v>
      </c>
      <c r="Q1080">
        <v>0</v>
      </c>
    </row>
    <row r="1081" spans="1:17" x14ac:dyDescent="0.3">
      <c r="A1081" t="s">
        <v>17</v>
      </c>
      <c r="B1081">
        <v>67</v>
      </c>
      <c r="C1081" t="s">
        <v>28</v>
      </c>
      <c r="D1081" s="2">
        <v>45808</v>
      </c>
      <c r="E1081" s="3">
        <f t="shared" si="16"/>
        <v>45778</v>
      </c>
      <c r="F1081" t="s">
        <v>1129</v>
      </c>
      <c r="H1081" s="4">
        <v>175</v>
      </c>
      <c r="I1081" t="s">
        <v>108</v>
      </c>
      <c r="J1081" t="s">
        <v>352</v>
      </c>
      <c r="K1081" t="s">
        <v>1130</v>
      </c>
      <c r="L1081" s="2">
        <v>45778</v>
      </c>
      <c r="M1081" t="s">
        <v>352</v>
      </c>
      <c r="N1081">
        <v>0</v>
      </c>
      <c r="O1081" t="s">
        <v>111</v>
      </c>
      <c r="P1081" t="s">
        <v>28</v>
      </c>
      <c r="Q1081">
        <v>0</v>
      </c>
    </row>
    <row r="1082" spans="1:17" x14ac:dyDescent="0.3">
      <c r="A1082" t="s">
        <v>17</v>
      </c>
      <c r="B1082">
        <v>65</v>
      </c>
      <c r="C1082" t="s">
        <v>54</v>
      </c>
      <c r="D1082" s="2">
        <v>45808</v>
      </c>
      <c r="E1082" s="3">
        <f t="shared" si="16"/>
        <v>45778</v>
      </c>
      <c r="F1082" t="s">
        <v>1095</v>
      </c>
      <c r="H1082" s="4">
        <v>-30113.77</v>
      </c>
      <c r="I1082" t="s">
        <v>31</v>
      </c>
      <c r="J1082" t="s">
        <v>55</v>
      </c>
      <c r="L1082" s="2">
        <v>45778</v>
      </c>
      <c r="M1082" t="s">
        <v>55</v>
      </c>
      <c r="N1082">
        <v>0</v>
      </c>
      <c r="O1082" t="s">
        <v>31</v>
      </c>
      <c r="P1082" t="s">
        <v>54</v>
      </c>
      <c r="Q1082">
        <v>0</v>
      </c>
    </row>
    <row r="1083" spans="1:17" x14ac:dyDescent="0.3">
      <c r="A1083" t="s">
        <v>17</v>
      </c>
      <c r="B1083">
        <v>69</v>
      </c>
      <c r="C1083" t="s">
        <v>297</v>
      </c>
      <c r="D1083" s="2">
        <v>45808</v>
      </c>
      <c r="E1083" s="3">
        <f t="shared" si="16"/>
        <v>45778</v>
      </c>
      <c r="F1083" t="s">
        <v>1126</v>
      </c>
      <c r="H1083" s="4">
        <v>14.15</v>
      </c>
      <c r="I1083" t="s">
        <v>31</v>
      </c>
      <c r="J1083" t="s">
        <v>360</v>
      </c>
      <c r="L1083" s="2">
        <v>45778</v>
      </c>
      <c r="M1083" t="s">
        <v>361</v>
      </c>
      <c r="N1083">
        <v>0</v>
      </c>
      <c r="O1083" t="s">
        <v>31</v>
      </c>
      <c r="P1083" t="s">
        <v>297</v>
      </c>
      <c r="Q1083">
        <v>0</v>
      </c>
    </row>
    <row r="1084" spans="1:17" x14ac:dyDescent="0.3">
      <c r="A1084" t="s">
        <v>17</v>
      </c>
      <c r="B1084">
        <v>69</v>
      </c>
      <c r="C1084" t="s">
        <v>297</v>
      </c>
      <c r="D1084" s="2">
        <v>45808</v>
      </c>
      <c r="E1084" s="3">
        <f t="shared" si="16"/>
        <v>45778</v>
      </c>
      <c r="F1084" t="s">
        <v>1126</v>
      </c>
      <c r="H1084" s="4">
        <v>15.83</v>
      </c>
      <c r="I1084" t="s">
        <v>108</v>
      </c>
      <c r="J1084" t="s">
        <v>360</v>
      </c>
      <c r="L1084" s="2">
        <v>45778</v>
      </c>
      <c r="M1084" t="s">
        <v>361</v>
      </c>
      <c r="N1084">
        <v>0</v>
      </c>
      <c r="O1084" t="s">
        <v>111</v>
      </c>
      <c r="P1084" t="s">
        <v>297</v>
      </c>
      <c r="Q1084">
        <v>0</v>
      </c>
    </row>
    <row r="1085" spans="1:17" x14ac:dyDescent="0.3">
      <c r="A1085" t="s">
        <v>17</v>
      </c>
      <c r="B1085">
        <v>67</v>
      </c>
      <c r="C1085" t="s">
        <v>28</v>
      </c>
      <c r="D1085" s="2">
        <v>45809</v>
      </c>
      <c r="E1085" s="3">
        <f t="shared" si="16"/>
        <v>45809</v>
      </c>
      <c r="F1085">
        <v>1002523082</v>
      </c>
      <c r="G1085" t="s">
        <v>774</v>
      </c>
      <c r="H1085" s="4">
        <v>2061.9</v>
      </c>
      <c r="I1085" t="s">
        <v>31</v>
      </c>
      <c r="J1085" t="s">
        <v>32</v>
      </c>
      <c r="K1085" t="s">
        <v>1131</v>
      </c>
      <c r="L1085" s="2">
        <v>45809</v>
      </c>
      <c r="M1085" t="s">
        <v>32</v>
      </c>
      <c r="N1085">
        <v>0</v>
      </c>
      <c r="O1085" t="s">
        <v>31</v>
      </c>
      <c r="P1085" t="s">
        <v>28</v>
      </c>
      <c r="Q1085">
        <v>0</v>
      </c>
    </row>
    <row r="1086" spans="1:17" x14ac:dyDescent="0.3">
      <c r="A1086" t="s">
        <v>17</v>
      </c>
      <c r="B1086">
        <v>67</v>
      </c>
      <c r="C1086" t="s">
        <v>28</v>
      </c>
      <c r="D1086" s="2">
        <v>45809</v>
      </c>
      <c r="E1086" s="3">
        <f t="shared" si="16"/>
        <v>45809</v>
      </c>
      <c r="F1086">
        <v>1002523080</v>
      </c>
      <c r="G1086" t="s">
        <v>774</v>
      </c>
      <c r="H1086" s="4">
        <v>7288.42</v>
      </c>
      <c r="I1086" t="s">
        <v>31</v>
      </c>
      <c r="J1086" t="s">
        <v>32</v>
      </c>
      <c r="K1086" t="s">
        <v>1132</v>
      </c>
      <c r="L1086" s="2">
        <v>45809</v>
      </c>
      <c r="M1086" t="s">
        <v>32</v>
      </c>
      <c r="N1086">
        <v>0</v>
      </c>
      <c r="O1086" t="s">
        <v>31</v>
      </c>
      <c r="P1086" t="s">
        <v>28</v>
      </c>
      <c r="Q1086">
        <v>0</v>
      </c>
    </row>
    <row r="1087" spans="1:17" x14ac:dyDescent="0.3">
      <c r="A1087" t="s">
        <v>17</v>
      </c>
      <c r="B1087">
        <v>66</v>
      </c>
      <c r="C1087" t="s">
        <v>134</v>
      </c>
      <c r="D1087" s="2">
        <v>45809</v>
      </c>
      <c r="E1087" s="3">
        <f t="shared" si="16"/>
        <v>45809</v>
      </c>
      <c r="F1087" t="s">
        <v>1133</v>
      </c>
      <c r="G1087" t="s">
        <v>136</v>
      </c>
      <c r="H1087" s="4">
        <v>2240.2800000000002</v>
      </c>
      <c r="I1087" t="s">
        <v>137</v>
      </c>
      <c r="J1087" t="s">
        <v>223</v>
      </c>
      <c r="K1087" t="s">
        <v>1134</v>
      </c>
      <c r="L1087" s="2">
        <v>45809</v>
      </c>
      <c r="M1087" t="s">
        <v>223</v>
      </c>
      <c r="N1087" t="s">
        <v>141</v>
      </c>
      <c r="O1087" t="s">
        <v>111</v>
      </c>
      <c r="P1087" t="s">
        <v>134</v>
      </c>
      <c r="Q1087">
        <v>0</v>
      </c>
    </row>
    <row r="1088" spans="1:17" x14ac:dyDescent="0.3">
      <c r="A1088" t="s">
        <v>17</v>
      </c>
      <c r="B1088">
        <v>67</v>
      </c>
      <c r="C1088" t="s">
        <v>28</v>
      </c>
      <c r="D1088" s="2">
        <v>45809</v>
      </c>
      <c r="E1088" s="3">
        <f t="shared" si="16"/>
        <v>45809</v>
      </c>
      <c r="F1088" t="s">
        <v>1135</v>
      </c>
      <c r="G1088" t="s">
        <v>578</v>
      </c>
      <c r="H1088" s="4">
        <v>1263.24</v>
      </c>
      <c r="I1088" t="s">
        <v>31</v>
      </c>
      <c r="J1088" t="s">
        <v>60</v>
      </c>
      <c r="K1088" t="s">
        <v>1136</v>
      </c>
      <c r="L1088" s="2">
        <v>45809</v>
      </c>
      <c r="M1088" t="s">
        <v>60</v>
      </c>
      <c r="N1088">
        <v>0</v>
      </c>
      <c r="O1088" t="s">
        <v>31</v>
      </c>
      <c r="P1088" t="s">
        <v>28</v>
      </c>
      <c r="Q1088">
        <v>0</v>
      </c>
    </row>
    <row r="1089" spans="1:17" x14ac:dyDescent="0.3">
      <c r="A1089" t="s">
        <v>17</v>
      </c>
      <c r="B1089">
        <v>67</v>
      </c>
      <c r="C1089" t="s">
        <v>28</v>
      </c>
      <c r="D1089" s="2">
        <v>45809</v>
      </c>
      <c r="E1089" s="3">
        <f t="shared" si="16"/>
        <v>45809</v>
      </c>
      <c r="F1089" t="s">
        <v>1137</v>
      </c>
      <c r="G1089" t="s">
        <v>578</v>
      </c>
      <c r="H1089" s="4">
        <v>2001.3</v>
      </c>
      <c r="I1089" t="s">
        <v>31</v>
      </c>
      <c r="J1089" t="s">
        <v>60</v>
      </c>
      <c r="K1089" t="s">
        <v>1138</v>
      </c>
      <c r="L1089" s="2">
        <v>45809</v>
      </c>
      <c r="M1089" t="s">
        <v>60</v>
      </c>
      <c r="N1089">
        <v>0</v>
      </c>
      <c r="O1089" t="s">
        <v>31</v>
      </c>
      <c r="P1089" t="s">
        <v>28</v>
      </c>
      <c r="Q1089">
        <v>0</v>
      </c>
    </row>
    <row r="1090" spans="1:17" x14ac:dyDescent="0.3">
      <c r="A1090" t="s">
        <v>17</v>
      </c>
      <c r="B1090">
        <v>68</v>
      </c>
      <c r="C1090" t="s">
        <v>34</v>
      </c>
      <c r="D1090" s="2">
        <v>45809</v>
      </c>
      <c r="E1090" s="3">
        <f t="shared" si="16"/>
        <v>45809</v>
      </c>
      <c r="F1090" t="s">
        <v>1139</v>
      </c>
      <c r="G1090" t="s">
        <v>40</v>
      </c>
      <c r="H1090" s="4">
        <v>275.72000000000003</v>
      </c>
      <c r="I1090" t="s">
        <v>31</v>
      </c>
      <c r="J1090" t="s">
        <v>37</v>
      </c>
      <c r="K1090" t="s">
        <v>1140</v>
      </c>
      <c r="L1090" s="2">
        <v>45809</v>
      </c>
      <c r="M1090" t="s">
        <v>37</v>
      </c>
      <c r="N1090">
        <v>0</v>
      </c>
      <c r="O1090" t="s">
        <v>31</v>
      </c>
      <c r="P1090" t="s">
        <v>34</v>
      </c>
      <c r="Q1090">
        <v>0</v>
      </c>
    </row>
    <row r="1091" spans="1:17" x14ac:dyDescent="0.3">
      <c r="A1091" t="s">
        <v>17</v>
      </c>
      <c r="B1091">
        <v>68</v>
      </c>
      <c r="C1091" t="s">
        <v>34</v>
      </c>
      <c r="D1091" s="2">
        <v>45809</v>
      </c>
      <c r="E1091" s="3">
        <f t="shared" ref="E1091:E1154" si="17">IF($D1091="","",DATE(YEAR($D1091),MONTH($D1091),1))</f>
        <v>45809</v>
      </c>
      <c r="F1091" t="s">
        <v>1141</v>
      </c>
      <c r="G1091" t="s">
        <v>43</v>
      </c>
      <c r="H1091" s="4">
        <v>269.97000000000003</v>
      </c>
      <c r="I1091" t="s">
        <v>31</v>
      </c>
      <c r="J1091" t="s">
        <v>37</v>
      </c>
      <c r="K1091" t="s">
        <v>1142</v>
      </c>
      <c r="L1091" s="2">
        <v>45809</v>
      </c>
      <c r="M1091" t="s">
        <v>37</v>
      </c>
      <c r="N1091">
        <v>0</v>
      </c>
      <c r="O1091" t="s">
        <v>31</v>
      </c>
      <c r="P1091" t="s">
        <v>34</v>
      </c>
      <c r="Q1091">
        <v>0</v>
      </c>
    </row>
    <row r="1092" spans="1:17" x14ac:dyDescent="0.3">
      <c r="A1092" t="s">
        <v>17</v>
      </c>
      <c r="B1092">
        <v>67</v>
      </c>
      <c r="C1092" t="s">
        <v>28</v>
      </c>
      <c r="D1092" s="2">
        <v>45809</v>
      </c>
      <c r="E1092" s="3">
        <f t="shared" si="17"/>
        <v>45809</v>
      </c>
      <c r="F1092" t="s">
        <v>1143</v>
      </c>
      <c r="G1092" t="s">
        <v>52</v>
      </c>
      <c r="H1092" s="4">
        <v>3292.9</v>
      </c>
      <c r="I1092" t="s">
        <v>31</v>
      </c>
      <c r="J1092" t="s">
        <v>48</v>
      </c>
      <c r="K1092" t="s">
        <v>950</v>
      </c>
      <c r="L1092" s="2">
        <v>45809</v>
      </c>
      <c r="M1092" t="s">
        <v>50</v>
      </c>
      <c r="N1092">
        <v>0</v>
      </c>
      <c r="O1092" t="s">
        <v>31</v>
      </c>
      <c r="P1092" t="s">
        <v>28</v>
      </c>
      <c r="Q1092">
        <v>0</v>
      </c>
    </row>
    <row r="1093" spans="1:17" x14ac:dyDescent="0.3">
      <c r="A1093" t="s">
        <v>17</v>
      </c>
      <c r="B1093">
        <v>65</v>
      </c>
      <c r="C1093" t="s">
        <v>54</v>
      </c>
      <c r="D1093" s="2">
        <v>45809</v>
      </c>
      <c r="E1093" s="3">
        <f t="shared" si="17"/>
        <v>45809</v>
      </c>
      <c r="F1093" t="s">
        <v>1139</v>
      </c>
      <c r="G1093" t="s">
        <v>40</v>
      </c>
      <c r="H1093" s="4">
        <v>30113.77</v>
      </c>
      <c r="I1093" t="s">
        <v>31</v>
      </c>
      <c r="J1093" t="s">
        <v>55</v>
      </c>
      <c r="K1093" t="s">
        <v>1144</v>
      </c>
      <c r="L1093" s="2">
        <v>45809</v>
      </c>
      <c r="M1093" t="s">
        <v>55</v>
      </c>
      <c r="N1093">
        <v>0</v>
      </c>
      <c r="O1093" t="s">
        <v>31</v>
      </c>
      <c r="P1093" t="s">
        <v>54</v>
      </c>
      <c r="Q1093">
        <v>0</v>
      </c>
    </row>
    <row r="1094" spans="1:17" x14ac:dyDescent="0.3">
      <c r="A1094" t="s">
        <v>17</v>
      </c>
      <c r="B1094">
        <v>68</v>
      </c>
      <c r="C1094" t="s">
        <v>34</v>
      </c>
      <c r="D1094" s="2">
        <v>45809</v>
      </c>
      <c r="E1094" s="3">
        <f t="shared" si="17"/>
        <v>45809</v>
      </c>
      <c r="F1094" t="s">
        <v>1145</v>
      </c>
      <c r="H1094" s="4">
        <v>-63739.25</v>
      </c>
      <c r="I1094" t="s">
        <v>31</v>
      </c>
      <c r="J1094" t="s">
        <v>726</v>
      </c>
      <c r="K1094" t="s">
        <v>728</v>
      </c>
      <c r="L1094" s="2">
        <v>45809</v>
      </c>
      <c r="M1094" t="s">
        <v>726</v>
      </c>
      <c r="N1094">
        <v>0</v>
      </c>
      <c r="O1094" t="s">
        <v>31</v>
      </c>
      <c r="P1094" t="s">
        <v>34</v>
      </c>
      <c r="Q1094">
        <v>0</v>
      </c>
    </row>
    <row r="1095" spans="1:17" x14ac:dyDescent="0.3">
      <c r="A1095" t="s">
        <v>17</v>
      </c>
      <c r="B1095">
        <v>66</v>
      </c>
      <c r="C1095" t="s">
        <v>134</v>
      </c>
      <c r="D1095" s="2">
        <v>45809</v>
      </c>
      <c r="E1095" s="3">
        <f t="shared" si="17"/>
        <v>45809</v>
      </c>
      <c r="F1095" t="s">
        <v>1146</v>
      </c>
      <c r="H1095" s="4">
        <v>-400</v>
      </c>
      <c r="I1095" t="s">
        <v>108</v>
      </c>
      <c r="J1095" t="s">
        <v>255</v>
      </c>
      <c r="K1095" t="s">
        <v>1110</v>
      </c>
      <c r="L1095" s="2">
        <v>45809</v>
      </c>
      <c r="M1095" t="s">
        <v>257</v>
      </c>
      <c r="N1095">
        <v>0</v>
      </c>
      <c r="O1095" t="s">
        <v>111</v>
      </c>
      <c r="P1095" t="s">
        <v>134</v>
      </c>
      <c r="Q1095">
        <v>0</v>
      </c>
    </row>
    <row r="1096" spans="1:17" x14ac:dyDescent="0.3">
      <c r="A1096" t="s">
        <v>17</v>
      </c>
      <c r="B1096">
        <v>67</v>
      </c>
      <c r="C1096" t="s">
        <v>28</v>
      </c>
      <c r="D1096" s="2">
        <v>45809</v>
      </c>
      <c r="E1096" s="3">
        <f t="shared" si="17"/>
        <v>45809</v>
      </c>
      <c r="F1096" t="s">
        <v>1147</v>
      </c>
      <c r="H1096" s="4">
        <v>-61750</v>
      </c>
      <c r="I1096" t="s">
        <v>31</v>
      </c>
      <c r="J1096" t="s">
        <v>399</v>
      </c>
      <c r="K1096" t="s">
        <v>1118</v>
      </c>
      <c r="L1096" s="2">
        <v>45809</v>
      </c>
      <c r="M1096" t="s">
        <v>401</v>
      </c>
      <c r="N1096">
        <v>0</v>
      </c>
      <c r="O1096" t="s">
        <v>31</v>
      </c>
      <c r="P1096" t="s">
        <v>28</v>
      </c>
      <c r="Q1096">
        <v>0</v>
      </c>
    </row>
    <row r="1097" spans="1:17" x14ac:dyDescent="0.3">
      <c r="A1097" t="s">
        <v>17</v>
      </c>
      <c r="B1097">
        <v>67</v>
      </c>
      <c r="C1097" t="s">
        <v>28</v>
      </c>
      <c r="D1097" s="2">
        <v>45809</v>
      </c>
      <c r="E1097" s="3">
        <f t="shared" si="17"/>
        <v>45809</v>
      </c>
      <c r="F1097" t="s">
        <v>1148</v>
      </c>
      <c r="H1097" s="4">
        <v>50</v>
      </c>
      <c r="I1097" t="s">
        <v>31</v>
      </c>
      <c r="J1097" t="s">
        <v>64</v>
      </c>
      <c r="K1097" t="s">
        <v>681</v>
      </c>
      <c r="L1097" s="2">
        <v>45809</v>
      </c>
      <c r="M1097" t="s">
        <v>64</v>
      </c>
      <c r="N1097">
        <v>0</v>
      </c>
      <c r="O1097" t="s">
        <v>31</v>
      </c>
      <c r="P1097" t="s">
        <v>28</v>
      </c>
      <c r="Q1097">
        <v>0</v>
      </c>
    </row>
    <row r="1098" spans="1:17" x14ac:dyDescent="0.3">
      <c r="A1098" t="s">
        <v>17</v>
      </c>
      <c r="B1098">
        <v>67</v>
      </c>
      <c r="C1098" t="s">
        <v>28</v>
      </c>
      <c r="D1098" s="2">
        <v>45809</v>
      </c>
      <c r="E1098" s="3">
        <f t="shared" si="17"/>
        <v>45809</v>
      </c>
      <c r="F1098" t="s">
        <v>1149</v>
      </c>
      <c r="H1098" s="4">
        <v>18.760000000000002</v>
      </c>
      <c r="I1098" t="s">
        <v>31</v>
      </c>
      <c r="J1098" t="s">
        <v>60</v>
      </c>
      <c r="L1098" s="2">
        <v>45809</v>
      </c>
      <c r="M1098" t="s">
        <v>60</v>
      </c>
      <c r="N1098">
        <v>0</v>
      </c>
      <c r="O1098" t="s">
        <v>31</v>
      </c>
      <c r="P1098" t="s">
        <v>28</v>
      </c>
      <c r="Q1098">
        <v>0</v>
      </c>
    </row>
    <row r="1099" spans="1:17" x14ac:dyDescent="0.3">
      <c r="A1099" t="s">
        <v>17</v>
      </c>
      <c r="B1099">
        <v>67</v>
      </c>
      <c r="C1099" t="s">
        <v>28</v>
      </c>
      <c r="D1099" s="2">
        <v>45809</v>
      </c>
      <c r="E1099" s="3">
        <f t="shared" si="17"/>
        <v>45809</v>
      </c>
      <c r="F1099" t="s">
        <v>1149</v>
      </c>
      <c r="H1099" s="4">
        <v>7.09</v>
      </c>
      <c r="I1099" t="s">
        <v>31</v>
      </c>
      <c r="J1099" t="s">
        <v>60</v>
      </c>
      <c r="L1099" s="2">
        <v>45809</v>
      </c>
      <c r="M1099" t="s">
        <v>60</v>
      </c>
      <c r="N1099">
        <v>0</v>
      </c>
      <c r="O1099" t="s">
        <v>31</v>
      </c>
      <c r="P1099" t="s">
        <v>28</v>
      </c>
      <c r="Q1099">
        <v>0</v>
      </c>
    </row>
    <row r="1100" spans="1:17" x14ac:dyDescent="0.3">
      <c r="A1100" t="s">
        <v>17</v>
      </c>
      <c r="B1100">
        <v>67</v>
      </c>
      <c r="C1100" t="s">
        <v>28</v>
      </c>
      <c r="D1100" s="2">
        <v>45809</v>
      </c>
      <c r="E1100" s="3">
        <f t="shared" si="17"/>
        <v>45809</v>
      </c>
      <c r="F1100" t="s">
        <v>1149</v>
      </c>
      <c r="H1100" s="4">
        <v>31.19</v>
      </c>
      <c r="I1100" t="s">
        <v>31</v>
      </c>
      <c r="J1100" t="s">
        <v>60</v>
      </c>
      <c r="L1100" s="2">
        <v>45809</v>
      </c>
      <c r="M1100" t="s">
        <v>60</v>
      </c>
      <c r="N1100">
        <v>0</v>
      </c>
      <c r="O1100" t="s">
        <v>31</v>
      </c>
      <c r="P1100" t="s">
        <v>28</v>
      </c>
      <c r="Q1100">
        <v>0</v>
      </c>
    </row>
    <row r="1101" spans="1:17" x14ac:dyDescent="0.3">
      <c r="A1101" t="s">
        <v>17</v>
      </c>
      <c r="B1101">
        <v>67</v>
      </c>
      <c r="C1101" t="s">
        <v>28</v>
      </c>
      <c r="D1101" s="2">
        <v>45809</v>
      </c>
      <c r="E1101" s="3">
        <f t="shared" si="17"/>
        <v>45809</v>
      </c>
      <c r="F1101" t="s">
        <v>1149</v>
      </c>
      <c r="H1101" s="4">
        <v>6.8</v>
      </c>
      <c r="I1101" t="s">
        <v>31</v>
      </c>
      <c r="J1101" t="s">
        <v>60</v>
      </c>
      <c r="L1101" s="2">
        <v>45809</v>
      </c>
      <c r="M1101" t="s">
        <v>60</v>
      </c>
      <c r="N1101">
        <v>0</v>
      </c>
      <c r="O1101" t="s">
        <v>31</v>
      </c>
      <c r="P1101" t="s">
        <v>28</v>
      </c>
      <c r="Q1101">
        <v>0</v>
      </c>
    </row>
    <row r="1102" spans="1:17" x14ac:dyDescent="0.3">
      <c r="A1102" t="s">
        <v>17</v>
      </c>
      <c r="B1102">
        <v>67</v>
      </c>
      <c r="C1102" t="s">
        <v>28</v>
      </c>
      <c r="D1102" s="2">
        <v>45809</v>
      </c>
      <c r="E1102" s="3">
        <f t="shared" si="17"/>
        <v>45809</v>
      </c>
      <c r="F1102" t="s">
        <v>1149</v>
      </c>
      <c r="H1102" s="4">
        <v>0.6</v>
      </c>
      <c r="I1102" t="s">
        <v>31</v>
      </c>
      <c r="J1102" t="s">
        <v>60</v>
      </c>
      <c r="L1102" s="2">
        <v>45809</v>
      </c>
      <c r="M1102" t="s">
        <v>60</v>
      </c>
      <c r="N1102">
        <v>0</v>
      </c>
      <c r="O1102" t="s">
        <v>31</v>
      </c>
      <c r="P1102" t="s">
        <v>28</v>
      </c>
      <c r="Q1102">
        <v>0</v>
      </c>
    </row>
    <row r="1103" spans="1:17" x14ac:dyDescent="0.3">
      <c r="A1103" t="s">
        <v>17</v>
      </c>
      <c r="B1103">
        <v>67</v>
      </c>
      <c r="C1103" t="s">
        <v>28</v>
      </c>
      <c r="D1103" s="2">
        <v>45809</v>
      </c>
      <c r="E1103" s="3">
        <f t="shared" si="17"/>
        <v>45809</v>
      </c>
      <c r="F1103" t="s">
        <v>1149</v>
      </c>
      <c r="H1103" s="4">
        <v>42.57</v>
      </c>
      <c r="I1103" t="s">
        <v>31</v>
      </c>
      <c r="J1103" t="s">
        <v>60</v>
      </c>
      <c r="L1103" s="2">
        <v>45809</v>
      </c>
      <c r="M1103" t="s">
        <v>60</v>
      </c>
      <c r="N1103">
        <v>0</v>
      </c>
      <c r="O1103" t="s">
        <v>31</v>
      </c>
      <c r="P1103" t="s">
        <v>28</v>
      </c>
      <c r="Q1103">
        <v>0</v>
      </c>
    </row>
    <row r="1104" spans="1:17" x14ac:dyDescent="0.3">
      <c r="A1104" t="s">
        <v>17</v>
      </c>
      <c r="B1104">
        <v>67</v>
      </c>
      <c r="C1104" t="s">
        <v>28</v>
      </c>
      <c r="D1104" s="2">
        <v>45809</v>
      </c>
      <c r="E1104" s="3">
        <f t="shared" si="17"/>
        <v>45809</v>
      </c>
      <c r="F1104" t="s">
        <v>1149</v>
      </c>
      <c r="H1104" s="4">
        <v>46.52</v>
      </c>
      <c r="I1104" t="s">
        <v>31</v>
      </c>
      <c r="J1104" t="s">
        <v>60</v>
      </c>
      <c r="L1104" s="2">
        <v>45809</v>
      </c>
      <c r="M1104" t="s">
        <v>60</v>
      </c>
      <c r="N1104">
        <v>0</v>
      </c>
      <c r="O1104" t="s">
        <v>31</v>
      </c>
      <c r="P1104" t="s">
        <v>28</v>
      </c>
      <c r="Q1104">
        <v>0</v>
      </c>
    </row>
    <row r="1105" spans="1:17" x14ac:dyDescent="0.3">
      <c r="A1105" t="s">
        <v>17</v>
      </c>
      <c r="B1105">
        <v>67</v>
      </c>
      <c r="C1105" t="s">
        <v>28</v>
      </c>
      <c r="D1105" s="2">
        <v>45809</v>
      </c>
      <c r="E1105" s="3">
        <f t="shared" si="17"/>
        <v>45809</v>
      </c>
      <c r="F1105" t="s">
        <v>1149</v>
      </c>
      <c r="H1105" s="4">
        <v>7.65</v>
      </c>
      <c r="I1105" t="s">
        <v>31</v>
      </c>
      <c r="J1105" t="s">
        <v>60</v>
      </c>
      <c r="L1105" s="2">
        <v>45809</v>
      </c>
      <c r="M1105" t="s">
        <v>60</v>
      </c>
      <c r="N1105">
        <v>0</v>
      </c>
      <c r="O1105" t="s">
        <v>31</v>
      </c>
      <c r="P1105" t="s">
        <v>28</v>
      </c>
      <c r="Q1105">
        <v>0</v>
      </c>
    </row>
    <row r="1106" spans="1:17" x14ac:dyDescent="0.3">
      <c r="A1106" t="s">
        <v>17</v>
      </c>
      <c r="B1106">
        <v>68</v>
      </c>
      <c r="C1106" t="s">
        <v>34</v>
      </c>
      <c r="D1106" s="2">
        <v>45809</v>
      </c>
      <c r="E1106" s="3">
        <f t="shared" si="17"/>
        <v>45809</v>
      </c>
      <c r="F1106" t="s">
        <v>1150</v>
      </c>
      <c r="H1106" s="4">
        <v>-275.72000000000003</v>
      </c>
      <c r="I1106" t="s">
        <v>31</v>
      </c>
      <c r="J1106" t="s">
        <v>37</v>
      </c>
      <c r="K1106" t="s">
        <v>1125</v>
      </c>
      <c r="L1106" s="2">
        <v>45809</v>
      </c>
      <c r="M1106" t="s">
        <v>37</v>
      </c>
      <c r="N1106">
        <v>0</v>
      </c>
      <c r="O1106" t="s">
        <v>31</v>
      </c>
      <c r="P1106" t="s">
        <v>34</v>
      </c>
      <c r="Q1106">
        <v>0</v>
      </c>
    </row>
    <row r="1107" spans="1:17" x14ac:dyDescent="0.3">
      <c r="A1107" t="s">
        <v>17</v>
      </c>
      <c r="B1107">
        <v>67</v>
      </c>
      <c r="C1107" t="s">
        <v>28</v>
      </c>
      <c r="D1107" s="2">
        <v>45810</v>
      </c>
      <c r="E1107" s="3">
        <f t="shared" si="17"/>
        <v>45809</v>
      </c>
      <c r="F1107" t="s">
        <v>1151</v>
      </c>
      <c r="G1107" t="s">
        <v>398</v>
      </c>
      <c r="H1107" s="4">
        <v>61750</v>
      </c>
      <c r="I1107" t="s">
        <v>31</v>
      </c>
      <c r="J1107" t="s">
        <v>399</v>
      </c>
      <c r="K1107" t="s">
        <v>1152</v>
      </c>
      <c r="L1107" s="2">
        <v>45809</v>
      </c>
      <c r="M1107" t="s">
        <v>401</v>
      </c>
      <c r="N1107">
        <v>0</v>
      </c>
      <c r="O1107" t="s">
        <v>31</v>
      </c>
      <c r="P1107" t="s">
        <v>28</v>
      </c>
      <c r="Q1107">
        <v>0</v>
      </c>
    </row>
    <row r="1108" spans="1:17" x14ac:dyDescent="0.3">
      <c r="A1108" t="s">
        <v>17</v>
      </c>
      <c r="B1108">
        <v>68</v>
      </c>
      <c r="C1108" t="s">
        <v>34</v>
      </c>
      <c r="D1108" s="2">
        <v>45811</v>
      </c>
      <c r="E1108" s="3">
        <f t="shared" si="17"/>
        <v>45809</v>
      </c>
      <c r="F1108" t="s">
        <v>1153</v>
      </c>
      <c r="G1108" t="s">
        <v>122</v>
      </c>
      <c r="H1108" s="4">
        <v>23.41</v>
      </c>
      <c r="I1108" t="s">
        <v>108</v>
      </c>
      <c r="J1108" t="s">
        <v>109</v>
      </c>
      <c r="K1108" t="s">
        <v>1044</v>
      </c>
      <c r="L1108" s="2">
        <v>45809</v>
      </c>
      <c r="M1108" t="s">
        <v>109</v>
      </c>
      <c r="N1108">
        <v>0</v>
      </c>
      <c r="O1108" t="s">
        <v>111</v>
      </c>
      <c r="P1108" t="s">
        <v>112</v>
      </c>
      <c r="Q1108" t="s">
        <v>113</v>
      </c>
    </row>
    <row r="1109" spans="1:17" x14ac:dyDescent="0.3">
      <c r="A1109" t="s">
        <v>17</v>
      </c>
      <c r="B1109">
        <v>68</v>
      </c>
      <c r="C1109" t="s">
        <v>34</v>
      </c>
      <c r="D1109" s="2">
        <v>45811</v>
      </c>
      <c r="E1109" s="3">
        <f t="shared" si="17"/>
        <v>45809</v>
      </c>
      <c r="F1109" t="s">
        <v>1154</v>
      </c>
      <c r="G1109" t="s">
        <v>122</v>
      </c>
      <c r="H1109" s="4">
        <v>28.74</v>
      </c>
      <c r="I1109" t="s">
        <v>108</v>
      </c>
      <c r="J1109" t="s">
        <v>109</v>
      </c>
      <c r="K1109" t="s">
        <v>609</v>
      </c>
      <c r="L1109" s="2">
        <v>45809</v>
      </c>
      <c r="M1109" t="s">
        <v>109</v>
      </c>
      <c r="N1109">
        <v>0</v>
      </c>
      <c r="O1109" t="s">
        <v>111</v>
      </c>
      <c r="P1109" t="s">
        <v>112</v>
      </c>
      <c r="Q1109" t="s">
        <v>113</v>
      </c>
    </row>
    <row r="1110" spans="1:17" x14ac:dyDescent="0.3">
      <c r="A1110" t="s">
        <v>17</v>
      </c>
      <c r="B1110">
        <v>67</v>
      </c>
      <c r="C1110" t="s">
        <v>28</v>
      </c>
      <c r="D1110" s="2">
        <v>45812</v>
      </c>
      <c r="E1110" s="3">
        <f t="shared" si="17"/>
        <v>45809</v>
      </c>
      <c r="F1110" t="s">
        <v>1155</v>
      </c>
      <c r="G1110" t="s">
        <v>101</v>
      </c>
      <c r="H1110" s="4">
        <v>1494</v>
      </c>
      <c r="I1110" t="s">
        <v>104</v>
      </c>
      <c r="J1110" t="s">
        <v>74</v>
      </c>
      <c r="K1110" t="s">
        <v>1156</v>
      </c>
      <c r="L1110" s="2">
        <v>45809</v>
      </c>
      <c r="M1110" t="s">
        <v>76</v>
      </c>
      <c r="N1110">
        <v>0</v>
      </c>
      <c r="O1110" t="s">
        <v>104</v>
      </c>
      <c r="P1110" t="s">
        <v>28</v>
      </c>
      <c r="Q1110">
        <v>0</v>
      </c>
    </row>
    <row r="1111" spans="1:17" x14ac:dyDescent="0.3">
      <c r="A1111" t="s">
        <v>17</v>
      </c>
      <c r="B1111">
        <v>67</v>
      </c>
      <c r="C1111" t="s">
        <v>28</v>
      </c>
      <c r="D1111" s="2">
        <v>45812</v>
      </c>
      <c r="E1111" s="3">
        <f t="shared" si="17"/>
        <v>45809</v>
      </c>
      <c r="F1111" t="s">
        <v>1155</v>
      </c>
      <c r="G1111" t="s">
        <v>101</v>
      </c>
      <c r="H1111" s="4">
        <v>1779.84</v>
      </c>
      <c r="I1111" t="s">
        <v>31</v>
      </c>
      <c r="J1111" t="s">
        <v>74</v>
      </c>
      <c r="K1111" t="s">
        <v>1157</v>
      </c>
      <c r="L1111" s="2">
        <v>45809</v>
      </c>
      <c r="M1111" t="s">
        <v>76</v>
      </c>
      <c r="N1111">
        <v>0</v>
      </c>
      <c r="O1111" t="s">
        <v>31</v>
      </c>
      <c r="P1111" t="s">
        <v>28</v>
      </c>
      <c r="Q1111">
        <v>0</v>
      </c>
    </row>
    <row r="1112" spans="1:17" x14ac:dyDescent="0.3">
      <c r="A1112" t="s">
        <v>17</v>
      </c>
      <c r="B1112">
        <v>67</v>
      </c>
      <c r="C1112" t="s">
        <v>28</v>
      </c>
      <c r="D1112" s="2">
        <v>45812</v>
      </c>
      <c r="E1112" s="3">
        <f t="shared" si="17"/>
        <v>45809</v>
      </c>
      <c r="F1112" t="s">
        <v>1155</v>
      </c>
      <c r="G1112" t="s">
        <v>101</v>
      </c>
      <c r="H1112" s="4">
        <v>1265.06</v>
      </c>
      <c r="I1112" t="s">
        <v>31</v>
      </c>
      <c r="J1112" t="s">
        <v>74</v>
      </c>
      <c r="K1112" t="s">
        <v>1158</v>
      </c>
      <c r="L1112" s="2">
        <v>45809</v>
      </c>
      <c r="M1112" t="s">
        <v>76</v>
      </c>
      <c r="N1112">
        <v>0</v>
      </c>
      <c r="O1112" t="s">
        <v>31</v>
      </c>
      <c r="P1112" t="s">
        <v>28</v>
      </c>
      <c r="Q1112">
        <v>0</v>
      </c>
    </row>
    <row r="1113" spans="1:17" x14ac:dyDescent="0.3">
      <c r="A1113" t="s">
        <v>17</v>
      </c>
      <c r="B1113">
        <v>67</v>
      </c>
      <c r="C1113" t="s">
        <v>28</v>
      </c>
      <c r="D1113" s="2">
        <v>45812</v>
      </c>
      <c r="E1113" s="3">
        <f t="shared" si="17"/>
        <v>45809</v>
      </c>
      <c r="F1113" t="s">
        <v>1155</v>
      </c>
      <c r="G1113" t="s">
        <v>101</v>
      </c>
      <c r="H1113" s="4">
        <v>76.2</v>
      </c>
      <c r="I1113" t="s">
        <v>31</v>
      </c>
      <c r="J1113" t="s">
        <v>74</v>
      </c>
      <c r="K1113" t="s">
        <v>1159</v>
      </c>
      <c r="L1113" s="2">
        <v>45809</v>
      </c>
      <c r="M1113" t="s">
        <v>76</v>
      </c>
      <c r="N1113">
        <v>0</v>
      </c>
      <c r="O1113" t="s">
        <v>31</v>
      </c>
      <c r="P1113" t="s">
        <v>28</v>
      </c>
      <c r="Q1113">
        <v>0</v>
      </c>
    </row>
    <row r="1114" spans="1:17" x14ac:dyDescent="0.3">
      <c r="A1114" t="s">
        <v>17</v>
      </c>
      <c r="B1114">
        <v>67</v>
      </c>
      <c r="C1114" t="s">
        <v>28</v>
      </c>
      <c r="D1114" s="2">
        <v>45812</v>
      </c>
      <c r="E1114" s="3">
        <f t="shared" si="17"/>
        <v>45809</v>
      </c>
      <c r="F1114" t="s">
        <v>1160</v>
      </c>
      <c r="G1114" t="s">
        <v>1161</v>
      </c>
      <c r="H1114" s="4">
        <v>4.16</v>
      </c>
      <c r="I1114" t="s">
        <v>31</v>
      </c>
      <c r="J1114" t="s">
        <v>74</v>
      </c>
      <c r="K1114" t="s">
        <v>1162</v>
      </c>
      <c r="L1114" s="2">
        <v>45809</v>
      </c>
      <c r="M1114" t="s">
        <v>76</v>
      </c>
      <c r="N1114">
        <v>0</v>
      </c>
      <c r="O1114" t="s">
        <v>31</v>
      </c>
      <c r="P1114" t="s">
        <v>28</v>
      </c>
      <c r="Q1114">
        <v>0</v>
      </c>
    </row>
    <row r="1115" spans="1:17" x14ac:dyDescent="0.3">
      <c r="A1115" t="s">
        <v>17</v>
      </c>
      <c r="B1115">
        <v>68</v>
      </c>
      <c r="C1115" t="s">
        <v>34</v>
      </c>
      <c r="D1115" s="2">
        <v>45812</v>
      </c>
      <c r="E1115" s="3">
        <f t="shared" si="17"/>
        <v>45809</v>
      </c>
      <c r="F1115" t="s">
        <v>1155</v>
      </c>
      <c r="G1115" t="s">
        <v>101</v>
      </c>
      <c r="H1115" s="4">
        <v>4.59</v>
      </c>
      <c r="I1115" t="s">
        <v>31</v>
      </c>
      <c r="J1115" t="s">
        <v>79</v>
      </c>
      <c r="K1115" t="s">
        <v>1163</v>
      </c>
      <c r="L1115" s="2">
        <v>45809</v>
      </c>
      <c r="M1115" t="s">
        <v>79</v>
      </c>
      <c r="N1115">
        <v>0</v>
      </c>
      <c r="O1115" t="s">
        <v>31</v>
      </c>
      <c r="P1115" t="s">
        <v>34</v>
      </c>
      <c r="Q1115">
        <v>0</v>
      </c>
    </row>
    <row r="1116" spans="1:17" x14ac:dyDescent="0.3">
      <c r="A1116" t="s">
        <v>17</v>
      </c>
      <c r="B1116">
        <v>68</v>
      </c>
      <c r="C1116" t="s">
        <v>34</v>
      </c>
      <c r="D1116" s="2">
        <v>45812</v>
      </c>
      <c r="E1116" s="3">
        <f t="shared" si="17"/>
        <v>45809</v>
      </c>
      <c r="F1116" t="s">
        <v>1155</v>
      </c>
      <c r="G1116" t="s">
        <v>101</v>
      </c>
      <c r="H1116" s="4">
        <v>4.59</v>
      </c>
      <c r="I1116" t="s">
        <v>31</v>
      </c>
      <c r="J1116" t="s">
        <v>79</v>
      </c>
      <c r="K1116" t="s">
        <v>1163</v>
      </c>
      <c r="L1116" s="2">
        <v>45809</v>
      </c>
      <c r="M1116" t="s">
        <v>79</v>
      </c>
      <c r="N1116">
        <v>0</v>
      </c>
      <c r="O1116" t="s">
        <v>31</v>
      </c>
      <c r="P1116" t="s">
        <v>34</v>
      </c>
      <c r="Q1116">
        <v>0</v>
      </c>
    </row>
    <row r="1117" spans="1:17" x14ac:dyDescent="0.3">
      <c r="A1117" t="s">
        <v>17</v>
      </c>
      <c r="B1117">
        <v>68</v>
      </c>
      <c r="C1117" t="s">
        <v>34</v>
      </c>
      <c r="D1117" s="2">
        <v>45812</v>
      </c>
      <c r="E1117" s="3">
        <f t="shared" si="17"/>
        <v>45809</v>
      </c>
      <c r="F1117" t="s">
        <v>1155</v>
      </c>
      <c r="G1117" t="s">
        <v>101</v>
      </c>
      <c r="H1117" s="4">
        <v>67.900000000000006</v>
      </c>
      <c r="I1117" t="s">
        <v>31</v>
      </c>
      <c r="J1117" t="s">
        <v>79</v>
      </c>
      <c r="K1117" t="s">
        <v>1164</v>
      </c>
      <c r="L1117" s="2">
        <v>45809</v>
      </c>
      <c r="M1117" t="s">
        <v>79</v>
      </c>
      <c r="N1117">
        <v>0</v>
      </c>
      <c r="O1117" t="s">
        <v>31</v>
      </c>
      <c r="P1117" t="s">
        <v>34</v>
      </c>
      <c r="Q1117">
        <v>0</v>
      </c>
    </row>
    <row r="1118" spans="1:17" x14ac:dyDescent="0.3">
      <c r="A1118" t="s">
        <v>17</v>
      </c>
      <c r="B1118">
        <v>68</v>
      </c>
      <c r="C1118" t="s">
        <v>34</v>
      </c>
      <c r="D1118" s="2">
        <v>45812</v>
      </c>
      <c r="E1118" s="3">
        <f t="shared" si="17"/>
        <v>45809</v>
      </c>
      <c r="F1118" t="s">
        <v>1155</v>
      </c>
      <c r="G1118" t="s">
        <v>101</v>
      </c>
      <c r="H1118" s="4">
        <v>65.33</v>
      </c>
      <c r="I1118" t="s">
        <v>31</v>
      </c>
      <c r="J1118" t="s">
        <v>79</v>
      </c>
      <c r="K1118" t="s">
        <v>1165</v>
      </c>
      <c r="L1118" s="2">
        <v>45809</v>
      </c>
      <c r="M1118" t="s">
        <v>79</v>
      </c>
      <c r="N1118">
        <v>0</v>
      </c>
      <c r="O1118" t="s">
        <v>31</v>
      </c>
      <c r="P1118" t="s">
        <v>34</v>
      </c>
      <c r="Q1118">
        <v>0</v>
      </c>
    </row>
    <row r="1119" spans="1:17" x14ac:dyDescent="0.3">
      <c r="A1119" t="s">
        <v>17</v>
      </c>
      <c r="B1119">
        <v>67</v>
      </c>
      <c r="C1119" t="s">
        <v>28</v>
      </c>
      <c r="D1119" s="2">
        <v>45812</v>
      </c>
      <c r="E1119" s="3">
        <f t="shared" si="17"/>
        <v>45809</v>
      </c>
      <c r="F1119" t="s">
        <v>1155</v>
      </c>
      <c r="G1119" t="s">
        <v>101</v>
      </c>
      <c r="H1119" s="4">
        <v>1.1399999999999999</v>
      </c>
      <c r="I1119" t="s">
        <v>31</v>
      </c>
      <c r="J1119" t="s">
        <v>64</v>
      </c>
      <c r="K1119" t="s">
        <v>1166</v>
      </c>
      <c r="L1119" s="2">
        <v>45809</v>
      </c>
      <c r="M1119" t="s">
        <v>64</v>
      </c>
      <c r="N1119">
        <v>0</v>
      </c>
      <c r="O1119" t="s">
        <v>31</v>
      </c>
      <c r="P1119" t="s">
        <v>28</v>
      </c>
      <c r="Q1119">
        <v>0</v>
      </c>
    </row>
    <row r="1120" spans="1:17" x14ac:dyDescent="0.3">
      <c r="A1120" t="s">
        <v>17</v>
      </c>
      <c r="B1120">
        <v>67</v>
      </c>
      <c r="C1120" t="s">
        <v>28</v>
      </c>
      <c r="D1120" s="2">
        <v>45813</v>
      </c>
      <c r="E1120" s="3">
        <f t="shared" si="17"/>
        <v>45809</v>
      </c>
      <c r="F1120" t="s">
        <v>1167</v>
      </c>
      <c r="G1120" t="s">
        <v>369</v>
      </c>
      <c r="H1120" s="4">
        <v>544.32000000000005</v>
      </c>
      <c r="I1120" t="s">
        <v>31</v>
      </c>
      <c r="J1120" t="s">
        <v>74</v>
      </c>
      <c r="K1120" s="5">
        <v>45809</v>
      </c>
      <c r="L1120" s="2">
        <v>45809</v>
      </c>
      <c r="M1120" t="s">
        <v>76</v>
      </c>
      <c r="N1120">
        <v>0</v>
      </c>
      <c r="O1120" t="s">
        <v>31</v>
      </c>
      <c r="P1120" t="s">
        <v>28</v>
      </c>
      <c r="Q1120">
        <v>0</v>
      </c>
    </row>
    <row r="1121" spans="1:17" x14ac:dyDescent="0.3">
      <c r="A1121" t="s">
        <v>17</v>
      </c>
      <c r="B1121">
        <v>68</v>
      </c>
      <c r="C1121" t="s">
        <v>34</v>
      </c>
      <c r="D1121" s="2">
        <v>45814</v>
      </c>
      <c r="E1121" s="3">
        <f t="shared" si="17"/>
        <v>45809</v>
      </c>
      <c r="F1121" t="s">
        <v>1168</v>
      </c>
      <c r="G1121" t="s">
        <v>824</v>
      </c>
      <c r="H1121" s="4">
        <v>19.7</v>
      </c>
      <c r="I1121" t="s">
        <v>108</v>
      </c>
      <c r="J1121" t="s">
        <v>109</v>
      </c>
      <c r="K1121" t="s">
        <v>1169</v>
      </c>
      <c r="L1121" s="2">
        <v>45809</v>
      </c>
      <c r="M1121" t="s">
        <v>109</v>
      </c>
      <c r="N1121">
        <v>0</v>
      </c>
      <c r="O1121" t="s">
        <v>111</v>
      </c>
      <c r="P1121" t="s">
        <v>112</v>
      </c>
      <c r="Q1121" t="s">
        <v>113</v>
      </c>
    </row>
    <row r="1122" spans="1:17" x14ac:dyDescent="0.3">
      <c r="A1122" t="s">
        <v>17</v>
      </c>
      <c r="B1122">
        <v>63</v>
      </c>
      <c r="C1122" t="s">
        <v>18</v>
      </c>
      <c r="D1122" s="2">
        <v>45814</v>
      </c>
      <c r="E1122" s="3">
        <f t="shared" si="17"/>
        <v>45809</v>
      </c>
      <c r="F1122" t="s">
        <v>1170</v>
      </c>
      <c r="G1122" t="s">
        <v>125</v>
      </c>
      <c r="H1122" s="4">
        <v>990</v>
      </c>
      <c r="I1122" t="s">
        <v>21</v>
      </c>
      <c r="J1122" t="s">
        <v>22</v>
      </c>
      <c r="K1122" t="s">
        <v>1033</v>
      </c>
      <c r="L1122" s="2">
        <v>45809</v>
      </c>
      <c r="M1122" t="s">
        <v>24</v>
      </c>
      <c r="N1122" t="s">
        <v>25</v>
      </c>
      <c r="O1122" t="s">
        <v>26</v>
      </c>
      <c r="P1122" t="s">
        <v>18</v>
      </c>
      <c r="Q1122" t="s">
        <v>27</v>
      </c>
    </row>
    <row r="1123" spans="1:17" x14ac:dyDescent="0.3">
      <c r="A1123" t="s">
        <v>17</v>
      </c>
      <c r="B1123">
        <v>68</v>
      </c>
      <c r="C1123" t="s">
        <v>34</v>
      </c>
      <c r="D1123" s="2">
        <v>45814</v>
      </c>
      <c r="E1123" s="3">
        <f t="shared" si="17"/>
        <v>45809</v>
      </c>
      <c r="F1123" t="s">
        <v>1168</v>
      </c>
      <c r="G1123" t="s">
        <v>824</v>
      </c>
      <c r="H1123" s="4">
        <v>83.84</v>
      </c>
      <c r="I1123" t="s">
        <v>108</v>
      </c>
      <c r="J1123" t="s">
        <v>79</v>
      </c>
      <c r="K1123" t="s">
        <v>1091</v>
      </c>
      <c r="L1123" s="2">
        <v>45809</v>
      </c>
      <c r="M1123" t="s">
        <v>79</v>
      </c>
      <c r="N1123">
        <v>0</v>
      </c>
      <c r="O1123" t="s">
        <v>111</v>
      </c>
      <c r="P1123" t="s">
        <v>34</v>
      </c>
      <c r="Q1123">
        <v>0</v>
      </c>
    </row>
    <row r="1124" spans="1:17" x14ac:dyDescent="0.3">
      <c r="A1124" t="s">
        <v>17</v>
      </c>
      <c r="B1124">
        <v>67</v>
      </c>
      <c r="C1124" t="s">
        <v>28</v>
      </c>
      <c r="D1124" s="2">
        <v>45814</v>
      </c>
      <c r="E1124" s="3">
        <f t="shared" si="17"/>
        <v>45809</v>
      </c>
      <c r="F1124" t="s">
        <v>1171</v>
      </c>
      <c r="G1124" t="s">
        <v>67</v>
      </c>
      <c r="H1124" s="4">
        <v>737.58</v>
      </c>
      <c r="I1124" t="s">
        <v>31</v>
      </c>
      <c r="J1124" t="s">
        <v>68</v>
      </c>
      <c r="K1124" t="s">
        <v>1172</v>
      </c>
      <c r="L1124" s="2">
        <v>45809</v>
      </c>
      <c r="M1124" t="s">
        <v>68</v>
      </c>
      <c r="N1124">
        <v>0</v>
      </c>
      <c r="O1124" t="s">
        <v>31</v>
      </c>
      <c r="P1124" t="s">
        <v>28</v>
      </c>
      <c r="Q1124">
        <v>0</v>
      </c>
    </row>
    <row r="1125" spans="1:17" x14ac:dyDescent="0.3">
      <c r="A1125" t="s">
        <v>17</v>
      </c>
      <c r="B1125">
        <v>67</v>
      </c>
      <c r="C1125" t="s">
        <v>28</v>
      </c>
      <c r="D1125" s="2">
        <v>45814</v>
      </c>
      <c r="E1125" s="3">
        <f t="shared" si="17"/>
        <v>45809</v>
      </c>
      <c r="F1125" t="s">
        <v>1173</v>
      </c>
      <c r="G1125" t="s">
        <v>67</v>
      </c>
      <c r="H1125" s="4">
        <v>627.94000000000005</v>
      </c>
      <c r="I1125" t="s">
        <v>31</v>
      </c>
      <c r="J1125" t="s">
        <v>68</v>
      </c>
      <c r="K1125" t="s">
        <v>1174</v>
      </c>
      <c r="L1125" s="2">
        <v>45809</v>
      </c>
      <c r="M1125" t="s">
        <v>68</v>
      </c>
      <c r="N1125">
        <v>0</v>
      </c>
      <c r="O1125" t="s">
        <v>31</v>
      </c>
      <c r="P1125" t="s">
        <v>28</v>
      </c>
      <c r="Q1125">
        <v>0</v>
      </c>
    </row>
    <row r="1126" spans="1:17" x14ac:dyDescent="0.3">
      <c r="A1126" t="s">
        <v>17</v>
      </c>
      <c r="B1126">
        <v>67</v>
      </c>
      <c r="C1126" t="s">
        <v>28</v>
      </c>
      <c r="D1126" s="2">
        <v>45814</v>
      </c>
      <c r="E1126" s="3">
        <f t="shared" si="17"/>
        <v>45809</v>
      </c>
      <c r="F1126" t="s">
        <v>1175</v>
      </c>
      <c r="G1126" t="s">
        <v>398</v>
      </c>
      <c r="H1126" s="4">
        <v>6000</v>
      </c>
      <c r="I1126" t="s">
        <v>31</v>
      </c>
      <c r="J1126" t="s">
        <v>48</v>
      </c>
      <c r="K1126" t="s">
        <v>783</v>
      </c>
      <c r="L1126" s="2">
        <v>45809</v>
      </c>
      <c r="M1126" t="s">
        <v>50</v>
      </c>
      <c r="N1126">
        <v>0</v>
      </c>
      <c r="O1126" t="s">
        <v>31</v>
      </c>
      <c r="P1126" t="s">
        <v>28</v>
      </c>
      <c r="Q1126">
        <v>0</v>
      </c>
    </row>
    <row r="1127" spans="1:17" x14ac:dyDescent="0.3">
      <c r="A1127" t="s">
        <v>17</v>
      </c>
      <c r="B1127">
        <v>64</v>
      </c>
      <c r="C1127" t="s">
        <v>83</v>
      </c>
      <c r="D1127" s="2">
        <v>45814</v>
      </c>
      <c r="E1127" s="3">
        <f t="shared" si="17"/>
        <v>45809</v>
      </c>
      <c r="F1127" t="s">
        <v>1168</v>
      </c>
      <c r="G1127" t="s">
        <v>824</v>
      </c>
      <c r="H1127" s="4">
        <v>40.98</v>
      </c>
      <c r="I1127" t="s">
        <v>108</v>
      </c>
      <c r="J1127" t="s">
        <v>87</v>
      </c>
      <c r="K1127" t="s">
        <v>1176</v>
      </c>
      <c r="L1127" s="2">
        <v>45809</v>
      </c>
      <c r="M1127" t="s">
        <v>89</v>
      </c>
      <c r="N1127">
        <v>0</v>
      </c>
      <c r="O1127" t="s">
        <v>111</v>
      </c>
      <c r="P1127" t="s">
        <v>83</v>
      </c>
      <c r="Q1127">
        <v>0</v>
      </c>
    </row>
    <row r="1128" spans="1:17" x14ac:dyDescent="0.3">
      <c r="A1128" t="s">
        <v>17</v>
      </c>
      <c r="B1128">
        <v>64</v>
      </c>
      <c r="C1128" t="s">
        <v>83</v>
      </c>
      <c r="D1128" s="2">
        <v>45814</v>
      </c>
      <c r="E1128" s="3">
        <f t="shared" si="17"/>
        <v>45809</v>
      </c>
      <c r="F1128" t="s">
        <v>1168</v>
      </c>
      <c r="G1128" t="s">
        <v>824</v>
      </c>
      <c r="H1128" s="4">
        <v>20.78</v>
      </c>
      <c r="I1128" t="s">
        <v>108</v>
      </c>
      <c r="J1128" t="s">
        <v>87</v>
      </c>
      <c r="K1128" t="s">
        <v>1177</v>
      </c>
      <c r="L1128" s="2">
        <v>45809</v>
      </c>
      <c r="M1128" t="s">
        <v>89</v>
      </c>
      <c r="N1128">
        <v>0</v>
      </c>
      <c r="O1128" t="s">
        <v>111</v>
      </c>
      <c r="P1128" t="s">
        <v>83</v>
      </c>
      <c r="Q1128">
        <v>0</v>
      </c>
    </row>
    <row r="1129" spans="1:17" x14ac:dyDescent="0.3">
      <c r="A1129" t="s">
        <v>17</v>
      </c>
      <c r="B1129">
        <v>64</v>
      </c>
      <c r="C1129" t="s">
        <v>83</v>
      </c>
      <c r="D1129" s="2">
        <v>45814</v>
      </c>
      <c r="E1129" s="3">
        <f t="shared" si="17"/>
        <v>45809</v>
      </c>
      <c r="F1129" t="s">
        <v>1168</v>
      </c>
      <c r="G1129" t="s">
        <v>824</v>
      </c>
      <c r="H1129" s="4">
        <v>21.02</v>
      </c>
      <c r="I1129" t="s">
        <v>108</v>
      </c>
      <c r="J1129" t="s">
        <v>91</v>
      </c>
      <c r="K1129" t="s">
        <v>1178</v>
      </c>
      <c r="L1129" s="2">
        <v>45809</v>
      </c>
      <c r="M1129" t="s">
        <v>93</v>
      </c>
      <c r="N1129">
        <v>0</v>
      </c>
      <c r="O1129" t="s">
        <v>111</v>
      </c>
      <c r="P1129" t="s">
        <v>83</v>
      </c>
      <c r="Q1129">
        <v>0</v>
      </c>
    </row>
    <row r="1130" spans="1:17" x14ac:dyDescent="0.3">
      <c r="A1130" t="s">
        <v>17</v>
      </c>
      <c r="B1130">
        <v>68</v>
      </c>
      <c r="C1130" t="s">
        <v>34</v>
      </c>
      <c r="D1130" s="2">
        <v>45814</v>
      </c>
      <c r="E1130" s="3">
        <f t="shared" si="17"/>
        <v>45809</v>
      </c>
      <c r="F1130" t="s">
        <v>1168</v>
      </c>
      <c r="G1130" t="s">
        <v>824</v>
      </c>
      <c r="H1130" s="4">
        <v>39.159999999999997</v>
      </c>
      <c r="I1130" t="s">
        <v>108</v>
      </c>
      <c r="J1130" t="s">
        <v>109</v>
      </c>
      <c r="K1130" t="s">
        <v>1169</v>
      </c>
      <c r="L1130" s="2">
        <v>45809</v>
      </c>
      <c r="M1130" t="s">
        <v>109</v>
      </c>
      <c r="N1130">
        <v>0</v>
      </c>
      <c r="O1130" t="s">
        <v>111</v>
      </c>
      <c r="P1130" t="s">
        <v>112</v>
      </c>
      <c r="Q1130" t="s">
        <v>113</v>
      </c>
    </row>
    <row r="1131" spans="1:17" x14ac:dyDescent="0.3">
      <c r="A1131" t="s">
        <v>17</v>
      </c>
      <c r="B1131">
        <v>64</v>
      </c>
      <c r="C1131" t="s">
        <v>83</v>
      </c>
      <c r="D1131" s="2">
        <v>45815</v>
      </c>
      <c r="E1131" s="3">
        <f t="shared" si="17"/>
        <v>45809</v>
      </c>
      <c r="F1131" t="s">
        <v>1179</v>
      </c>
      <c r="G1131" t="s">
        <v>174</v>
      </c>
      <c r="H1131" s="4">
        <v>25.48</v>
      </c>
      <c r="I1131" t="s">
        <v>31</v>
      </c>
      <c r="J1131" t="s">
        <v>87</v>
      </c>
      <c r="K1131" t="s">
        <v>1180</v>
      </c>
      <c r="L1131" s="2">
        <v>45809</v>
      </c>
      <c r="M1131" t="s">
        <v>89</v>
      </c>
      <c r="N1131">
        <v>0</v>
      </c>
      <c r="O1131" t="s">
        <v>31</v>
      </c>
      <c r="P1131" t="s">
        <v>83</v>
      </c>
      <c r="Q1131">
        <v>0</v>
      </c>
    </row>
    <row r="1132" spans="1:17" x14ac:dyDescent="0.3">
      <c r="A1132" t="s">
        <v>17</v>
      </c>
      <c r="B1132">
        <v>64</v>
      </c>
      <c r="C1132" t="s">
        <v>83</v>
      </c>
      <c r="D1132" s="2">
        <v>45815</v>
      </c>
      <c r="E1132" s="3">
        <f t="shared" si="17"/>
        <v>45809</v>
      </c>
      <c r="F1132" t="s">
        <v>1179</v>
      </c>
      <c r="G1132" t="s">
        <v>174</v>
      </c>
      <c r="H1132" s="4">
        <v>-25.48</v>
      </c>
      <c r="I1132" t="s">
        <v>31</v>
      </c>
      <c r="J1132" t="s">
        <v>87</v>
      </c>
      <c r="K1132" t="s">
        <v>1180</v>
      </c>
      <c r="L1132" s="2">
        <v>45809</v>
      </c>
      <c r="M1132" t="s">
        <v>89</v>
      </c>
      <c r="N1132">
        <v>0</v>
      </c>
      <c r="O1132" t="s">
        <v>31</v>
      </c>
      <c r="P1132" t="s">
        <v>83</v>
      </c>
      <c r="Q1132">
        <v>0</v>
      </c>
    </row>
    <row r="1133" spans="1:17" x14ac:dyDescent="0.3">
      <c r="A1133" t="s">
        <v>17</v>
      </c>
      <c r="B1133">
        <v>64</v>
      </c>
      <c r="C1133" t="s">
        <v>83</v>
      </c>
      <c r="D1133" s="2">
        <v>45815</v>
      </c>
      <c r="E1133" s="3">
        <f t="shared" si="17"/>
        <v>45809</v>
      </c>
      <c r="F1133" t="s">
        <v>1179</v>
      </c>
      <c r="G1133" t="s">
        <v>174</v>
      </c>
      <c r="H1133" s="4">
        <v>25.67</v>
      </c>
      <c r="I1133" t="s">
        <v>31</v>
      </c>
      <c r="J1133" t="s">
        <v>87</v>
      </c>
      <c r="K1133" t="s">
        <v>1181</v>
      </c>
      <c r="L1133" s="2">
        <v>45809</v>
      </c>
      <c r="M1133" t="s">
        <v>89</v>
      </c>
      <c r="N1133">
        <v>0</v>
      </c>
      <c r="O1133" t="s">
        <v>31</v>
      </c>
      <c r="P1133" t="s">
        <v>83</v>
      </c>
      <c r="Q1133">
        <v>0</v>
      </c>
    </row>
    <row r="1134" spans="1:17" x14ac:dyDescent="0.3">
      <c r="A1134" t="s">
        <v>17</v>
      </c>
      <c r="B1134">
        <v>64</v>
      </c>
      <c r="C1134" t="s">
        <v>83</v>
      </c>
      <c r="D1134" s="2">
        <v>45815</v>
      </c>
      <c r="E1134" s="3">
        <f t="shared" si="17"/>
        <v>45809</v>
      </c>
      <c r="F1134" t="s">
        <v>1179</v>
      </c>
      <c r="G1134" t="s">
        <v>174</v>
      </c>
      <c r="H1134" s="4">
        <v>120.76</v>
      </c>
      <c r="I1134" t="s">
        <v>31</v>
      </c>
      <c r="J1134" t="s">
        <v>87</v>
      </c>
      <c r="K1134" t="s">
        <v>1181</v>
      </c>
      <c r="L1134" s="2">
        <v>45809</v>
      </c>
      <c r="M1134" t="s">
        <v>89</v>
      </c>
      <c r="N1134">
        <v>0</v>
      </c>
      <c r="O1134" t="s">
        <v>31</v>
      </c>
      <c r="P1134" t="s">
        <v>83</v>
      </c>
      <c r="Q1134">
        <v>0</v>
      </c>
    </row>
    <row r="1135" spans="1:17" x14ac:dyDescent="0.3">
      <c r="A1135" t="s">
        <v>17</v>
      </c>
      <c r="B1135">
        <v>64</v>
      </c>
      <c r="C1135" t="s">
        <v>83</v>
      </c>
      <c r="D1135" s="2">
        <v>45815</v>
      </c>
      <c r="E1135" s="3">
        <f t="shared" si="17"/>
        <v>45809</v>
      </c>
      <c r="F1135" t="s">
        <v>1179</v>
      </c>
      <c r="G1135" t="s">
        <v>174</v>
      </c>
      <c r="H1135" s="4">
        <v>6.18</v>
      </c>
      <c r="I1135" t="s">
        <v>31</v>
      </c>
      <c r="J1135" t="s">
        <v>91</v>
      </c>
      <c r="K1135" t="s">
        <v>1182</v>
      </c>
      <c r="L1135" s="2">
        <v>45809</v>
      </c>
      <c r="M1135" t="s">
        <v>93</v>
      </c>
      <c r="N1135">
        <v>0</v>
      </c>
      <c r="O1135" t="s">
        <v>31</v>
      </c>
      <c r="P1135" t="s">
        <v>83</v>
      </c>
      <c r="Q1135">
        <v>0</v>
      </c>
    </row>
    <row r="1136" spans="1:17" x14ac:dyDescent="0.3">
      <c r="A1136" t="s">
        <v>17</v>
      </c>
      <c r="B1136">
        <v>64</v>
      </c>
      <c r="C1136" t="s">
        <v>83</v>
      </c>
      <c r="D1136" s="2">
        <v>45815</v>
      </c>
      <c r="E1136" s="3">
        <f t="shared" si="17"/>
        <v>45809</v>
      </c>
      <c r="F1136" t="s">
        <v>1179</v>
      </c>
      <c r="G1136" t="s">
        <v>174</v>
      </c>
      <c r="H1136" s="4">
        <v>44.18</v>
      </c>
      <c r="I1136" t="s">
        <v>31</v>
      </c>
      <c r="J1136" t="s">
        <v>91</v>
      </c>
      <c r="K1136" t="s">
        <v>1182</v>
      </c>
      <c r="L1136" s="2">
        <v>45809</v>
      </c>
      <c r="M1136" t="s">
        <v>93</v>
      </c>
      <c r="N1136">
        <v>0</v>
      </c>
      <c r="O1136" t="s">
        <v>31</v>
      </c>
      <c r="P1136" t="s">
        <v>83</v>
      </c>
      <c r="Q1136">
        <v>0</v>
      </c>
    </row>
    <row r="1137" spans="1:17" x14ac:dyDescent="0.3">
      <c r="A1137" t="s">
        <v>17</v>
      </c>
      <c r="B1137">
        <v>64</v>
      </c>
      <c r="C1137" t="s">
        <v>83</v>
      </c>
      <c r="D1137" s="2">
        <v>45815</v>
      </c>
      <c r="E1137" s="3">
        <f t="shared" si="17"/>
        <v>45809</v>
      </c>
      <c r="F1137" t="s">
        <v>1179</v>
      </c>
      <c r="G1137" t="s">
        <v>174</v>
      </c>
      <c r="H1137" s="4">
        <v>100.01</v>
      </c>
      <c r="I1137" t="s">
        <v>31</v>
      </c>
      <c r="J1137" t="s">
        <v>91</v>
      </c>
      <c r="K1137" t="s">
        <v>1183</v>
      </c>
      <c r="L1137" s="2">
        <v>45809</v>
      </c>
      <c r="M1137" t="s">
        <v>93</v>
      </c>
      <c r="N1137">
        <v>0</v>
      </c>
      <c r="O1137" t="s">
        <v>31</v>
      </c>
      <c r="P1137" t="s">
        <v>83</v>
      </c>
      <c r="Q1137">
        <v>0</v>
      </c>
    </row>
    <row r="1138" spans="1:17" x14ac:dyDescent="0.3">
      <c r="A1138" t="s">
        <v>17</v>
      </c>
      <c r="B1138">
        <v>68</v>
      </c>
      <c r="C1138" t="s">
        <v>34</v>
      </c>
      <c r="D1138" s="2">
        <v>45815</v>
      </c>
      <c r="E1138" s="3">
        <f t="shared" si="17"/>
        <v>45809</v>
      </c>
      <c r="F1138" t="s">
        <v>1184</v>
      </c>
      <c r="G1138" t="s">
        <v>122</v>
      </c>
      <c r="H1138" s="4">
        <v>21.84</v>
      </c>
      <c r="I1138" t="s">
        <v>108</v>
      </c>
      <c r="J1138" t="s">
        <v>109</v>
      </c>
      <c r="K1138" t="s">
        <v>1044</v>
      </c>
      <c r="L1138" s="2">
        <v>45809</v>
      </c>
      <c r="M1138" t="s">
        <v>109</v>
      </c>
      <c r="N1138">
        <v>0</v>
      </c>
      <c r="O1138" t="s">
        <v>111</v>
      </c>
      <c r="P1138" t="s">
        <v>112</v>
      </c>
      <c r="Q1138" t="s">
        <v>113</v>
      </c>
    </row>
    <row r="1139" spans="1:17" x14ac:dyDescent="0.3">
      <c r="A1139" t="s">
        <v>17</v>
      </c>
      <c r="B1139">
        <v>68</v>
      </c>
      <c r="C1139" t="s">
        <v>34</v>
      </c>
      <c r="D1139" s="2">
        <v>45817</v>
      </c>
      <c r="E1139" s="3">
        <f t="shared" si="17"/>
        <v>45809</v>
      </c>
      <c r="F1139" t="s">
        <v>1185</v>
      </c>
      <c r="G1139" t="s">
        <v>107</v>
      </c>
      <c r="H1139" s="4">
        <v>28.39</v>
      </c>
      <c r="I1139" t="s">
        <v>108</v>
      </c>
      <c r="J1139" t="s">
        <v>109</v>
      </c>
      <c r="K1139" t="s">
        <v>110</v>
      </c>
      <c r="L1139" s="2">
        <v>45809</v>
      </c>
      <c r="M1139" t="s">
        <v>109</v>
      </c>
      <c r="N1139">
        <v>0</v>
      </c>
      <c r="O1139" t="s">
        <v>111</v>
      </c>
      <c r="P1139" t="s">
        <v>112</v>
      </c>
      <c r="Q1139" t="s">
        <v>113</v>
      </c>
    </row>
    <row r="1140" spans="1:17" x14ac:dyDescent="0.3">
      <c r="A1140" t="s">
        <v>17</v>
      </c>
      <c r="B1140">
        <v>68</v>
      </c>
      <c r="C1140" t="s">
        <v>34</v>
      </c>
      <c r="D1140" s="2">
        <v>45817</v>
      </c>
      <c r="E1140" s="3">
        <f t="shared" si="17"/>
        <v>45809</v>
      </c>
      <c r="F1140" t="s">
        <v>1186</v>
      </c>
      <c r="G1140" t="s">
        <v>122</v>
      </c>
      <c r="H1140" s="4">
        <v>73.91</v>
      </c>
      <c r="I1140" t="s">
        <v>108</v>
      </c>
      <c r="J1140" t="s">
        <v>109</v>
      </c>
      <c r="K1140" t="s">
        <v>609</v>
      </c>
      <c r="L1140" s="2">
        <v>45809</v>
      </c>
      <c r="M1140" t="s">
        <v>109</v>
      </c>
      <c r="N1140">
        <v>0</v>
      </c>
      <c r="O1140" t="s">
        <v>111</v>
      </c>
      <c r="P1140" t="s">
        <v>112</v>
      </c>
      <c r="Q1140" t="s">
        <v>113</v>
      </c>
    </row>
    <row r="1141" spans="1:17" x14ac:dyDescent="0.3">
      <c r="A1141" t="s">
        <v>17</v>
      </c>
      <c r="B1141">
        <v>68</v>
      </c>
      <c r="C1141" t="s">
        <v>34</v>
      </c>
      <c r="D1141" s="2">
        <v>45817</v>
      </c>
      <c r="E1141" s="3">
        <f t="shared" si="17"/>
        <v>45809</v>
      </c>
      <c r="F1141" t="s">
        <v>1187</v>
      </c>
      <c r="G1141" t="s">
        <v>122</v>
      </c>
      <c r="H1141" s="4">
        <v>397.75</v>
      </c>
      <c r="I1141" t="s">
        <v>108</v>
      </c>
      <c r="J1141" t="s">
        <v>109</v>
      </c>
      <c r="K1141" t="s">
        <v>1044</v>
      </c>
      <c r="L1141" s="2">
        <v>45809</v>
      </c>
      <c r="M1141" t="s">
        <v>109</v>
      </c>
      <c r="N1141">
        <v>0</v>
      </c>
      <c r="O1141" t="s">
        <v>111</v>
      </c>
      <c r="P1141" t="s">
        <v>112</v>
      </c>
      <c r="Q1141" t="s">
        <v>113</v>
      </c>
    </row>
    <row r="1142" spans="1:17" x14ac:dyDescent="0.3">
      <c r="A1142" t="s">
        <v>17</v>
      </c>
      <c r="B1142">
        <v>68</v>
      </c>
      <c r="C1142" t="s">
        <v>34</v>
      </c>
      <c r="D1142" s="2">
        <v>45818</v>
      </c>
      <c r="E1142" s="3">
        <f t="shared" si="17"/>
        <v>45809</v>
      </c>
      <c r="F1142" t="s">
        <v>1188</v>
      </c>
      <c r="G1142" t="s">
        <v>131</v>
      </c>
      <c r="H1142" s="4">
        <v>1034.31</v>
      </c>
      <c r="I1142" t="s">
        <v>31</v>
      </c>
      <c r="J1142" t="s">
        <v>79</v>
      </c>
      <c r="K1142" t="s">
        <v>132</v>
      </c>
      <c r="L1142" s="2">
        <v>45809</v>
      </c>
      <c r="M1142" t="s">
        <v>79</v>
      </c>
      <c r="N1142">
        <v>0</v>
      </c>
      <c r="O1142" t="s">
        <v>31</v>
      </c>
      <c r="P1142" t="s">
        <v>34</v>
      </c>
      <c r="Q1142">
        <v>0</v>
      </c>
    </row>
    <row r="1143" spans="1:17" x14ac:dyDescent="0.3">
      <c r="A1143" t="s">
        <v>17</v>
      </c>
      <c r="B1143">
        <v>68</v>
      </c>
      <c r="C1143" t="s">
        <v>34</v>
      </c>
      <c r="D1143" s="2">
        <v>45818</v>
      </c>
      <c r="E1143" s="3">
        <f t="shared" si="17"/>
        <v>45809</v>
      </c>
      <c r="F1143" t="s">
        <v>1189</v>
      </c>
      <c r="G1143" t="s">
        <v>291</v>
      </c>
      <c r="H1143" s="4">
        <v>163.28</v>
      </c>
      <c r="I1143" t="s">
        <v>47</v>
      </c>
      <c r="J1143" t="s">
        <v>109</v>
      </c>
      <c r="K1143" t="s">
        <v>292</v>
      </c>
      <c r="L1143" s="2">
        <v>45809</v>
      </c>
      <c r="M1143" t="s">
        <v>109</v>
      </c>
      <c r="N1143">
        <v>0</v>
      </c>
      <c r="O1143" t="s">
        <v>26</v>
      </c>
      <c r="P1143" t="s">
        <v>112</v>
      </c>
      <c r="Q1143" t="s">
        <v>113</v>
      </c>
    </row>
    <row r="1144" spans="1:17" x14ac:dyDescent="0.3">
      <c r="A1144" t="s">
        <v>17</v>
      </c>
      <c r="B1144">
        <v>68</v>
      </c>
      <c r="C1144" t="s">
        <v>34</v>
      </c>
      <c r="D1144" s="2">
        <v>45818</v>
      </c>
      <c r="E1144" s="3">
        <f t="shared" si="17"/>
        <v>45809</v>
      </c>
      <c r="F1144" t="s">
        <v>1190</v>
      </c>
      <c r="G1144" t="s">
        <v>122</v>
      </c>
      <c r="H1144" s="4">
        <v>58.63</v>
      </c>
      <c r="I1144" t="s">
        <v>108</v>
      </c>
      <c r="J1144" t="s">
        <v>109</v>
      </c>
      <c r="K1144" t="s">
        <v>1044</v>
      </c>
      <c r="L1144" s="2">
        <v>45809</v>
      </c>
      <c r="M1144" t="s">
        <v>109</v>
      </c>
      <c r="N1144">
        <v>0</v>
      </c>
      <c r="O1144" t="s">
        <v>111</v>
      </c>
      <c r="P1144" t="s">
        <v>112</v>
      </c>
      <c r="Q1144" t="s">
        <v>113</v>
      </c>
    </row>
    <row r="1145" spans="1:17" x14ac:dyDescent="0.3">
      <c r="A1145" t="s">
        <v>17</v>
      </c>
      <c r="B1145">
        <v>68</v>
      </c>
      <c r="C1145" t="s">
        <v>34</v>
      </c>
      <c r="D1145" s="2">
        <v>45818</v>
      </c>
      <c r="E1145" s="3">
        <f t="shared" si="17"/>
        <v>45809</v>
      </c>
      <c r="F1145" t="s">
        <v>1191</v>
      </c>
      <c r="G1145" t="s">
        <v>122</v>
      </c>
      <c r="H1145" s="4">
        <v>18.600000000000001</v>
      </c>
      <c r="I1145" t="s">
        <v>108</v>
      </c>
      <c r="J1145" t="s">
        <v>109</v>
      </c>
      <c r="K1145" t="s">
        <v>388</v>
      </c>
      <c r="L1145" s="2">
        <v>45809</v>
      </c>
      <c r="M1145" t="s">
        <v>109</v>
      </c>
      <c r="N1145">
        <v>0</v>
      </c>
      <c r="O1145" t="s">
        <v>111</v>
      </c>
      <c r="P1145" t="s">
        <v>112</v>
      </c>
      <c r="Q1145" t="s">
        <v>113</v>
      </c>
    </row>
    <row r="1146" spans="1:17" x14ac:dyDescent="0.3">
      <c r="A1146" t="s">
        <v>17</v>
      </c>
      <c r="B1146">
        <v>67</v>
      </c>
      <c r="C1146" t="s">
        <v>28</v>
      </c>
      <c r="D1146" s="2">
        <v>45819</v>
      </c>
      <c r="E1146" s="3">
        <f t="shared" si="17"/>
        <v>45809</v>
      </c>
      <c r="F1146" t="s">
        <v>1192</v>
      </c>
      <c r="G1146" t="s">
        <v>119</v>
      </c>
      <c r="H1146" s="4">
        <v>1046.25</v>
      </c>
      <c r="I1146" t="s">
        <v>31</v>
      </c>
      <c r="J1146" t="s">
        <v>68</v>
      </c>
      <c r="K1146" t="s">
        <v>1193</v>
      </c>
      <c r="L1146" s="2">
        <v>45809</v>
      </c>
      <c r="M1146" t="s">
        <v>68</v>
      </c>
      <c r="N1146">
        <v>0</v>
      </c>
      <c r="O1146" t="s">
        <v>31</v>
      </c>
      <c r="P1146" t="s">
        <v>28</v>
      </c>
      <c r="Q1146">
        <v>0</v>
      </c>
    </row>
    <row r="1147" spans="1:17" x14ac:dyDescent="0.3">
      <c r="A1147" t="s">
        <v>17</v>
      </c>
      <c r="B1147">
        <v>68</v>
      </c>
      <c r="C1147" t="s">
        <v>34</v>
      </c>
      <c r="D1147" s="2">
        <v>45819</v>
      </c>
      <c r="E1147" s="3">
        <f t="shared" si="17"/>
        <v>45809</v>
      </c>
      <c r="F1147" t="s">
        <v>1194</v>
      </c>
      <c r="G1147" t="s">
        <v>122</v>
      </c>
      <c r="H1147" s="4">
        <v>843.52</v>
      </c>
      <c r="I1147" t="s">
        <v>104</v>
      </c>
      <c r="J1147" t="s">
        <v>109</v>
      </c>
      <c r="K1147" t="s">
        <v>388</v>
      </c>
      <c r="L1147" s="2">
        <v>45809</v>
      </c>
      <c r="M1147" t="s">
        <v>109</v>
      </c>
      <c r="N1147">
        <v>0</v>
      </c>
      <c r="O1147" t="s">
        <v>104</v>
      </c>
      <c r="P1147" t="s">
        <v>112</v>
      </c>
      <c r="Q1147" t="s">
        <v>113</v>
      </c>
    </row>
    <row r="1148" spans="1:17" x14ac:dyDescent="0.3">
      <c r="A1148" t="s">
        <v>17</v>
      </c>
      <c r="B1148">
        <v>68</v>
      </c>
      <c r="C1148" t="s">
        <v>34</v>
      </c>
      <c r="D1148" s="2">
        <v>45819</v>
      </c>
      <c r="E1148" s="3">
        <f t="shared" si="17"/>
        <v>45809</v>
      </c>
      <c r="F1148" t="s">
        <v>1194</v>
      </c>
      <c r="G1148" t="s">
        <v>122</v>
      </c>
      <c r="H1148" s="4">
        <v>938.88</v>
      </c>
      <c r="I1148" t="s">
        <v>108</v>
      </c>
      <c r="J1148" t="s">
        <v>109</v>
      </c>
      <c r="K1148" t="s">
        <v>388</v>
      </c>
      <c r="L1148" s="2">
        <v>45809</v>
      </c>
      <c r="M1148" t="s">
        <v>109</v>
      </c>
      <c r="N1148">
        <v>0</v>
      </c>
      <c r="O1148" t="s">
        <v>111</v>
      </c>
      <c r="P1148" t="s">
        <v>112</v>
      </c>
      <c r="Q1148" t="s">
        <v>113</v>
      </c>
    </row>
    <row r="1149" spans="1:17" x14ac:dyDescent="0.3">
      <c r="A1149" t="s">
        <v>17</v>
      </c>
      <c r="B1149">
        <v>68</v>
      </c>
      <c r="C1149" t="s">
        <v>34</v>
      </c>
      <c r="D1149" s="2">
        <v>45819</v>
      </c>
      <c r="E1149" s="3">
        <f t="shared" si="17"/>
        <v>45809</v>
      </c>
      <c r="F1149" t="s">
        <v>1195</v>
      </c>
      <c r="G1149" t="s">
        <v>122</v>
      </c>
      <c r="H1149" s="4">
        <v>131.9</v>
      </c>
      <c r="I1149" t="s">
        <v>108</v>
      </c>
      <c r="J1149" t="s">
        <v>109</v>
      </c>
      <c r="K1149" t="s">
        <v>388</v>
      </c>
      <c r="L1149" s="2">
        <v>45809</v>
      </c>
      <c r="M1149" t="s">
        <v>109</v>
      </c>
      <c r="N1149">
        <v>0</v>
      </c>
      <c r="O1149" t="s">
        <v>111</v>
      </c>
      <c r="P1149" t="s">
        <v>112</v>
      </c>
      <c r="Q1149" t="s">
        <v>113</v>
      </c>
    </row>
    <row r="1150" spans="1:17" x14ac:dyDescent="0.3">
      <c r="A1150" t="s">
        <v>17</v>
      </c>
      <c r="B1150">
        <v>63</v>
      </c>
      <c r="C1150" t="s">
        <v>18</v>
      </c>
      <c r="D1150" s="2">
        <v>45820</v>
      </c>
      <c r="E1150" s="3">
        <f t="shared" si="17"/>
        <v>45809</v>
      </c>
      <c r="F1150" t="s">
        <v>1196</v>
      </c>
      <c r="G1150" t="s">
        <v>125</v>
      </c>
      <c r="H1150" s="4">
        <v>990</v>
      </c>
      <c r="I1150" t="s">
        <v>21</v>
      </c>
      <c r="J1150" t="s">
        <v>22</v>
      </c>
      <c r="K1150" t="s">
        <v>1033</v>
      </c>
      <c r="L1150" s="2">
        <v>45809</v>
      </c>
      <c r="M1150" t="s">
        <v>24</v>
      </c>
      <c r="N1150" t="s">
        <v>25</v>
      </c>
      <c r="O1150" t="s">
        <v>26</v>
      </c>
      <c r="P1150" t="s">
        <v>18</v>
      </c>
      <c r="Q1150" t="s">
        <v>27</v>
      </c>
    </row>
    <row r="1151" spans="1:17" x14ac:dyDescent="0.3">
      <c r="A1151" t="s">
        <v>17</v>
      </c>
      <c r="B1151">
        <v>68</v>
      </c>
      <c r="C1151" t="s">
        <v>34</v>
      </c>
      <c r="D1151" s="2">
        <v>45820</v>
      </c>
      <c r="E1151" s="3">
        <f t="shared" si="17"/>
        <v>45809</v>
      </c>
      <c r="F1151" t="s">
        <v>1197</v>
      </c>
      <c r="G1151" t="s">
        <v>174</v>
      </c>
      <c r="H1151" s="4">
        <v>65.290000000000006</v>
      </c>
      <c r="I1151" t="s">
        <v>104</v>
      </c>
      <c r="J1151" t="s">
        <v>79</v>
      </c>
      <c r="K1151" t="s">
        <v>1198</v>
      </c>
      <c r="L1151" s="2">
        <v>45809</v>
      </c>
      <c r="M1151" t="s">
        <v>79</v>
      </c>
      <c r="N1151">
        <v>0</v>
      </c>
      <c r="O1151" t="s">
        <v>104</v>
      </c>
      <c r="P1151" t="s">
        <v>34</v>
      </c>
      <c r="Q1151">
        <v>0</v>
      </c>
    </row>
    <row r="1152" spans="1:17" x14ac:dyDescent="0.3">
      <c r="A1152" t="s">
        <v>17</v>
      </c>
      <c r="B1152">
        <v>64</v>
      </c>
      <c r="C1152" t="s">
        <v>83</v>
      </c>
      <c r="D1152" s="2">
        <v>45820</v>
      </c>
      <c r="E1152" s="3">
        <f t="shared" si="17"/>
        <v>45809</v>
      </c>
      <c r="F1152" t="s">
        <v>1197</v>
      </c>
      <c r="G1152" t="s">
        <v>174</v>
      </c>
      <c r="H1152" s="4">
        <v>8.83</v>
      </c>
      <c r="I1152" t="s">
        <v>31</v>
      </c>
      <c r="J1152" t="s">
        <v>91</v>
      </c>
      <c r="K1152" t="s">
        <v>1199</v>
      </c>
      <c r="L1152" s="2">
        <v>45809</v>
      </c>
      <c r="M1152" t="s">
        <v>93</v>
      </c>
      <c r="N1152">
        <v>0</v>
      </c>
      <c r="O1152" t="s">
        <v>31</v>
      </c>
      <c r="P1152" t="s">
        <v>83</v>
      </c>
      <c r="Q1152">
        <v>0</v>
      </c>
    </row>
    <row r="1153" spans="1:17" x14ac:dyDescent="0.3">
      <c r="A1153" t="s">
        <v>17</v>
      </c>
      <c r="B1153">
        <v>64</v>
      </c>
      <c r="C1153" t="s">
        <v>83</v>
      </c>
      <c r="D1153" s="2">
        <v>45820</v>
      </c>
      <c r="E1153" s="3">
        <f t="shared" si="17"/>
        <v>45809</v>
      </c>
      <c r="F1153" t="s">
        <v>1197</v>
      </c>
      <c r="G1153" t="s">
        <v>174</v>
      </c>
      <c r="H1153" s="4">
        <v>186.77</v>
      </c>
      <c r="I1153" t="s">
        <v>31</v>
      </c>
      <c r="J1153" t="s">
        <v>91</v>
      </c>
      <c r="K1153" t="s">
        <v>1200</v>
      </c>
      <c r="L1153" s="2">
        <v>45809</v>
      </c>
      <c r="M1153" t="s">
        <v>93</v>
      </c>
      <c r="N1153">
        <v>0</v>
      </c>
      <c r="O1153" t="s">
        <v>31</v>
      </c>
      <c r="P1153" t="s">
        <v>83</v>
      </c>
      <c r="Q1153">
        <v>0</v>
      </c>
    </row>
    <row r="1154" spans="1:17" x14ac:dyDescent="0.3">
      <c r="A1154" t="s">
        <v>17</v>
      </c>
      <c r="B1154">
        <v>64</v>
      </c>
      <c r="C1154" t="s">
        <v>83</v>
      </c>
      <c r="D1154" s="2">
        <v>45820</v>
      </c>
      <c r="E1154" s="3">
        <f t="shared" si="17"/>
        <v>45809</v>
      </c>
      <c r="F1154" t="s">
        <v>1197</v>
      </c>
      <c r="G1154" t="s">
        <v>174</v>
      </c>
      <c r="H1154" s="4">
        <v>79.709999999999994</v>
      </c>
      <c r="I1154" t="s">
        <v>31</v>
      </c>
      <c r="J1154" t="s">
        <v>91</v>
      </c>
      <c r="K1154" t="s">
        <v>1201</v>
      </c>
      <c r="L1154" s="2">
        <v>45809</v>
      </c>
      <c r="M1154" t="s">
        <v>93</v>
      </c>
      <c r="N1154">
        <v>0</v>
      </c>
      <c r="O1154" t="s">
        <v>31</v>
      </c>
      <c r="P1154" t="s">
        <v>83</v>
      </c>
      <c r="Q1154">
        <v>0</v>
      </c>
    </row>
    <row r="1155" spans="1:17" x14ac:dyDescent="0.3">
      <c r="A1155" t="s">
        <v>17</v>
      </c>
      <c r="B1155">
        <v>63</v>
      </c>
      <c r="C1155" t="s">
        <v>18</v>
      </c>
      <c r="D1155" s="2">
        <v>45821</v>
      </c>
      <c r="E1155" s="3">
        <f t="shared" ref="E1155:E1218" si="18">IF($D1155="","",DATE(YEAR($D1155),MONTH($D1155),1))</f>
        <v>45809</v>
      </c>
      <c r="F1155">
        <v>222142</v>
      </c>
      <c r="G1155" t="s">
        <v>251</v>
      </c>
      <c r="H1155" s="4">
        <v>720</v>
      </c>
      <c r="I1155" t="s">
        <v>21</v>
      </c>
      <c r="J1155" t="s">
        <v>22</v>
      </c>
      <c r="K1155" t="s">
        <v>1202</v>
      </c>
      <c r="L1155" s="2">
        <v>45809</v>
      </c>
      <c r="M1155" t="s">
        <v>24</v>
      </c>
      <c r="N1155" t="s">
        <v>25</v>
      </c>
      <c r="O1155" t="s">
        <v>26</v>
      </c>
      <c r="P1155" t="s">
        <v>18</v>
      </c>
      <c r="Q1155" t="s">
        <v>27</v>
      </c>
    </row>
    <row r="1156" spans="1:17" x14ac:dyDescent="0.3">
      <c r="A1156" t="s">
        <v>17</v>
      </c>
      <c r="B1156">
        <v>63</v>
      </c>
      <c r="C1156" t="s">
        <v>18</v>
      </c>
      <c r="D1156" s="2">
        <v>45821</v>
      </c>
      <c r="E1156" s="3">
        <f t="shared" si="18"/>
        <v>45809</v>
      </c>
      <c r="F1156">
        <v>222142</v>
      </c>
      <c r="G1156" t="s">
        <v>251</v>
      </c>
      <c r="H1156" s="4">
        <v>3600</v>
      </c>
      <c r="I1156" t="s">
        <v>21</v>
      </c>
      <c r="J1156" t="s">
        <v>22</v>
      </c>
      <c r="K1156" t="s">
        <v>1203</v>
      </c>
      <c r="L1156" s="2">
        <v>45809</v>
      </c>
      <c r="M1156" t="s">
        <v>24</v>
      </c>
      <c r="N1156" t="s">
        <v>25</v>
      </c>
      <c r="O1156" t="s">
        <v>26</v>
      </c>
      <c r="P1156" t="s">
        <v>18</v>
      </c>
      <c r="Q1156" t="s">
        <v>27</v>
      </c>
    </row>
    <row r="1157" spans="1:17" x14ac:dyDescent="0.3">
      <c r="A1157" t="s">
        <v>17</v>
      </c>
      <c r="B1157">
        <v>68</v>
      </c>
      <c r="C1157" t="s">
        <v>34</v>
      </c>
      <c r="D1157" s="2">
        <v>45821</v>
      </c>
      <c r="E1157" s="3">
        <f t="shared" si="18"/>
        <v>45809</v>
      </c>
      <c r="F1157" t="s">
        <v>1204</v>
      </c>
      <c r="G1157" t="s">
        <v>122</v>
      </c>
      <c r="H1157" s="4">
        <v>31.36</v>
      </c>
      <c r="I1157" t="s">
        <v>108</v>
      </c>
      <c r="J1157" t="s">
        <v>109</v>
      </c>
      <c r="K1157" t="s">
        <v>609</v>
      </c>
      <c r="L1157" s="2">
        <v>45809</v>
      </c>
      <c r="M1157" t="s">
        <v>109</v>
      </c>
      <c r="N1157">
        <v>0</v>
      </c>
      <c r="O1157" t="s">
        <v>111</v>
      </c>
      <c r="P1157" t="s">
        <v>112</v>
      </c>
      <c r="Q1157" t="s">
        <v>113</v>
      </c>
    </row>
    <row r="1158" spans="1:17" x14ac:dyDescent="0.3">
      <c r="A1158" t="s">
        <v>17</v>
      </c>
      <c r="B1158">
        <v>67</v>
      </c>
      <c r="C1158" t="s">
        <v>28</v>
      </c>
      <c r="D1158" s="2">
        <v>45821</v>
      </c>
      <c r="E1158" s="3">
        <f t="shared" si="18"/>
        <v>45809</v>
      </c>
      <c r="F1158" t="s">
        <v>1205</v>
      </c>
      <c r="H1158" s="4">
        <v>-93.06</v>
      </c>
      <c r="I1158" t="s">
        <v>31</v>
      </c>
      <c r="J1158" t="s">
        <v>60</v>
      </c>
      <c r="L1158" s="2">
        <v>45809</v>
      </c>
      <c r="M1158" t="s">
        <v>60</v>
      </c>
      <c r="N1158">
        <v>0</v>
      </c>
      <c r="O1158" t="s">
        <v>31</v>
      </c>
      <c r="P1158" t="s">
        <v>28</v>
      </c>
      <c r="Q1158">
        <v>0</v>
      </c>
    </row>
    <row r="1159" spans="1:17" x14ac:dyDescent="0.3">
      <c r="A1159" t="s">
        <v>17</v>
      </c>
      <c r="B1159">
        <v>67</v>
      </c>
      <c r="C1159" t="s">
        <v>28</v>
      </c>
      <c r="D1159" s="2">
        <v>45821</v>
      </c>
      <c r="E1159" s="3">
        <f t="shared" si="18"/>
        <v>45809</v>
      </c>
      <c r="F1159" t="s">
        <v>1205</v>
      </c>
      <c r="H1159" s="4">
        <v>-34.950000000000003</v>
      </c>
      <c r="I1159" t="s">
        <v>31</v>
      </c>
      <c r="J1159" t="s">
        <v>60</v>
      </c>
      <c r="L1159" s="2">
        <v>45809</v>
      </c>
      <c r="M1159" t="s">
        <v>60</v>
      </c>
      <c r="N1159">
        <v>0</v>
      </c>
      <c r="O1159" t="s">
        <v>31</v>
      </c>
      <c r="P1159" t="s">
        <v>28</v>
      </c>
      <c r="Q1159">
        <v>0</v>
      </c>
    </row>
    <row r="1160" spans="1:17" x14ac:dyDescent="0.3">
      <c r="A1160" t="s">
        <v>17</v>
      </c>
      <c r="B1160">
        <v>67</v>
      </c>
      <c r="C1160" t="s">
        <v>28</v>
      </c>
      <c r="D1160" s="2">
        <v>45821</v>
      </c>
      <c r="E1160" s="3">
        <f t="shared" si="18"/>
        <v>45809</v>
      </c>
      <c r="F1160" t="s">
        <v>1205</v>
      </c>
      <c r="H1160" s="4">
        <v>-37.53</v>
      </c>
      <c r="I1160" t="s">
        <v>31</v>
      </c>
      <c r="J1160" t="s">
        <v>60</v>
      </c>
      <c r="L1160" s="2">
        <v>45809</v>
      </c>
      <c r="M1160" t="s">
        <v>60</v>
      </c>
      <c r="N1160">
        <v>0</v>
      </c>
      <c r="O1160" t="s">
        <v>31</v>
      </c>
      <c r="P1160" t="s">
        <v>28</v>
      </c>
      <c r="Q1160">
        <v>0</v>
      </c>
    </row>
    <row r="1161" spans="1:17" x14ac:dyDescent="0.3">
      <c r="A1161" t="s">
        <v>17</v>
      </c>
      <c r="B1161">
        <v>67</v>
      </c>
      <c r="C1161" t="s">
        <v>28</v>
      </c>
      <c r="D1161" s="2">
        <v>45821</v>
      </c>
      <c r="E1161" s="3">
        <f t="shared" si="18"/>
        <v>45809</v>
      </c>
      <c r="F1161" t="s">
        <v>1205</v>
      </c>
      <c r="H1161" s="4">
        <v>-14.18</v>
      </c>
      <c r="I1161" t="s">
        <v>31</v>
      </c>
      <c r="J1161" t="s">
        <v>60</v>
      </c>
      <c r="L1161" s="2">
        <v>45809</v>
      </c>
      <c r="M1161" t="s">
        <v>60</v>
      </c>
      <c r="N1161">
        <v>0</v>
      </c>
      <c r="O1161" t="s">
        <v>31</v>
      </c>
      <c r="P1161" t="s">
        <v>28</v>
      </c>
      <c r="Q1161">
        <v>0</v>
      </c>
    </row>
    <row r="1162" spans="1:17" x14ac:dyDescent="0.3">
      <c r="A1162" t="s">
        <v>17</v>
      </c>
      <c r="B1162">
        <v>67</v>
      </c>
      <c r="C1162" t="s">
        <v>28</v>
      </c>
      <c r="D1162" s="2">
        <v>45821</v>
      </c>
      <c r="E1162" s="3">
        <f t="shared" si="18"/>
        <v>45809</v>
      </c>
      <c r="F1162" t="s">
        <v>1205</v>
      </c>
      <c r="H1162" s="4">
        <v>-62.37</v>
      </c>
      <c r="I1162" t="s">
        <v>31</v>
      </c>
      <c r="J1162" t="s">
        <v>60</v>
      </c>
      <c r="L1162" s="2">
        <v>45809</v>
      </c>
      <c r="M1162" t="s">
        <v>60</v>
      </c>
      <c r="N1162">
        <v>0</v>
      </c>
      <c r="O1162" t="s">
        <v>31</v>
      </c>
      <c r="P1162" t="s">
        <v>28</v>
      </c>
      <c r="Q1162">
        <v>0</v>
      </c>
    </row>
    <row r="1163" spans="1:17" x14ac:dyDescent="0.3">
      <c r="A1163" t="s">
        <v>17</v>
      </c>
      <c r="B1163">
        <v>67</v>
      </c>
      <c r="C1163" t="s">
        <v>28</v>
      </c>
      <c r="D1163" s="2">
        <v>45821</v>
      </c>
      <c r="E1163" s="3">
        <f t="shared" si="18"/>
        <v>45809</v>
      </c>
      <c r="F1163" t="s">
        <v>1205</v>
      </c>
      <c r="H1163" s="4">
        <v>-12.39</v>
      </c>
      <c r="I1163" t="s">
        <v>31</v>
      </c>
      <c r="J1163" t="s">
        <v>60</v>
      </c>
      <c r="L1163" s="2">
        <v>45809</v>
      </c>
      <c r="M1163" t="s">
        <v>60</v>
      </c>
      <c r="N1163">
        <v>0</v>
      </c>
      <c r="O1163" t="s">
        <v>31</v>
      </c>
      <c r="P1163" t="s">
        <v>28</v>
      </c>
      <c r="Q1163">
        <v>0</v>
      </c>
    </row>
    <row r="1164" spans="1:17" x14ac:dyDescent="0.3">
      <c r="A1164" t="s">
        <v>17</v>
      </c>
      <c r="B1164">
        <v>67</v>
      </c>
      <c r="C1164" t="s">
        <v>28</v>
      </c>
      <c r="D1164" s="2">
        <v>45821</v>
      </c>
      <c r="E1164" s="3">
        <f t="shared" si="18"/>
        <v>45809</v>
      </c>
      <c r="F1164" t="s">
        <v>1205</v>
      </c>
      <c r="H1164" s="4">
        <v>-1.2</v>
      </c>
      <c r="I1164" t="s">
        <v>31</v>
      </c>
      <c r="J1164" t="s">
        <v>60</v>
      </c>
      <c r="L1164" s="2">
        <v>45809</v>
      </c>
      <c r="M1164" t="s">
        <v>60</v>
      </c>
      <c r="N1164">
        <v>0</v>
      </c>
      <c r="O1164" t="s">
        <v>31</v>
      </c>
      <c r="P1164" t="s">
        <v>28</v>
      </c>
      <c r="Q1164">
        <v>0</v>
      </c>
    </row>
    <row r="1165" spans="1:17" x14ac:dyDescent="0.3">
      <c r="A1165" t="s">
        <v>17</v>
      </c>
      <c r="B1165">
        <v>67</v>
      </c>
      <c r="C1165" t="s">
        <v>28</v>
      </c>
      <c r="D1165" s="2">
        <v>45821</v>
      </c>
      <c r="E1165" s="3">
        <f t="shared" si="18"/>
        <v>45809</v>
      </c>
      <c r="F1165" t="s">
        <v>1205</v>
      </c>
      <c r="H1165" s="4">
        <v>-85.14</v>
      </c>
      <c r="I1165" t="s">
        <v>31</v>
      </c>
      <c r="J1165" t="s">
        <v>60</v>
      </c>
      <c r="L1165" s="2">
        <v>45809</v>
      </c>
      <c r="M1165" t="s">
        <v>60</v>
      </c>
      <c r="N1165">
        <v>0</v>
      </c>
      <c r="O1165" t="s">
        <v>31</v>
      </c>
      <c r="P1165" t="s">
        <v>28</v>
      </c>
      <c r="Q1165">
        <v>0</v>
      </c>
    </row>
    <row r="1166" spans="1:17" x14ac:dyDescent="0.3">
      <c r="A1166" t="s">
        <v>17</v>
      </c>
      <c r="B1166">
        <v>65</v>
      </c>
      <c r="C1166" t="s">
        <v>54</v>
      </c>
      <c r="D1166" s="2">
        <v>45822</v>
      </c>
      <c r="E1166" s="3">
        <f t="shared" si="18"/>
        <v>45809</v>
      </c>
      <c r="F1166" t="s">
        <v>1206</v>
      </c>
      <c r="G1166" t="s">
        <v>154</v>
      </c>
      <c r="H1166" s="4">
        <v>740.48</v>
      </c>
      <c r="I1166" t="s">
        <v>31</v>
      </c>
      <c r="J1166" t="s">
        <v>155</v>
      </c>
      <c r="K1166" t="s">
        <v>1207</v>
      </c>
      <c r="L1166" s="2">
        <v>45809</v>
      </c>
      <c r="M1166" t="s">
        <v>155</v>
      </c>
      <c r="N1166">
        <v>0</v>
      </c>
      <c r="O1166" t="s">
        <v>31</v>
      </c>
      <c r="P1166" t="s">
        <v>54</v>
      </c>
      <c r="Q1166">
        <v>0</v>
      </c>
    </row>
    <row r="1167" spans="1:17" x14ac:dyDescent="0.3">
      <c r="A1167" t="s">
        <v>17</v>
      </c>
      <c r="B1167">
        <v>63</v>
      </c>
      <c r="C1167" t="s">
        <v>18</v>
      </c>
      <c r="D1167" s="2">
        <v>45824</v>
      </c>
      <c r="E1167" s="3">
        <f t="shared" si="18"/>
        <v>45809</v>
      </c>
      <c r="F1167">
        <v>359998</v>
      </c>
      <c r="G1167" t="s">
        <v>20</v>
      </c>
      <c r="H1167" s="4">
        <v>300</v>
      </c>
      <c r="I1167" t="s">
        <v>21</v>
      </c>
      <c r="J1167" t="s">
        <v>22</v>
      </c>
      <c r="K1167" t="s">
        <v>1208</v>
      </c>
      <c r="L1167" s="2">
        <v>45809</v>
      </c>
      <c r="M1167" t="s">
        <v>24</v>
      </c>
      <c r="N1167" t="s">
        <v>25</v>
      </c>
      <c r="O1167" t="s">
        <v>26</v>
      </c>
      <c r="P1167" t="s">
        <v>18</v>
      </c>
      <c r="Q1167" t="s">
        <v>27</v>
      </c>
    </row>
    <row r="1168" spans="1:17" x14ac:dyDescent="0.3">
      <c r="A1168" t="s">
        <v>17</v>
      </c>
      <c r="B1168">
        <v>63</v>
      </c>
      <c r="C1168" t="s">
        <v>18</v>
      </c>
      <c r="D1168" s="2">
        <v>45824</v>
      </c>
      <c r="E1168" s="3">
        <f t="shared" si="18"/>
        <v>45809</v>
      </c>
      <c r="F1168">
        <v>359998</v>
      </c>
      <c r="G1168" t="s">
        <v>20</v>
      </c>
      <c r="H1168" s="4">
        <v>1500</v>
      </c>
      <c r="I1168" t="s">
        <v>21</v>
      </c>
      <c r="J1168" t="s">
        <v>22</v>
      </c>
      <c r="K1168" t="s">
        <v>1209</v>
      </c>
      <c r="L1168" s="2">
        <v>45809</v>
      </c>
      <c r="M1168" t="s">
        <v>24</v>
      </c>
      <c r="N1168" t="s">
        <v>25</v>
      </c>
      <c r="O1168" t="s">
        <v>26</v>
      </c>
      <c r="P1168" t="s">
        <v>18</v>
      </c>
      <c r="Q1168" t="s">
        <v>27</v>
      </c>
    </row>
    <row r="1169" spans="1:17" x14ac:dyDescent="0.3">
      <c r="A1169" t="s">
        <v>17</v>
      </c>
      <c r="B1169">
        <v>63</v>
      </c>
      <c r="C1169" t="s">
        <v>18</v>
      </c>
      <c r="D1169" s="2">
        <v>45824</v>
      </c>
      <c r="E1169" s="3">
        <f t="shared" si="18"/>
        <v>45809</v>
      </c>
      <c r="F1169">
        <v>247272</v>
      </c>
      <c r="G1169" t="s">
        <v>1210</v>
      </c>
      <c r="H1169" s="4">
        <v>62.7</v>
      </c>
      <c r="I1169" t="s">
        <v>21</v>
      </c>
      <c r="J1169" t="s">
        <v>22</v>
      </c>
      <c r="K1169" t="s">
        <v>1211</v>
      </c>
      <c r="L1169" s="2">
        <v>45809</v>
      </c>
      <c r="M1169" t="s">
        <v>24</v>
      </c>
      <c r="N1169" t="s">
        <v>25</v>
      </c>
      <c r="O1169" t="s">
        <v>26</v>
      </c>
      <c r="P1169" t="s">
        <v>18</v>
      </c>
      <c r="Q1169" t="s">
        <v>27</v>
      </c>
    </row>
    <row r="1170" spans="1:17" x14ac:dyDescent="0.3">
      <c r="A1170" t="s">
        <v>17</v>
      </c>
      <c r="B1170">
        <v>63</v>
      </c>
      <c r="C1170" t="s">
        <v>18</v>
      </c>
      <c r="D1170" s="2">
        <v>45824</v>
      </c>
      <c r="E1170" s="3">
        <f t="shared" si="18"/>
        <v>45809</v>
      </c>
      <c r="F1170">
        <v>247272</v>
      </c>
      <c r="G1170" t="s">
        <v>1210</v>
      </c>
      <c r="H1170" s="4">
        <v>2400</v>
      </c>
      <c r="I1170" t="s">
        <v>21</v>
      </c>
      <c r="J1170" t="s">
        <v>22</v>
      </c>
      <c r="K1170" t="s">
        <v>1212</v>
      </c>
      <c r="L1170" s="2">
        <v>45809</v>
      </c>
      <c r="M1170" t="s">
        <v>24</v>
      </c>
      <c r="N1170" t="s">
        <v>25</v>
      </c>
      <c r="O1170" t="s">
        <v>26</v>
      </c>
      <c r="P1170" t="s">
        <v>18</v>
      </c>
      <c r="Q1170" t="s">
        <v>27</v>
      </c>
    </row>
    <row r="1171" spans="1:17" x14ac:dyDescent="0.3">
      <c r="A1171" t="s">
        <v>17</v>
      </c>
      <c r="B1171">
        <v>67</v>
      </c>
      <c r="C1171" t="s">
        <v>28</v>
      </c>
      <c r="D1171" s="2">
        <v>45824</v>
      </c>
      <c r="E1171" s="3">
        <f t="shared" si="18"/>
        <v>45809</v>
      </c>
      <c r="F1171" t="s">
        <v>1213</v>
      </c>
      <c r="G1171" t="s">
        <v>673</v>
      </c>
      <c r="H1171" s="4">
        <v>11250</v>
      </c>
      <c r="I1171" t="s">
        <v>47</v>
      </c>
      <c r="J1171" t="s">
        <v>48</v>
      </c>
      <c r="K1171" t="s">
        <v>1214</v>
      </c>
      <c r="L1171" s="2">
        <v>45809</v>
      </c>
      <c r="M1171" t="s">
        <v>50</v>
      </c>
      <c r="N1171">
        <v>0</v>
      </c>
      <c r="O1171" t="s">
        <v>26</v>
      </c>
      <c r="P1171" t="s">
        <v>28</v>
      </c>
      <c r="Q1171">
        <v>0</v>
      </c>
    </row>
    <row r="1172" spans="1:17" x14ac:dyDescent="0.3">
      <c r="A1172" t="s">
        <v>17</v>
      </c>
      <c r="B1172">
        <v>67</v>
      </c>
      <c r="C1172" t="s">
        <v>28</v>
      </c>
      <c r="D1172" s="2">
        <v>45824</v>
      </c>
      <c r="E1172" s="3">
        <f t="shared" si="18"/>
        <v>45809</v>
      </c>
      <c r="F1172" t="s">
        <v>1215</v>
      </c>
      <c r="H1172" s="4">
        <v>715.71</v>
      </c>
      <c r="I1172" t="s">
        <v>31</v>
      </c>
      <c r="J1172" t="s">
        <v>64</v>
      </c>
      <c r="K1172" t="s">
        <v>168</v>
      </c>
      <c r="L1172" s="2">
        <v>45809</v>
      </c>
      <c r="M1172" t="s">
        <v>64</v>
      </c>
      <c r="N1172">
        <v>0</v>
      </c>
      <c r="O1172" t="s">
        <v>31</v>
      </c>
      <c r="P1172" t="s">
        <v>28</v>
      </c>
      <c r="Q1172">
        <v>0</v>
      </c>
    </row>
    <row r="1173" spans="1:17" x14ac:dyDescent="0.3">
      <c r="A1173" t="s">
        <v>17</v>
      </c>
      <c r="B1173">
        <v>63</v>
      </c>
      <c r="C1173" t="s">
        <v>18</v>
      </c>
      <c r="D1173" s="2">
        <v>45825</v>
      </c>
      <c r="E1173" s="3">
        <f t="shared" si="18"/>
        <v>45809</v>
      </c>
      <c r="F1173">
        <v>250617</v>
      </c>
      <c r="G1173" t="s">
        <v>271</v>
      </c>
      <c r="H1173" s="4">
        <v>1600</v>
      </c>
      <c r="I1173" t="s">
        <v>21</v>
      </c>
      <c r="J1173" t="s">
        <v>272</v>
      </c>
      <c r="K1173" t="s">
        <v>1216</v>
      </c>
      <c r="L1173" s="2">
        <v>45809</v>
      </c>
      <c r="M1173" t="s">
        <v>272</v>
      </c>
      <c r="N1173" t="s">
        <v>25</v>
      </c>
      <c r="O1173" t="s">
        <v>26</v>
      </c>
      <c r="P1173" t="s">
        <v>18</v>
      </c>
      <c r="Q1173" t="s">
        <v>274</v>
      </c>
    </row>
    <row r="1174" spans="1:17" x14ac:dyDescent="0.3">
      <c r="A1174" t="s">
        <v>17</v>
      </c>
      <c r="B1174">
        <v>63</v>
      </c>
      <c r="C1174" t="s">
        <v>18</v>
      </c>
      <c r="D1174" s="2">
        <v>45825</v>
      </c>
      <c r="E1174" s="3">
        <f t="shared" si="18"/>
        <v>45809</v>
      </c>
      <c r="F1174">
        <v>250617</v>
      </c>
      <c r="G1174" t="s">
        <v>271</v>
      </c>
      <c r="H1174" s="4">
        <v>50</v>
      </c>
      <c r="I1174" t="s">
        <v>21</v>
      </c>
      <c r="J1174" t="s">
        <v>272</v>
      </c>
      <c r="K1174" t="s">
        <v>1217</v>
      </c>
      <c r="L1174" s="2">
        <v>45809</v>
      </c>
      <c r="M1174" t="s">
        <v>272</v>
      </c>
      <c r="N1174" t="s">
        <v>25</v>
      </c>
      <c r="O1174" t="s">
        <v>26</v>
      </c>
      <c r="P1174" t="s">
        <v>18</v>
      </c>
      <c r="Q1174" t="s">
        <v>274</v>
      </c>
    </row>
    <row r="1175" spans="1:17" x14ac:dyDescent="0.3">
      <c r="A1175" t="s">
        <v>17</v>
      </c>
      <c r="B1175">
        <v>63</v>
      </c>
      <c r="C1175" t="s">
        <v>18</v>
      </c>
      <c r="D1175" s="2">
        <v>45825</v>
      </c>
      <c r="E1175" s="3">
        <f t="shared" si="18"/>
        <v>45809</v>
      </c>
      <c r="F1175">
        <v>250617</v>
      </c>
      <c r="G1175" t="s">
        <v>271</v>
      </c>
      <c r="H1175" s="4">
        <v>800</v>
      </c>
      <c r="I1175" t="s">
        <v>21</v>
      </c>
      <c r="J1175" t="s">
        <v>272</v>
      </c>
      <c r="K1175" t="s">
        <v>1218</v>
      </c>
      <c r="L1175" s="2">
        <v>45809</v>
      </c>
      <c r="M1175" t="s">
        <v>272</v>
      </c>
      <c r="N1175" t="s">
        <v>25</v>
      </c>
      <c r="O1175" t="s">
        <v>26</v>
      </c>
      <c r="P1175" t="s">
        <v>18</v>
      </c>
      <c r="Q1175" t="s">
        <v>274</v>
      </c>
    </row>
    <row r="1176" spans="1:17" x14ac:dyDescent="0.3">
      <c r="A1176" t="s">
        <v>17</v>
      </c>
      <c r="B1176">
        <v>63</v>
      </c>
      <c r="C1176" t="s">
        <v>18</v>
      </c>
      <c r="D1176" s="2">
        <v>45825</v>
      </c>
      <c r="E1176" s="3">
        <f t="shared" si="18"/>
        <v>45809</v>
      </c>
      <c r="F1176">
        <v>250617</v>
      </c>
      <c r="G1176" t="s">
        <v>271</v>
      </c>
      <c r="H1176" s="4">
        <v>3400</v>
      </c>
      <c r="I1176" t="s">
        <v>21</v>
      </c>
      <c r="J1176" t="s">
        <v>272</v>
      </c>
      <c r="K1176" t="s">
        <v>1219</v>
      </c>
      <c r="L1176" s="2">
        <v>45809</v>
      </c>
      <c r="M1176" t="s">
        <v>272</v>
      </c>
      <c r="N1176" t="s">
        <v>25</v>
      </c>
      <c r="O1176" t="s">
        <v>26</v>
      </c>
      <c r="P1176" t="s">
        <v>18</v>
      </c>
      <c r="Q1176" t="s">
        <v>274</v>
      </c>
    </row>
    <row r="1177" spans="1:17" x14ac:dyDescent="0.3">
      <c r="A1177" t="s">
        <v>17</v>
      </c>
      <c r="B1177">
        <v>63</v>
      </c>
      <c r="C1177" t="s">
        <v>18</v>
      </c>
      <c r="D1177" s="2">
        <v>45825</v>
      </c>
      <c r="E1177" s="3">
        <f t="shared" si="18"/>
        <v>45809</v>
      </c>
      <c r="F1177">
        <v>250617</v>
      </c>
      <c r="G1177" t="s">
        <v>271</v>
      </c>
      <c r="H1177" s="4">
        <v>1600</v>
      </c>
      <c r="I1177" t="s">
        <v>21</v>
      </c>
      <c r="J1177" t="s">
        <v>272</v>
      </c>
      <c r="K1177" t="s">
        <v>1220</v>
      </c>
      <c r="L1177" s="2">
        <v>45809</v>
      </c>
      <c r="M1177" t="s">
        <v>272</v>
      </c>
      <c r="N1177" t="s">
        <v>25</v>
      </c>
      <c r="O1177" t="s">
        <v>26</v>
      </c>
      <c r="P1177" t="s">
        <v>18</v>
      </c>
      <c r="Q1177" t="s">
        <v>274</v>
      </c>
    </row>
    <row r="1178" spans="1:17" x14ac:dyDescent="0.3">
      <c r="A1178" t="s">
        <v>17</v>
      </c>
      <c r="B1178">
        <v>63</v>
      </c>
      <c r="C1178" t="s">
        <v>18</v>
      </c>
      <c r="D1178" s="2">
        <v>45825</v>
      </c>
      <c r="E1178" s="3">
        <f t="shared" si="18"/>
        <v>45809</v>
      </c>
      <c r="F1178">
        <v>250617</v>
      </c>
      <c r="G1178" t="s">
        <v>271</v>
      </c>
      <c r="H1178" s="4">
        <v>6400</v>
      </c>
      <c r="I1178" t="s">
        <v>21</v>
      </c>
      <c r="J1178" t="s">
        <v>272</v>
      </c>
      <c r="K1178" t="s">
        <v>1221</v>
      </c>
      <c r="L1178" s="2">
        <v>45809</v>
      </c>
      <c r="M1178" t="s">
        <v>272</v>
      </c>
      <c r="N1178" t="s">
        <v>25</v>
      </c>
      <c r="O1178" t="s">
        <v>26</v>
      </c>
      <c r="P1178" t="s">
        <v>18</v>
      </c>
      <c r="Q1178" t="s">
        <v>274</v>
      </c>
    </row>
    <row r="1179" spans="1:17" x14ac:dyDescent="0.3">
      <c r="A1179" t="s">
        <v>17</v>
      </c>
      <c r="B1179">
        <v>63</v>
      </c>
      <c r="C1179" t="s">
        <v>18</v>
      </c>
      <c r="D1179" s="2">
        <v>45825</v>
      </c>
      <c r="E1179" s="3">
        <f t="shared" si="18"/>
        <v>45809</v>
      </c>
      <c r="F1179">
        <v>250618</v>
      </c>
      <c r="G1179" t="s">
        <v>271</v>
      </c>
      <c r="H1179" s="4">
        <v>1675</v>
      </c>
      <c r="I1179" t="s">
        <v>21</v>
      </c>
      <c r="J1179" t="s">
        <v>272</v>
      </c>
      <c r="K1179" t="s">
        <v>1222</v>
      </c>
      <c r="L1179" s="2">
        <v>45809</v>
      </c>
      <c r="M1179" t="s">
        <v>272</v>
      </c>
      <c r="N1179" t="s">
        <v>25</v>
      </c>
      <c r="O1179" t="s">
        <v>26</v>
      </c>
      <c r="P1179" t="s">
        <v>18</v>
      </c>
      <c r="Q1179" t="s">
        <v>274</v>
      </c>
    </row>
    <row r="1180" spans="1:17" x14ac:dyDescent="0.3">
      <c r="A1180" t="s">
        <v>17</v>
      </c>
      <c r="B1180">
        <v>63</v>
      </c>
      <c r="C1180" t="s">
        <v>18</v>
      </c>
      <c r="D1180" s="2">
        <v>45825</v>
      </c>
      <c r="E1180" s="3">
        <f t="shared" si="18"/>
        <v>45809</v>
      </c>
      <c r="F1180">
        <v>250618</v>
      </c>
      <c r="G1180" t="s">
        <v>271</v>
      </c>
      <c r="H1180" s="4">
        <v>1650</v>
      </c>
      <c r="I1180" t="s">
        <v>21</v>
      </c>
      <c r="J1180" t="s">
        <v>272</v>
      </c>
      <c r="K1180" t="s">
        <v>1223</v>
      </c>
      <c r="L1180" s="2">
        <v>45809</v>
      </c>
      <c r="M1180" t="s">
        <v>272</v>
      </c>
      <c r="N1180" t="s">
        <v>25</v>
      </c>
      <c r="O1180" t="s">
        <v>26</v>
      </c>
      <c r="P1180" t="s">
        <v>18</v>
      </c>
      <c r="Q1180" t="s">
        <v>274</v>
      </c>
    </row>
    <row r="1181" spans="1:17" x14ac:dyDescent="0.3">
      <c r="A1181" t="s">
        <v>17</v>
      </c>
      <c r="B1181">
        <v>63</v>
      </c>
      <c r="C1181" t="s">
        <v>18</v>
      </c>
      <c r="D1181" s="2">
        <v>45825</v>
      </c>
      <c r="E1181" s="3">
        <f t="shared" si="18"/>
        <v>45809</v>
      </c>
      <c r="F1181">
        <v>250618</v>
      </c>
      <c r="G1181" t="s">
        <v>271</v>
      </c>
      <c r="H1181" s="4">
        <v>2140</v>
      </c>
      <c r="I1181" t="s">
        <v>21</v>
      </c>
      <c r="J1181" t="s">
        <v>272</v>
      </c>
      <c r="K1181" t="s">
        <v>1224</v>
      </c>
      <c r="L1181" s="2">
        <v>45809</v>
      </c>
      <c r="M1181" t="s">
        <v>272</v>
      </c>
      <c r="N1181" t="s">
        <v>25</v>
      </c>
      <c r="O1181" t="s">
        <v>26</v>
      </c>
      <c r="P1181" t="s">
        <v>18</v>
      </c>
      <c r="Q1181" t="s">
        <v>274</v>
      </c>
    </row>
    <row r="1182" spans="1:17" x14ac:dyDescent="0.3">
      <c r="A1182" t="s">
        <v>17</v>
      </c>
      <c r="B1182">
        <v>63</v>
      </c>
      <c r="C1182" t="s">
        <v>18</v>
      </c>
      <c r="D1182" s="2">
        <v>45825</v>
      </c>
      <c r="E1182" s="3">
        <f t="shared" si="18"/>
        <v>45809</v>
      </c>
      <c r="F1182">
        <v>250618</v>
      </c>
      <c r="G1182" t="s">
        <v>271</v>
      </c>
      <c r="H1182" s="4">
        <v>1390</v>
      </c>
      <c r="I1182" t="s">
        <v>21</v>
      </c>
      <c r="J1182" t="s">
        <v>272</v>
      </c>
      <c r="K1182" t="s">
        <v>1225</v>
      </c>
      <c r="L1182" s="2">
        <v>45809</v>
      </c>
      <c r="M1182" t="s">
        <v>272</v>
      </c>
      <c r="N1182" t="s">
        <v>25</v>
      </c>
      <c r="O1182" t="s">
        <v>26</v>
      </c>
      <c r="P1182" t="s">
        <v>18</v>
      </c>
      <c r="Q1182" t="s">
        <v>274</v>
      </c>
    </row>
    <row r="1183" spans="1:17" x14ac:dyDescent="0.3">
      <c r="A1183" t="s">
        <v>17</v>
      </c>
      <c r="B1183">
        <v>67</v>
      </c>
      <c r="C1183" t="s">
        <v>28</v>
      </c>
      <c r="D1183" s="2">
        <v>45826</v>
      </c>
      <c r="E1183" s="3">
        <f t="shared" si="18"/>
        <v>45809</v>
      </c>
      <c r="F1183" t="s">
        <v>1226</v>
      </c>
      <c r="G1183" t="s">
        <v>1227</v>
      </c>
      <c r="H1183" s="4">
        <v>0.22</v>
      </c>
      <c r="I1183" t="s">
        <v>47</v>
      </c>
      <c r="J1183" t="s">
        <v>64</v>
      </c>
      <c r="K1183" t="s">
        <v>1228</v>
      </c>
      <c r="L1183" s="2">
        <v>45809</v>
      </c>
      <c r="M1183" t="s">
        <v>64</v>
      </c>
      <c r="N1183">
        <v>0</v>
      </c>
      <c r="O1183" t="s">
        <v>26</v>
      </c>
      <c r="P1183" t="s">
        <v>28</v>
      </c>
      <c r="Q1183">
        <v>0</v>
      </c>
    </row>
    <row r="1184" spans="1:17" x14ac:dyDescent="0.3">
      <c r="A1184" t="s">
        <v>17</v>
      </c>
      <c r="B1184">
        <v>67</v>
      </c>
      <c r="C1184" t="s">
        <v>28</v>
      </c>
      <c r="D1184" s="2">
        <v>45826</v>
      </c>
      <c r="E1184" s="3">
        <f t="shared" si="18"/>
        <v>45809</v>
      </c>
      <c r="F1184" t="s">
        <v>1226</v>
      </c>
      <c r="G1184" t="s">
        <v>1227</v>
      </c>
      <c r="H1184" s="4">
        <v>1.06</v>
      </c>
      <c r="I1184" t="s">
        <v>47</v>
      </c>
      <c r="J1184" t="s">
        <v>64</v>
      </c>
      <c r="K1184" t="s">
        <v>1228</v>
      </c>
      <c r="L1184" s="2">
        <v>45809</v>
      </c>
      <c r="M1184" t="s">
        <v>64</v>
      </c>
      <c r="N1184">
        <v>0</v>
      </c>
      <c r="O1184" t="s">
        <v>26</v>
      </c>
      <c r="P1184" t="s">
        <v>28</v>
      </c>
      <c r="Q1184">
        <v>0</v>
      </c>
    </row>
    <row r="1185" spans="1:17" x14ac:dyDescent="0.3">
      <c r="A1185" t="s">
        <v>17</v>
      </c>
      <c r="B1185">
        <v>67</v>
      </c>
      <c r="C1185" t="s">
        <v>28</v>
      </c>
      <c r="D1185" s="2">
        <v>45826</v>
      </c>
      <c r="E1185" s="3">
        <f t="shared" si="18"/>
        <v>45809</v>
      </c>
      <c r="F1185" t="s">
        <v>1229</v>
      </c>
      <c r="G1185" t="s">
        <v>119</v>
      </c>
      <c r="H1185" s="4">
        <v>877.5</v>
      </c>
      <c r="I1185" t="s">
        <v>31</v>
      </c>
      <c r="J1185" t="s">
        <v>68</v>
      </c>
      <c r="K1185" t="s">
        <v>1193</v>
      </c>
      <c r="L1185" s="2">
        <v>45809</v>
      </c>
      <c r="M1185" t="s">
        <v>68</v>
      </c>
      <c r="N1185">
        <v>0</v>
      </c>
      <c r="O1185" t="s">
        <v>31</v>
      </c>
      <c r="P1185" t="s">
        <v>28</v>
      </c>
      <c r="Q1185">
        <v>0</v>
      </c>
    </row>
    <row r="1186" spans="1:17" x14ac:dyDescent="0.3">
      <c r="A1186" t="s">
        <v>17</v>
      </c>
      <c r="B1186">
        <v>67</v>
      </c>
      <c r="C1186" t="s">
        <v>28</v>
      </c>
      <c r="D1186" s="2">
        <v>45826</v>
      </c>
      <c r="E1186" s="3">
        <f t="shared" si="18"/>
        <v>45809</v>
      </c>
      <c r="F1186" t="s">
        <v>1230</v>
      </c>
      <c r="G1186" t="s">
        <v>280</v>
      </c>
      <c r="H1186" s="4">
        <v>700</v>
      </c>
      <c r="I1186" t="s">
        <v>47</v>
      </c>
      <c r="J1186" t="s">
        <v>48</v>
      </c>
      <c r="K1186" t="s">
        <v>1231</v>
      </c>
      <c r="L1186" s="2">
        <v>45809</v>
      </c>
      <c r="M1186" t="s">
        <v>50</v>
      </c>
      <c r="N1186">
        <v>0</v>
      </c>
      <c r="O1186" t="s">
        <v>26</v>
      </c>
      <c r="P1186" t="s">
        <v>28</v>
      </c>
      <c r="Q1186">
        <v>0</v>
      </c>
    </row>
    <row r="1187" spans="1:17" x14ac:dyDescent="0.3">
      <c r="A1187" t="s">
        <v>17</v>
      </c>
      <c r="B1187">
        <v>67</v>
      </c>
      <c r="C1187" t="s">
        <v>28</v>
      </c>
      <c r="D1187" s="2">
        <v>45826</v>
      </c>
      <c r="E1187" s="3">
        <f t="shared" si="18"/>
        <v>45809</v>
      </c>
      <c r="F1187" t="s">
        <v>1230</v>
      </c>
      <c r="G1187" t="s">
        <v>280</v>
      </c>
      <c r="H1187" s="4">
        <v>700</v>
      </c>
      <c r="I1187" t="s">
        <v>47</v>
      </c>
      <c r="J1187" t="s">
        <v>48</v>
      </c>
      <c r="K1187" t="s">
        <v>1231</v>
      </c>
      <c r="L1187" s="2">
        <v>45809</v>
      </c>
      <c r="M1187" t="s">
        <v>50</v>
      </c>
      <c r="N1187">
        <v>0</v>
      </c>
      <c r="O1187" t="s">
        <v>26</v>
      </c>
      <c r="P1187" t="s">
        <v>28</v>
      </c>
      <c r="Q1187">
        <v>0</v>
      </c>
    </row>
    <row r="1188" spans="1:17" x14ac:dyDescent="0.3">
      <c r="A1188" t="s">
        <v>17</v>
      </c>
      <c r="B1188">
        <v>67</v>
      </c>
      <c r="C1188" t="s">
        <v>28</v>
      </c>
      <c r="D1188" s="2">
        <v>45826</v>
      </c>
      <c r="E1188" s="3">
        <f t="shared" si="18"/>
        <v>45809</v>
      </c>
      <c r="F1188" t="s">
        <v>1230</v>
      </c>
      <c r="G1188" t="s">
        <v>280</v>
      </c>
      <c r="H1188" s="4">
        <v>700</v>
      </c>
      <c r="I1188" t="s">
        <v>47</v>
      </c>
      <c r="J1188" t="s">
        <v>48</v>
      </c>
      <c r="K1188" t="s">
        <v>1231</v>
      </c>
      <c r="L1188" s="2">
        <v>45809</v>
      </c>
      <c r="M1188" t="s">
        <v>50</v>
      </c>
      <c r="N1188">
        <v>0</v>
      </c>
      <c r="O1188" t="s">
        <v>26</v>
      </c>
      <c r="P1188" t="s">
        <v>28</v>
      </c>
      <c r="Q1188">
        <v>0</v>
      </c>
    </row>
    <row r="1189" spans="1:17" x14ac:dyDescent="0.3">
      <c r="A1189" t="s">
        <v>17</v>
      </c>
      <c r="B1189">
        <v>67</v>
      </c>
      <c r="C1189" t="s">
        <v>28</v>
      </c>
      <c r="D1189" s="2">
        <v>45826</v>
      </c>
      <c r="E1189" s="3">
        <f t="shared" si="18"/>
        <v>45809</v>
      </c>
      <c r="F1189" t="s">
        <v>1230</v>
      </c>
      <c r="G1189" t="s">
        <v>280</v>
      </c>
      <c r="H1189" s="4">
        <v>700</v>
      </c>
      <c r="I1189" t="s">
        <v>47</v>
      </c>
      <c r="J1189" t="s">
        <v>48</v>
      </c>
      <c r="K1189" t="s">
        <v>1232</v>
      </c>
      <c r="L1189" s="2">
        <v>45809</v>
      </c>
      <c r="M1189" t="s">
        <v>50</v>
      </c>
      <c r="N1189">
        <v>0</v>
      </c>
      <c r="O1189" t="s">
        <v>26</v>
      </c>
      <c r="P1189" t="s">
        <v>28</v>
      </c>
      <c r="Q1189">
        <v>0</v>
      </c>
    </row>
    <row r="1190" spans="1:17" x14ac:dyDescent="0.3">
      <c r="A1190" t="s">
        <v>17</v>
      </c>
      <c r="B1190">
        <v>64</v>
      </c>
      <c r="C1190" t="s">
        <v>83</v>
      </c>
      <c r="D1190" s="2">
        <v>45826</v>
      </c>
      <c r="E1190" s="3">
        <f t="shared" si="18"/>
        <v>45809</v>
      </c>
      <c r="F1190" t="s">
        <v>1226</v>
      </c>
      <c r="G1190" t="s">
        <v>1227</v>
      </c>
      <c r="H1190" s="4">
        <v>14.54</v>
      </c>
      <c r="I1190" t="s">
        <v>47</v>
      </c>
      <c r="J1190" t="s">
        <v>87</v>
      </c>
      <c r="K1190" t="s">
        <v>1233</v>
      </c>
      <c r="L1190" s="2">
        <v>45809</v>
      </c>
      <c r="M1190" t="s">
        <v>89</v>
      </c>
      <c r="N1190">
        <v>0</v>
      </c>
      <c r="O1190" t="s">
        <v>26</v>
      </c>
      <c r="P1190" t="s">
        <v>83</v>
      </c>
      <c r="Q1190">
        <v>0</v>
      </c>
    </row>
    <row r="1191" spans="1:17" x14ac:dyDescent="0.3">
      <c r="A1191" t="s">
        <v>17</v>
      </c>
      <c r="B1191">
        <v>64</v>
      </c>
      <c r="C1191" t="s">
        <v>83</v>
      </c>
      <c r="D1191" s="2">
        <v>45826</v>
      </c>
      <c r="E1191" s="3">
        <f t="shared" si="18"/>
        <v>45809</v>
      </c>
      <c r="F1191" t="s">
        <v>1226</v>
      </c>
      <c r="G1191" t="s">
        <v>1227</v>
      </c>
      <c r="H1191" s="4">
        <v>49.25</v>
      </c>
      <c r="I1191" t="s">
        <v>47</v>
      </c>
      <c r="J1191" t="s">
        <v>87</v>
      </c>
      <c r="K1191" t="s">
        <v>1234</v>
      </c>
      <c r="L1191" s="2">
        <v>45809</v>
      </c>
      <c r="M1191" t="s">
        <v>89</v>
      </c>
      <c r="N1191">
        <v>0</v>
      </c>
      <c r="O1191" t="s">
        <v>26</v>
      </c>
      <c r="P1191" t="s">
        <v>83</v>
      </c>
      <c r="Q1191">
        <v>0</v>
      </c>
    </row>
    <row r="1192" spans="1:17" x14ac:dyDescent="0.3">
      <c r="A1192" t="s">
        <v>17</v>
      </c>
      <c r="B1192">
        <v>64</v>
      </c>
      <c r="C1192" t="s">
        <v>83</v>
      </c>
      <c r="D1192" s="2">
        <v>45826</v>
      </c>
      <c r="E1192" s="3">
        <f t="shared" si="18"/>
        <v>45809</v>
      </c>
      <c r="F1192" t="s">
        <v>1226</v>
      </c>
      <c r="G1192" t="s">
        <v>1227</v>
      </c>
      <c r="H1192" s="4">
        <v>39.93</v>
      </c>
      <c r="I1192" t="s">
        <v>47</v>
      </c>
      <c r="J1192" t="s">
        <v>87</v>
      </c>
      <c r="K1192" t="s">
        <v>1234</v>
      </c>
      <c r="L1192" s="2">
        <v>45809</v>
      </c>
      <c r="M1192" t="s">
        <v>89</v>
      </c>
      <c r="N1192">
        <v>0</v>
      </c>
      <c r="O1192" t="s">
        <v>26</v>
      </c>
      <c r="P1192" t="s">
        <v>83</v>
      </c>
      <c r="Q1192">
        <v>0</v>
      </c>
    </row>
    <row r="1193" spans="1:17" x14ac:dyDescent="0.3">
      <c r="A1193" t="s">
        <v>17</v>
      </c>
      <c r="B1193">
        <v>64</v>
      </c>
      <c r="C1193" t="s">
        <v>83</v>
      </c>
      <c r="D1193" s="2">
        <v>45826</v>
      </c>
      <c r="E1193" s="3">
        <f t="shared" si="18"/>
        <v>45809</v>
      </c>
      <c r="F1193" t="s">
        <v>1226</v>
      </c>
      <c r="G1193" t="s">
        <v>1227</v>
      </c>
      <c r="H1193" s="4">
        <v>70.89</v>
      </c>
      <c r="I1193" t="s">
        <v>47</v>
      </c>
      <c r="J1193" t="s">
        <v>91</v>
      </c>
      <c r="K1193" t="s">
        <v>1235</v>
      </c>
      <c r="L1193" s="2">
        <v>45809</v>
      </c>
      <c r="M1193" t="s">
        <v>93</v>
      </c>
      <c r="N1193">
        <v>0</v>
      </c>
      <c r="O1193" t="s">
        <v>26</v>
      </c>
      <c r="P1193" t="s">
        <v>83</v>
      </c>
      <c r="Q1193">
        <v>0</v>
      </c>
    </row>
    <row r="1194" spans="1:17" x14ac:dyDescent="0.3">
      <c r="A1194" t="s">
        <v>17</v>
      </c>
      <c r="B1194">
        <v>68</v>
      </c>
      <c r="C1194" t="s">
        <v>34</v>
      </c>
      <c r="D1194" s="2">
        <v>45826</v>
      </c>
      <c r="E1194" s="3">
        <f t="shared" si="18"/>
        <v>45809</v>
      </c>
      <c r="F1194" t="s">
        <v>1236</v>
      </c>
      <c r="G1194" t="s">
        <v>122</v>
      </c>
      <c r="H1194" s="4">
        <v>169.61</v>
      </c>
      <c r="I1194" t="s">
        <v>108</v>
      </c>
      <c r="J1194" t="s">
        <v>109</v>
      </c>
      <c r="K1194" t="s">
        <v>662</v>
      </c>
      <c r="L1194" s="2">
        <v>45809</v>
      </c>
      <c r="M1194" t="s">
        <v>109</v>
      </c>
      <c r="N1194">
        <v>0</v>
      </c>
      <c r="O1194" t="s">
        <v>111</v>
      </c>
      <c r="P1194" t="s">
        <v>112</v>
      </c>
      <c r="Q1194" t="s">
        <v>113</v>
      </c>
    </row>
    <row r="1195" spans="1:17" x14ac:dyDescent="0.3">
      <c r="A1195" t="s">
        <v>17</v>
      </c>
      <c r="B1195">
        <v>68</v>
      </c>
      <c r="C1195" t="s">
        <v>34</v>
      </c>
      <c r="D1195" s="2">
        <v>45826</v>
      </c>
      <c r="E1195" s="3">
        <f t="shared" si="18"/>
        <v>45809</v>
      </c>
      <c r="F1195" t="s">
        <v>1237</v>
      </c>
      <c r="G1195" t="s">
        <v>122</v>
      </c>
      <c r="H1195" s="4">
        <v>759.83</v>
      </c>
      <c r="I1195" t="s">
        <v>108</v>
      </c>
      <c r="J1195" t="s">
        <v>109</v>
      </c>
      <c r="K1195" t="s">
        <v>388</v>
      </c>
      <c r="L1195" s="2">
        <v>45809</v>
      </c>
      <c r="M1195" t="s">
        <v>109</v>
      </c>
      <c r="N1195">
        <v>0</v>
      </c>
      <c r="O1195" t="s">
        <v>111</v>
      </c>
      <c r="P1195" t="s">
        <v>112</v>
      </c>
      <c r="Q1195" t="s">
        <v>113</v>
      </c>
    </row>
    <row r="1196" spans="1:17" x14ac:dyDescent="0.3">
      <c r="A1196" t="s">
        <v>17</v>
      </c>
      <c r="B1196">
        <v>67</v>
      </c>
      <c r="C1196" t="s">
        <v>28</v>
      </c>
      <c r="D1196" s="2">
        <v>45828</v>
      </c>
      <c r="E1196" s="3">
        <f t="shared" si="18"/>
        <v>45809</v>
      </c>
      <c r="F1196" t="s">
        <v>1238</v>
      </c>
      <c r="G1196" t="s">
        <v>67</v>
      </c>
      <c r="H1196" s="4">
        <v>319.58999999999997</v>
      </c>
      <c r="I1196" t="s">
        <v>31</v>
      </c>
      <c r="J1196" t="s">
        <v>68</v>
      </c>
      <c r="K1196" t="s">
        <v>1239</v>
      </c>
      <c r="L1196" s="2">
        <v>45809</v>
      </c>
      <c r="M1196" t="s">
        <v>68</v>
      </c>
      <c r="N1196">
        <v>0</v>
      </c>
      <c r="O1196" t="s">
        <v>31</v>
      </c>
      <c r="P1196" t="s">
        <v>28</v>
      </c>
      <c r="Q1196">
        <v>0</v>
      </c>
    </row>
    <row r="1197" spans="1:17" x14ac:dyDescent="0.3">
      <c r="A1197" t="s">
        <v>17</v>
      </c>
      <c r="B1197">
        <v>68</v>
      </c>
      <c r="C1197" t="s">
        <v>34</v>
      </c>
      <c r="D1197" s="2">
        <v>45830</v>
      </c>
      <c r="E1197" s="3">
        <f t="shared" si="18"/>
        <v>45809</v>
      </c>
      <c r="F1197" t="s">
        <v>1240</v>
      </c>
      <c r="G1197" t="s">
        <v>107</v>
      </c>
      <c r="H1197" s="4">
        <v>133.66999999999999</v>
      </c>
      <c r="I1197" t="s">
        <v>108</v>
      </c>
      <c r="J1197" t="s">
        <v>109</v>
      </c>
      <c r="K1197" t="s">
        <v>110</v>
      </c>
      <c r="L1197" s="2">
        <v>45809</v>
      </c>
      <c r="M1197" t="s">
        <v>109</v>
      </c>
      <c r="N1197">
        <v>0</v>
      </c>
      <c r="O1197" t="s">
        <v>111</v>
      </c>
      <c r="P1197" t="s">
        <v>112</v>
      </c>
      <c r="Q1197" t="s">
        <v>113</v>
      </c>
    </row>
    <row r="1198" spans="1:17" x14ac:dyDescent="0.3">
      <c r="A1198" t="s">
        <v>17</v>
      </c>
      <c r="B1198">
        <v>67</v>
      </c>
      <c r="C1198" t="s">
        <v>28</v>
      </c>
      <c r="D1198" s="2">
        <v>45831</v>
      </c>
      <c r="E1198" s="3">
        <f t="shared" si="18"/>
        <v>45809</v>
      </c>
      <c r="F1198" t="s">
        <v>1241</v>
      </c>
      <c r="G1198" t="s">
        <v>158</v>
      </c>
      <c r="H1198" s="4">
        <v>21.78</v>
      </c>
      <c r="I1198" t="s">
        <v>159</v>
      </c>
      <c r="J1198" t="s">
        <v>74</v>
      </c>
      <c r="K1198" t="s">
        <v>994</v>
      </c>
      <c r="L1198" s="2">
        <v>45809</v>
      </c>
      <c r="M1198" t="s">
        <v>76</v>
      </c>
      <c r="N1198">
        <v>0</v>
      </c>
      <c r="O1198" t="s">
        <v>159</v>
      </c>
      <c r="P1198" t="s">
        <v>28</v>
      </c>
      <c r="Q1198">
        <v>0</v>
      </c>
    </row>
    <row r="1199" spans="1:17" x14ac:dyDescent="0.3">
      <c r="A1199" t="s">
        <v>17</v>
      </c>
      <c r="B1199">
        <v>64</v>
      </c>
      <c r="C1199" t="s">
        <v>83</v>
      </c>
      <c r="D1199" s="2">
        <v>45831</v>
      </c>
      <c r="E1199" s="3">
        <f t="shared" si="18"/>
        <v>45809</v>
      </c>
      <c r="F1199" t="s">
        <v>1241</v>
      </c>
      <c r="G1199" t="s">
        <v>158</v>
      </c>
      <c r="H1199" s="4">
        <v>57.14</v>
      </c>
      <c r="I1199" t="s">
        <v>159</v>
      </c>
      <c r="J1199" t="s">
        <v>91</v>
      </c>
      <c r="K1199" t="s">
        <v>165</v>
      </c>
      <c r="L1199" s="2">
        <v>45809</v>
      </c>
      <c r="M1199" t="s">
        <v>93</v>
      </c>
      <c r="N1199">
        <v>0</v>
      </c>
      <c r="O1199" t="s">
        <v>159</v>
      </c>
      <c r="P1199" t="s">
        <v>83</v>
      </c>
      <c r="Q1199">
        <v>0</v>
      </c>
    </row>
    <row r="1200" spans="1:17" x14ac:dyDescent="0.3">
      <c r="A1200" t="s">
        <v>17</v>
      </c>
      <c r="B1200">
        <v>64</v>
      </c>
      <c r="C1200" t="s">
        <v>83</v>
      </c>
      <c r="D1200" s="2">
        <v>45831</v>
      </c>
      <c r="E1200" s="3">
        <f t="shared" si="18"/>
        <v>45809</v>
      </c>
      <c r="F1200" t="s">
        <v>1241</v>
      </c>
      <c r="G1200" t="s">
        <v>158</v>
      </c>
      <c r="H1200" s="4">
        <v>158.09</v>
      </c>
      <c r="I1200" t="s">
        <v>159</v>
      </c>
      <c r="J1200" t="s">
        <v>91</v>
      </c>
      <c r="K1200" t="s">
        <v>165</v>
      </c>
      <c r="L1200" s="2">
        <v>45809</v>
      </c>
      <c r="M1200" t="s">
        <v>93</v>
      </c>
      <c r="N1200">
        <v>0</v>
      </c>
      <c r="O1200" t="s">
        <v>159</v>
      </c>
      <c r="P1200" t="s">
        <v>83</v>
      </c>
      <c r="Q1200">
        <v>0</v>
      </c>
    </row>
    <row r="1201" spans="1:17" x14ac:dyDescent="0.3">
      <c r="A1201" t="s">
        <v>17</v>
      </c>
      <c r="B1201">
        <v>64</v>
      </c>
      <c r="C1201" t="s">
        <v>83</v>
      </c>
      <c r="D1201" s="2">
        <v>45831</v>
      </c>
      <c r="E1201" s="3">
        <f t="shared" si="18"/>
        <v>45809</v>
      </c>
      <c r="F1201" t="s">
        <v>1241</v>
      </c>
      <c r="G1201" t="s">
        <v>158</v>
      </c>
      <c r="H1201" s="4">
        <v>124.32</v>
      </c>
      <c r="I1201" t="s">
        <v>159</v>
      </c>
      <c r="J1201" t="s">
        <v>91</v>
      </c>
      <c r="K1201" t="s">
        <v>165</v>
      </c>
      <c r="L1201" s="2">
        <v>45809</v>
      </c>
      <c r="M1201" t="s">
        <v>93</v>
      </c>
      <c r="N1201">
        <v>0</v>
      </c>
      <c r="O1201" t="s">
        <v>159</v>
      </c>
      <c r="P1201" t="s">
        <v>83</v>
      </c>
      <c r="Q1201">
        <v>0</v>
      </c>
    </row>
    <row r="1202" spans="1:17" x14ac:dyDescent="0.3">
      <c r="A1202" t="s">
        <v>17</v>
      </c>
      <c r="B1202">
        <v>64</v>
      </c>
      <c r="C1202" t="s">
        <v>83</v>
      </c>
      <c r="D1202" s="2">
        <v>45831</v>
      </c>
      <c r="E1202" s="3">
        <f t="shared" si="18"/>
        <v>45809</v>
      </c>
      <c r="F1202" t="s">
        <v>1241</v>
      </c>
      <c r="G1202" t="s">
        <v>158</v>
      </c>
      <c r="H1202" s="4">
        <v>61.5</v>
      </c>
      <c r="I1202" t="s">
        <v>159</v>
      </c>
      <c r="J1202" t="s">
        <v>91</v>
      </c>
      <c r="K1202" t="s">
        <v>165</v>
      </c>
      <c r="L1202" s="2">
        <v>45809</v>
      </c>
      <c r="M1202" t="s">
        <v>93</v>
      </c>
      <c r="N1202">
        <v>0</v>
      </c>
      <c r="O1202" t="s">
        <v>159</v>
      </c>
      <c r="P1202" t="s">
        <v>83</v>
      </c>
      <c r="Q1202">
        <v>0</v>
      </c>
    </row>
    <row r="1203" spans="1:17" x14ac:dyDescent="0.3">
      <c r="A1203" t="s">
        <v>17</v>
      </c>
      <c r="B1203">
        <v>68</v>
      </c>
      <c r="C1203" t="s">
        <v>34</v>
      </c>
      <c r="D1203" s="2">
        <v>45831</v>
      </c>
      <c r="E1203" s="3">
        <f t="shared" si="18"/>
        <v>45809</v>
      </c>
      <c r="F1203" t="s">
        <v>1242</v>
      </c>
      <c r="G1203" t="s">
        <v>291</v>
      </c>
      <c r="H1203" s="4">
        <v>1021.45</v>
      </c>
      <c r="I1203" t="s">
        <v>47</v>
      </c>
      <c r="J1203" t="s">
        <v>109</v>
      </c>
      <c r="K1203" t="s">
        <v>292</v>
      </c>
      <c r="L1203" s="2">
        <v>45809</v>
      </c>
      <c r="M1203" t="s">
        <v>109</v>
      </c>
      <c r="N1203">
        <v>0</v>
      </c>
      <c r="O1203" t="s">
        <v>26</v>
      </c>
      <c r="P1203" t="s">
        <v>112</v>
      </c>
      <c r="Q1203" t="s">
        <v>113</v>
      </c>
    </row>
    <row r="1204" spans="1:17" x14ac:dyDescent="0.3">
      <c r="A1204" t="s">
        <v>17</v>
      </c>
      <c r="B1204">
        <v>67</v>
      </c>
      <c r="C1204" t="s">
        <v>28</v>
      </c>
      <c r="D1204" s="2">
        <v>45832</v>
      </c>
      <c r="E1204" s="3">
        <f t="shared" si="18"/>
        <v>45809</v>
      </c>
      <c r="F1204" t="s">
        <v>1243</v>
      </c>
      <c r="G1204" t="s">
        <v>205</v>
      </c>
      <c r="H1204" s="4">
        <v>1000</v>
      </c>
      <c r="I1204" t="s">
        <v>31</v>
      </c>
      <c r="J1204" t="s">
        <v>32</v>
      </c>
      <c r="K1204" t="s">
        <v>1244</v>
      </c>
      <c r="L1204" s="2">
        <v>45809</v>
      </c>
      <c r="M1204" t="s">
        <v>32</v>
      </c>
      <c r="N1204">
        <v>0</v>
      </c>
      <c r="O1204" t="s">
        <v>31</v>
      </c>
      <c r="P1204" t="s">
        <v>28</v>
      </c>
      <c r="Q1204">
        <v>0</v>
      </c>
    </row>
    <row r="1205" spans="1:17" x14ac:dyDescent="0.3">
      <c r="A1205" t="s">
        <v>17</v>
      </c>
      <c r="B1205">
        <v>67</v>
      </c>
      <c r="C1205" t="s">
        <v>28</v>
      </c>
      <c r="D1205" s="2">
        <v>45832</v>
      </c>
      <c r="E1205" s="3">
        <f t="shared" si="18"/>
        <v>45809</v>
      </c>
      <c r="F1205" t="s">
        <v>1245</v>
      </c>
      <c r="G1205" t="s">
        <v>208</v>
      </c>
      <c r="H1205" s="4">
        <v>6500</v>
      </c>
      <c r="I1205" t="s">
        <v>31</v>
      </c>
      <c r="J1205" t="s">
        <v>32</v>
      </c>
      <c r="K1205" t="s">
        <v>1246</v>
      </c>
      <c r="L1205" s="2">
        <v>45809</v>
      </c>
      <c r="M1205" t="s">
        <v>32</v>
      </c>
      <c r="N1205">
        <v>0</v>
      </c>
      <c r="O1205" t="s">
        <v>31</v>
      </c>
      <c r="P1205" t="s">
        <v>28</v>
      </c>
      <c r="Q1205">
        <v>0</v>
      </c>
    </row>
    <row r="1206" spans="1:17" x14ac:dyDescent="0.3">
      <c r="A1206" t="s">
        <v>17</v>
      </c>
      <c r="B1206">
        <v>67</v>
      </c>
      <c r="C1206" t="s">
        <v>28</v>
      </c>
      <c r="D1206" s="2">
        <v>45832</v>
      </c>
      <c r="E1206" s="3">
        <f t="shared" si="18"/>
        <v>45809</v>
      </c>
      <c r="F1206" t="s">
        <v>1247</v>
      </c>
      <c r="G1206" t="s">
        <v>280</v>
      </c>
      <c r="H1206" s="4">
        <v>10000</v>
      </c>
      <c r="I1206" t="s">
        <v>47</v>
      </c>
      <c r="J1206" t="s">
        <v>48</v>
      </c>
      <c r="K1206" t="s">
        <v>1248</v>
      </c>
      <c r="L1206" s="2">
        <v>45809</v>
      </c>
      <c r="M1206" t="s">
        <v>50</v>
      </c>
      <c r="N1206">
        <v>0</v>
      </c>
      <c r="O1206" t="s">
        <v>26</v>
      </c>
      <c r="P1206" t="s">
        <v>28</v>
      </c>
      <c r="Q1206">
        <v>0</v>
      </c>
    </row>
    <row r="1207" spans="1:17" x14ac:dyDescent="0.3">
      <c r="A1207" t="s">
        <v>17</v>
      </c>
      <c r="B1207">
        <v>67</v>
      </c>
      <c r="C1207" t="s">
        <v>28</v>
      </c>
      <c r="D1207" s="2">
        <v>45832</v>
      </c>
      <c r="E1207" s="3">
        <f t="shared" si="18"/>
        <v>45809</v>
      </c>
      <c r="F1207" t="s">
        <v>1249</v>
      </c>
      <c r="G1207" t="s">
        <v>280</v>
      </c>
      <c r="H1207" s="4">
        <v>10000</v>
      </c>
      <c r="I1207" t="s">
        <v>47</v>
      </c>
      <c r="J1207" t="s">
        <v>48</v>
      </c>
      <c r="K1207" t="s">
        <v>1248</v>
      </c>
      <c r="L1207" s="2">
        <v>45809</v>
      </c>
      <c r="M1207" t="s">
        <v>50</v>
      </c>
      <c r="N1207">
        <v>0</v>
      </c>
      <c r="O1207" t="s">
        <v>26</v>
      </c>
      <c r="P1207" t="s">
        <v>28</v>
      </c>
      <c r="Q1207">
        <v>0</v>
      </c>
    </row>
    <row r="1208" spans="1:17" x14ac:dyDescent="0.3">
      <c r="A1208" t="s">
        <v>17</v>
      </c>
      <c r="B1208">
        <v>64</v>
      </c>
      <c r="C1208" t="s">
        <v>83</v>
      </c>
      <c r="D1208" s="2">
        <v>45832</v>
      </c>
      <c r="E1208" s="3">
        <f t="shared" si="18"/>
        <v>45809</v>
      </c>
      <c r="F1208" t="s">
        <v>1250</v>
      </c>
      <c r="G1208" t="s">
        <v>1251</v>
      </c>
      <c r="H1208" s="4">
        <v>33.58</v>
      </c>
      <c r="I1208" t="s">
        <v>21</v>
      </c>
      <c r="J1208" t="s">
        <v>91</v>
      </c>
      <c r="K1208" t="s">
        <v>1252</v>
      </c>
      <c r="L1208" s="2">
        <v>45809</v>
      </c>
      <c r="M1208" t="s">
        <v>93</v>
      </c>
      <c r="N1208" t="s">
        <v>25</v>
      </c>
      <c r="O1208" t="s">
        <v>81</v>
      </c>
      <c r="P1208" t="s">
        <v>83</v>
      </c>
      <c r="Q1208">
        <v>0</v>
      </c>
    </row>
    <row r="1209" spans="1:17" x14ac:dyDescent="0.3">
      <c r="A1209" t="s">
        <v>17</v>
      </c>
      <c r="B1209">
        <v>67</v>
      </c>
      <c r="C1209" t="s">
        <v>28</v>
      </c>
      <c r="D1209" s="2">
        <v>45833</v>
      </c>
      <c r="E1209" s="3">
        <f t="shared" si="18"/>
        <v>45809</v>
      </c>
      <c r="F1209" t="s">
        <v>1253</v>
      </c>
      <c r="G1209" t="s">
        <v>119</v>
      </c>
      <c r="H1209" s="4">
        <v>607.5</v>
      </c>
      <c r="I1209" t="s">
        <v>31</v>
      </c>
      <c r="J1209" t="s">
        <v>68</v>
      </c>
      <c r="K1209" t="s">
        <v>1254</v>
      </c>
      <c r="L1209" s="2">
        <v>45809</v>
      </c>
      <c r="M1209" t="s">
        <v>68</v>
      </c>
      <c r="N1209">
        <v>0</v>
      </c>
      <c r="O1209" t="s">
        <v>31</v>
      </c>
      <c r="P1209" t="s">
        <v>28</v>
      </c>
      <c r="Q1209">
        <v>0</v>
      </c>
    </row>
    <row r="1210" spans="1:17" x14ac:dyDescent="0.3">
      <c r="A1210" t="s">
        <v>17</v>
      </c>
      <c r="B1210">
        <v>68</v>
      </c>
      <c r="C1210" t="s">
        <v>34</v>
      </c>
      <c r="D1210" s="2">
        <v>45833</v>
      </c>
      <c r="E1210" s="3">
        <f t="shared" si="18"/>
        <v>45809</v>
      </c>
      <c r="F1210" t="s">
        <v>1255</v>
      </c>
      <c r="G1210" t="s">
        <v>122</v>
      </c>
      <c r="H1210" s="4">
        <v>478.88</v>
      </c>
      <c r="I1210" t="s">
        <v>108</v>
      </c>
      <c r="J1210" t="s">
        <v>109</v>
      </c>
      <c r="K1210" t="s">
        <v>388</v>
      </c>
      <c r="L1210" s="2">
        <v>45809</v>
      </c>
      <c r="M1210" t="s">
        <v>109</v>
      </c>
      <c r="N1210">
        <v>0</v>
      </c>
      <c r="O1210" t="s">
        <v>111</v>
      </c>
      <c r="P1210" t="s">
        <v>112</v>
      </c>
      <c r="Q1210" t="s">
        <v>113</v>
      </c>
    </row>
    <row r="1211" spans="1:17" x14ac:dyDescent="0.3">
      <c r="A1211" t="s">
        <v>17</v>
      </c>
      <c r="B1211">
        <v>68</v>
      </c>
      <c r="C1211" t="s">
        <v>34</v>
      </c>
      <c r="D1211" s="2">
        <v>45833</v>
      </c>
      <c r="E1211" s="3">
        <f t="shared" si="18"/>
        <v>45809</v>
      </c>
      <c r="F1211" t="s">
        <v>1256</v>
      </c>
      <c r="H1211" s="4">
        <v>68499.31</v>
      </c>
      <c r="I1211" t="s">
        <v>31</v>
      </c>
      <c r="J1211" t="s">
        <v>726</v>
      </c>
      <c r="K1211" t="s">
        <v>1257</v>
      </c>
      <c r="L1211" s="2">
        <v>45809</v>
      </c>
      <c r="M1211" t="s">
        <v>726</v>
      </c>
      <c r="N1211">
        <v>0</v>
      </c>
      <c r="O1211" t="s">
        <v>31</v>
      </c>
      <c r="P1211" t="s">
        <v>34</v>
      </c>
      <c r="Q1211">
        <v>0</v>
      </c>
    </row>
    <row r="1212" spans="1:17" x14ac:dyDescent="0.3">
      <c r="A1212" t="s">
        <v>17</v>
      </c>
      <c r="B1212">
        <v>68</v>
      </c>
      <c r="C1212" t="s">
        <v>34</v>
      </c>
      <c r="D1212" s="2">
        <v>45834</v>
      </c>
      <c r="E1212" s="3">
        <f t="shared" si="18"/>
        <v>45809</v>
      </c>
      <c r="F1212" t="s">
        <v>1258</v>
      </c>
      <c r="G1212" t="s">
        <v>1259</v>
      </c>
      <c r="H1212" s="4">
        <v>767.7</v>
      </c>
      <c r="I1212" t="s">
        <v>21</v>
      </c>
      <c r="J1212" t="s">
        <v>79</v>
      </c>
      <c r="K1212" t="s">
        <v>1260</v>
      </c>
      <c r="L1212" s="2">
        <v>45809</v>
      </c>
      <c r="M1212" t="s">
        <v>79</v>
      </c>
      <c r="N1212" t="s">
        <v>25</v>
      </c>
      <c r="O1212" t="s">
        <v>81</v>
      </c>
      <c r="P1212" t="s">
        <v>34</v>
      </c>
      <c r="Q1212">
        <v>0</v>
      </c>
    </row>
    <row r="1213" spans="1:17" x14ac:dyDescent="0.3">
      <c r="A1213" t="s">
        <v>17</v>
      </c>
      <c r="B1213">
        <v>68</v>
      </c>
      <c r="C1213" t="s">
        <v>34</v>
      </c>
      <c r="D1213" s="2">
        <v>45835</v>
      </c>
      <c r="E1213" s="3">
        <f t="shared" si="18"/>
        <v>45809</v>
      </c>
      <c r="F1213">
        <v>1902589589</v>
      </c>
      <c r="G1213" t="s">
        <v>1261</v>
      </c>
      <c r="H1213" s="4">
        <v>27.08</v>
      </c>
      <c r="I1213" t="s">
        <v>47</v>
      </c>
      <c r="J1213" t="s">
        <v>109</v>
      </c>
      <c r="K1213" t="s">
        <v>1262</v>
      </c>
      <c r="L1213" s="2">
        <v>45809</v>
      </c>
      <c r="M1213" t="s">
        <v>109</v>
      </c>
      <c r="N1213">
        <v>0</v>
      </c>
      <c r="O1213" t="s">
        <v>26</v>
      </c>
      <c r="P1213" t="s">
        <v>112</v>
      </c>
      <c r="Q1213" t="s">
        <v>113</v>
      </c>
    </row>
    <row r="1214" spans="1:17" x14ac:dyDescent="0.3">
      <c r="A1214" t="s">
        <v>17</v>
      </c>
      <c r="B1214">
        <v>67</v>
      </c>
      <c r="C1214" t="s">
        <v>28</v>
      </c>
      <c r="D1214" s="2">
        <v>45835</v>
      </c>
      <c r="E1214" s="3">
        <f t="shared" si="18"/>
        <v>45809</v>
      </c>
      <c r="F1214" t="s">
        <v>1263</v>
      </c>
      <c r="G1214" t="s">
        <v>67</v>
      </c>
      <c r="H1214" s="4">
        <v>196.8</v>
      </c>
      <c r="I1214" t="s">
        <v>31</v>
      </c>
      <c r="J1214" t="s">
        <v>68</v>
      </c>
      <c r="K1214" t="s">
        <v>1264</v>
      </c>
      <c r="L1214" s="2">
        <v>45809</v>
      </c>
      <c r="M1214" t="s">
        <v>68</v>
      </c>
      <c r="N1214">
        <v>0</v>
      </c>
      <c r="O1214" t="s">
        <v>31</v>
      </c>
      <c r="P1214" t="s">
        <v>28</v>
      </c>
      <c r="Q1214">
        <v>0</v>
      </c>
    </row>
    <row r="1215" spans="1:17" x14ac:dyDescent="0.3">
      <c r="A1215" t="s">
        <v>17</v>
      </c>
      <c r="B1215">
        <v>68</v>
      </c>
      <c r="C1215" t="s">
        <v>34</v>
      </c>
      <c r="D1215" s="2">
        <v>45835</v>
      </c>
      <c r="E1215" s="3">
        <f t="shared" si="18"/>
        <v>45809</v>
      </c>
      <c r="F1215">
        <v>1902589589</v>
      </c>
      <c r="G1215" t="s">
        <v>1261</v>
      </c>
      <c r="H1215" s="4">
        <v>244.29</v>
      </c>
      <c r="I1215" t="s">
        <v>47</v>
      </c>
      <c r="J1215" t="s">
        <v>109</v>
      </c>
      <c r="K1215" t="s">
        <v>1265</v>
      </c>
      <c r="L1215" s="2">
        <v>45809</v>
      </c>
      <c r="M1215" t="s">
        <v>109</v>
      </c>
      <c r="N1215">
        <v>0</v>
      </c>
      <c r="O1215" t="s">
        <v>26</v>
      </c>
      <c r="P1215" t="s">
        <v>112</v>
      </c>
      <c r="Q1215" t="s">
        <v>113</v>
      </c>
    </row>
    <row r="1216" spans="1:17" x14ac:dyDescent="0.3">
      <c r="A1216" t="s">
        <v>17</v>
      </c>
      <c r="B1216">
        <v>68</v>
      </c>
      <c r="C1216" t="s">
        <v>34</v>
      </c>
      <c r="D1216" s="2">
        <v>45835</v>
      </c>
      <c r="E1216" s="3">
        <f t="shared" si="18"/>
        <v>45809</v>
      </c>
      <c r="F1216">
        <v>1902589589</v>
      </c>
      <c r="G1216" t="s">
        <v>1261</v>
      </c>
      <c r="H1216" s="4">
        <v>124.63</v>
      </c>
      <c r="I1216" t="s">
        <v>47</v>
      </c>
      <c r="J1216" t="s">
        <v>109</v>
      </c>
      <c r="K1216" t="s">
        <v>1266</v>
      </c>
      <c r="L1216" s="2">
        <v>45809</v>
      </c>
      <c r="M1216" t="s">
        <v>109</v>
      </c>
      <c r="N1216">
        <v>0</v>
      </c>
      <c r="O1216" t="s">
        <v>26</v>
      </c>
      <c r="P1216" t="s">
        <v>112</v>
      </c>
      <c r="Q1216" t="s">
        <v>113</v>
      </c>
    </row>
    <row r="1217" spans="1:17" x14ac:dyDescent="0.3">
      <c r="A1217" t="s">
        <v>17</v>
      </c>
      <c r="B1217">
        <v>68</v>
      </c>
      <c r="C1217" t="s">
        <v>34</v>
      </c>
      <c r="D1217" s="2">
        <v>45835</v>
      </c>
      <c r="E1217" s="3">
        <f t="shared" si="18"/>
        <v>45809</v>
      </c>
      <c r="F1217">
        <v>1902589589</v>
      </c>
      <c r="G1217" t="s">
        <v>1261</v>
      </c>
      <c r="H1217" s="4">
        <v>244.29</v>
      </c>
      <c r="I1217" t="s">
        <v>47</v>
      </c>
      <c r="J1217" t="s">
        <v>109</v>
      </c>
      <c r="K1217" t="s">
        <v>1265</v>
      </c>
      <c r="L1217" s="2">
        <v>45809</v>
      </c>
      <c r="M1217" t="s">
        <v>109</v>
      </c>
      <c r="N1217">
        <v>0</v>
      </c>
      <c r="O1217" t="s">
        <v>26</v>
      </c>
      <c r="P1217" t="s">
        <v>112</v>
      </c>
      <c r="Q1217" t="s">
        <v>113</v>
      </c>
    </row>
    <row r="1218" spans="1:17" x14ac:dyDescent="0.3">
      <c r="A1218" t="s">
        <v>17</v>
      </c>
      <c r="B1218">
        <v>68</v>
      </c>
      <c r="C1218" t="s">
        <v>34</v>
      </c>
      <c r="D1218" s="2">
        <v>45835</v>
      </c>
      <c r="E1218" s="3">
        <f t="shared" si="18"/>
        <v>45809</v>
      </c>
      <c r="F1218">
        <v>1902589589</v>
      </c>
      <c r="G1218" t="s">
        <v>1261</v>
      </c>
      <c r="H1218" s="4">
        <v>20.25</v>
      </c>
      <c r="I1218" t="s">
        <v>47</v>
      </c>
      <c r="J1218" t="s">
        <v>109</v>
      </c>
      <c r="K1218" t="s">
        <v>1262</v>
      </c>
      <c r="L1218" s="2">
        <v>45809</v>
      </c>
      <c r="M1218" t="s">
        <v>109</v>
      </c>
      <c r="N1218">
        <v>0</v>
      </c>
      <c r="O1218" t="s">
        <v>26</v>
      </c>
      <c r="P1218" t="s">
        <v>112</v>
      </c>
      <c r="Q1218" t="s">
        <v>113</v>
      </c>
    </row>
    <row r="1219" spans="1:17" x14ac:dyDescent="0.3">
      <c r="A1219" t="s">
        <v>17</v>
      </c>
      <c r="B1219">
        <v>68</v>
      </c>
      <c r="C1219" t="s">
        <v>34</v>
      </c>
      <c r="D1219" s="2">
        <v>45835</v>
      </c>
      <c r="E1219" s="3">
        <f t="shared" ref="E1219:E1282" si="19">IF($D1219="","",DATE(YEAR($D1219),MONTH($D1219),1))</f>
        <v>45809</v>
      </c>
      <c r="F1219">
        <v>1902589589</v>
      </c>
      <c r="G1219" t="s">
        <v>1261</v>
      </c>
      <c r="H1219" s="4">
        <v>137.72</v>
      </c>
      <c r="I1219" t="s">
        <v>47</v>
      </c>
      <c r="J1219" t="s">
        <v>109</v>
      </c>
      <c r="K1219" t="s">
        <v>1266</v>
      </c>
      <c r="L1219" s="2">
        <v>45809</v>
      </c>
      <c r="M1219" t="s">
        <v>109</v>
      </c>
      <c r="N1219">
        <v>0</v>
      </c>
      <c r="O1219" t="s">
        <v>26</v>
      </c>
      <c r="P1219" t="s">
        <v>112</v>
      </c>
      <c r="Q1219" t="s">
        <v>113</v>
      </c>
    </row>
    <row r="1220" spans="1:17" x14ac:dyDescent="0.3">
      <c r="A1220" t="s">
        <v>17</v>
      </c>
      <c r="B1220">
        <v>68</v>
      </c>
      <c r="C1220" t="s">
        <v>34</v>
      </c>
      <c r="D1220" s="2">
        <v>45835</v>
      </c>
      <c r="E1220" s="3">
        <f t="shared" si="19"/>
        <v>45809</v>
      </c>
      <c r="F1220">
        <v>1902589589</v>
      </c>
      <c r="G1220" t="s">
        <v>1261</v>
      </c>
      <c r="H1220" s="4">
        <v>273.13</v>
      </c>
      <c r="I1220" t="s">
        <v>47</v>
      </c>
      <c r="J1220" t="s">
        <v>109</v>
      </c>
      <c r="K1220" t="s">
        <v>1265</v>
      </c>
      <c r="L1220" s="2">
        <v>45809</v>
      </c>
      <c r="M1220" t="s">
        <v>109</v>
      </c>
      <c r="N1220">
        <v>0</v>
      </c>
      <c r="O1220" t="s">
        <v>26</v>
      </c>
      <c r="P1220" t="s">
        <v>112</v>
      </c>
      <c r="Q1220" t="s">
        <v>113</v>
      </c>
    </row>
    <row r="1221" spans="1:17" x14ac:dyDescent="0.3">
      <c r="A1221" t="s">
        <v>17</v>
      </c>
      <c r="B1221">
        <v>68</v>
      </c>
      <c r="C1221" t="s">
        <v>34</v>
      </c>
      <c r="D1221" s="2">
        <v>45835</v>
      </c>
      <c r="E1221" s="3">
        <f t="shared" si="19"/>
        <v>45809</v>
      </c>
      <c r="F1221">
        <v>1902589589</v>
      </c>
      <c r="G1221" t="s">
        <v>1261</v>
      </c>
      <c r="H1221" s="4">
        <v>20.25</v>
      </c>
      <c r="I1221" t="s">
        <v>47</v>
      </c>
      <c r="J1221" t="s">
        <v>109</v>
      </c>
      <c r="K1221" t="s">
        <v>1267</v>
      </c>
      <c r="L1221" s="2">
        <v>45809</v>
      </c>
      <c r="M1221" t="s">
        <v>109</v>
      </c>
      <c r="N1221">
        <v>0</v>
      </c>
      <c r="O1221" t="s">
        <v>26</v>
      </c>
      <c r="P1221" t="s">
        <v>112</v>
      </c>
      <c r="Q1221" t="s">
        <v>113</v>
      </c>
    </row>
    <row r="1222" spans="1:17" x14ac:dyDescent="0.3">
      <c r="A1222" t="s">
        <v>17</v>
      </c>
      <c r="B1222">
        <v>67</v>
      </c>
      <c r="C1222" t="s">
        <v>28</v>
      </c>
      <c r="D1222" s="2">
        <v>45835</v>
      </c>
      <c r="E1222" s="3">
        <f t="shared" si="19"/>
        <v>45809</v>
      </c>
      <c r="F1222" t="s">
        <v>1268</v>
      </c>
      <c r="H1222" s="4">
        <v>-85.14</v>
      </c>
      <c r="I1222" t="s">
        <v>31</v>
      </c>
      <c r="J1222" t="s">
        <v>60</v>
      </c>
      <c r="L1222" s="2">
        <v>45809</v>
      </c>
      <c r="M1222" t="s">
        <v>60</v>
      </c>
      <c r="N1222">
        <v>0</v>
      </c>
      <c r="O1222" t="s">
        <v>31</v>
      </c>
      <c r="P1222" t="s">
        <v>28</v>
      </c>
      <c r="Q1222">
        <v>0</v>
      </c>
    </row>
    <row r="1223" spans="1:17" x14ac:dyDescent="0.3">
      <c r="A1223" t="s">
        <v>17</v>
      </c>
      <c r="B1223">
        <v>67</v>
      </c>
      <c r="C1223" t="s">
        <v>28</v>
      </c>
      <c r="D1223" s="2">
        <v>45835</v>
      </c>
      <c r="E1223" s="3">
        <f t="shared" si="19"/>
        <v>45809</v>
      </c>
      <c r="F1223" t="s">
        <v>1268</v>
      </c>
      <c r="H1223" s="4">
        <v>-73.819999999999993</v>
      </c>
      <c r="I1223" t="s">
        <v>31</v>
      </c>
      <c r="J1223" t="s">
        <v>60</v>
      </c>
      <c r="L1223" s="2">
        <v>45809</v>
      </c>
      <c r="M1223" t="s">
        <v>60</v>
      </c>
      <c r="N1223">
        <v>0</v>
      </c>
      <c r="O1223" t="s">
        <v>31</v>
      </c>
      <c r="P1223" t="s">
        <v>28</v>
      </c>
      <c r="Q1223">
        <v>0</v>
      </c>
    </row>
    <row r="1224" spans="1:17" x14ac:dyDescent="0.3">
      <c r="A1224" t="s">
        <v>17</v>
      </c>
      <c r="B1224">
        <v>67</v>
      </c>
      <c r="C1224" t="s">
        <v>28</v>
      </c>
      <c r="D1224" s="2">
        <v>45835</v>
      </c>
      <c r="E1224" s="3">
        <f t="shared" si="19"/>
        <v>45809</v>
      </c>
      <c r="F1224" t="s">
        <v>1268</v>
      </c>
      <c r="H1224" s="4">
        <v>-53.38</v>
      </c>
      <c r="I1224" t="s">
        <v>31</v>
      </c>
      <c r="J1224" t="s">
        <v>60</v>
      </c>
      <c r="L1224" s="2">
        <v>45809</v>
      </c>
      <c r="M1224" t="s">
        <v>60</v>
      </c>
      <c r="N1224">
        <v>0</v>
      </c>
      <c r="O1224" t="s">
        <v>31</v>
      </c>
      <c r="P1224" t="s">
        <v>28</v>
      </c>
      <c r="Q1224">
        <v>0</v>
      </c>
    </row>
    <row r="1225" spans="1:17" x14ac:dyDescent="0.3">
      <c r="A1225" t="s">
        <v>17</v>
      </c>
      <c r="B1225">
        <v>67</v>
      </c>
      <c r="C1225" t="s">
        <v>28</v>
      </c>
      <c r="D1225" s="2">
        <v>45835</v>
      </c>
      <c r="E1225" s="3">
        <f t="shared" si="19"/>
        <v>45809</v>
      </c>
      <c r="F1225" t="s">
        <v>1268</v>
      </c>
      <c r="H1225" s="4">
        <v>-37.53</v>
      </c>
      <c r="I1225" t="s">
        <v>31</v>
      </c>
      <c r="J1225" t="s">
        <v>60</v>
      </c>
      <c r="L1225" s="2">
        <v>45809</v>
      </c>
      <c r="M1225" t="s">
        <v>60</v>
      </c>
      <c r="N1225">
        <v>0</v>
      </c>
      <c r="O1225" t="s">
        <v>31</v>
      </c>
      <c r="P1225" t="s">
        <v>28</v>
      </c>
      <c r="Q1225">
        <v>0</v>
      </c>
    </row>
    <row r="1226" spans="1:17" x14ac:dyDescent="0.3">
      <c r="A1226" t="s">
        <v>17</v>
      </c>
      <c r="B1226">
        <v>67</v>
      </c>
      <c r="C1226" t="s">
        <v>28</v>
      </c>
      <c r="D1226" s="2">
        <v>45835</v>
      </c>
      <c r="E1226" s="3">
        <f t="shared" si="19"/>
        <v>45809</v>
      </c>
      <c r="F1226" t="s">
        <v>1268</v>
      </c>
      <c r="H1226" s="4">
        <v>-14.18</v>
      </c>
      <c r="I1226" t="s">
        <v>31</v>
      </c>
      <c r="J1226" t="s">
        <v>60</v>
      </c>
      <c r="L1226" s="2">
        <v>45809</v>
      </c>
      <c r="M1226" t="s">
        <v>60</v>
      </c>
      <c r="N1226">
        <v>0</v>
      </c>
      <c r="O1226" t="s">
        <v>31</v>
      </c>
      <c r="P1226" t="s">
        <v>28</v>
      </c>
      <c r="Q1226">
        <v>0</v>
      </c>
    </row>
    <row r="1227" spans="1:17" x14ac:dyDescent="0.3">
      <c r="A1227" t="s">
        <v>17</v>
      </c>
      <c r="B1227">
        <v>67</v>
      </c>
      <c r="C1227" t="s">
        <v>28</v>
      </c>
      <c r="D1227" s="2">
        <v>45835</v>
      </c>
      <c r="E1227" s="3">
        <f t="shared" si="19"/>
        <v>45809</v>
      </c>
      <c r="F1227" t="s">
        <v>1268</v>
      </c>
      <c r="H1227" s="4">
        <v>-62.37</v>
      </c>
      <c r="I1227" t="s">
        <v>31</v>
      </c>
      <c r="J1227" t="s">
        <v>60</v>
      </c>
      <c r="L1227" s="2">
        <v>45809</v>
      </c>
      <c r="M1227" t="s">
        <v>60</v>
      </c>
      <c r="N1227">
        <v>0</v>
      </c>
      <c r="O1227" t="s">
        <v>31</v>
      </c>
      <c r="P1227" t="s">
        <v>28</v>
      </c>
      <c r="Q1227">
        <v>0</v>
      </c>
    </row>
    <row r="1228" spans="1:17" x14ac:dyDescent="0.3">
      <c r="A1228" t="s">
        <v>17</v>
      </c>
      <c r="B1228">
        <v>67</v>
      </c>
      <c r="C1228" t="s">
        <v>28</v>
      </c>
      <c r="D1228" s="2">
        <v>45835</v>
      </c>
      <c r="E1228" s="3">
        <f t="shared" si="19"/>
        <v>45809</v>
      </c>
      <c r="F1228" t="s">
        <v>1268</v>
      </c>
      <c r="H1228" s="4">
        <v>-12.39</v>
      </c>
      <c r="I1228" t="s">
        <v>31</v>
      </c>
      <c r="J1228" t="s">
        <v>60</v>
      </c>
      <c r="L1228" s="2">
        <v>45809</v>
      </c>
      <c r="M1228" t="s">
        <v>60</v>
      </c>
      <c r="N1228">
        <v>0</v>
      </c>
      <c r="O1228" t="s">
        <v>31</v>
      </c>
      <c r="P1228" t="s">
        <v>28</v>
      </c>
      <c r="Q1228">
        <v>0</v>
      </c>
    </row>
    <row r="1229" spans="1:17" x14ac:dyDescent="0.3">
      <c r="A1229" t="s">
        <v>17</v>
      </c>
      <c r="B1229">
        <v>67</v>
      </c>
      <c r="C1229" t="s">
        <v>28</v>
      </c>
      <c r="D1229" s="2">
        <v>45835</v>
      </c>
      <c r="E1229" s="3">
        <f t="shared" si="19"/>
        <v>45809</v>
      </c>
      <c r="F1229" t="s">
        <v>1268</v>
      </c>
      <c r="H1229" s="4">
        <v>-1.2</v>
      </c>
      <c r="I1229" t="s">
        <v>31</v>
      </c>
      <c r="J1229" t="s">
        <v>60</v>
      </c>
      <c r="L1229" s="2">
        <v>45809</v>
      </c>
      <c r="M1229" t="s">
        <v>60</v>
      </c>
      <c r="N1229">
        <v>0</v>
      </c>
      <c r="O1229" t="s">
        <v>31</v>
      </c>
      <c r="P1229" t="s">
        <v>28</v>
      </c>
      <c r="Q1229">
        <v>0</v>
      </c>
    </row>
    <row r="1230" spans="1:17" x14ac:dyDescent="0.3">
      <c r="A1230" t="s">
        <v>17</v>
      </c>
      <c r="B1230">
        <v>63</v>
      </c>
      <c r="C1230" t="s">
        <v>18</v>
      </c>
      <c r="D1230" s="2">
        <v>45838</v>
      </c>
      <c r="E1230" s="3">
        <f t="shared" si="19"/>
        <v>45809</v>
      </c>
      <c r="F1230" t="s">
        <v>1269</v>
      </c>
      <c r="G1230" t="s">
        <v>235</v>
      </c>
      <c r="H1230" s="4">
        <v>8947.15</v>
      </c>
      <c r="I1230" t="s">
        <v>21</v>
      </c>
      <c r="J1230" t="s">
        <v>236</v>
      </c>
      <c r="K1230" t="s">
        <v>237</v>
      </c>
      <c r="L1230" s="2">
        <v>45809</v>
      </c>
      <c r="M1230" t="s">
        <v>238</v>
      </c>
      <c r="N1230" t="s">
        <v>25</v>
      </c>
      <c r="O1230" t="s">
        <v>26</v>
      </c>
      <c r="P1230" t="s">
        <v>18</v>
      </c>
      <c r="Q1230" t="s">
        <v>239</v>
      </c>
    </row>
    <row r="1231" spans="1:17" x14ac:dyDescent="0.3">
      <c r="A1231" t="s">
        <v>17</v>
      </c>
      <c r="B1231">
        <v>63</v>
      </c>
      <c r="C1231" t="s">
        <v>18</v>
      </c>
      <c r="D1231" s="2">
        <v>45838</v>
      </c>
      <c r="E1231" s="3">
        <f t="shared" si="19"/>
        <v>45809</v>
      </c>
      <c r="F1231" t="s">
        <v>1270</v>
      </c>
      <c r="G1231" t="s">
        <v>235</v>
      </c>
      <c r="H1231" s="4">
        <v>577.75</v>
      </c>
      <c r="I1231" t="s">
        <v>241</v>
      </c>
      <c r="J1231" t="s">
        <v>236</v>
      </c>
      <c r="K1231" t="s">
        <v>237</v>
      </c>
      <c r="L1231" s="2">
        <v>45809</v>
      </c>
      <c r="M1231" t="s">
        <v>238</v>
      </c>
      <c r="N1231" t="s">
        <v>242</v>
      </c>
      <c r="O1231" t="s">
        <v>26</v>
      </c>
      <c r="P1231" t="s">
        <v>18</v>
      </c>
      <c r="Q1231" t="s">
        <v>239</v>
      </c>
    </row>
    <row r="1232" spans="1:17" x14ac:dyDescent="0.3">
      <c r="A1232" t="s">
        <v>17</v>
      </c>
      <c r="B1232">
        <v>66</v>
      </c>
      <c r="C1232" t="s">
        <v>134</v>
      </c>
      <c r="D1232" s="2">
        <v>45838</v>
      </c>
      <c r="E1232" s="3">
        <f t="shared" si="19"/>
        <v>45809</v>
      </c>
      <c r="F1232" t="s">
        <v>1271</v>
      </c>
      <c r="G1232" t="s">
        <v>254</v>
      </c>
      <c r="H1232" s="4">
        <v>2100</v>
      </c>
      <c r="I1232" t="s">
        <v>108</v>
      </c>
      <c r="J1232" t="s">
        <v>255</v>
      </c>
      <c r="K1232" t="s">
        <v>1272</v>
      </c>
      <c r="L1232" s="2">
        <v>45809</v>
      </c>
      <c r="M1232" t="s">
        <v>257</v>
      </c>
      <c r="N1232">
        <v>0</v>
      </c>
      <c r="O1232" t="s">
        <v>111</v>
      </c>
      <c r="P1232" t="s">
        <v>134</v>
      </c>
      <c r="Q1232">
        <v>0</v>
      </c>
    </row>
    <row r="1233" spans="1:17" x14ac:dyDescent="0.3">
      <c r="A1233" t="s">
        <v>17</v>
      </c>
      <c r="B1233">
        <v>67</v>
      </c>
      <c r="C1233" t="s">
        <v>28</v>
      </c>
      <c r="D1233" s="2">
        <v>45838</v>
      </c>
      <c r="E1233" s="3">
        <f t="shared" si="19"/>
        <v>45809</v>
      </c>
      <c r="F1233" t="s">
        <v>1273</v>
      </c>
      <c r="G1233" t="s">
        <v>259</v>
      </c>
      <c r="H1233" s="4">
        <v>10445.06</v>
      </c>
      <c r="I1233" t="s">
        <v>31</v>
      </c>
      <c r="J1233" t="s">
        <v>32</v>
      </c>
      <c r="K1233" t="s">
        <v>1274</v>
      </c>
      <c r="L1233" s="2">
        <v>45809</v>
      </c>
      <c r="M1233" t="s">
        <v>32</v>
      </c>
      <c r="N1233">
        <v>0</v>
      </c>
      <c r="O1233" t="s">
        <v>31</v>
      </c>
      <c r="P1233" t="s">
        <v>28</v>
      </c>
      <c r="Q1233">
        <v>0</v>
      </c>
    </row>
    <row r="1234" spans="1:17" x14ac:dyDescent="0.3">
      <c r="A1234" t="s">
        <v>17</v>
      </c>
      <c r="B1234">
        <v>68</v>
      </c>
      <c r="C1234" t="s">
        <v>34</v>
      </c>
      <c r="D1234" s="2">
        <v>45838</v>
      </c>
      <c r="E1234" s="3">
        <f t="shared" si="19"/>
        <v>45809</v>
      </c>
      <c r="F1234" t="s">
        <v>1275</v>
      </c>
      <c r="G1234" t="s">
        <v>266</v>
      </c>
      <c r="H1234" s="4">
        <v>123.07</v>
      </c>
      <c r="I1234" t="s">
        <v>31</v>
      </c>
      <c r="J1234" t="s">
        <v>79</v>
      </c>
      <c r="K1234" t="s">
        <v>1276</v>
      </c>
      <c r="L1234" s="2">
        <v>45809</v>
      </c>
      <c r="M1234" t="s">
        <v>79</v>
      </c>
      <c r="N1234">
        <v>0</v>
      </c>
      <c r="O1234" t="s">
        <v>31</v>
      </c>
      <c r="P1234" t="s">
        <v>34</v>
      </c>
      <c r="Q1234">
        <v>0</v>
      </c>
    </row>
    <row r="1235" spans="1:17" x14ac:dyDescent="0.3">
      <c r="A1235" t="s">
        <v>17</v>
      </c>
      <c r="B1235">
        <v>68</v>
      </c>
      <c r="C1235" t="s">
        <v>34</v>
      </c>
      <c r="D1235" s="2">
        <v>45838</v>
      </c>
      <c r="E1235" s="3">
        <f t="shared" si="19"/>
        <v>45809</v>
      </c>
      <c r="F1235" t="s">
        <v>1275</v>
      </c>
      <c r="G1235" t="s">
        <v>266</v>
      </c>
      <c r="H1235" s="4">
        <v>1083.96</v>
      </c>
      <c r="I1235" t="s">
        <v>31</v>
      </c>
      <c r="J1235" t="s">
        <v>79</v>
      </c>
      <c r="K1235" t="s">
        <v>1277</v>
      </c>
      <c r="L1235" s="2">
        <v>45809</v>
      </c>
      <c r="M1235" t="s">
        <v>79</v>
      </c>
      <c r="N1235">
        <v>0</v>
      </c>
      <c r="O1235" t="s">
        <v>31</v>
      </c>
      <c r="P1235" t="s">
        <v>34</v>
      </c>
      <c r="Q1235">
        <v>0</v>
      </c>
    </row>
    <row r="1236" spans="1:17" x14ac:dyDescent="0.3">
      <c r="A1236" t="s">
        <v>17</v>
      </c>
      <c r="B1236">
        <v>68</v>
      </c>
      <c r="C1236" t="s">
        <v>34</v>
      </c>
      <c r="D1236" s="2">
        <v>45838</v>
      </c>
      <c r="E1236" s="3">
        <f t="shared" si="19"/>
        <v>45809</v>
      </c>
      <c r="F1236" t="s">
        <v>1278</v>
      </c>
      <c r="G1236" t="s">
        <v>73</v>
      </c>
      <c r="H1236" s="4">
        <v>256.8</v>
      </c>
      <c r="I1236" t="s">
        <v>31</v>
      </c>
      <c r="J1236" t="s">
        <v>79</v>
      </c>
      <c r="K1236" t="s">
        <v>1279</v>
      </c>
      <c r="L1236" s="2">
        <v>45809</v>
      </c>
      <c r="M1236" t="s">
        <v>79</v>
      </c>
      <c r="N1236">
        <v>0</v>
      </c>
      <c r="O1236" t="s">
        <v>31</v>
      </c>
      <c r="P1236" t="s">
        <v>34</v>
      </c>
      <c r="Q1236">
        <v>0</v>
      </c>
    </row>
    <row r="1237" spans="1:17" x14ac:dyDescent="0.3">
      <c r="A1237" t="s">
        <v>17</v>
      </c>
      <c r="B1237">
        <v>67</v>
      </c>
      <c r="C1237" t="s">
        <v>28</v>
      </c>
      <c r="D1237" s="2">
        <v>45838</v>
      </c>
      <c r="E1237" s="3">
        <f t="shared" si="19"/>
        <v>45809</v>
      </c>
      <c r="F1237" t="s">
        <v>1280</v>
      </c>
      <c r="G1237" t="s">
        <v>1281</v>
      </c>
      <c r="H1237" s="4">
        <v>12164.55</v>
      </c>
      <c r="I1237" t="s">
        <v>21</v>
      </c>
      <c r="J1237" t="s">
        <v>399</v>
      </c>
      <c r="K1237" t="s">
        <v>1282</v>
      </c>
      <c r="L1237" s="2">
        <v>45809</v>
      </c>
      <c r="M1237" t="s">
        <v>401</v>
      </c>
      <c r="N1237" t="s">
        <v>25</v>
      </c>
      <c r="O1237" t="s">
        <v>81</v>
      </c>
      <c r="P1237" t="s">
        <v>28</v>
      </c>
      <c r="Q1237">
        <v>0</v>
      </c>
    </row>
    <row r="1238" spans="1:17" x14ac:dyDescent="0.3">
      <c r="A1238" t="s">
        <v>17</v>
      </c>
      <c r="B1238">
        <v>67</v>
      </c>
      <c r="C1238" t="s">
        <v>28</v>
      </c>
      <c r="D1238" s="2">
        <v>45838</v>
      </c>
      <c r="E1238" s="3">
        <f t="shared" si="19"/>
        <v>45809</v>
      </c>
      <c r="F1238">
        <v>1099504</v>
      </c>
      <c r="G1238" t="s">
        <v>283</v>
      </c>
      <c r="H1238" s="4">
        <v>134.25</v>
      </c>
      <c r="I1238" t="s">
        <v>31</v>
      </c>
      <c r="J1238" t="s">
        <v>48</v>
      </c>
      <c r="K1238" t="s">
        <v>1283</v>
      </c>
      <c r="L1238" s="2">
        <v>45809</v>
      </c>
      <c r="M1238" t="s">
        <v>50</v>
      </c>
      <c r="N1238">
        <v>0</v>
      </c>
      <c r="O1238" t="s">
        <v>31</v>
      </c>
      <c r="P1238" t="s">
        <v>28</v>
      </c>
      <c r="Q1238">
        <v>0</v>
      </c>
    </row>
    <row r="1239" spans="1:17" x14ac:dyDescent="0.3">
      <c r="A1239" t="s">
        <v>17</v>
      </c>
      <c r="B1239">
        <v>67</v>
      </c>
      <c r="C1239" t="s">
        <v>28</v>
      </c>
      <c r="D1239" s="2">
        <v>45838</v>
      </c>
      <c r="E1239" s="3">
        <f t="shared" si="19"/>
        <v>45809</v>
      </c>
      <c r="F1239">
        <v>1099504</v>
      </c>
      <c r="G1239" t="s">
        <v>283</v>
      </c>
      <c r="H1239" s="4">
        <v>13.75</v>
      </c>
      <c r="I1239" t="s">
        <v>31</v>
      </c>
      <c r="J1239" t="s">
        <v>48</v>
      </c>
      <c r="K1239" t="s">
        <v>1284</v>
      </c>
      <c r="L1239" s="2">
        <v>45809</v>
      </c>
      <c r="M1239" t="s">
        <v>50</v>
      </c>
      <c r="N1239">
        <v>0</v>
      </c>
      <c r="O1239" t="s">
        <v>31</v>
      </c>
      <c r="P1239" t="s">
        <v>28</v>
      </c>
      <c r="Q1239">
        <v>0</v>
      </c>
    </row>
    <row r="1240" spans="1:17" x14ac:dyDescent="0.3">
      <c r="A1240" t="s">
        <v>17</v>
      </c>
      <c r="B1240">
        <v>67</v>
      </c>
      <c r="C1240" t="s">
        <v>28</v>
      </c>
      <c r="D1240" s="2">
        <v>45838</v>
      </c>
      <c r="E1240" s="3">
        <f t="shared" si="19"/>
        <v>45809</v>
      </c>
      <c r="F1240">
        <v>1099504</v>
      </c>
      <c r="G1240" t="s">
        <v>283</v>
      </c>
      <c r="H1240" s="4">
        <v>27</v>
      </c>
      <c r="I1240" t="s">
        <v>31</v>
      </c>
      <c r="J1240" t="s">
        <v>48</v>
      </c>
      <c r="K1240" t="s">
        <v>1285</v>
      </c>
      <c r="L1240" s="2">
        <v>45809</v>
      </c>
      <c r="M1240" t="s">
        <v>50</v>
      </c>
      <c r="N1240">
        <v>0</v>
      </c>
      <c r="O1240" t="s">
        <v>31</v>
      </c>
      <c r="P1240" t="s">
        <v>28</v>
      </c>
      <c r="Q1240">
        <v>0</v>
      </c>
    </row>
    <row r="1241" spans="1:17" x14ac:dyDescent="0.3">
      <c r="A1241" t="s">
        <v>17</v>
      </c>
      <c r="B1241">
        <v>68</v>
      </c>
      <c r="C1241" t="s">
        <v>34</v>
      </c>
      <c r="D1241" s="2">
        <v>45838</v>
      </c>
      <c r="E1241" s="3">
        <f t="shared" si="19"/>
        <v>45809</v>
      </c>
      <c r="F1241" t="s">
        <v>1286</v>
      </c>
      <c r="G1241" t="s">
        <v>122</v>
      </c>
      <c r="H1241" s="4">
        <v>465.65</v>
      </c>
      <c r="I1241" t="s">
        <v>108</v>
      </c>
      <c r="J1241" t="s">
        <v>109</v>
      </c>
      <c r="K1241" t="s">
        <v>1287</v>
      </c>
      <c r="L1241" s="2">
        <v>45809</v>
      </c>
      <c r="M1241" t="s">
        <v>109</v>
      </c>
      <c r="N1241">
        <v>0</v>
      </c>
      <c r="O1241" t="s">
        <v>111</v>
      </c>
      <c r="P1241" t="s">
        <v>112</v>
      </c>
      <c r="Q1241" t="s">
        <v>113</v>
      </c>
    </row>
    <row r="1242" spans="1:17" x14ac:dyDescent="0.3">
      <c r="A1242" t="s">
        <v>17</v>
      </c>
      <c r="B1242">
        <v>68</v>
      </c>
      <c r="C1242" t="s">
        <v>34</v>
      </c>
      <c r="D1242" s="2">
        <v>45838</v>
      </c>
      <c r="E1242" s="3">
        <f t="shared" si="19"/>
        <v>45809</v>
      </c>
      <c r="F1242" t="s">
        <v>1286</v>
      </c>
      <c r="G1242" t="s">
        <v>122</v>
      </c>
      <c r="H1242" s="4">
        <v>94.22</v>
      </c>
      <c r="I1242" t="s">
        <v>108</v>
      </c>
      <c r="J1242" t="s">
        <v>109</v>
      </c>
      <c r="K1242" t="s">
        <v>1288</v>
      </c>
      <c r="L1242" s="2">
        <v>45809</v>
      </c>
      <c r="M1242" t="s">
        <v>109</v>
      </c>
      <c r="N1242">
        <v>0</v>
      </c>
      <c r="O1242" t="s">
        <v>111</v>
      </c>
      <c r="P1242" t="s">
        <v>112</v>
      </c>
      <c r="Q1242" t="s">
        <v>113</v>
      </c>
    </row>
    <row r="1243" spans="1:17" x14ac:dyDescent="0.3">
      <c r="A1243" t="s">
        <v>17</v>
      </c>
      <c r="B1243">
        <v>68</v>
      </c>
      <c r="C1243" t="s">
        <v>34</v>
      </c>
      <c r="D1243" s="2">
        <v>45838</v>
      </c>
      <c r="E1243" s="3">
        <f t="shared" si="19"/>
        <v>45809</v>
      </c>
      <c r="G1243" t="s">
        <v>266</v>
      </c>
      <c r="H1243" s="4">
        <v>-17.559999999999999</v>
      </c>
      <c r="I1243" t="s">
        <v>492</v>
      </c>
      <c r="J1243" t="s">
        <v>79</v>
      </c>
      <c r="K1243" t="s">
        <v>1289</v>
      </c>
      <c r="L1243" s="2">
        <v>45809</v>
      </c>
      <c r="M1243" t="s">
        <v>79</v>
      </c>
      <c r="N1243">
        <v>0</v>
      </c>
      <c r="O1243" t="s">
        <v>494</v>
      </c>
      <c r="P1243" t="s">
        <v>34</v>
      </c>
      <c r="Q1243">
        <v>0</v>
      </c>
    </row>
    <row r="1244" spans="1:17" x14ac:dyDescent="0.3">
      <c r="A1244" t="s">
        <v>17</v>
      </c>
      <c r="B1244">
        <v>68</v>
      </c>
      <c r="C1244" t="s">
        <v>34</v>
      </c>
      <c r="D1244" s="2">
        <v>45838</v>
      </c>
      <c r="E1244" s="3">
        <f t="shared" si="19"/>
        <v>45809</v>
      </c>
      <c r="G1244" t="s">
        <v>266</v>
      </c>
      <c r="H1244" s="4">
        <v>-382</v>
      </c>
      <c r="I1244" t="s">
        <v>492</v>
      </c>
      <c r="J1244" t="s">
        <v>79</v>
      </c>
      <c r="K1244" t="s">
        <v>1290</v>
      </c>
      <c r="L1244" s="2">
        <v>45809</v>
      </c>
      <c r="M1244" t="s">
        <v>79</v>
      </c>
      <c r="N1244">
        <v>0</v>
      </c>
      <c r="O1244" t="s">
        <v>494</v>
      </c>
      <c r="P1244" t="s">
        <v>34</v>
      </c>
      <c r="Q1244">
        <v>0</v>
      </c>
    </row>
    <row r="1245" spans="1:17" x14ac:dyDescent="0.3">
      <c r="A1245" t="s">
        <v>17</v>
      </c>
      <c r="B1245">
        <v>68</v>
      </c>
      <c r="C1245" t="s">
        <v>34</v>
      </c>
      <c r="D1245" s="2">
        <v>45838</v>
      </c>
      <c r="E1245" s="3">
        <f t="shared" si="19"/>
        <v>45809</v>
      </c>
      <c r="G1245" t="s">
        <v>266</v>
      </c>
      <c r="H1245" s="4">
        <v>-7.62</v>
      </c>
      <c r="I1245" t="s">
        <v>492</v>
      </c>
      <c r="J1245" t="s">
        <v>79</v>
      </c>
      <c r="K1245" t="s">
        <v>1291</v>
      </c>
      <c r="L1245" s="2">
        <v>45809</v>
      </c>
      <c r="M1245" t="s">
        <v>79</v>
      </c>
      <c r="N1245">
        <v>0</v>
      </c>
      <c r="O1245" t="s">
        <v>494</v>
      </c>
      <c r="P1245" t="s">
        <v>34</v>
      </c>
      <c r="Q1245">
        <v>0</v>
      </c>
    </row>
    <row r="1246" spans="1:17" x14ac:dyDescent="0.3">
      <c r="A1246" t="s">
        <v>17</v>
      </c>
      <c r="B1246">
        <v>68</v>
      </c>
      <c r="C1246" t="s">
        <v>34</v>
      </c>
      <c r="D1246" s="2">
        <v>45838</v>
      </c>
      <c r="E1246" s="3">
        <f t="shared" si="19"/>
        <v>45809</v>
      </c>
      <c r="F1246" t="s">
        <v>1292</v>
      </c>
      <c r="H1246" s="4">
        <v>3212.37</v>
      </c>
      <c r="I1246" t="s">
        <v>21</v>
      </c>
      <c r="J1246" t="s">
        <v>726</v>
      </c>
      <c r="K1246" t="s">
        <v>1293</v>
      </c>
      <c r="L1246" s="2">
        <v>45809</v>
      </c>
      <c r="M1246" t="s">
        <v>726</v>
      </c>
      <c r="N1246" t="s">
        <v>25</v>
      </c>
      <c r="O1246" t="s">
        <v>81</v>
      </c>
      <c r="P1246" t="s">
        <v>34</v>
      </c>
      <c r="Q1246">
        <v>0</v>
      </c>
    </row>
    <row r="1247" spans="1:17" x14ac:dyDescent="0.3">
      <c r="A1247" t="s">
        <v>17</v>
      </c>
      <c r="B1247">
        <v>68</v>
      </c>
      <c r="C1247" t="s">
        <v>34</v>
      </c>
      <c r="D1247" s="2">
        <v>45838</v>
      </c>
      <c r="E1247" s="3">
        <f t="shared" si="19"/>
        <v>45809</v>
      </c>
      <c r="F1247" t="s">
        <v>1292</v>
      </c>
      <c r="H1247" s="4">
        <v>803.09</v>
      </c>
      <c r="I1247" t="s">
        <v>137</v>
      </c>
      <c r="J1247" t="s">
        <v>726</v>
      </c>
      <c r="K1247" t="s">
        <v>1293</v>
      </c>
      <c r="L1247" s="2">
        <v>45809</v>
      </c>
      <c r="M1247" t="s">
        <v>726</v>
      </c>
      <c r="N1247" t="s">
        <v>141</v>
      </c>
      <c r="O1247" t="s">
        <v>141</v>
      </c>
      <c r="P1247" t="s">
        <v>34</v>
      </c>
      <c r="Q1247">
        <v>0</v>
      </c>
    </row>
    <row r="1248" spans="1:17" x14ac:dyDescent="0.3">
      <c r="A1248" t="s">
        <v>17</v>
      </c>
      <c r="B1248">
        <v>65</v>
      </c>
      <c r="C1248" t="s">
        <v>54</v>
      </c>
      <c r="D1248" s="2">
        <v>45838</v>
      </c>
      <c r="E1248" s="3">
        <f t="shared" si="19"/>
        <v>45809</v>
      </c>
      <c r="F1248" t="s">
        <v>1294</v>
      </c>
      <c r="H1248" s="4">
        <v>585.49</v>
      </c>
      <c r="I1248" t="s">
        <v>31</v>
      </c>
      <c r="J1248" t="s">
        <v>296</v>
      </c>
      <c r="L1248" s="2">
        <v>45809</v>
      </c>
      <c r="M1248" t="s">
        <v>296</v>
      </c>
      <c r="N1248">
        <v>0</v>
      </c>
      <c r="O1248" t="s">
        <v>31</v>
      </c>
      <c r="P1248" t="s">
        <v>54</v>
      </c>
      <c r="Q1248">
        <v>0</v>
      </c>
    </row>
    <row r="1249" spans="1:17" x14ac:dyDescent="0.3">
      <c r="A1249" t="s">
        <v>17</v>
      </c>
      <c r="B1249">
        <v>65</v>
      </c>
      <c r="C1249" t="s">
        <v>54</v>
      </c>
      <c r="D1249" s="2">
        <v>45838</v>
      </c>
      <c r="E1249" s="3">
        <f t="shared" si="19"/>
        <v>45809</v>
      </c>
      <c r="F1249" t="s">
        <v>1294</v>
      </c>
      <c r="H1249" s="4">
        <v>23940.66</v>
      </c>
      <c r="I1249" t="s">
        <v>31</v>
      </c>
      <c r="J1249" t="s">
        <v>296</v>
      </c>
      <c r="L1249" s="2">
        <v>45809</v>
      </c>
      <c r="M1249" t="s">
        <v>296</v>
      </c>
      <c r="N1249">
        <v>0</v>
      </c>
      <c r="O1249" t="s">
        <v>31</v>
      </c>
      <c r="P1249" t="s">
        <v>54</v>
      </c>
      <c r="Q1249">
        <v>0</v>
      </c>
    </row>
    <row r="1250" spans="1:17" x14ac:dyDescent="0.3">
      <c r="A1250" t="s">
        <v>17</v>
      </c>
      <c r="B1250">
        <v>69</v>
      </c>
      <c r="C1250" t="s">
        <v>297</v>
      </c>
      <c r="D1250" s="2">
        <v>45838</v>
      </c>
      <c r="E1250" s="3">
        <f t="shared" si="19"/>
        <v>45809</v>
      </c>
      <c r="F1250" t="s">
        <v>1295</v>
      </c>
      <c r="H1250" s="4">
        <v>1954.72</v>
      </c>
      <c r="I1250" t="s">
        <v>31</v>
      </c>
      <c r="J1250" t="s">
        <v>299</v>
      </c>
      <c r="K1250" t="s">
        <v>300</v>
      </c>
      <c r="L1250" s="2">
        <v>45809</v>
      </c>
      <c r="M1250" t="s">
        <v>301</v>
      </c>
      <c r="N1250">
        <v>0</v>
      </c>
      <c r="O1250" t="s">
        <v>31</v>
      </c>
      <c r="P1250" t="s">
        <v>297</v>
      </c>
      <c r="Q1250">
        <v>0</v>
      </c>
    </row>
    <row r="1251" spans="1:17" x14ac:dyDescent="0.3">
      <c r="A1251" t="s">
        <v>17</v>
      </c>
      <c r="B1251">
        <v>67</v>
      </c>
      <c r="C1251" t="s">
        <v>28</v>
      </c>
      <c r="D1251" s="2">
        <v>45838</v>
      </c>
      <c r="E1251" s="3">
        <f t="shared" si="19"/>
        <v>45809</v>
      </c>
      <c r="F1251" t="s">
        <v>1296</v>
      </c>
      <c r="H1251" s="4">
        <v>2582.46</v>
      </c>
      <c r="I1251" t="s">
        <v>31</v>
      </c>
      <c r="J1251" t="s">
        <v>74</v>
      </c>
      <c r="K1251" t="s">
        <v>1100</v>
      </c>
      <c r="L1251" s="2">
        <v>45809</v>
      </c>
      <c r="M1251" t="s">
        <v>76</v>
      </c>
      <c r="N1251">
        <v>0</v>
      </c>
      <c r="O1251" t="s">
        <v>31</v>
      </c>
      <c r="P1251" t="s">
        <v>28</v>
      </c>
      <c r="Q1251">
        <v>0</v>
      </c>
    </row>
    <row r="1252" spans="1:17" x14ac:dyDescent="0.3">
      <c r="A1252" t="s">
        <v>17</v>
      </c>
      <c r="B1252">
        <v>67</v>
      </c>
      <c r="C1252" t="s">
        <v>28</v>
      </c>
      <c r="D1252" s="2">
        <v>45838</v>
      </c>
      <c r="E1252" s="3">
        <f t="shared" si="19"/>
        <v>45809</v>
      </c>
      <c r="F1252" t="s">
        <v>1297</v>
      </c>
      <c r="H1252" s="4">
        <v>3179.22</v>
      </c>
      <c r="I1252" t="s">
        <v>31</v>
      </c>
      <c r="J1252" t="s">
        <v>74</v>
      </c>
      <c r="K1252" t="s">
        <v>1098</v>
      </c>
      <c r="L1252" s="2">
        <v>45809</v>
      </c>
      <c r="M1252" t="s">
        <v>76</v>
      </c>
      <c r="N1252">
        <v>0</v>
      </c>
      <c r="O1252" t="s">
        <v>31</v>
      </c>
      <c r="P1252" t="s">
        <v>28</v>
      </c>
      <c r="Q1252">
        <v>0</v>
      </c>
    </row>
    <row r="1253" spans="1:17" x14ac:dyDescent="0.3">
      <c r="A1253" t="s">
        <v>17</v>
      </c>
      <c r="B1253">
        <v>67</v>
      </c>
      <c r="C1253" t="s">
        <v>28</v>
      </c>
      <c r="D1253" s="2">
        <v>45838</v>
      </c>
      <c r="E1253" s="3">
        <f t="shared" si="19"/>
        <v>45809</v>
      </c>
      <c r="F1253" t="s">
        <v>1298</v>
      </c>
      <c r="H1253" s="4">
        <v>431.4</v>
      </c>
      <c r="I1253" t="s">
        <v>31</v>
      </c>
      <c r="J1253" t="s">
        <v>74</v>
      </c>
      <c r="K1253" t="s">
        <v>541</v>
      </c>
      <c r="L1253" s="2">
        <v>45809</v>
      </c>
      <c r="M1253" t="s">
        <v>76</v>
      </c>
      <c r="N1253">
        <v>0</v>
      </c>
      <c r="O1253" t="s">
        <v>31</v>
      </c>
      <c r="P1253" t="s">
        <v>28</v>
      </c>
      <c r="Q1253">
        <v>0</v>
      </c>
    </row>
    <row r="1254" spans="1:17" x14ac:dyDescent="0.3">
      <c r="A1254" t="s">
        <v>17</v>
      </c>
      <c r="B1254">
        <v>67</v>
      </c>
      <c r="C1254" t="s">
        <v>28</v>
      </c>
      <c r="D1254" s="2">
        <v>45838</v>
      </c>
      <c r="E1254" s="3">
        <f t="shared" si="19"/>
        <v>45809</v>
      </c>
      <c r="F1254" t="s">
        <v>1299</v>
      </c>
      <c r="H1254" s="4">
        <v>226.82</v>
      </c>
      <c r="I1254" t="s">
        <v>31</v>
      </c>
      <c r="J1254" t="s">
        <v>74</v>
      </c>
      <c r="K1254" t="s">
        <v>355</v>
      </c>
      <c r="L1254" s="2">
        <v>45809</v>
      </c>
      <c r="M1254" t="s">
        <v>76</v>
      </c>
      <c r="N1254">
        <v>0</v>
      </c>
      <c r="O1254" t="s">
        <v>31</v>
      </c>
      <c r="P1254" t="s">
        <v>28</v>
      </c>
      <c r="Q1254">
        <v>0</v>
      </c>
    </row>
    <row r="1255" spans="1:17" x14ac:dyDescent="0.3">
      <c r="A1255" t="s">
        <v>17</v>
      </c>
      <c r="B1255">
        <v>67</v>
      </c>
      <c r="C1255" t="s">
        <v>28</v>
      </c>
      <c r="D1255" s="2">
        <v>45838</v>
      </c>
      <c r="E1255" s="3">
        <f t="shared" si="19"/>
        <v>45809</v>
      </c>
      <c r="F1255" t="s">
        <v>1300</v>
      </c>
      <c r="H1255" s="4">
        <v>9.99</v>
      </c>
      <c r="I1255" t="s">
        <v>31</v>
      </c>
      <c r="J1255" t="s">
        <v>74</v>
      </c>
      <c r="K1255" t="s">
        <v>315</v>
      </c>
      <c r="L1255" s="2">
        <v>45809</v>
      </c>
      <c r="M1255" t="s">
        <v>76</v>
      </c>
      <c r="N1255">
        <v>0</v>
      </c>
      <c r="O1255" t="s">
        <v>31</v>
      </c>
      <c r="P1255" t="s">
        <v>28</v>
      </c>
      <c r="Q1255">
        <v>0</v>
      </c>
    </row>
    <row r="1256" spans="1:17" x14ac:dyDescent="0.3">
      <c r="A1256" t="s">
        <v>17</v>
      </c>
      <c r="B1256">
        <v>67</v>
      </c>
      <c r="C1256" t="s">
        <v>28</v>
      </c>
      <c r="D1256" s="2">
        <v>45838</v>
      </c>
      <c r="E1256" s="3">
        <f t="shared" si="19"/>
        <v>45809</v>
      </c>
      <c r="F1256" t="s">
        <v>1301</v>
      </c>
      <c r="H1256" s="4">
        <v>2268.23</v>
      </c>
      <c r="I1256" t="s">
        <v>47</v>
      </c>
      <c r="J1256" t="s">
        <v>74</v>
      </c>
      <c r="K1256" t="s">
        <v>1108</v>
      </c>
      <c r="L1256" s="2">
        <v>45809</v>
      </c>
      <c r="M1256" t="s">
        <v>76</v>
      </c>
      <c r="N1256">
        <v>0</v>
      </c>
      <c r="O1256" t="s">
        <v>26</v>
      </c>
      <c r="P1256" t="s">
        <v>28</v>
      </c>
      <c r="Q1256">
        <v>0</v>
      </c>
    </row>
    <row r="1257" spans="1:17" x14ac:dyDescent="0.3">
      <c r="A1257" t="s">
        <v>17</v>
      </c>
      <c r="B1257">
        <v>67</v>
      </c>
      <c r="C1257" t="s">
        <v>28</v>
      </c>
      <c r="D1257" s="2">
        <v>45838</v>
      </c>
      <c r="E1257" s="3">
        <f t="shared" si="19"/>
        <v>45809</v>
      </c>
      <c r="F1257" t="s">
        <v>1302</v>
      </c>
      <c r="H1257" s="4">
        <v>4100</v>
      </c>
      <c r="I1257" t="s">
        <v>31</v>
      </c>
      <c r="J1257" t="s">
        <v>74</v>
      </c>
      <c r="K1257" t="s">
        <v>1303</v>
      </c>
      <c r="L1257" s="2">
        <v>45809</v>
      </c>
      <c r="M1257" t="s">
        <v>76</v>
      </c>
      <c r="N1257">
        <v>0</v>
      </c>
      <c r="O1257" t="s">
        <v>31</v>
      </c>
      <c r="P1257" t="s">
        <v>28</v>
      </c>
      <c r="Q1257">
        <v>0</v>
      </c>
    </row>
    <row r="1258" spans="1:17" x14ac:dyDescent="0.3">
      <c r="A1258" t="s">
        <v>17</v>
      </c>
      <c r="B1258">
        <v>68</v>
      </c>
      <c r="C1258" t="s">
        <v>34</v>
      </c>
      <c r="D1258" s="2">
        <v>45838</v>
      </c>
      <c r="E1258" s="3">
        <f t="shared" si="19"/>
        <v>45809</v>
      </c>
      <c r="F1258" t="s">
        <v>1304</v>
      </c>
      <c r="H1258" s="4">
        <v>331.44</v>
      </c>
      <c r="I1258" t="s">
        <v>31</v>
      </c>
      <c r="J1258" t="s">
        <v>79</v>
      </c>
      <c r="K1258" t="s">
        <v>1305</v>
      </c>
      <c r="L1258" s="2">
        <v>45809</v>
      </c>
      <c r="M1258" t="s">
        <v>79</v>
      </c>
      <c r="N1258">
        <v>0</v>
      </c>
      <c r="O1258" t="s">
        <v>31</v>
      </c>
      <c r="P1258" t="s">
        <v>34</v>
      </c>
      <c r="Q1258">
        <v>0</v>
      </c>
    </row>
    <row r="1259" spans="1:17" x14ac:dyDescent="0.3">
      <c r="A1259" t="s">
        <v>17</v>
      </c>
      <c r="B1259">
        <v>68</v>
      </c>
      <c r="C1259" t="s">
        <v>34</v>
      </c>
      <c r="D1259" s="2">
        <v>45838</v>
      </c>
      <c r="E1259" s="3">
        <f t="shared" si="19"/>
        <v>45809</v>
      </c>
      <c r="F1259" t="s">
        <v>1306</v>
      </c>
      <c r="H1259" s="4">
        <v>72.7</v>
      </c>
      <c r="I1259" t="s">
        <v>21</v>
      </c>
      <c r="J1259" t="s">
        <v>79</v>
      </c>
      <c r="K1259" t="s">
        <v>320</v>
      </c>
      <c r="L1259" s="2">
        <v>45809</v>
      </c>
      <c r="M1259" t="s">
        <v>79</v>
      </c>
      <c r="N1259" t="s">
        <v>25</v>
      </c>
      <c r="O1259" t="s">
        <v>81</v>
      </c>
      <c r="P1259" t="s">
        <v>34</v>
      </c>
      <c r="Q1259">
        <v>0</v>
      </c>
    </row>
    <row r="1260" spans="1:17" x14ac:dyDescent="0.3">
      <c r="A1260" t="s">
        <v>17</v>
      </c>
      <c r="B1260">
        <v>63</v>
      </c>
      <c r="C1260" t="s">
        <v>18</v>
      </c>
      <c r="D1260" s="2">
        <v>45838</v>
      </c>
      <c r="E1260" s="3">
        <f t="shared" si="19"/>
        <v>45809</v>
      </c>
      <c r="F1260" t="s">
        <v>1307</v>
      </c>
      <c r="H1260" s="4">
        <v>40291.67</v>
      </c>
      <c r="I1260" t="s">
        <v>47</v>
      </c>
      <c r="J1260" t="s">
        <v>272</v>
      </c>
      <c r="K1260" t="s">
        <v>755</v>
      </c>
      <c r="L1260" s="2">
        <v>45809</v>
      </c>
      <c r="M1260" t="s">
        <v>272</v>
      </c>
      <c r="N1260">
        <v>0</v>
      </c>
      <c r="O1260" t="s">
        <v>26</v>
      </c>
      <c r="P1260" t="s">
        <v>18</v>
      </c>
      <c r="Q1260" t="s">
        <v>274</v>
      </c>
    </row>
    <row r="1261" spans="1:17" x14ac:dyDescent="0.3">
      <c r="A1261" t="s">
        <v>17</v>
      </c>
      <c r="B1261">
        <v>63</v>
      </c>
      <c r="C1261" t="s">
        <v>18</v>
      </c>
      <c r="D1261" s="2">
        <v>45838</v>
      </c>
      <c r="E1261" s="3">
        <f t="shared" si="19"/>
        <v>45809</v>
      </c>
      <c r="F1261" t="s">
        <v>1308</v>
      </c>
      <c r="H1261" s="4">
        <v>3769.18</v>
      </c>
      <c r="I1261" t="s">
        <v>47</v>
      </c>
      <c r="J1261" t="s">
        <v>326</v>
      </c>
      <c r="K1261" t="s">
        <v>1309</v>
      </c>
      <c r="L1261" s="2">
        <v>45809</v>
      </c>
      <c r="M1261" t="s">
        <v>328</v>
      </c>
      <c r="N1261">
        <v>0</v>
      </c>
      <c r="O1261" t="s">
        <v>26</v>
      </c>
      <c r="P1261" t="s">
        <v>18</v>
      </c>
      <c r="Q1261" t="s">
        <v>329</v>
      </c>
    </row>
    <row r="1262" spans="1:17" x14ac:dyDescent="0.3">
      <c r="A1262" t="s">
        <v>17</v>
      </c>
      <c r="B1262">
        <v>63</v>
      </c>
      <c r="C1262" t="s">
        <v>18</v>
      </c>
      <c r="D1262" s="2">
        <v>45838</v>
      </c>
      <c r="E1262" s="3">
        <f t="shared" si="19"/>
        <v>45809</v>
      </c>
      <c r="F1262" t="s">
        <v>1310</v>
      </c>
      <c r="H1262" s="4">
        <v>833.34</v>
      </c>
      <c r="I1262" t="s">
        <v>47</v>
      </c>
      <c r="J1262" t="s">
        <v>331</v>
      </c>
      <c r="K1262" t="s">
        <v>332</v>
      </c>
      <c r="L1262" s="2">
        <v>45809</v>
      </c>
      <c r="M1262" t="s">
        <v>333</v>
      </c>
      <c r="N1262">
        <v>0</v>
      </c>
      <c r="O1262" t="s">
        <v>26</v>
      </c>
      <c r="P1262" t="s">
        <v>18</v>
      </c>
      <c r="Q1262" t="s">
        <v>18</v>
      </c>
    </row>
    <row r="1263" spans="1:17" x14ac:dyDescent="0.3">
      <c r="A1263" t="s">
        <v>17</v>
      </c>
      <c r="B1263">
        <v>63</v>
      </c>
      <c r="C1263" t="s">
        <v>18</v>
      </c>
      <c r="D1263" s="2">
        <v>45838</v>
      </c>
      <c r="E1263" s="3">
        <f t="shared" si="19"/>
        <v>45809</v>
      </c>
      <c r="F1263" t="s">
        <v>1311</v>
      </c>
      <c r="H1263" s="4">
        <v>1666.67</v>
      </c>
      <c r="I1263" t="s">
        <v>47</v>
      </c>
      <c r="J1263" t="s">
        <v>331</v>
      </c>
      <c r="K1263" t="s">
        <v>1116</v>
      </c>
      <c r="L1263" s="2">
        <v>45809</v>
      </c>
      <c r="M1263" t="s">
        <v>333</v>
      </c>
      <c r="N1263">
        <v>0</v>
      </c>
      <c r="O1263" t="s">
        <v>26</v>
      </c>
      <c r="P1263" t="s">
        <v>18</v>
      </c>
      <c r="Q1263" t="s">
        <v>18</v>
      </c>
    </row>
    <row r="1264" spans="1:17" x14ac:dyDescent="0.3">
      <c r="A1264" t="s">
        <v>17</v>
      </c>
      <c r="B1264">
        <v>66</v>
      </c>
      <c r="C1264" t="s">
        <v>134</v>
      </c>
      <c r="D1264" s="2">
        <v>45838</v>
      </c>
      <c r="E1264" s="3">
        <f t="shared" si="19"/>
        <v>45809</v>
      </c>
      <c r="F1264" t="s">
        <v>1312</v>
      </c>
      <c r="H1264" s="4">
        <v>983.95</v>
      </c>
      <c r="I1264" t="s">
        <v>47</v>
      </c>
      <c r="J1264" t="s">
        <v>223</v>
      </c>
      <c r="K1264" t="s">
        <v>1313</v>
      </c>
      <c r="L1264" s="2">
        <v>45809</v>
      </c>
      <c r="M1264" t="s">
        <v>223</v>
      </c>
      <c r="N1264">
        <v>0</v>
      </c>
      <c r="O1264" t="s">
        <v>111</v>
      </c>
      <c r="P1264" t="s">
        <v>134</v>
      </c>
      <c r="Q1264">
        <v>0</v>
      </c>
    </row>
    <row r="1265" spans="1:17" x14ac:dyDescent="0.3">
      <c r="A1265" t="s">
        <v>17</v>
      </c>
      <c r="B1265">
        <v>65</v>
      </c>
      <c r="C1265" t="s">
        <v>54</v>
      </c>
      <c r="D1265" s="2">
        <v>45838</v>
      </c>
      <c r="E1265" s="3">
        <f t="shared" si="19"/>
        <v>45809</v>
      </c>
      <c r="F1265" t="s">
        <v>1294</v>
      </c>
      <c r="H1265" s="4">
        <v>-606</v>
      </c>
      <c r="I1265" t="s">
        <v>31</v>
      </c>
      <c r="J1265" t="s">
        <v>155</v>
      </c>
      <c r="L1265" s="2">
        <v>45809</v>
      </c>
      <c r="M1265" t="s">
        <v>155</v>
      </c>
      <c r="N1265">
        <v>0</v>
      </c>
      <c r="O1265" t="s">
        <v>31</v>
      </c>
      <c r="P1265" t="s">
        <v>54</v>
      </c>
      <c r="Q1265">
        <v>0</v>
      </c>
    </row>
    <row r="1266" spans="1:17" x14ac:dyDescent="0.3">
      <c r="A1266" t="s">
        <v>17</v>
      </c>
      <c r="B1266">
        <v>67</v>
      </c>
      <c r="C1266" t="s">
        <v>28</v>
      </c>
      <c r="D1266" s="2">
        <v>45838</v>
      </c>
      <c r="E1266" s="3">
        <f t="shared" si="19"/>
        <v>45809</v>
      </c>
      <c r="F1266" t="s">
        <v>1314</v>
      </c>
      <c r="H1266" s="4">
        <v>428.3</v>
      </c>
      <c r="I1266" t="s">
        <v>31</v>
      </c>
      <c r="J1266" t="s">
        <v>60</v>
      </c>
      <c r="K1266" t="s">
        <v>1123</v>
      </c>
      <c r="L1266" s="2">
        <v>45809</v>
      </c>
      <c r="M1266" t="s">
        <v>60</v>
      </c>
      <c r="N1266">
        <v>0</v>
      </c>
      <c r="O1266" t="s">
        <v>31</v>
      </c>
      <c r="P1266" t="s">
        <v>28</v>
      </c>
      <c r="Q1266">
        <v>0</v>
      </c>
    </row>
    <row r="1267" spans="1:17" x14ac:dyDescent="0.3">
      <c r="A1267" t="s">
        <v>17</v>
      </c>
      <c r="B1267">
        <v>67</v>
      </c>
      <c r="C1267" t="s">
        <v>28</v>
      </c>
      <c r="D1267" s="2">
        <v>45838</v>
      </c>
      <c r="E1267" s="3">
        <f t="shared" si="19"/>
        <v>45809</v>
      </c>
      <c r="F1267" t="s">
        <v>1315</v>
      </c>
      <c r="H1267" s="4">
        <v>1062.5</v>
      </c>
      <c r="I1267" t="s">
        <v>31</v>
      </c>
      <c r="J1267" t="s">
        <v>60</v>
      </c>
      <c r="K1267" t="s">
        <v>339</v>
      </c>
      <c r="L1267" s="2">
        <v>45809</v>
      </c>
      <c r="M1267" t="s">
        <v>60</v>
      </c>
      <c r="N1267">
        <v>0</v>
      </c>
      <c r="O1267" t="s">
        <v>31</v>
      </c>
      <c r="P1267" t="s">
        <v>28</v>
      </c>
      <c r="Q1267">
        <v>0</v>
      </c>
    </row>
    <row r="1268" spans="1:17" x14ac:dyDescent="0.3">
      <c r="A1268" t="s">
        <v>17</v>
      </c>
      <c r="B1268">
        <v>67</v>
      </c>
      <c r="C1268" t="s">
        <v>28</v>
      </c>
      <c r="D1268" s="2">
        <v>45838</v>
      </c>
      <c r="E1268" s="3">
        <f t="shared" si="19"/>
        <v>45809</v>
      </c>
      <c r="F1268" t="s">
        <v>1316</v>
      </c>
      <c r="H1268" s="4">
        <v>349.9</v>
      </c>
      <c r="I1268" t="s">
        <v>31</v>
      </c>
      <c r="J1268" t="s">
        <v>60</v>
      </c>
      <c r="K1268" t="s">
        <v>342</v>
      </c>
      <c r="L1268" s="2">
        <v>45809</v>
      </c>
      <c r="M1268" t="s">
        <v>60</v>
      </c>
      <c r="N1268">
        <v>0</v>
      </c>
      <c r="O1268" t="s">
        <v>31</v>
      </c>
      <c r="P1268" t="s">
        <v>28</v>
      </c>
      <c r="Q1268">
        <v>0</v>
      </c>
    </row>
    <row r="1269" spans="1:17" x14ac:dyDescent="0.3">
      <c r="A1269" t="s">
        <v>17</v>
      </c>
      <c r="B1269">
        <v>67</v>
      </c>
      <c r="C1269" t="s">
        <v>28</v>
      </c>
      <c r="D1269" s="2">
        <v>45838</v>
      </c>
      <c r="E1269" s="3">
        <f t="shared" si="19"/>
        <v>45809</v>
      </c>
      <c r="F1269" t="s">
        <v>1317</v>
      </c>
      <c r="H1269" s="4">
        <v>-37.42</v>
      </c>
      <c r="I1269" t="s">
        <v>31</v>
      </c>
      <c r="J1269" t="s">
        <v>60</v>
      </c>
      <c r="L1269" s="2">
        <v>45809</v>
      </c>
      <c r="M1269" t="s">
        <v>60</v>
      </c>
      <c r="N1269">
        <v>0</v>
      </c>
      <c r="O1269" t="s">
        <v>31</v>
      </c>
      <c r="P1269" t="s">
        <v>28</v>
      </c>
      <c r="Q1269">
        <v>0</v>
      </c>
    </row>
    <row r="1270" spans="1:17" x14ac:dyDescent="0.3">
      <c r="A1270" t="s">
        <v>17</v>
      </c>
      <c r="B1270">
        <v>67</v>
      </c>
      <c r="C1270" t="s">
        <v>28</v>
      </c>
      <c r="D1270" s="2">
        <v>45838</v>
      </c>
      <c r="E1270" s="3">
        <f t="shared" si="19"/>
        <v>45809</v>
      </c>
      <c r="F1270" t="s">
        <v>1317</v>
      </c>
      <c r="H1270" s="4">
        <v>-7.43</v>
      </c>
      <c r="I1270" t="s">
        <v>31</v>
      </c>
      <c r="J1270" t="s">
        <v>60</v>
      </c>
      <c r="L1270" s="2">
        <v>45809</v>
      </c>
      <c r="M1270" t="s">
        <v>60</v>
      </c>
      <c r="N1270">
        <v>0</v>
      </c>
      <c r="O1270" t="s">
        <v>31</v>
      </c>
      <c r="P1270" t="s">
        <v>28</v>
      </c>
      <c r="Q1270">
        <v>0</v>
      </c>
    </row>
    <row r="1271" spans="1:17" x14ac:dyDescent="0.3">
      <c r="A1271" t="s">
        <v>17</v>
      </c>
      <c r="B1271">
        <v>67</v>
      </c>
      <c r="C1271" t="s">
        <v>28</v>
      </c>
      <c r="D1271" s="2">
        <v>45838</v>
      </c>
      <c r="E1271" s="3">
        <f t="shared" si="19"/>
        <v>45809</v>
      </c>
      <c r="F1271" t="s">
        <v>1317</v>
      </c>
      <c r="H1271" s="4">
        <v>-0.72</v>
      </c>
      <c r="I1271" t="s">
        <v>31</v>
      </c>
      <c r="J1271" t="s">
        <v>60</v>
      </c>
      <c r="L1271" s="2">
        <v>45809</v>
      </c>
      <c r="M1271" t="s">
        <v>60</v>
      </c>
      <c r="N1271">
        <v>0</v>
      </c>
      <c r="O1271" t="s">
        <v>31</v>
      </c>
      <c r="P1271" t="s">
        <v>28</v>
      </c>
      <c r="Q1271">
        <v>0</v>
      </c>
    </row>
    <row r="1272" spans="1:17" x14ac:dyDescent="0.3">
      <c r="A1272" t="s">
        <v>17</v>
      </c>
      <c r="B1272">
        <v>67</v>
      </c>
      <c r="C1272" t="s">
        <v>28</v>
      </c>
      <c r="D1272" s="2">
        <v>45838</v>
      </c>
      <c r="E1272" s="3">
        <f t="shared" si="19"/>
        <v>45809</v>
      </c>
      <c r="F1272" t="s">
        <v>1317</v>
      </c>
      <c r="H1272" s="4">
        <v>-51.08</v>
      </c>
      <c r="I1272" t="s">
        <v>31</v>
      </c>
      <c r="J1272" t="s">
        <v>60</v>
      </c>
      <c r="L1272" s="2">
        <v>45809</v>
      </c>
      <c r="M1272" t="s">
        <v>60</v>
      </c>
      <c r="N1272">
        <v>0</v>
      </c>
      <c r="O1272" t="s">
        <v>31</v>
      </c>
      <c r="P1272" t="s">
        <v>28</v>
      </c>
      <c r="Q1272">
        <v>0</v>
      </c>
    </row>
    <row r="1273" spans="1:17" x14ac:dyDescent="0.3">
      <c r="A1273" t="s">
        <v>17</v>
      </c>
      <c r="B1273">
        <v>67</v>
      </c>
      <c r="C1273" t="s">
        <v>28</v>
      </c>
      <c r="D1273" s="2">
        <v>45838</v>
      </c>
      <c r="E1273" s="3">
        <f t="shared" si="19"/>
        <v>45809</v>
      </c>
      <c r="F1273" t="s">
        <v>1317</v>
      </c>
      <c r="H1273" s="4">
        <v>-44.29</v>
      </c>
      <c r="I1273" t="s">
        <v>31</v>
      </c>
      <c r="J1273" t="s">
        <v>60</v>
      </c>
      <c r="L1273" s="2">
        <v>45809</v>
      </c>
      <c r="M1273" t="s">
        <v>60</v>
      </c>
      <c r="N1273">
        <v>0</v>
      </c>
      <c r="O1273" t="s">
        <v>31</v>
      </c>
      <c r="P1273" t="s">
        <v>28</v>
      </c>
      <c r="Q1273">
        <v>0</v>
      </c>
    </row>
    <row r="1274" spans="1:17" x14ac:dyDescent="0.3">
      <c r="A1274" t="s">
        <v>17</v>
      </c>
      <c r="B1274">
        <v>67</v>
      </c>
      <c r="C1274" t="s">
        <v>28</v>
      </c>
      <c r="D1274" s="2">
        <v>45838</v>
      </c>
      <c r="E1274" s="3">
        <f t="shared" si="19"/>
        <v>45809</v>
      </c>
      <c r="F1274" t="s">
        <v>1317</v>
      </c>
      <c r="H1274" s="4">
        <v>-32.03</v>
      </c>
      <c r="I1274" t="s">
        <v>31</v>
      </c>
      <c r="J1274" t="s">
        <v>60</v>
      </c>
      <c r="L1274" s="2">
        <v>45809</v>
      </c>
      <c r="M1274" t="s">
        <v>60</v>
      </c>
      <c r="N1274">
        <v>0</v>
      </c>
      <c r="O1274" t="s">
        <v>31</v>
      </c>
      <c r="P1274" t="s">
        <v>28</v>
      </c>
      <c r="Q1274">
        <v>0</v>
      </c>
    </row>
    <row r="1275" spans="1:17" x14ac:dyDescent="0.3">
      <c r="A1275" t="s">
        <v>17</v>
      </c>
      <c r="B1275">
        <v>67</v>
      </c>
      <c r="C1275" t="s">
        <v>28</v>
      </c>
      <c r="D1275" s="2">
        <v>45838</v>
      </c>
      <c r="E1275" s="3">
        <f t="shared" si="19"/>
        <v>45809</v>
      </c>
      <c r="F1275" t="s">
        <v>1317</v>
      </c>
      <c r="H1275" s="4">
        <v>-22.52</v>
      </c>
      <c r="I1275" t="s">
        <v>31</v>
      </c>
      <c r="J1275" t="s">
        <v>60</v>
      </c>
      <c r="L1275" s="2">
        <v>45809</v>
      </c>
      <c r="M1275" t="s">
        <v>60</v>
      </c>
      <c r="N1275">
        <v>0</v>
      </c>
      <c r="O1275" t="s">
        <v>31</v>
      </c>
      <c r="P1275" t="s">
        <v>28</v>
      </c>
      <c r="Q1275">
        <v>0</v>
      </c>
    </row>
    <row r="1276" spans="1:17" x14ac:dyDescent="0.3">
      <c r="A1276" t="s">
        <v>17</v>
      </c>
      <c r="B1276">
        <v>67</v>
      </c>
      <c r="C1276" t="s">
        <v>28</v>
      </c>
      <c r="D1276" s="2">
        <v>45838</v>
      </c>
      <c r="E1276" s="3">
        <f t="shared" si="19"/>
        <v>45809</v>
      </c>
      <c r="F1276" t="s">
        <v>1317</v>
      </c>
      <c r="H1276" s="4">
        <v>-8.51</v>
      </c>
      <c r="I1276" t="s">
        <v>31</v>
      </c>
      <c r="J1276" t="s">
        <v>60</v>
      </c>
      <c r="L1276" s="2">
        <v>45809</v>
      </c>
      <c r="M1276" t="s">
        <v>60</v>
      </c>
      <c r="N1276">
        <v>0</v>
      </c>
      <c r="O1276" t="s">
        <v>31</v>
      </c>
      <c r="P1276" t="s">
        <v>28</v>
      </c>
      <c r="Q1276">
        <v>0</v>
      </c>
    </row>
    <row r="1277" spans="1:17" x14ac:dyDescent="0.3">
      <c r="A1277" t="s">
        <v>17</v>
      </c>
      <c r="B1277">
        <v>68</v>
      </c>
      <c r="C1277" t="s">
        <v>34</v>
      </c>
      <c r="D1277" s="2">
        <v>45838</v>
      </c>
      <c r="E1277" s="3">
        <f t="shared" si="19"/>
        <v>45809</v>
      </c>
      <c r="F1277" t="s">
        <v>1318</v>
      </c>
      <c r="H1277" s="4">
        <v>290.16000000000003</v>
      </c>
      <c r="I1277" t="s">
        <v>31</v>
      </c>
      <c r="J1277" t="s">
        <v>37</v>
      </c>
      <c r="K1277" t="s">
        <v>1319</v>
      </c>
      <c r="L1277" s="2">
        <v>45809</v>
      </c>
      <c r="M1277" t="s">
        <v>37</v>
      </c>
      <c r="N1277">
        <v>0</v>
      </c>
      <c r="O1277" t="s">
        <v>31</v>
      </c>
      <c r="P1277" t="s">
        <v>34</v>
      </c>
      <c r="Q1277">
        <v>0</v>
      </c>
    </row>
    <row r="1278" spans="1:17" x14ac:dyDescent="0.3">
      <c r="A1278" t="s">
        <v>17</v>
      </c>
      <c r="B1278">
        <v>69</v>
      </c>
      <c r="C1278" t="s">
        <v>297</v>
      </c>
      <c r="D1278" s="2">
        <v>45838</v>
      </c>
      <c r="E1278" s="3">
        <f t="shared" si="19"/>
        <v>45809</v>
      </c>
      <c r="F1278" t="s">
        <v>1320</v>
      </c>
      <c r="H1278" s="4">
        <v>66.72</v>
      </c>
      <c r="I1278" t="s">
        <v>159</v>
      </c>
      <c r="J1278" t="s">
        <v>346</v>
      </c>
      <c r="L1278" s="2">
        <v>45809</v>
      </c>
      <c r="M1278" t="s">
        <v>347</v>
      </c>
      <c r="N1278">
        <v>0</v>
      </c>
      <c r="O1278" t="s">
        <v>159</v>
      </c>
      <c r="P1278" t="s">
        <v>297</v>
      </c>
      <c r="Q1278">
        <v>0</v>
      </c>
    </row>
    <row r="1279" spans="1:17" x14ac:dyDescent="0.3">
      <c r="A1279" t="s">
        <v>17</v>
      </c>
      <c r="B1279">
        <v>69</v>
      </c>
      <c r="C1279" t="s">
        <v>297</v>
      </c>
      <c r="D1279" s="2">
        <v>45838</v>
      </c>
      <c r="E1279" s="3">
        <f t="shared" si="19"/>
        <v>45809</v>
      </c>
      <c r="F1279" t="s">
        <v>1320</v>
      </c>
      <c r="H1279" s="4">
        <v>113.67</v>
      </c>
      <c r="I1279" t="s">
        <v>137</v>
      </c>
      <c r="J1279" t="s">
        <v>346</v>
      </c>
      <c r="L1279" s="2">
        <v>45809</v>
      </c>
      <c r="M1279" t="s">
        <v>347</v>
      </c>
      <c r="N1279" t="s">
        <v>141</v>
      </c>
      <c r="O1279" t="s">
        <v>141</v>
      </c>
      <c r="P1279" t="s">
        <v>297</v>
      </c>
      <c r="Q1279">
        <v>0</v>
      </c>
    </row>
    <row r="1280" spans="1:17" x14ac:dyDescent="0.3">
      <c r="A1280" t="s">
        <v>17</v>
      </c>
      <c r="B1280">
        <v>69</v>
      </c>
      <c r="C1280" t="s">
        <v>297</v>
      </c>
      <c r="D1280" s="2">
        <v>45838</v>
      </c>
      <c r="E1280" s="3">
        <f t="shared" si="19"/>
        <v>45809</v>
      </c>
      <c r="F1280" t="s">
        <v>1320</v>
      </c>
      <c r="H1280" s="4">
        <v>228.04</v>
      </c>
      <c r="I1280" t="s">
        <v>21</v>
      </c>
      <c r="J1280" t="s">
        <v>346</v>
      </c>
      <c r="L1280" s="2">
        <v>45809</v>
      </c>
      <c r="M1280" t="s">
        <v>347</v>
      </c>
      <c r="N1280" t="s">
        <v>25</v>
      </c>
      <c r="O1280" t="s">
        <v>81</v>
      </c>
      <c r="P1280" t="s">
        <v>297</v>
      </c>
      <c r="Q1280">
        <v>0</v>
      </c>
    </row>
    <row r="1281" spans="1:17" x14ac:dyDescent="0.3">
      <c r="A1281" t="s">
        <v>17</v>
      </c>
      <c r="B1281">
        <v>69</v>
      </c>
      <c r="C1281" t="s">
        <v>297</v>
      </c>
      <c r="D1281" s="2">
        <v>45838</v>
      </c>
      <c r="E1281" s="3">
        <f t="shared" si="19"/>
        <v>45809</v>
      </c>
      <c r="F1281" t="s">
        <v>1320</v>
      </c>
      <c r="H1281" s="4">
        <v>147.88999999999999</v>
      </c>
      <c r="I1281" t="s">
        <v>108</v>
      </c>
      <c r="J1281" t="s">
        <v>346</v>
      </c>
      <c r="L1281" s="2">
        <v>45809</v>
      </c>
      <c r="M1281" t="s">
        <v>347</v>
      </c>
      <c r="N1281">
        <v>0</v>
      </c>
      <c r="O1281" t="s">
        <v>111</v>
      </c>
      <c r="P1281" t="s">
        <v>297</v>
      </c>
      <c r="Q1281">
        <v>0</v>
      </c>
    </row>
    <row r="1282" spans="1:17" x14ac:dyDescent="0.3">
      <c r="A1282" t="s">
        <v>17</v>
      </c>
      <c r="B1282">
        <v>69</v>
      </c>
      <c r="C1282" t="s">
        <v>297</v>
      </c>
      <c r="D1282" s="2">
        <v>45838</v>
      </c>
      <c r="E1282" s="3">
        <f t="shared" si="19"/>
        <v>45809</v>
      </c>
      <c r="F1282" t="s">
        <v>1320</v>
      </c>
      <c r="H1282" s="4">
        <v>188.91</v>
      </c>
      <c r="I1282" t="s">
        <v>104</v>
      </c>
      <c r="J1282" t="s">
        <v>346</v>
      </c>
      <c r="L1282" s="2">
        <v>45809</v>
      </c>
      <c r="M1282" t="s">
        <v>347</v>
      </c>
      <c r="N1282">
        <v>0</v>
      </c>
      <c r="O1282" t="s">
        <v>104</v>
      </c>
      <c r="P1282" t="s">
        <v>297</v>
      </c>
      <c r="Q1282">
        <v>0</v>
      </c>
    </row>
    <row r="1283" spans="1:17" x14ac:dyDescent="0.3">
      <c r="A1283" t="s">
        <v>17</v>
      </c>
      <c r="B1283">
        <v>69</v>
      </c>
      <c r="C1283" t="s">
        <v>297</v>
      </c>
      <c r="D1283" s="2">
        <v>45838</v>
      </c>
      <c r="E1283" s="3">
        <f t="shared" ref="E1283:E1346" si="20">IF($D1283="","",DATE(YEAR($D1283),MONTH($D1283),1))</f>
        <v>45809</v>
      </c>
      <c r="F1283" t="s">
        <v>1320</v>
      </c>
      <c r="H1283" s="4">
        <v>65.48</v>
      </c>
      <c r="I1283" t="s">
        <v>348</v>
      </c>
      <c r="J1283" t="s">
        <v>346</v>
      </c>
      <c r="L1283" s="2">
        <v>45809</v>
      </c>
      <c r="M1283" t="s">
        <v>347</v>
      </c>
      <c r="N1283">
        <v>0</v>
      </c>
      <c r="O1283" t="s">
        <v>348</v>
      </c>
      <c r="P1283" t="s">
        <v>297</v>
      </c>
      <c r="Q1283">
        <v>0</v>
      </c>
    </row>
    <row r="1284" spans="1:17" x14ac:dyDescent="0.3">
      <c r="A1284" t="s">
        <v>17</v>
      </c>
      <c r="B1284">
        <v>69</v>
      </c>
      <c r="C1284" t="s">
        <v>297</v>
      </c>
      <c r="D1284" s="2">
        <v>45838</v>
      </c>
      <c r="E1284" s="3">
        <f t="shared" si="20"/>
        <v>45809</v>
      </c>
      <c r="F1284" t="s">
        <v>1320</v>
      </c>
      <c r="H1284" s="4">
        <v>166.9</v>
      </c>
      <c r="I1284" t="s">
        <v>47</v>
      </c>
      <c r="J1284" t="s">
        <v>346</v>
      </c>
      <c r="L1284" s="2">
        <v>45809</v>
      </c>
      <c r="M1284" t="s">
        <v>347</v>
      </c>
      <c r="N1284">
        <v>0</v>
      </c>
      <c r="O1284" t="s">
        <v>26</v>
      </c>
      <c r="P1284" t="s">
        <v>297</v>
      </c>
      <c r="Q1284">
        <v>0</v>
      </c>
    </row>
    <row r="1285" spans="1:17" x14ac:dyDescent="0.3">
      <c r="A1285" t="s">
        <v>17</v>
      </c>
      <c r="B1285">
        <v>69</v>
      </c>
      <c r="C1285" t="s">
        <v>297</v>
      </c>
      <c r="D1285" s="2">
        <v>45838</v>
      </c>
      <c r="E1285" s="3">
        <f t="shared" si="20"/>
        <v>45809</v>
      </c>
      <c r="F1285" t="s">
        <v>1320</v>
      </c>
      <c r="H1285" s="4">
        <v>589.29999999999995</v>
      </c>
      <c r="I1285" t="s">
        <v>31</v>
      </c>
      <c r="J1285" t="s">
        <v>346</v>
      </c>
      <c r="L1285" s="2">
        <v>45809</v>
      </c>
      <c r="M1285" t="s">
        <v>347</v>
      </c>
      <c r="N1285">
        <v>0</v>
      </c>
      <c r="O1285" t="s">
        <v>31</v>
      </c>
      <c r="P1285" t="s">
        <v>297</v>
      </c>
      <c r="Q1285">
        <v>0</v>
      </c>
    </row>
    <row r="1286" spans="1:17" x14ac:dyDescent="0.3">
      <c r="A1286" t="s">
        <v>17</v>
      </c>
      <c r="B1286">
        <v>69</v>
      </c>
      <c r="C1286" t="s">
        <v>297</v>
      </c>
      <c r="D1286" s="2">
        <v>45838</v>
      </c>
      <c r="E1286" s="3">
        <f t="shared" si="20"/>
        <v>45809</v>
      </c>
      <c r="F1286" t="s">
        <v>1320</v>
      </c>
      <c r="H1286" s="4">
        <v>259.97000000000003</v>
      </c>
      <c r="I1286" t="s">
        <v>137</v>
      </c>
      <c r="J1286" t="s">
        <v>349</v>
      </c>
      <c r="L1286" s="2">
        <v>45809</v>
      </c>
      <c r="M1286" t="s">
        <v>350</v>
      </c>
      <c r="N1286" t="s">
        <v>141</v>
      </c>
      <c r="O1286" t="s">
        <v>141</v>
      </c>
      <c r="P1286" t="s">
        <v>297</v>
      </c>
      <c r="Q1286">
        <v>0</v>
      </c>
    </row>
    <row r="1287" spans="1:17" x14ac:dyDescent="0.3">
      <c r="A1287" t="s">
        <v>17</v>
      </c>
      <c r="B1287">
        <v>69</v>
      </c>
      <c r="C1287" t="s">
        <v>297</v>
      </c>
      <c r="D1287" s="2">
        <v>45838</v>
      </c>
      <c r="E1287" s="3">
        <f t="shared" si="20"/>
        <v>45809</v>
      </c>
      <c r="F1287" t="s">
        <v>1320</v>
      </c>
      <c r="H1287" s="4">
        <v>141.36000000000001</v>
      </c>
      <c r="I1287" t="s">
        <v>31</v>
      </c>
      <c r="J1287" t="s">
        <v>349</v>
      </c>
      <c r="L1287" s="2">
        <v>45809</v>
      </c>
      <c r="M1287" t="s">
        <v>350</v>
      </c>
      <c r="N1287">
        <v>0</v>
      </c>
      <c r="O1287" t="s">
        <v>31</v>
      </c>
      <c r="P1287" t="s">
        <v>297</v>
      </c>
      <c r="Q1287">
        <v>0</v>
      </c>
    </row>
    <row r="1288" spans="1:17" x14ac:dyDescent="0.3">
      <c r="A1288" t="s">
        <v>17</v>
      </c>
      <c r="B1288">
        <v>67</v>
      </c>
      <c r="C1288" t="s">
        <v>28</v>
      </c>
      <c r="D1288" s="2">
        <v>45838</v>
      </c>
      <c r="E1288" s="3">
        <f t="shared" si="20"/>
        <v>45809</v>
      </c>
      <c r="F1288" t="s">
        <v>1321</v>
      </c>
      <c r="H1288" s="4">
        <v>833.33</v>
      </c>
      <c r="I1288" t="s">
        <v>31</v>
      </c>
      <c r="J1288" t="s">
        <v>48</v>
      </c>
      <c r="K1288" t="s">
        <v>937</v>
      </c>
      <c r="L1288" s="2">
        <v>45809</v>
      </c>
      <c r="M1288" t="s">
        <v>50</v>
      </c>
      <c r="N1288">
        <v>0</v>
      </c>
      <c r="O1288" t="s">
        <v>31</v>
      </c>
      <c r="P1288" t="s">
        <v>28</v>
      </c>
      <c r="Q1288">
        <v>0</v>
      </c>
    </row>
    <row r="1289" spans="1:17" x14ac:dyDescent="0.3">
      <c r="A1289" t="s">
        <v>17</v>
      </c>
      <c r="B1289">
        <v>68</v>
      </c>
      <c r="C1289" t="s">
        <v>34</v>
      </c>
      <c r="D1289" s="2">
        <v>45838</v>
      </c>
      <c r="E1289" s="3">
        <f t="shared" si="20"/>
        <v>45809</v>
      </c>
      <c r="F1289" t="s">
        <v>1322</v>
      </c>
      <c r="H1289" s="4">
        <v>4797</v>
      </c>
      <c r="I1289" t="s">
        <v>116</v>
      </c>
      <c r="J1289" t="s">
        <v>767</v>
      </c>
      <c r="K1289" t="s">
        <v>1323</v>
      </c>
      <c r="L1289" s="2">
        <v>45809</v>
      </c>
      <c r="M1289" t="s">
        <v>767</v>
      </c>
      <c r="N1289">
        <v>0</v>
      </c>
      <c r="O1289" t="s">
        <v>116</v>
      </c>
      <c r="P1289" t="s">
        <v>34</v>
      </c>
      <c r="Q1289">
        <v>0</v>
      </c>
    </row>
    <row r="1290" spans="1:17" x14ac:dyDescent="0.3">
      <c r="A1290" t="s">
        <v>17</v>
      </c>
      <c r="B1290">
        <v>67</v>
      </c>
      <c r="C1290" t="s">
        <v>28</v>
      </c>
      <c r="D1290" s="2">
        <v>45838</v>
      </c>
      <c r="E1290" s="3">
        <f t="shared" si="20"/>
        <v>45809</v>
      </c>
      <c r="F1290" t="s">
        <v>1324</v>
      </c>
      <c r="H1290" s="4">
        <v>175</v>
      </c>
      <c r="I1290" t="s">
        <v>108</v>
      </c>
      <c r="J1290" t="s">
        <v>352</v>
      </c>
      <c r="K1290" t="s">
        <v>1325</v>
      </c>
      <c r="L1290" s="2">
        <v>45809</v>
      </c>
      <c r="M1290" t="s">
        <v>352</v>
      </c>
      <c r="N1290">
        <v>0</v>
      </c>
      <c r="O1290" t="s">
        <v>111</v>
      </c>
      <c r="P1290" t="s">
        <v>28</v>
      </c>
      <c r="Q1290">
        <v>0</v>
      </c>
    </row>
    <row r="1291" spans="1:17" x14ac:dyDescent="0.3">
      <c r="A1291" t="s">
        <v>17</v>
      </c>
      <c r="B1291">
        <v>67</v>
      </c>
      <c r="C1291" t="s">
        <v>28</v>
      </c>
      <c r="D1291" s="2">
        <v>45838</v>
      </c>
      <c r="E1291" s="3">
        <f t="shared" si="20"/>
        <v>45809</v>
      </c>
      <c r="F1291" t="s">
        <v>1326</v>
      </c>
      <c r="H1291" s="4">
        <v>153</v>
      </c>
      <c r="I1291" t="s">
        <v>47</v>
      </c>
      <c r="J1291" t="s">
        <v>352</v>
      </c>
      <c r="K1291" t="s">
        <v>359</v>
      </c>
      <c r="L1291" s="2">
        <v>45809</v>
      </c>
      <c r="M1291" t="s">
        <v>352</v>
      </c>
      <c r="N1291">
        <v>0</v>
      </c>
      <c r="O1291" t="s">
        <v>26</v>
      </c>
      <c r="P1291" t="s">
        <v>28</v>
      </c>
      <c r="Q1291">
        <v>0</v>
      </c>
    </row>
    <row r="1292" spans="1:17" x14ac:dyDescent="0.3">
      <c r="A1292" t="s">
        <v>17</v>
      </c>
      <c r="B1292">
        <v>65</v>
      </c>
      <c r="C1292" t="s">
        <v>54</v>
      </c>
      <c r="D1292" s="2">
        <v>45838</v>
      </c>
      <c r="E1292" s="3">
        <f t="shared" si="20"/>
        <v>45809</v>
      </c>
      <c r="F1292" t="s">
        <v>1294</v>
      </c>
      <c r="H1292" s="4">
        <v>-30113.77</v>
      </c>
      <c r="I1292" t="s">
        <v>31</v>
      </c>
      <c r="J1292" t="s">
        <v>55</v>
      </c>
      <c r="L1292" s="2">
        <v>45809</v>
      </c>
      <c r="M1292" t="s">
        <v>55</v>
      </c>
      <c r="N1292">
        <v>0</v>
      </c>
      <c r="O1292" t="s">
        <v>31</v>
      </c>
      <c r="P1292" t="s">
        <v>54</v>
      </c>
      <c r="Q1292">
        <v>0</v>
      </c>
    </row>
    <row r="1293" spans="1:17" x14ac:dyDescent="0.3">
      <c r="A1293" t="s">
        <v>17</v>
      </c>
      <c r="B1293">
        <v>69</v>
      </c>
      <c r="C1293" t="s">
        <v>297</v>
      </c>
      <c r="D1293" s="2">
        <v>45838</v>
      </c>
      <c r="E1293" s="3">
        <f t="shared" si="20"/>
        <v>45809</v>
      </c>
      <c r="F1293" t="s">
        <v>1320</v>
      </c>
      <c r="H1293" s="4">
        <v>14.15</v>
      </c>
      <c r="I1293" t="s">
        <v>31</v>
      </c>
      <c r="J1293" t="s">
        <v>360</v>
      </c>
      <c r="L1293" s="2">
        <v>45809</v>
      </c>
      <c r="M1293" t="s">
        <v>361</v>
      </c>
      <c r="N1293">
        <v>0</v>
      </c>
      <c r="O1293" t="s">
        <v>31</v>
      </c>
      <c r="P1293" t="s">
        <v>297</v>
      </c>
      <c r="Q1293">
        <v>0</v>
      </c>
    </row>
    <row r="1294" spans="1:17" x14ac:dyDescent="0.3">
      <c r="A1294" t="s">
        <v>17</v>
      </c>
      <c r="B1294">
        <v>69</v>
      </c>
      <c r="C1294" t="s">
        <v>297</v>
      </c>
      <c r="D1294" s="2">
        <v>45838</v>
      </c>
      <c r="E1294" s="3">
        <f t="shared" si="20"/>
        <v>45809</v>
      </c>
      <c r="F1294" t="s">
        <v>1320</v>
      </c>
      <c r="H1294" s="4">
        <v>15.83</v>
      </c>
      <c r="I1294" t="s">
        <v>108</v>
      </c>
      <c r="J1294" t="s">
        <v>360</v>
      </c>
      <c r="L1294" s="2">
        <v>45809</v>
      </c>
      <c r="M1294" t="s">
        <v>361</v>
      </c>
      <c r="N1294">
        <v>0</v>
      </c>
      <c r="O1294" t="s">
        <v>111</v>
      </c>
      <c r="P1294" t="s">
        <v>297</v>
      </c>
      <c r="Q1294">
        <v>0</v>
      </c>
    </row>
    <row r="1295" spans="1:17" x14ac:dyDescent="0.3">
      <c r="A1295" t="s">
        <v>17</v>
      </c>
      <c r="B1295">
        <v>64</v>
      </c>
      <c r="C1295" t="s">
        <v>83</v>
      </c>
      <c r="D1295" s="2">
        <v>45847</v>
      </c>
      <c r="E1295" s="3">
        <f t="shared" si="20"/>
        <v>45839</v>
      </c>
      <c r="F1295" t="s">
        <v>1327</v>
      </c>
      <c r="G1295" t="s">
        <v>824</v>
      </c>
      <c r="H1295" s="4">
        <v>204.2</v>
      </c>
      <c r="I1295" t="s">
        <v>108</v>
      </c>
      <c r="J1295" t="s">
        <v>91</v>
      </c>
      <c r="K1295" t="s">
        <v>1328</v>
      </c>
      <c r="L1295" s="2">
        <v>45839</v>
      </c>
      <c r="M1295" t="s">
        <v>93</v>
      </c>
      <c r="N1295">
        <v>0</v>
      </c>
      <c r="O1295" t="s">
        <v>111</v>
      </c>
      <c r="P1295" t="s">
        <v>83</v>
      </c>
      <c r="Q1295">
        <v>0</v>
      </c>
    </row>
    <row r="1296" spans="1:17" x14ac:dyDescent="0.3">
      <c r="A1296" t="s">
        <v>17</v>
      </c>
      <c r="B1296">
        <v>64</v>
      </c>
      <c r="C1296" t="s">
        <v>83</v>
      </c>
      <c r="D1296" s="2">
        <v>45847</v>
      </c>
      <c r="E1296" s="3">
        <f t="shared" si="20"/>
        <v>45839</v>
      </c>
      <c r="F1296" t="s">
        <v>1329</v>
      </c>
      <c r="G1296" t="s">
        <v>1227</v>
      </c>
      <c r="H1296" s="4">
        <v>81.459999999999994</v>
      </c>
      <c r="I1296" t="s">
        <v>47</v>
      </c>
      <c r="J1296" t="s">
        <v>91</v>
      </c>
      <c r="K1296" t="s">
        <v>1330</v>
      </c>
      <c r="L1296" s="2">
        <v>45839</v>
      </c>
      <c r="M1296" t="s">
        <v>93</v>
      </c>
      <c r="N1296">
        <v>0</v>
      </c>
      <c r="O1296" t="s">
        <v>26</v>
      </c>
      <c r="P1296" t="s">
        <v>83</v>
      </c>
      <c r="Q1296">
        <v>0</v>
      </c>
    </row>
    <row r="1297" spans="1:17" x14ac:dyDescent="0.3">
      <c r="A1297" t="s">
        <v>17</v>
      </c>
      <c r="B1297">
        <v>64</v>
      </c>
      <c r="C1297" t="s">
        <v>83</v>
      </c>
      <c r="D1297" s="2">
        <v>45847</v>
      </c>
      <c r="E1297" s="3">
        <f t="shared" si="20"/>
        <v>45839</v>
      </c>
      <c r="F1297" t="s">
        <v>1329</v>
      </c>
      <c r="G1297" t="s">
        <v>1227</v>
      </c>
      <c r="H1297" s="4">
        <v>306.29000000000002</v>
      </c>
      <c r="I1297" t="s">
        <v>47</v>
      </c>
      <c r="J1297" t="s">
        <v>91</v>
      </c>
      <c r="K1297" t="s">
        <v>1331</v>
      </c>
      <c r="L1297" s="2">
        <v>45839</v>
      </c>
      <c r="M1297" t="s">
        <v>93</v>
      </c>
      <c r="N1297">
        <v>0</v>
      </c>
      <c r="O1297" t="s">
        <v>26</v>
      </c>
      <c r="P1297" t="s">
        <v>83</v>
      </c>
      <c r="Q1297">
        <v>0</v>
      </c>
    </row>
    <row r="1298" spans="1:17" x14ac:dyDescent="0.3">
      <c r="A1298" t="s">
        <v>17</v>
      </c>
      <c r="B1298">
        <v>64</v>
      </c>
      <c r="C1298" t="s">
        <v>83</v>
      </c>
      <c r="D1298" s="2">
        <v>45869</v>
      </c>
      <c r="E1298" s="3">
        <f t="shared" si="20"/>
        <v>45839</v>
      </c>
      <c r="F1298" t="s">
        <v>1332</v>
      </c>
      <c r="G1298" t="s">
        <v>158</v>
      </c>
      <c r="H1298" s="4">
        <v>60.89</v>
      </c>
      <c r="I1298" t="s">
        <v>159</v>
      </c>
      <c r="J1298" t="s">
        <v>91</v>
      </c>
      <c r="K1298" t="s">
        <v>165</v>
      </c>
      <c r="L1298" s="2">
        <v>45839</v>
      </c>
      <c r="M1298" t="s">
        <v>93</v>
      </c>
      <c r="N1298">
        <v>0</v>
      </c>
      <c r="O1298" t="s">
        <v>159</v>
      </c>
      <c r="P1298" t="s">
        <v>83</v>
      </c>
      <c r="Q1298">
        <v>0</v>
      </c>
    </row>
    <row r="1299" spans="1:17" x14ac:dyDescent="0.3">
      <c r="A1299" t="s">
        <v>17</v>
      </c>
      <c r="B1299">
        <v>64</v>
      </c>
      <c r="C1299" t="s">
        <v>83</v>
      </c>
      <c r="D1299" s="2">
        <v>45869</v>
      </c>
      <c r="E1299" s="3">
        <f t="shared" si="20"/>
        <v>45839</v>
      </c>
      <c r="F1299" t="s">
        <v>1333</v>
      </c>
      <c r="G1299" t="s">
        <v>1334</v>
      </c>
      <c r="H1299" s="4">
        <v>13.34</v>
      </c>
      <c r="I1299" t="s">
        <v>31</v>
      </c>
      <c r="J1299" t="s">
        <v>91</v>
      </c>
      <c r="K1299" t="s">
        <v>1335</v>
      </c>
      <c r="L1299" s="2">
        <v>45839</v>
      </c>
      <c r="M1299" t="s">
        <v>93</v>
      </c>
      <c r="N1299">
        <v>0</v>
      </c>
      <c r="O1299" t="s">
        <v>31</v>
      </c>
      <c r="P1299" t="s">
        <v>83</v>
      </c>
      <c r="Q1299">
        <v>0</v>
      </c>
    </row>
    <row r="1300" spans="1:17" x14ac:dyDescent="0.3">
      <c r="A1300" t="s">
        <v>17</v>
      </c>
      <c r="B1300">
        <v>64</v>
      </c>
      <c r="C1300" t="s">
        <v>83</v>
      </c>
      <c r="D1300" s="2">
        <v>45841</v>
      </c>
      <c r="E1300" s="3">
        <f t="shared" si="20"/>
        <v>45839</v>
      </c>
      <c r="F1300" t="s">
        <v>1336</v>
      </c>
      <c r="G1300" t="s">
        <v>101</v>
      </c>
      <c r="H1300" s="4">
        <v>335.32</v>
      </c>
      <c r="I1300" t="s">
        <v>21</v>
      </c>
      <c r="J1300" t="s">
        <v>84</v>
      </c>
      <c r="K1300" t="s">
        <v>1337</v>
      </c>
      <c r="L1300" s="2">
        <v>45839</v>
      </c>
      <c r="M1300" t="s">
        <v>86</v>
      </c>
      <c r="N1300" t="s">
        <v>25</v>
      </c>
      <c r="O1300" t="s">
        <v>81</v>
      </c>
      <c r="P1300" t="s">
        <v>83</v>
      </c>
      <c r="Q1300">
        <v>0</v>
      </c>
    </row>
    <row r="1301" spans="1:17" x14ac:dyDescent="0.3">
      <c r="A1301" t="s">
        <v>17</v>
      </c>
      <c r="B1301">
        <v>64</v>
      </c>
      <c r="C1301" t="s">
        <v>83</v>
      </c>
      <c r="D1301" s="2">
        <v>45847</v>
      </c>
      <c r="E1301" s="3">
        <f t="shared" si="20"/>
        <v>45839</v>
      </c>
      <c r="F1301" t="s">
        <v>1329</v>
      </c>
      <c r="G1301" t="s">
        <v>1227</v>
      </c>
      <c r="H1301" s="4">
        <v>92.78</v>
      </c>
      <c r="I1301" t="s">
        <v>47</v>
      </c>
      <c r="J1301" t="s">
        <v>87</v>
      </c>
      <c r="K1301" t="s">
        <v>1338</v>
      </c>
      <c r="L1301" s="2">
        <v>45839</v>
      </c>
      <c r="M1301" t="s">
        <v>89</v>
      </c>
      <c r="N1301">
        <v>0</v>
      </c>
      <c r="O1301" t="s">
        <v>26</v>
      </c>
      <c r="P1301" t="s">
        <v>83</v>
      </c>
      <c r="Q1301">
        <v>0</v>
      </c>
    </row>
    <row r="1302" spans="1:17" x14ac:dyDescent="0.3">
      <c r="A1302" t="s">
        <v>17</v>
      </c>
      <c r="B1302">
        <v>67</v>
      </c>
      <c r="C1302" t="s">
        <v>28</v>
      </c>
      <c r="D1302" s="2">
        <v>45839</v>
      </c>
      <c r="E1302" s="3">
        <f t="shared" si="20"/>
        <v>45839</v>
      </c>
      <c r="F1302">
        <v>20456</v>
      </c>
      <c r="G1302" t="s">
        <v>52</v>
      </c>
      <c r="H1302" s="4">
        <v>18.899999999999999</v>
      </c>
      <c r="I1302" t="s">
        <v>31</v>
      </c>
      <c r="J1302" t="s">
        <v>48</v>
      </c>
      <c r="K1302" t="s">
        <v>1339</v>
      </c>
      <c r="L1302" s="2">
        <v>45839</v>
      </c>
      <c r="M1302" t="s">
        <v>50</v>
      </c>
      <c r="N1302">
        <v>0</v>
      </c>
      <c r="O1302" t="s">
        <v>31</v>
      </c>
      <c r="P1302" t="s">
        <v>28</v>
      </c>
      <c r="Q1302">
        <v>0</v>
      </c>
    </row>
    <row r="1303" spans="1:17" x14ac:dyDescent="0.3">
      <c r="A1303" t="s">
        <v>17</v>
      </c>
      <c r="B1303">
        <v>67</v>
      </c>
      <c r="C1303" t="s">
        <v>28</v>
      </c>
      <c r="D1303" s="2">
        <v>45839</v>
      </c>
      <c r="E1303" s="3">
        <f t="shared" si="20"/>
        <v>45839</v>
      </c>
      <c r="F1303">
        <v>20456</v>
      </c>
      <c r="G1303" t="s">
        <v>52</v>
      </c>
      <c r="H1303" s="4">
        <v>640</v>
      </c>
      <c r="I1303" t="s">
        <v>31</v>
      </c>
      <c r="J1303" t="s">
        <v>48</v>
      </c>
      <c r="K1303" t="s">
        <v>1340</v>
      </c>
      <c r="L1303" s="2">
        <v>45839</v>
      </c>
      <c r="M1303" t="s">
        <v>50</v>
      </c>
      <c r="N1303">
        <v>0</v>
      </c>
      <c r="O1303" t="s">
        <v>31</v>
      </c>
      <c r="P1303" t="s">
        <v>28</v>
      </c>
      <c r="Q1303">
        <v>0</v>
      </c>
    </row>
    <row r="1304" spans="1:17" x14ac:dyDescent="0.3">
      <c r="A1304" t="s">
        <v>17</v>
      </c>
      <c r="B1304">
        <v>67</v>
      </c>
      <c r="C1304" t="s">
        <v>28</v>
      </c>
      <c r="D1304" s="2">
        <v>45839</v>
      </c>
      <c r="E1304" s="3">
        <f t="shared" si="20"/>
        <v>45839</v>
      </c>
      <c r="F1304">
        <v>20456</v>
      </c>
      <c r="G1304" t="s">
        <v>52</v>
      </c>
      <c r="H1304" s="4">
        <v>9</v>
      </c>
      <c r="I1304" t="s">
        <v>31</v>
      </c>
      <c r="J1304" t="s">
        <v>48</v>
      </c>
      <c r="K1304" t="s">
        <v>1341</v>
      </c>
      <c r="L1304" s="2">
        <v>45839</v>
      </c>
      <c r="M1304" t="s">
        <v>50</v>
      </c>
      <c r="N1304">
        <v>0</v>
      </c>
      <c r="O1304" t="s">
        <v>31</v>
      </c>
      <c r="P1304" t="s">
        <v>28</v>
      </c>
      <c r="Q1304">
        <v>0</v>
      </c>
    </row>
    <row r="1305" spans="1:17" x14ac:dyDescent="0.3">
      <c r="A1305" t="s">
        <v>17</v>
      </c>
      <c r="B1305">
        <v>67</v>
      </c>
      <c r="C1305" t="s">
        <v>28</v>
      </c>
      <c r="D1305" s="2">
        <v>45839</v>
      </c>
      <c r="E1305" s="3">
        <f t="shared" si="20"/>
        <v>45839</v>
      </c>
      <c r="F1305">
        <v>20456</v>
      </c>
      <c r="G1305" t="s">
        <v>52</v>
      </c>
      <c r="H1305" s="4">
        <v>125</v>
      </c>
      <c r="I1305" t="s">
        <v>31</v>
      </c>
      <c r="J1305" t="s">
        <v>48</v>
      </c>
      <c r="K1305" t="s">
        <v>1342</v>
      </c>
      <c r="L1305" s="2">
        <v>45839</v>
      </c>
      <c r="M1305" t="s">
        <v>50</v>
      </c>
      <c r="N1305">
        <v>0</v>
      </c>
      <c r="O1305" t="s">
        <v>31</v>
      </c>
      <c r="P1305" t="s">
        <v>28</v>
      </c>
      <c r="Q1305">
        <v>0</v>
      </c>
    </row>
    <row r="1306" spans="1:17" x14ac:dyDescent="0.3">
      <c r="A1306" t="s">
        <v>17</v>
      </c>
      <c r="B1306">
        <v>67</v>
      </c>
      <c r="C1306" t="s">
        <v>28</v>
      </c>
      <c r="D1306" s="2">
        <v>45839</v>
      </c>
      <c r="E1306" s="3">
        <f t="shared" si="20"/>
        <v>45839</v>
      </c>
      <c r="F1306">
        <v>20456</v>
      </c>
      <c r="G1306" t="s">
        <v>52</v>
      </c>
      <c r="H1306" s="4">
        <v>2500</v>
      </c>
      <c r="I1306" t="s">
        <v>31</v>
      </c>
      <c r="J1306" t="s">
        <v>48</v>
      </c>
      <c r="K1306" t="s">
        <v>1343</v>
      </c>
      <c r="L1306" s="2">
        <v>45839</v>
      </c>
      <c r="M1306" t="s">
        <v>50</v>
      </c>
      <c r="N1306">
        <v>0</v>
      </c>
      <c r="O1306" t="s">
        <v>31</v>
      </c>
      <c r="P1306" t="s">
        <v>28</v>
      </c>
      <c r="Q1306">
        <v>0</v>
      </c>
    </row>
    <row r="1307" spans="1:17" x14ac:dyDescent="0.3">
      <c r="A1307" t="s">
        <v>17</v>
      </c>
      <c r="B1307">
        <v>67</v>
      </c>
      <c r="C1307" t="s">
        <v>28</v>
      </c>
      <c r="D1307" s="2">
        <v>45839</v>
      </c>
      <c r="E1307" s="3">
        <f t="shared" si="20"/>
        <v>45839</v>
      </c>
      <c r="F1307" t="s">
        <v>1344</v>
      </c>
      <c r="H1307" s="4">
        <v>-833.33</v>
      </c>
      <c r="I1307" t="s">
        <v>31</v>
      </c>
      <c r="J1307" t="s">
        <v>48</v>
      </c>
      <c r="K1307" t="s">
        <v>937</v>
      </c>
      <c r="L1307" s="2">
        <v>45839</v>
      </c>
      <c r="M1307" t="s">
        <v>50</v>
      </c>
      <c r="N1307">
        <v>0</v>
      </c>
      <c r="O1307" t="s">
        <v>31</v>
      </c>
      <c r="P1307" t="s">
        <v>28</v>
      </c>
      <c r="Q1307">
        <v>0</v>
      </c>
    </row>
    <row r="1308" spans="1:17" x14ac:dyDescent="0.3">
      <c r="A1308" t="s">
        <v>17</v>
      </c>
      <c r="B1308">
        <v>67</v>
      </c>
      <c r="C1308" t="s">
        <v>28</v>
      </c>
      <c r="D1308" s="2">
        <v>45839</v>
      </c>
      <c r="E1308" s="3">
        <f t="shared" si="20"/>
        <v>45839</v>
      </c>
      <c r="F1308" t="s">
        <v>1345</v>
      </c>
      <c r="H1308" s="4">
        <v>-833.33</v>
      </c>
      <c r="I1308" t="s">
        <v>31</v>
      </c>
      <c r="J1308" t="s">
        <v>48</v>
      </c>
      <c r="K1308" t="s">
        <v>937</v>
      </c>
      <c r="L1308" s="2">
        <v>45839</v>
      </c>
      <c r="M1308" t="s">
        <v>50</v>
      </c>
      <c r="N1308">
        <v>0</v>
      </c>
      <c r="O1308" t="s">
        <v>31</v>
      </c>
      <c r="P1308" t="s">
        <v>28</v>
      </c>
      <c r="Q1308">
        <v>0</v>
      </c>
    </row>
    <row r="1309" spans="1:17" x14ac:dyDescent="0.3">
      <c r="A1309" t="s">
        <v>17</v>
      </c>
      <c r="B1309">
        <v>67</v>
      </c>
      <c r="C1309" t="s">
        <v>28</v>
      </c>
      <c r="D1309" s="2">
        <v>45839</v>
      </c>
      <c r="E1309" s="3">
        <f t="shared" si="20"/>
        <v>45839</v>
      </c>
      <c r="F1309" t="s">
        <v>1346</v>
      </c>
      <c r="H1309" s="4">
        <v>-833.33</v>
      </c>
      <c r="I1309" t="s">
        <v>31</v>
      </c>
      <c r="J1309" t="s">
        <v>48</v>
      </c>
      <c r="K1309" t="s">
        <v>937</v>
      </c>
      <c r="L1309" s="2">
        <v>45839</v>
      </c>
      <c r="M1309" t="s">
        <v>50</v>
      </c>
      <c r="N1309">
        <v>0</v>
      </c>
      <c r="O1309" t="s">
        <v>31</v>
      </c>
      <c r="P1309" t="s">
        <v>28</v>
      </c>
      <c r="Q1309">
        <v>0</v>
      </c>
    </row>
    <row r="1310" spans="1:17" x14ac:dyDescent="0.3">
      <c r="A1310" t="s">
        <v>17</v>
      </c>
      <c r="B1310">
        <v>67</v>
      </c>
      <c r="C1310" t="s">
        <v>28</v>
      </c>
      <c r="D1310" s="2">
        <v>45846</v>
      </c>
      <c r="E1310" s="3">
        <f t="shared" si="20"/>
        <v>45839</v>
      </c>
      <c r="F1310">
        <v>7374.2529999999997</v>
      </c>
      <c r="G1310" t="s">
        <v>439</v>
      </c>
      <c r="H1310" s="4">
        <v>2500</v>
      </c>
      <c r="I1310" t="s">
        <v>31</v>
      </c>
      <c r="J1310" t="s">
        <v>48</v>
      </c>
      <c r="K1310" t="s">
        <v>440</v>
      </c>
      <c r="L1310" s="2">
        <v>45839</v>
      </c>
      <c r="M1310" t="s">
        <v>50</v>
      </c>
      <c r="N1310">
        <v>0</v>
      </c>
      <c r="O1310" t="s">
        <v>31</v>
      </c>
      <c r="P1310" t="s">
        <v>28</v>
      </c>
      <c r="Q1310">
        <v>0</v>
      </c>
    </row>
    <row r="1311" spans="1:17" x14ac:dyDescent="0.3">
      <c r="A1311" t="s">
        <v>17</v>
      </c>
      <c r="B1311">
        <v>67</v>
      </c>
      <c r="C1311" t="s">
        <v>28</v>
      </c>
      <c r="D1311" s="2">
        <v>45865</v>
      </c>
      <c r="E1311" s="3">
        <f t="shared" si="20"/>
        <v>45839</v>
      </c>
      <c r="F1311" t="s">
        <v>1347</v>
      </c>
      <c r="G1311" t="s">
        <v>280</v>
      </c>
      <c r="H1311" s="4">
        <v>12100</v>
      </c>
      <c r="I1311" t="s">
        <v>47</v>
      </c>
      <c r="J1311" t="s">
        <v>48</v>
      </c>
      <c r="K1311" t="s">
        <v>1348</v>
      </c>
      <c r="L1311" s="2">
        <v>45839</v>
      </c>
      <c r="M1311" t="s">
        <v>50</v>
      </c>
      <c r="N1311">
        <v>0</v>
      </c>
      <c r="O1311" t="s">
        <v>26</v>
      </c>
      <c r="P1311" t="s">
        <v>28</v>
      </c>
      <c r="Q1311">
        <v>0</v>
      </c>
    </row>
    <row r="1312" spans="1:17" x14ac:dyDescent="0.3">
      <c r="A1312" t="s">
        <v>17</v>
      </c>
      <c r="B1312">
        <v>67</v>
      </c>
      <c r="C1312" t="s">
        <v>28</v>
      </c>
      <c r="D1312" s="2">
        <v>45865</v>
      </c>
      <c r="E1312" s="3">
        <f t="shared" si="20"/>
        <v>45839</v>
      </c>
      <c r="F1312" t="s">
        <v>1349</v>
      </c>
      <c r="G1312" t="s">
        <v>280</v>
      </c>
      <c r="H1312" s="4">
        <v>1400</v>
      </c>
      <c r="I1312" t="s">
        <v>47</v>
      </c>
      <c r="J1312" t="s">
        <v>48</v>
      </c>
      <c r="K1312" t="s">
        <v>1033</v>
      </c>
      <c r="L1312" s="2">
        <v>45839</v>
      </c>
      <c r="M1312" t="s">
        <v>50</v>
      </c>
      <c r="N1312">
        <v>0</v>
      </c>
      <c r="O1312" t="s">
        <v>26</v>
      </c>
      <c r="P1312" t="s">
        <v>28</v>
      </c>
      <c r="Q1312">
        <v>0</v>
      </c>
    </row>
    <row r="1313" spans="1:17" x14ac:dyDescent="0.3">
      <c r="A1313" t="s">
        <v>17</v>
      </c>
      <c r="B1313">
        <v>67</v>
      </c>
      <c r="C1313" t="s">
        <v>28</v>
      </c>
      <c r="D1313" s="2">
        <v>45866</v>
      </c>
      <c r="E1313" s="3">
        <f t="shared" si="20"/>
        <v>45839</v>
      </c>
      <c r="F1313">
        <v>25627</v>
      </c>
      <c r="G1313" t="s">
        <v>673</v>
      </c>
      <c r="H1313" s="4">
        <v>300</v>
      </c>
      <c r="I1313" t="s">
        <v>47</v>
      </c>
      <c r="J1313" t="s">
        <v>48</v>
      </c>
      <c r="K1313" t="s">
        <v>1350</v>
      </c>
      <c r="L1313" s="2">
        <v>45839</v>
      </c>
      <c r="M1313" t="s">
        <v>50</v>
      </c>
      <c r="N1313">
        <v>0</v>
      </c>
      <c r="O1313" t="s">
        <v>26</v>
      </c>
      <c r="P1313" t="s">
        <v>28</v>
      </c>
      <c r="Q1313">
        <v>0</v>
      </c>
    </row>
    <row r="1314" spans="1:17" x14ac:dyDescent="0.3">
      <c r="A1314" t="s">
        <v>17</v>
      </c>
      <c r="B1314">
        <v>67</v>
      </c>
      <c r="C1314" t="s">
        <v>28</v>
      </c>
      <c r="D1314" s="2">
        <v>45866</v>
      </c>
      <c r="E1314" s="3">
        <f t="shared" si="20"/>
        <v>45839</v>
      </c>
      <c r="F1314">
        <v>25627</v>
      </c>
      <c r="G1314" t="s">
        <v>673</v>
      </c>
      <c r="H1314" s="4">
        <v>300</v>
      </c>
      <c r="I1314" t="s">
        <v>47</v>
      </c>
      <c r="J1314" t="s">
        <v>48</v>
      </c>
      <c r="K1314" t="s">
        <v>1351</v>
      </c>
      <c r="L1314" s="2">
        <v>45839</v>
      </c>
      <c r="M1314" t="s">
        <v>50</v>
      </c>
      <c r="N1314">
        <v>0</v>
      </c>
      <c r="O1314" t="s">
        <v>26</v>
      </c>
      <c r="P1314" t="s">
        <v>28</v>
      </c>
      <c r="Q1314">
        <v>0</v>
      </c>
    </row>
    <row r="1315" spans="1:17" x14ac:dyDescent="0.3">
      <c r="A1315" t="s">
        <v>17</v>
      </c>
      <c r="B1315">
        <v>67</v>
      </c>
      <c r="C1315" t="s">
        <v>28</v>
      </c>
      <c r="D1315" s="2">
        <v>45866</v>
      </c>
      <c r="E1315" s="3">
        <f t="shared" si="20"/>
        <v>45839</v>
      </c>
      <c r="F1315">
        <v>25627</v>
      </c>
      <c r="G1315" t="s">
        <v>673</v>
      </c>
      <c r="H1315" s="4">
        <v>150</v>
      </c>
      <c r="I1315" t="s">
        <v>47</v>
      </c>
      <c r="J1315" t="s">
        <v>48</v>
      </c>
      <c r="K1315" t="s">
        <v>1352</v>
      </c>
      <c r="L1315" s="2">
        <v>45839</v>
      </c>
      <c r="M1315" t="s">
        <v>50</v>
      </c>
      <c r="N1315">
        <v>0</v>
      </c>
      <c r="O1315" t="s">
        <v>26</v>
      </c>
      <c r="P1315" t="s">
        <v>28</v>
      </c>
      <c r="Q1315">
        <v>0</v>
      </c>
    </row>
    <row r="1316" spans="1:17" x14ac:dyDescent="0.3">
      <c r="A1316" t="s">
        <v>17</v>
      </c>
      <c r="B1316">
        <v>67</v>
      </c>
      <c r="C1316" t="s">
        <v>28</v>
      </c>
      <c r="D1316" s="2">
        <v>45866</v>
      </c>
      <c r="E1316" s="3">
        <f t="shared" si="20"/>
        <v>45839</v>
      </c>
      <c r="F1316">
        <v>25627</v>
      </c>
      <c r="G1316" t="s">
        <v>673</v>
      </c>
      <c r="H1316" s="4">
        <v>500</v>
      </c>
      <c r="I1316" t="s">
        <v>47</v>
      </c>
      <c r="J1316" t="s">
        <v>48</v>
      </c>
      <c r="K1316" t="s">
        <v>1353</v>
      </c>
      <c r="L1316" s="2">
        <v>45839</v>
      </c>
      <c r="M1316" t="s">
        <v>50</v>
      </c>
      <c r="N1316">
        <v>0</v>
      </c>
      <c r="O1316" t="s">
        <v>26</v>
      </c>
      <c r="P1316" t="s">
        <v>28</v>
      </c>
      <c r="Q1316">
        <v>0</v>
      </c>
    </row>
    <row r="1317" spans="1:17" x14ac:dyDescent="0.3">
      <c r="A1317" t="s">
        <v>17</v>
      </c>
      <c r="B1317">
        <v>67</v>
      </c>
      <c r="C1317" t="s">
        <v>28</v>
      </c>
      <c r="D1317" s="2">
        <v>45866</v>
      </c>
      <c r="E1317" s="3">
        <f t="shared" si="20"/>
        <v>45839</v>
      </c>
      <c r="F1317">
        <v>25627</v>
      </c>
      <c r="G1317" t="s">
        <v>673</v>
      </c>
      <c r="H1317" s="4">
        <v>10000</v>
      </c>
      <c r="I1317" t="s">
        <v>47</v>
      </c>
      <c r="J1317" t="s">
        <v>48</v>
      </c>
      <c r="K1317" t="s">
        <v>1354</v>
      </c>
      <c r="L1317" s="2">
        <v>45839</v>
      </c>
      <c r="M1317" t="s">
        <v>50</v>
      </c>
      <c r="N1317">
        <v>0</v>
      </c>
      <c r="O1317" t="s">
        <v>26</v>
      </c>
      <c r="P1317" t="s">
        <v>28</v>
      </c>
      <c r="Q1317">
        <v>0</v>
      </c>
    </row>
    <row r="1318" spans="1:17" x14ac:dyDescent="0.3">
      <c r="A1318" t="s">
        <v>17</v>
      </c>
      <c r="B1318">
        <v>67</v>
      </c>
      <c r="C1318" t="s">
        <v>28</v>
      </c>
      <c r="D1318" s="2">
        <v>45869</v>
      </c>
      <c r="E1318" s="3">
        <f t="shared" si="20"/>
        <v>45839</v>
      </c>
      <c r="F1318">
        <v>1104929</v>
      </c>
      <c r="G1318" t="s">
        <v>283</v>
      </c>
      <c r="H1318" s="4">
        <v>134.25</v>
      </c>
      <c r="I1318" t="s">
        <v>31</v>
      </c>
      <c r="J1318" t="s">
        <v>48</v>
      </c>
      <c r="K1318" t="s">
        <v>1355</v>
      </c>
      <c r="L1318" s="2">
        <v>45839</v>
      </c>
      <c r="M1318" t="s">
        <v>50</v>
      </c>
      <c r="N1318">
        <v>0</v>
      </c>
      <c r="O1318" t="s">
        <v>31</v>
      </c>
      <c r="P1318" t="s">
        <v>28</v>
      </c>
      <c r="Q1318">
        <v>0</v>
      </c>
    </row>
    <row r="1319" spans="1:17" x14ac:dyDescent="0.3">
      <c r="A1319" t="s">
        <v>17</v>
      </c>
      <c r="B1319">
        <v>67</v>
      </c>
      <c r="C1319" t="s">
        <v>28</v>
      </c>
      <c r="D1319" s="2">
        <v>45869</v>
      </c>
      <c r="E1319" s="3">
        <f t="shared" si="20"/>
        <v>45839</v>
      </c>
      <c r="F1319">
        <v>1104929</v>
      </c>
      <c r="G1319" t="s">
        <v>283</v>
      </c>
      <c r="H1319" s="4">
        <v>13.75</v>
      </c>
      <c r="I1319" t="s">
        <v>31</v>
      </c>
      <c r="J1319" t="s">
        <v>48</v>
      </c>
      <c r="K1319" t="s">
        <v>1356</v>
      </c>
      <c r="L1319" s="2">
        <v>45839</v>
      </c>
      <c r="M1319" t="s">
        <v>50</v>
      </c>
      <c r="N1319">
        <v>0</v>
      </c>
      <c r="O1319" t="s">
        <v>31</v>
      </c>
      <c r="P1319" t="s">
        <v>28</v>
      </c>
      <c r="Q1319">
        <v>0</v>
      </c>
    </row>
    <row r="1320" spans="1:17" x14ac:dyDescent="0.3">
      <c r="A1320" t="s">
        <v>17</v>
      </c>
      <c r="B1320">
        <v>67</v>
      </c>
      <c r="C1320" t="s">
        <v>28</v>
      </c>
      <c r="D1320" s="2">
        <v>45869</v>
      </c>
      <c r="E1320" s="3">
        <f t="shared" si="20"/>
        <v>45839</v>
      </c>
      <c r="F1320">
        <v>1104929</v>
      </c>
      <c r="G1320" t="s">
        <v>283</v>
      </c>
      <c r="H1320" s="4">
        <v>27</v>
      </c>
      <c r="I1320" t="s">
        <v>31</v>
      </c>
      <c r="J1320" t="s">
        <v>48</v>
      </c>
      <c r="K1320" t="s">
        <v>1357</v>
      </c>
      <c r="L1320" s="2">
        <v>45839</v>
      </c>
      <c r="M1320" t="s">
        <v>50</v>
      </c>
      <c r="N1320">
        <v>0</v>
      </c>
      <c r="O1320" t="s">
        <v>31</v>
      </c>
      <c r="P1320" t="s">
        <v>28</v>
      </c>
      <c r="Q1320">
        <v>0</v>
      </c>
    </row>
    <row r="1321" spans="1:17" x14ac:dyDescent="0.3">
      <c r="A1321" t="s">
        <v>17</v>
      </c>
      <c r="B1321">
        <v>67</v>
      </c>
      <c r="C1321" t="s">
        <v>28</v>
      </c>
      <c r="D1321" s="2">
        <v>45869</v>
      </c>
      <c r="E1321" s="3">
        <f t="shared" si="20"/>
        <v>45839</v>
      </c>
      <c r="F1321" t="s">
        <v>1358</v>
      </c>
      <c r="H1321" s="4">
        <v>833.33</v>
      </c>
      <c r="I1321" t="s">
        <v>31</v>
      </c>
      <c r="J1321" t="s">
        <v>48</v>
      </c>
      <c r="K1321" t="s">
        <v>937</v>
      </c>
      <c r="L1321" s="2">
        <v>45839</v>
      </c>
      <c r="M1321" t="s">
        <v>50</v>
      </c>
      <c r="N1321">
        <v>0</v>
      </c>
      <c r="O1321" t="s">
        <v>31</v>
      </c>
      <c r="P1321" t="s">
        <v>28</v>
      </c>
      <c r="Q1321">
        <v>0</v>
      </c>
    </row>
    <row r="1322" spans="1:17" x14ac:dyDescent="0.3">
      <c r="A1322" t="s">
        <v>17</v>
      </c>
      <c r="B1322">
        <v>63</v>
      </c>
      <c r="C1322" t="s">
        <v>18</v>
      </c>
      <c r="D1322" s="2">
        <v>45866</v>
      </c>
      <c r="E1322" s="3">
        <f t="shared" si="20"/>
        <v>45839</v>
      </c>
      <c r="F1322">
        <v>250728</v>
      </c>
      <c r="G1322" t="s">
        <v>271</v>
      </c>
      <c r="H1322" s="4">
        <v>800</v>
      </c>
      <c r="I1322" t="s">
        <v>47</v>
      </c>
      <c r="J1322" t="s">
        <v>272</v>
      </c>
      <c r="K1322" t="s">
        <v>1359</v>
      </c>
      <c r="L1322" s="2">
        <v>45839</v>
      </c>
      <c r="M1322" t="s">
        <v>272</v>
      </c>
      <c r="N1322">
        <v>0</v>
      </c>
      <c r="O1322" t="s">
        <v>26</v>
      </c>
      <c r="P1322" t="s">
        <v>18</v>
      </c>
      <c r="Q1322" t="s">
        <v>274</v>
      </c>
    </row>
    <row r="1323" spans="1:17" x14ac:dyDescent="0.3">
      <c r="A1323" t="s">
        <v>17</v>
      </c>
      <c r="B1323">
        <v>63</v>
      </c>
      <c r="C1323" t="s">
        <v>18</v>
      </c>
      <c r="D1323" s="2">
        <v>45866</v>
      </c>
      <c r="E1323" s="3">
        <f t="shared" si="20"/>
        <v>45839</v>
      </c>
      <c r="F1323">
        <v>250728</v>
      </c>
      <c r="G1323" t="s">
        <v>271</v>
      </c>
      <c r="H1323" s="4">
        <v>2400</v>
      </c>
      <c r="I1323" t="s">
        <v>47</v>
      </c>
      <c r="J1323" t="s">
        <v>272</v>
      </c>
      <c r="K1323" t="s">
        <v>1360</v>
      </c>
      <c r="L1323" s="2">
        <v>45839</v>
      </c>
      <c r="M1323" t="s">
        <v>272</v>
      </c>
      <c r="N1323">
        <v>0</v>
      </c>
      <c r="O1323" t="s">
        <v>26</v>
      </c>
      <c r="P1323" t="s">
        <v>18</v>
      </c>
      <c r="Q1323" t="s">
        <v>274</v>
      </c>
    </row>
    <row r="1324" spans="1:17" x14ac:dyDescent="0.3">
      <c r="A1324" t="s">
        <v>17</v>
      </c>
      <c r="B1324">
        <v>63</v>
      </c>
      <c r="C1324" t="s">
        <v>18</v>
      </c>
      <c r="D1324" s="2">
        <v>45866</v>
      </c>
      <c r="E1324" s="3">
        <f t="shared" si="20"/>
        <v>45839</v>
      </c>
      <c r="F1324">
        <v>250728</v>
      </c>
      <c r="G1324" t="s">
        <v>271</v>
      </c>
      <c r="H1324" s="4">
        <v>800</v>
      </c>
      <c r="I1324" t="s">
        <v>47</v>
      </c>
      <c r="J1324" t="s">
        <v>272</v>
      </c>
      <c r="K1324" t="s">
        <v>1361</v>
      </c>
      <c r="L1324" s="2">
        <v>45839</v>
      </c>
      <c r="M1324" t="s">
        <v>272</v>
      </c>
      <c r="N1324">
        <v>0</v>
      </c>
      <c r="O1324" t="s">
        <v>26</v>
      </c>
      <c r="P1324" t="s">
        <v>18</v>
      </c>
      <c r="Q1324" t="s">
        <v>274</v>
      </c>
    </row>
    <row r="1325" spans="1:17" x14ac:dyDescent="0.3">
      <c r="A1325" t="s">
        <v>17</v>
      </c>
      <c r="B1325">
        <v>63</v>
      </c>
      <c r="C1325" t="s">
        <v>18</v>
      </c>
      <c r="D1325" s="2">
        <v>45866</v>
      </c>
      <c r="E1325" s="3">
        <f t="shared" si="20"/>
        <v>45839</v>
      </c>
      <c r="F1325">
        <v>250728</v>
      </c>
      <c r="G1325" t="s">
        <v>271</v>
      </c>
      <c r="H1325" s="4">
        <v>3200</v>
      </c>
      <c r="I1325" t="s">
        <v>47</v>
      </c>
      <c r="J1325" t="s">
        <v>272</v>
      </c>
      <c r="K1325" t="s">
        <v>1362</v>
      </c>
      <c r="L1325" s="2">
        <v>45839</v>
      </c>
      <c r="M1325" t="s">
        <v>272</v>
      </c>
      <c r="N1325">
        <v>0</v>
      </c>
      <c r="O1325" t="s">
        <v>26</v>
      </c>
      <c r="P1325" t="s">
        <v>18</v>
      </c>
      <c r="Q1325" t="s">
        <v>274</v>
      </c>
    </row>
    <row r="1326" spans="1:17" x14ac:dyDescent="0.3">
      <c r="A1326" t="s">
        <v>17</v>
      </c>
      <c r="B1326">
        <v>63</v>
      </c>
      <c r="C1326" t="s">
        <v>18</v>
      </c>
      <c r="D1326" s="2">
        <v>45866</v>
      </c>
      <c r="E1326" s="3">
        <f t="shared" si="20"/>
        <v>45839</v>
      </c>
      <c r="F1326">
        <v>250729</v>
      </c>
      <c r="G1326" t="s">
        <v>271</v>
      </c>
      <c r="H1326" s="4">
        <v>90</v>
      </c>
      <c r="I1326" t="s">
        <v>47</v>
      </c>
      <c r="J1326" t="s">
        <v>272</v>
      </c>
      <c r="K1326" t="s">
        <v>1363</v>
      </c>
      <c r="L1326" s="2">
        <v>45839</v>
      </c>
      <c r="M1326" t="s">
        <v>272</v>
      </c>
      <c r="N1326">
        <v>0</v>
      </c>
      <c r="O1326" t="s">
        <v>26</v>
      </c>
      <c r="P1326" t="s">
        <v>18</v>
      </c>
      <c r="Q1326" t="s">
        <v>274</v>
      </c>
    </row>
    <row r="1327" spans="1:17" x14ac:dyDescent="0.3">
      <c r="A1327" t="s">
        <v>17</v>
      </c>
      <c r="B1327">
        <v>63</v>
      </c>
      <c r="C1327" t="s">
        <v>18</v>
      </c>
      <c r="D1327" s="2">
        <v>45866</v>
      </c>
      <c r="E1327" s="3">
        <f t="shared" si="20"/>
        <v>45839</v>
      </c>
      <c r="F1327">
        <v>250729</v>
      </c>
      <c r="G1327" t="s">
        <v>271</v>
      </c>
      <c r="H1327" s="4">
        <v>100</v>
      </c>
      <c r="I1327" t="s">
        <v>47</v>
      </c>
      <c r="J1327" t="s">
        <v>272</v>
      </c>
      <c r="K1327" t="s">
        <v>1364</v>
      </c>
      <c r="L1327" s="2">
        <v>45839</v>
      </c>
      <c r="M1327" t="s">
        <v>272</v>
      </c>
      <c r="N1327">
        <v>0</v>
      </c>
      <c r="O1327" t="s">
        <v>26</v>
      </c>
      <c r="P1327" t="s">
        <v>18</v>
      </c>
      <c r="Q1327" t="s">
        <v>274</v>
      </c>
    </row>
    <row r="1328" spans="1:17" x14ac:dyDescent="0.3">
      <c r="A1328" t="s">
        <v>17</v>
      </c>
      <c r="B1328">
        <v>63</v>
      </c>
      <c r="C1328" t="s">
        <v>18</v>
      </c>
      <c r="D1328" s="2">
        <v>45866</v>
      </c>
      <c r="E1328" s="3">
        <f t="shared" si="20"/>
        <v>45839</v>
      </c>
      <c r="F1328">
        <v>250729</v>
      </c>
      <c r="G1328" t="s">
        <v>271</v>
      </c>
      <c r="H1328" s="4">
        <v>1175</v>
      </c>
      <c r="I1328" t="s">
        <v>47</v>
      </c>
      <c r="J1328" t="s">
        <v>272</v>
      </c>
      <c r="K1328" t="s">
        <v>1365</v>
      </c>
      <c r="L1328" s="2">
        <v>45839</v>
      </c>
      <c r="M1328" t="s">
        <v>272</v>
      </c>
      <c r="N1328">
        <v>0</v>
      </c>
      <c r="O1328" t="s">
        <v>26</v>
      </c>
      <c r="P1328" t="s">
        <v>18</v>
      </c>
      <c r="Q1328" t="s">
        <v>274</v>
      </c>
    </row>
    <row r="1329" spans="1:17" x14ac:dyDescent="0.3">
      <c r="A1329" t="s">
        <v>17</v>
      </c>
      <c r="B1329">
        <v>63</v>
      </c>
      <c r="C1329" t="s">
        <v>18</v>
      </c>
      <c r="D1329" s="2">
        <v>45866</v>
      </c>
      <c r="E1329" s="3">
        <f t="shared" si="20"/>
        <v>45839</v>
      </c>
      <c r="F1329">
        <v>250729</v>
      </c>
      <c r="G1329" t="s">
        <v>271</v>
      </c>
      <c r="H1329" s="4">
        <v>1275</v>
      </c>
      <c r="I1329" t="s">
        <v>47</v>
      </c>
      <c r="J1329" t="s">
        <v>272</v>
      </c>
      <c r="K1329" t="s">
        <v>1366</v>
      </c>
      <c r="L1329" s="2">
        <v>45839</v>
      </c>
      <c r="M1329" t="s">
        <v>272</v>
      </c>
      <c r="N1329">
        <v>0</v>
      </c>
      <c r="O1329" t="s">
        <v>26</v>
      </c>
      <c r="P1329" t="s">
        <v>18</v>
      </c>
      <c r="Q1329" t="s">
        <v>274</v>
      </c>
    </row>
    <row r="1330" spans="1:17" x14ac:dyDescent="0.3">
      <c r="A1330" t="s">
        <v>17</v>
      </c>
      <c r="B1330">
        <v>63</v>
      </c>
      <c r="C1330" t="s">
        <v>18</v>
      </c>
      <c r="D1330" s="2">
        <v>45869</v>
      </c>
      <c r="E1330" s="3">
        <f t="shared" si="20"/>
        <v>45839</v>
      </c>
      <c r="F1330" t="s">
        <v>1367</v>
      </c>
      <c r="H1330" s="4">
        <v>40291.67</v>
      </c>
      <c r="I1330" t="s">
        <v>47</v>
      </c>
      <c r="J1330" t="s">
        <v>272</v>
      </c>
      <c r="K1330" t="s">
        <v>755</v>
      </c>
      <c r="L1330" s="2">
        <v>45839</v>
      </c>
      <c r="M1330" t="s">
        <v>272</v>
      </c>
      <c r="N1330">
        <v>0</v>
      </c>
      <c r="O1330" t="s">
        <v>26</v>
      </c>
      <c r="P1330" t="s">
        <v>18</v>
      </c>
      <c r="Q1330" t="s">
        <v>274</v>
      </c>
    </row>
    <row r="1331" spans="1:17" x14ac:dyDescent="0.3">
      <c r="A1331" t="s">
        <v>17</v>
      </c>
      <c r="B1331">
        <v>63</v>
      </c>
      <c r="C1331" t="s">
        <v>18</v>
      </c>
      <c r="D1331" s="2">
        <v>45869</v>
      </c>
      <c r="E1331" s="3">
        <f t="shared" si="20"/>
        <v>45839</v>
      </c>
      <c r="F1331" t="s">
        <v>1368</v>
      </c>
      <c r="H1331" s="4">
        <v>3333.33</v>
      </c>
      <c r="I1331" t="s">
        <v>47</v>
      </c>
      <c r="J1331" t="s">
        <v>331</v>
      </c>
      <c r="K1331" t="s">
        <v>1369</v>
      </c>
      <c r="L1331" s="2">
        <v>45839</v>
      </c>
      <c r="M1331" t="s">
        <v>333</v>
      </c>
      <c r="N1331">
        <v>0</v>
      </c>
      <c r="O1331" t="s">
        <v>26</v>
      </c>
      <c r="P1331" t="s">
        <v>18</v>
      </c>
      <c r="Q1331" t="s">
        <v>18</v>
      </c>
    </row>
    <row r="1332" spans="1:17" x14ac:dyDescent="0.3">
      <c r="A1332" t="s">
        <v>17</v>
      </c>
      <c r="B1332">
        <v>63</v>
      </c>
      <c r="C1332" t="s">
        <v>18</v>
      </c>
      <c r="D1332" s="2">
        <v>45869</v>
      </c>
      <c r="E1332" s="3">
        <f t="shared" si="20"/>
        <v>45839</v>
      </c>
      <c r="F1332" t="s">
        <v>1370</v>
      </c>
      <c r="H1332" s="4">
        <v>833.34</v>
      </c>
      <c r="I1332" t="s">
        <v>47</v>
      </c>
      <c r="J1332" t="s">
        <v>331</v>
      </c>
      <c r="K1332" t="s">
        <v>561</v>
      </c>
      <c r="L1332" s="2">
        <v>45839</v>
      </c>
      <c r="M1332" t="s">
        <v>333</v>
      </c>
      <c r="N1332">
        <v>0</v>
      </c>
      <c r="O1332" t="s">
        <v>26</v>
      </c>
      <c r="P1332" t="s">
        <v>18</v>
      </c>
      <c r="Q1332" t="s">
        <v>18</v>
      </c>
    </row>
    <row r="1333" spans="1:17" x14ac:dyDescent="0.3">
      <c r="A1333" t="s">
        <v>17</v>
      </c>
      <c r="B1333">
        <v>63</v>
      </c>
      <c r="C1333" t="s">
        <v>18</v>
      </c>
      <c r="D1333" s="2">
        <v>45869</v>
      </c>
      <c r="E1333" s="3">
        <f t="shared" si="20"/>
        <v>45839</v>
      </c>
      <c r="F1333">
        <v>5329211169</v>
      </c>
      <c r="G1333" t="s">
        <v>235</v>
      </c>
      <c r="H1333" s="4">
        <v>0.04</v>
      </c>
      <c r="I1333" t="s">
        <v>21</v>
      </c>
      <c r="J1333" t="s">
        <v>236</v>
      </c>
      <c r="K1333" t="s">
        <v>1371</v>
      </c>
      <c r="L1333" s="2">
        <v>45839</v>
      </c>
      <c r="M1333" t="s">
        <v>238</v>
      </c>
      <c r="N1333" t="s">
        <v>25</v>
      </c>
      <c r="O1333" t="s">
        <v>26</v>
      </c>
      <c r="P1333" t="s">
        <v>18</v>
      </c>
      <c r="Q1333" t="s">
        <v>239</v>
      </c>
    </row>
    <row r="1334" spans="1:17" x14ac:dyDescent="0.3">
      <c r="A1334" t="s">
        <v>17</v>
      </c>
      <c r="B1334">
        <v>63</v>
      </c>
      <c r="C1334" t="s">
        <v>18</v>
      </c>
      <c r="D1334" s="2">
        <v>45869</v>
      </c>
      <c r="E1334" s="3">
        <f t="shared" si="20"/>
        <v>45839</v>
      </c>
      <c r="F1334">
        <v>5329211169</v>
      </c>
      <c r="G1334" t="s">
        <v>235</v>
      </c>
      <c r="H1334" s="4">
        <v>2.6</v>
      </c>
      <c r="I1334" t="s">
        <v>21</v>
      </c>
      <c r="J1334" t="s">
        <v>236</v>
      </c>
      <c r="K1334" t="s">
        <v>1372</v>
      </c>
      <c r="L1334" s="2">
        <v>45839</v>
      </c>
      <c r="M1334" t="s">
        <v>238</v>
      </c>
      <c r="N1334" t="s">
        <v>25</v>
      </c>
      <c r="O1334" t="s">
        <v>26</v>
      </c>
      <c r="P1334" t="s">
        <v>18</v>
      </c>
      <c r="Q1334" t="s">
        <v>239</v>
      </c>
    </row>
    <row r="1335" spans="1:17" x14ac:dyDescent="0.3">
      <c r="A1335" t="s">
        <v>17</v>
      </c>
      <c r="B1335">
        <v>63</v>
      </c>
      <c r="C1335" t="s">
        <v>18</v>
      </c>
      <c r="D1335" s="2">
        <v>45869</v>
      </c>
      <c r="E1335" s="3">
        <f t="shared" si="20"/>
        <v>45839</v>
      </c>
      <c r="F1335">
        <v>5329211169</v>
      </c>
      <c r="G1335" t="s">
        <v>235</v>
      </c>
      <c r="H1335" s="4">
        <v>25.64</v>
      </c>
      <c r="I1335" t="s">
        <v>21</v>
      </c>
      <c r="J1335" t="s">
        <v>236</v>
      </c>
      <c r="K1335" t="s">
        <v>1373</v>
      </c>
      <c r="L1335" s="2">
        <v>45839</v>
      </c>
      <c r="M1335" t="s">
        <v>238</v>
      </c>
      <c r="N1335" t="s">
        <v>25</v>
      </c>
      <c r="O1335" t="s">
        <v>26</v>
      </c>
      <c r="P1335" t="s">
        <v>18</v>
      </c>
      <c r="Q1335" t="s">
        <v>239</v>
      </c>
    </row>
    <row r="1336" spans="1:17" x14ac:dyDescent="0.3">
      <c r="A1336" t="s">
        <v>17</v>
      </c>
      <c r="B1336">
        <v>63</v>
      </c>
      <c r="C1336" t="s">
        <v>18</v>
      </c>
      <c r="D1336" s="2">
        <v>45869</v>
      </c>
      <c r="E1336" s="3">
        <f t="shared" si="20"/>
        <v>45839</v>
      </c>
      <c r="F1336">
        <v>5329211169</v>
      </c>
      <c r="G1336" t="s">
        <v>235</v>
      </c>
      <c r="H1336" s="4">
        <v>38.89</v>
      </c>
      <c r="I1336" t="s">
        <v>21</v>
      </c>
      <c r="J1336" t="s">
        <v>236</v>
      </c>
      <c r="K1336" t="s">
        <v>1374</v>
      </c>
      <c r="L1336" s="2">
        <v>45839</v>
      </c>
      <c r="M1336" t="s">
        <v>238</v>
      </c>
      <c r="N1336" t="s">
        <v>25</v>
      </c>
      <c r="O1336" t="s">
        <v>26</v>
      </c>
      <c r="P1336" t="s">
        <v>18</v>
      </c>
      <c r="Q1336" t="s">
        <v>239</v>
      </c>
    </row>
    <row r="1337" spans="1:17" x14ac:dyDescent="0.3">
      <c r="A1337" t="s">
        <v>17</v>
      </c>
      <c r="B1337">
        <v>63</v>
      </c>
      <c r="C1337" t="s">
        <v>18</v>
      </c>
      <c r="D1337" s="2">
        <v>45869</v>
      </c>
      <c r="E1337" s="3">
        <f t="shared" si="20"/>
        <v>45839</v>
      </c>
      <c r="F1337">
        <v>5329211169</v>
      </c>
      <c r="G1337" t="s">
        <v>235</v>
      </c>
      <c r="H1337" s="4">
        <v>68.459999999999994</v>
      </c>
      <c r="I1337" t="s">
        <v>21</v>
      </c>
      <c r="J1337" t="s">
        <v>236</v>
      </c>
      <c r="K1337" t="s">
        <v>1373</v>
      </c>
      <c r="L1337" s="2">
        <v>45839</v>
      </c>
      <c r="M1337" t="s">
        <v>238</v>
      </c>
      <c r="N1337" t="s">
        <v>25</v>
      </c>
      <c r="O1337" t="s">
        <v>26</v>
      </c>
      <c r="P1337" t="s">
        <v>18</v>
      </c>
      <c r="Q1337" t="s">
        <v>239</v>
      </c>
    </row>
    <row r="1338" spans="1:17" x14ac:dyDescent="0.3">
      <c r="A1338" t="s">
        <v>17</v>
      </c>
      <c r="B1338">
        <v>63</v>
      </c>
      <c r="C1338" t="s">
        <v>18</v>
      </c>
      <c r="D1338" s="2">
        <v>45869</v>
      </c>
      <c r="E1338" s="3">
        <f t="shared" si="20"/>
        <v>45839</v>
      </c>
      <c r="F1338">
        <v>5329211169</v>
      </c>
      <c r="G1338" t="s">
        <v>235</v>
      </c>
      <c r="H1338" s="4">
        <v>467</v>
      </c>
      <c r="I1338" t="s">
        <v>21</v>
      </c>
      <c r="J1338" t="s">
        <v>236</v>
      </c>
      <c r="K1338" t="s">
        <v>1372</v>
      </c>
      <c r="L1338" s="2">
        <v>45839</v>
      </c>
      <c r="M1338" t="s">
        <v>238</v>
      </c>
      <c r="N1338" t="s">
        <v>25</v>
      </c>
      <c r="O1338" t="s">
        <v>26</v>
      </c>
      <c r="P1338" t="s">
        <v>18</v>
      </c>
      <c r="Q1338" t="s">
        <v>239</v>
      </c>
    </row>
    <row r="1339" spans="1:17" x14ac:dyDescent="0.3">
      <c r="A1339" t="s">
        <v>17</v>
      </c>
      <c r="B1339">
        <v>63</v>
      </c>
      <c r="C1339" t="s">
        <v>18</v>
      </c>
      <c r="D1339" s="2">
        <v>45869</v>
      </c>
      <c r="E1339" s="3">
        <f t="shared" si="20"/>
        <v>45839</v>
      </c>
      <c r="F1339">
        <v>5329211169</v>
      </c>
      <c r="G1339" t="s">
        <v>235</v>
      </c>
      <c r="H1339" s="4">
        <v>608.32000000000005</v>
      </c>
      <c r="I1339" t="s">
        <v>21</v>
      </c>
      <c r="J1339" t="s">
        <v>236</v>
      </c>
      <c r="K1339" t="s">
        <v>1375</v>
      </c>
      <c r="L1339" s="2">
        <v>45839</v>
      </c>
      <c r="M1339" t="s">
        <v>238</v>
      </c>
      <c r="N1339" t="s">
        <v>25</v>
      </c>
      <c r="O1339" t="s">
        <v>26</v>
      </c>
      <c r="P1339" t="s">
        <v>18</v>
      </c>
      <c r="Q1339" t="s">
        <v>239</v>
      </c>
    </row>
    <row r="1340" spans="1:17" x14ac:dyDescent="0.3">
      <c r="A1340" t="s">
        <v>17</v>
      </c>
      <c r="B1340">
        <v>63</v>
      </c>
      <c r="C1340" t="s">
        <v>18</v>
      </c>
      <c r="D1340" s="2">
        <v>45869</v>
      </c>
      <c r="E1340" s="3">
        <f t="shared" si="20"/>
        <v>45839</v>
      </c>
      <c r="F1340">
        <v>5329211169</v>
      </c>
      <c r="G1340" t="s">
        <v>235</v>
      </c>
      <c r="H1340" s="4">
        <v>2994.58</v>
      </c>
      <c r="I1340" t="s">
        <v>21</v>
      </c>
      <c r="J1340" t="s">
        <v>236</v>
      </c>
      <c r="K1340" t="s">
        <v>1376</v>
      </c>
      <c r="L1340" s="2">
        <v>45839</v>
      </c>
      <c r="M1340" t="s">
        <v>238</v>
      </c>
      <c r="N1340" t="s">
        <v>25</v>
      </c>
      <c r="O1340" t="s">
        <v>26</v>
      </c>
      <c r="P1340" t="s">
        <v>18</v>
      </c>
      <c r="Q1340" t="s">
        <v>239</v>
      </c>
    </row>
    <row r="1341" spans="1:17" x14ac:dyDescent="0.3">
      <c r="A1341" t="s">
        <v>17</v>
      </c>
      <c r="B1341">
        <v>63</v>
      </c>
      <c r="C1341" t="s">
        <v>18</v>
      </c>
      <c r="D1341" s="2">
        <v>45869</v>
      </c>
      <c r="E1341" s="3">
        <f t="shared" si="20"/>
        <v>45839</v>
      </c>
      <c r="F1341">
        <v>5329211169</v>
      </c>
      <c r="G1341" t="s">
        <v>235</v>
      </c>
      <c r="H1341" s="4">
        <v>4853.53</v>
      </c>
      <c r="I1341" t="s">
        <v>21</v>
      </c>
      <c r="J1341" t="s">
        <v>236</v>
      </c>
      <c r="K1341" t="s">
        <v>1377</v>
      </c>
      <c r="L1341" s="2">
        <v>45839</v>
      </c>
      <c r="M1341" t="s">
        <v>238</v>
      </c>
      <c r="N1341" t="s">
        <v>25</v>
      </c>
      <c r="O1341" t="s">
        <v>26</v>
      </c>
      <c r="P1341" t="s">
        <v>18</v>
      </c>
      <c r="Q1341" t="s">
        <v>239</v>
      </c>
    </row>
    <row r="1342" spans="1:17" x14ac:dyDescent="0.3">
      <c r="A1342" t="s">
        <v>17</v>
      </c>
      <c r="B1342">
        <v>63</v>
      </c>
      <c r="C1342" t="s">
        <v>18</v>
      </c>
      <c r="D1342" s="2">
        <v>45862</v>
      </c>
      <c r="E1342" s="3">
        <f t="shared" si="20"/>
        <v>45839</v>
      </c>
      <c r="F1342">
        <v>829377</v>
      </c>
      <c r="G1342" t="s">
        <v>125</v>
      </c>
      <c r="H1342" s="4">
        <v>165</v>
      </c>
      <c r="I1342" t="s">
        <v>47</v>
      </c>
      <c r="J1342" t="s">
        <v>22</v>
      </c>
      <c r="K1342" t="s">
        <v>1378</v>
      </c>
      <c r="L1342" s="2">
        <v>45839</v>
      </c>
      <c r="M1342" t="s">
        <v>24</v>
      </c>
      <c r="N1342">
        <v>0</v>
      </c>
      <c r="O1342" t="s">
        <v>26</v>
      </c>
      <c r="P1342" t="s">
        <v>18</v>
      </c>
      <c r="Q1342" t="s">
        <v>27</v>
      </c>
    </row>
    <row r="1343" spans="1:17" x14ac:dyDescent="0.3">
      <c r="A1343" t="s">
        <v>17</v>
      </c>
      <c r="B1343">
        <v>63</v>
      </c>
      <c r="C1343" t="s">
        <v>18</v>
      </c>
      <c r="D1343" s="2">
        <v>45862</v>
      </c>
      <c r="E1343" s="3">
        <f t="shared" si="20"/>
        <v>45839</v>
      </c>
      <c r="F1343">
        <v>829377</v>
      </c>
      <c r="G1343" t="s">
        <v>125</v>
      </c>
      <c r="H1343" s="4">
        <v>825</v>
      </c>
      <c r="I1343" t="s">
        <v>47</v>
      </c>
      <c r="J1343" t="s">
        <v>22</v>
      </c>
      <c r="K1343" t="s">
        <v>1379</v>
      </c>
      <c r="L1343" s="2">
        <v>45839</v>
      </c>
      <c r="M1343" t="s">
        <v>24</v>
      </c>
      <c r="N1343">
        <v>0</v>
      </c>
      <c r="O1343" t="s">
        <v>26</v>
      </c>
      <c r="P1343" t="s">
        <v>18</v>
      </c>
      <c r="Q1343" t="s">
        <v>27</v>
      </c>
    </row>
    <row r="1344" spans="1:17" x14ac:dyDescent="0.3">
      <c r="A1344" t="s">
        <v>17</v>
      </c>
      <c r="B1344">
        <v>63</v>
      </c>
      <c r="C1344" t="s">
        <v>18</v>
      </c>
      <c r="D1344" s="2">
        <v>45862</v>
      </c>
      <c r="E1344" s="3">
        <f t="shared" si="20"/>
        <v>45839</v>
      </c>
      <c r="F1344">
        <v>248021</v>
      </c>
      <c r="G1344" t="s">
        <v>1210</v>
      </c>
      <c r="H1344" s="4">
        <v>2400</v>
      </c>
      <c r="I1344" t="s">
        <v>47</v>
      </c>
      <c r="J1344" t="s">
        <v>22</v>
      </c>
      <c r="K1344" t="s">
        <v>1212</v>
      </c>
      <c r="L1344" s="2">
        <v>45839</v>
      </c>
      <c r="M1344" t="s">
        <v>24</v>
      </c>
      <c r="N1344">
        <v>0</v>
      </c>
      <c r="O1344" t="s">
        <v>26</v>
      </c>
      <c r="P1344" t="s">
        <v>18</v>
      </c>
      <c r="Q1344" t="s">
        <v>27</v>
      </c>
    </row>
    <row r="1345" spans="1:17" x14ac:dyDescent="0.3">
      <c r="A1345" t="s">
        <v>17</v>
      </c>
      <c r="B1345">
        <v>63</v>
      </c>
      <c r="C1345" t="s">
        <v>18</v>
      </c>
      <c r="D1345" s="2">
        <v>45866</v>
      </c>
      <c r="E1345" s="3">
        <f t="shared" si="20"/>
        <v>45839</v>
      </c>
      <c r="F1345">
        <v>360115</v>
      </c>
      <c r="G1345" t="s">
        <v>20</v>
      </c>
      <c r="H1345" s="4">
        <v>300</v>
      </c>
      <c r="I1345" t="s">
        <v>47</v>
      </c>
      <c r="J1345" t="s">
        <v>22</v>
      </c>
      <c r="K1345" t="s">
        <v>1380</v>
      </c>
      <c r="L1345" s="2">
        <v>45839</v>
      </c>
      <c r="M1345" t="s">
        <v>24</v>
      </c>
      <c r="N1345">
        <v>0</v>
      </c>
      <c r="O1345" t="s">
        <v>26</v>
      </c>
      <c r="P1345" t="s">
        <v>18</v>
      </c>
      <c r="Q1345" t="s">
        <v>27</v>
      </c>
    </row>
    <row r="1346" spans="1:17" x14ac:dyDescent="0.3">
      <c r="A1346" t="s">
        <v>17</v>
      </c>
      <c r="B1346">
        <v>63</v>
      </c>
      <c r="C1346" t="s">
        <v>18</v>
      </c>
      <c r="D1346" s="2">
        <v>45866</v>
      </c>
      <c r="E1346" s="3">
        <f t="shared" si="20"/>
        <v>45839</v>
      </c>
      <c r="F1346">
        <v>360115</v>
      </c>
      <c r="G1346" t="s">
        <v>20</v>
      </c>
      <c r="H1346" s="4">
        <v>1500</v>
      </c>
      <c r="I1346" t="s">
        <v>47</v>
      </c>
      <c r="J1346" t="s">
        <v>22</v>
      </c>
      <c r="K1346" t="s">
        <v>1380</v>
      </c>
      <c r="L1346" s="2">
        <v>45839</v>
      </c>
      <c r="M1346" t="s">
        <v>24</v>
      </c>
      <c r="N1346">
        <v>0</v>
      </c>
      <c r="O1346" t="s">
        <v>26</v>
      </c>
      <c r="P1346" t="s">
        <v>18</v>
      </c>
      <c r="Q1346" t="s">
        <v>27</v>
      </c>
    </row>
    <row r="1347" spans="1:17" x14ac:dyDescent="0.3">
      <c r="A1347" t="s">
        <v>17</v>
      </c>
      <c r="B1347">
        <v>63</v>
      </c>
      <c r="C1347" t="s">
        <v>18</v>
      </c>
      <c r="D1347" s="2">
        <v>45867</v>
      </c>
      <c r="E1347" s="3">
        <f t="shared" ref="E1347:E1410" si="21">IF($D1347="","",DATE(YEAR($D1347),MONTH($D1347),1))</f>
        <v>45839</v>
      </c>
      <c r="F1347">
        <v>829764</v>
      </c>
      <c r="G1347" t="s">
        <v>125</v>
      </c>
      <c r="H1347" s="4">
        <v>360</v>
      </c>
      <c r="I1347" t="s">
        <v>47</v>
      </c>
      <c r="J1347" t="s">
        <v>22</v>
      </c>
      <c r="K1347" t="s">
        <v>1381</v>
      </c>
      <c r="L1347" s="2">
        <v>45839</v>
      </c>
      <c r="M1347" t="s">
        <v>24</v>
      </c>
      <c r="N1347">
        <v>0</v>
      </c>
      <c r="O1347" t="s">
        <v>26</v>
      </c>
      <c r="P1347" t="s">
        <v>18</v>
      </c>
      <c r="Q1347" t="s">
        <v>27</v>
      </c>
    </row>
    <row r="1348" spans="1:17" x14ac:dyDescent="0.3">
      <c r="A1348" t="s">
        <v>17</v>
      </c>
      <c r="B1348">
        <v>63</v>
      </c>
      <c r="C1348" t="s">
        <v>18</v>
      </c>
      <c r="D1348" s="2">
        <v>45867</v>
      </c>
      <c r="E1348" s="3">
        <f t="shared" si="21"/>
        <v>45839</v>
      </c>
      <c r="F1348">
        <v>829764</v>
      </c>
      <c r="G1348" t="s">
        <v>125</v>
      </c>
      <c r="H1348" s="4">
        <v>600</v>
      </c>
      <c r="I1348" t="s">
        <v>47</v>
      </c>
      <c r="J1348" t="s">
        <v>22</v>
      </c>
      <c r="K1348" t="s">
        <v>1382</v>
      </c>
      <c r="L1348" s="2">
        <v>45839</v>
      </c>
      <c r="M1348" t="s">
        <v>24</v>
      </c>
      <c r="N1348">
        <v>0</v>
      </c>
      <c r="O1348" t="s">
        <v>26</v>
      </c>
      <c r="P1348" t="s">
        <v>18</v>
      </c>
      <c r="Q1348" t="s">
        <v>27</v>
      </c>
    </row>
    <row r="1349" spans="1:17" x14ac:dyDescent="0.3">
      <c r="A1349" t="s">
        <v>17</v>
      </c>
      <c r="B1349">
        <v>63</v>
      </c>
      <c r="C1349" t="s">
        <v>18</v>
      </c>
      <c r="D1349" s="2">
        <v>45867</v>
      </c>
      <c r="E1349" s="3">
        <f t="shared" si="21"/>
        <v>45839</v>
      </c>
      <c r="F1349">
        <v>829764</v>
      </c>
      <c r="G1349" t="s">
        <v>125</v>
      </c>
      <c r="H1349" s="4">
        <v>1200</v>
      </c>
      <c r="I1349" t="s">
        <v>47</v>
      </c>
      <c r="J1349" t="s">
        <v>22</v>
      </c>
      <c r="K1349" t="s">
        <v>1383</v>
      </c>
      <c r="L1349" s="2">
        <v>45839</v>
      </c>
      <c r="M1349" t="s">
        <v>24</v>
      </c>
      <c r="N1349">
        <v>0</v>
      </c>
      <c r="O1349" t="s">
        <v>26</v>
      </c>
      <c r="P1349" t="s">
        <v>18</v>
      </c>
      <c r="Q1349" t="s">
        <v>27</v>
      </c>
    </row>
    <row r="1350" spans="1:17" x14ac:dyDescent="0.3">
      <c r="A1350" t="s">
        <v>17</v>
      </c>
      <c r="B1350">
        <v>63</v>
      </c>
      <c r="C1350" t="s">
        <v>18</v>
      </c>
      <c r="D1350" s="2">
        <v>45869</v>
      </c>
      <c r="E1350" s="3">
        <f t="shared" si="21"/>
        <v>45839</v>
      </c>
      <c r="F1350" t="s">
        <v>1384</v>
      </c>
      <c r="H1350" s="4">
        <v>7623.64</v>
      </c>
      <c r="I1350" t="s">
        <v>47</v>
      </c>
      <c r="J1350" t="s">
        <v>326</v>
      </c>
      <c r="K1350" t="s">
        <v>1385</v>
      </c>
      <c r="L1350" s="2">
        <v>45839</v>
      </c>
      <c r="M1350" t="s">
        <v>328</v>
      </c>
      <c r="N1350">
        <v>0</v>
      </c>
      <c r="O1350" t="s">
        <v>26</v>
      </c>
      <c r="P1350" t="s">
        <v>18</v>
      </c>
      <c r="Q1350" t="s">
        <v>329</v>
      </c>
    </row>
    <row r="1351" spans="1:17" x14ac:dyDescent="0.3">
      <c r="A1351" t="s">
        <v>17</v>
      </c>
      <c r="B1351">
        <v>67</v>
      </c>
      <c r="C1351" t="s">
        <v>28</v>
      </c>
      <c r="D1351" s="2">
        <v>45840</v>
      </c>
      <c r="E1351" s="3">
        <f t="shared" si="21"/>
        <v>45839</v>
      </c>
      <c r="F1351" t="s">
        <v>1386</v>
      </c>
      <c r="G1351" t="s">
        <v>119</v>
      </c>
      <c r="H1351" s="4">
        <v>843.75</v>
      </c>
      <c r="I1351" t="s">
        <v>31</v>
      </c>
      <c r="J1351" t="s">
        <v>68</v>
      </c>
      <c r="K1351" t="s">
        <v>1387</v>
      </c>
      <c r="L1351" s="2">
        <v>45839</v>
      </c>
      <c r="M1351" t="s">
        <v>68</v>
      </c>
      <c r="N1351">
        <v>0</v>
      </c>
      <c r="O1351" t="s">
        <v>31</v>
      </c>
      <c r="P1351" t="s">
        <v>28</v>
      </c>
      <c r="Q1351">
        <v>0</v>
      </c>
    </row>
    <row r="1352" spans="1:17" x14ac:dyDescent="0.3">
      <c r="A1352" t="s">
        <v>17</v>
      </c>
      <c r="B1352">
        <v>67</v>
      </c>
      <c r="C1352" t="s">
        <v>28</v>
      </c>
      <c r="D1352" s="2">
        <v>45845</v>
      </c>
      <c r="E1352" s="3">
        <f t="shared" si="21"/>
        <v>45839</v>
      </c>
      <c r="F1352" t="s">
        <v>1388</v>
      </c>
      <c r="G1352" t="s">
        <v>67</v>
      </c>
      <c r="H1352" s="4">
        <v>329.44</v>
      </c>
      <c r="I1352" t="s">
        <v>31</v>
      </c>
      <c r="J1352" t="s">
        <v>68</v>
      </c>
      <c r="K1352" t="s">
        <v>1389</v>
      </c>
      <c r="L1352" s="2">
        <v>45839</v>
      </c>
      <c r="M1352" t="s">
        <v>68</v>
      </c>
      <c r="N1352">
        <v>0</v>
      </c>
      <c r="O1352" t="s">
        <v>31</v>
      </c>
      <c r="P1352" t="s">
        <v>28</v>
      </c>
      <c r="Q1352">
        <v>0</v>
      </c>
    </row>
    <row r="1353" spans="1:17" x14ac:dyDescent="0.3">
      <c r="A1353" t="s">
        <v>17</v>
      </c>
      <c r="B1353">
        <v>67</v>
      </c>
      <c r="C1353" t="s">
        <v>28</v>
      </c>
      <c r="D1353" s="2">
        <v>45845</v>
      </c>
      <c r="E1353" s="3">
        <f t="shared" si="21"/>
        <v>45839</v>
      </c>
      <c r="F1353" t="s">
        <v>1390</v>
      </c>
      <c r="G1353" t="s">
        <v>67</v>
      </c>
      <c r="H1353" s="4">
        <v>544.07000000000005</v>
      </c>
      <c r="I1353" t="s">
        <v>31</v>
      </c>
      <c r="J1353" t="s">
        <v>68</v>
      </c>
      <c r="K1353" t="s">
        <v>1389</v>
      </c>
      <c r="L1353" s="2">
        <v>45839</v>
      </c>
      <c r="M1353" t="s">
        <v>68</v>
      </c>
      <c r="N1353">
        <v>0</v>
      </c>
      <c r="O1353" t="s">
        <v>31</v>
      </c>
      <c r="P1353" t="s">
        <v>28</v>
      </c>
      <c r="Q1353">
        <v>0</v>
      </c>
    </row>
    <row r="1354" spans="1:17" x14ac:dyDescent="0.3">
      <c r="A1354" t="s">
        <v>17</v>
      </c>
      <c r="B1354">
        <v>67</v>
      </c>
      <c r="C1354" t="s">
        <v>28</v>
      </c>
      <c r="D1354" s="2">
        <v>45847</v>
      </c>
      <c r="E1354" s="3">
        <f t="shared" si="21"/>
        <v>45839</v>
      </c>
      <c r="F1354" t="s">
        <v>1391</v>
      </c>
      <c r="G1354" t="s">
        <v>119</v>
      </c>
      <c r="H1354" s="4">
        <v>1500</v>
      </c>
      <c r="I1354" t="s">
        <v>31</v>
      </c>
      <c r="J1354" t="s">
        <v>68</v>
      </c>
      <c r="L1354" s="2">
        <v>45839</v>
      </c>
      <c r="M1354" t="s">
        <v>68</v>
      </c>
      <c r="N1354">
        <v>0</v>
      </c>
      <c r="O1354" t="s">
        <v>31</v>
      </c>
      <c r="P1354" t="s">
        <v>28</v>
      </c>
      <c r="Q1354">
        <v>0</v>
      </c>
    </row>
    <row r="1355" spans="1:17" x14ac:dyDescent="0.3">
      <c r="A1355" t="s">
        <v>17</v>
      </c>
      <c r="B1355">
        <v>67</v>
      </c>
      <c r="C1355" t="s">
        <v>28</v>
      </c>
      <c r="D1355" s="2">
        <v>45847</v>
      </c>
      <c r="E1355" s="3">
        <f t="shared" si="21"/>
        <v>45839</v>
      </c>
      <c r="F1355" t="s">
        <v>1391</v>
      </c>
      <c r="G1355" t="s">
        <v>119</v>
      </c>
      <c r="H1355" s="4">
        <v>675</v>
      </c>
      <c r="I1355" t="s">
        <v>31</v>
      </c>
      <c r="J1355" t="s">
        <v>68</v>
      </c>
      <c r="K1355" t="s">
        <v>1387</v>
      </c>
      <c r="L1355" s="2">
        <v>45839</v>
      </c>
      <c r="M1355" t="s">
        <v>68</v>
      </c>
      <c r="N1355">
        <v>0</v>
      </c>
      <c r="O1355" t="s">
        <v>31</v>
      </c>
      <c r="P1355" t="s">
        <v>28</v>
      </c>
      <c r="Q1355">
        <v>0</v>
      </c>
    </row>
    <row r="1356" spans="1:17" x14ac:dyDescent="0.3">
      <c r="A1356" t="s">
        <v>17</v>
      </c>
      <c r="B1356">
        <v>67</v>
      </c>
      <c r="C1356" t="s">
        <v>28</v>
      </c>
      <c r="D1356" s="2">
        <v>45853</v>
      </c>
      <c r="E1356" s="3">
        <f t="shared" si="21"/>
        <v>45839</v>
      </c>
      <c r="F1356" t="s">
        <v>1392</v>
      </c>
      <c r="H1356" s="4">
        <v>-224.51</v>
      </c>
      <c r="I1356" t="s">
        <v>31</v>
      </c>
      <c r="J1356" t="s">
        <v>68</v>
      </c>
      <c r="K1356" t="s">
        <v>1393</v>
      </c>
      <c r="L1356" s="2">
        <v>45839</v>
      </c>
      <c r="M1356" t="s">
        <v>68</v>
      </c>
      <c r="N1356">
        <v>0</v>
      </c>
      <c r="O1356" t="s">
        <v>31</v>
      </c>
      <c r="P1356" t="s">
        <v>28</v>
      </c>
      <c r="Q1356">
        <v>0</v>
      </c>
    </row>
    <row r="1357" spans="1:17" x14ac:dyDescent="0.3">
      <c r="A1357" t="s">
        <v>17</v>
      </c>
      <c r="B1357">
        <v>67</v>
      </c>
      <c r="C1357" t="s">
        <v>28</v>
      </c>
      <c r="D1357" s="2">
        <v>45854</v>
      </c>
      <c r="E1357" s="3">
        <f t="shared" si="21"/>
        <v>45839</v>
      </c>
      <c r="F1357" t="s">
        <v>1394</v>
      </c>
      <c r="G1357" t="s">
        <v>119</v>
      </c>
      <c r="H1357" s="4">
        <v>1215</v>
      </c>
      <c r="I1357" t="s">
        <v>31</v>
      </c>
      <c r="J1357" t="s">
        <v>68</v>
      </c>
      <c r="K1357" t="s">
        <v>1395</v>
      </c>
      <c r="L1357" s="2">
        <v>45839</v>
      </c>
      <c r="M1357" t="s">
        <v>68</v>
      </c>
      <c r="N1357">
        <v>0</v>
      </c>
      <c r="O1357" t="s">
        <v>31</v>
      </c>
      <c r="P1357" t="s">
        <v>28</v>
      </c>
      <c r="Q1357">
        <v>0</v>
      </c>
    </row>
    <row r="1358" spans="1:17" x14ac:dyDescent="0.3">
      <c r="A1358" t="s">
        <v>17</v>
      </c>
      <c r="B1358">
        <v>67</v>
      </c>
      <c r="C1358" t="s">
        <v>28</v>
      </c>
      <c r="D1358" s="2">
        <v>45856</v>
      </c>
      <c r="E1358" s="3">
        <f t="shared" si="21"/>
        <v>45839</v>
      </c>
      <c r="F1358" t="s">
        <v>1396</v>
      </c>
      <c r="G1358" t="s">
        <v>67</v>
      </c>
      <c r="H1358" s="4">
        <v>319.58999999999997</v>
      </c>
      <c r="I1358" t="s">
        <v>31</v>
      </c>
      <c r="J1358" t="s">
        <v>68</v>
      </c>
      <c r="K1358" t="s">
        <v>1397</v>
      </c>
      <c r="L1358" s="2">
        <v>45839</v>
      </c>
      <c r="M1358" t="s">
        <v>68</v>
      </c>
      <c r="N1358">
        <v>0</v>
      </c>
      <c r="O1358" t="s">
        <v>31</v>
      </c>
      <c r="P1358" t="s">
        <v>28</v>
      </c>
      <c r="Q1358">
        <v>0</v>
      </c>
    </row>
    <row r="1359" spans="1:17" x14ac:dyDescent="0.3">
      <c r="A1359" t="s">
        <v>17</v>
      </c>
      <c r="B1359">
        <v>67</v>
      </c>
      <c r="C1359" t="s">
        <v>28</v>
      </c>
      <c r="D1359" s="2">
        <v>45861</v>
      </c>
      <c r="E1359" s="3">
        <f t="shared" si="21"/>
        <v>45839</v>
      </c>
      <c r="F1359" t="s">
        <v>1398</v>
      </c>
      <c r="G1359" t="s">
        <v>119</v>
      </c>
      <c r="H1359" s="4">
        <v>1181.25</v>
      </c>
      <c r="I1359" t="s">
        <v>31</v>
      </c>
      <c r="J1359" t="s">
        <v>68</v>
      </c>
      <c r="K1359" t="s">
        <v>1387</v>
      </c>
      <c r="L1359" s="2">
        <v>45839</v>
      </c>
      <c r="M1359" t="s">
        <v>68</v>
      </c>
      <c r="N1359">
        <v>0</v>
      </c>
      <c r="O1359" t="s">
        <v>31</v>
      </c>
      <c r="P1359" t="s">
        <v>28</v>
      </c>
      <c r="Q1359">
        <v>0</v>
      </c>
    </row>
    <row r="1360" spans="1:17" x14ac:dyDescent="0.3">
      <c r="A1360" t="s">
        <v>17</v>
      </c>
      <c r="B1360">
        <v>67</v>
      </c>
      <c r="C1360" t="s">
        <v>28</v>
      </c>
      <c r="D1360" s="2">
        <v>45863</v>
      </c>
      <c r="E1360" s="3">
        <f t="shared" si="21"/>
        <v>45839</v>
      </c>
      <c r="F1360" t="s">
        <v>1399</v>
      </c>
      <c r="G1360" t="s">
        <v>67</v>
      </c>
      <c r="H1360" s="4">
        <v>181.35</v>
      </c>
      <c r="I1360" t="s">
        <v>31</v>
      </c>
      <c r="J1360" t="s">
        <v>68</v>
      </c>
      <c r="K1360" t="s">
        <v>1400</v>
      </c>
      <c r="L1360" s="2">
        <v>45839</v>
      </c>
      <c r="M1360" t="s">
        <v>68</v>
      </c>
      <c r="N1360">
        <v>0</v>
      </c>
      <c r="O1360" t="s">
        <v>31</v>
      </c>
      <c r="P1360" t="s">
        <v>28</v>
      </c>
      <c r="Q1360">
        <v>0</v>
      </c>
    </row>
    <row r="1361" spans="1:17" x14ac:dyDescent="0.3">
      <c r="A1361" t="s">
        <v>17</v>
      </c>
      <c r="B1361">
        <v>67</v>
      </c>
      <c r="C1361" t="s">
        <v>28</v>
      </c>
      <c r="D1361" s="2">
        <v>45868</v>
      </c>
      <c r="E1361" s="3">
        <f t="shared" si="21"/>
        <v>45839</v>
      </c>
      <c r="F1361" t="s">
        <v>1401</v>
      </c>
      <c r="G1361" t="s">
        <v>119</v>
      </c>
      <c r="H1361" s="4">
        <v>1248.75</v>
      </c>
      <c r="I1361" t="s">
        <v>31</v>
      </c>
      <c r="J1361" t="s">
        <v>68</v>
      </c>
      <c r="K1361" t="s">
        <v>1387</v>
      </c>
      <c r="L1361" s="2">
        <v>45839</v>
      </c>
      <c r="M1361" t="s">
        <v>68</v>
      </c>
      <c r="N1361">
        <v>0</v>
      </c>
      <c r="O1361" t="s">
        <v>31</v>
      </c>
      <c r="P1361" t="s">
        <v>28</v>
      </c>
      <c r="Q1361">
        <v>0</v>
      </c>
    </row>
    <row r="1362" spans="1:17" x14ac:dyDescent="0.3">
      <c r="A1362" t="s">
        <v>17</v>
      </c>
      <c r="B1362">
        <v>65</v>
      </c>
      <c r="C1362" t="s">
        <v>54</v>
      </c>
      <c r="D1362" s="2">
        <v>45839</v>
      </c>
      <c r="E1362" s="3">
        <f t="shared" si="21"/>
        <v>45839</v>
      </c>
      <c r="F1362" t="s">
        <v>1402</v>
      </c>
      <c r="G1362" t="s">
        <v>40</v>
      </c>
      <c r="H1362" s="4">
        <v>30113.77</v>
      </c>
      <c r="I1362" t="s">
        <v>31</v>
      </c>
      <c r="J1362" t="s">
        <v>55</v>
      </c>
      <c r="K1362" t="s">
        <v>1403</v>
      </c>
      <c r="L1362" s="2">
        <v>45839</v>
      </c>
      <c r="M1362" t="s">
        <v>55</v>
      </c>
      <c r="N1362">
        <v>0</v>
      </c>
      <c r="O1362" t="s">
        <v>31</v>
      </c>
      <c r="P1362" t="s">
        <v>54</v>
      </c>
      <c r="Q1362">
        <v>0</v>
      </c>
    </row>
    <row r="1363" spans="1:17" x14ac:dyDescent="0.3">
      <c r="A1363" t="s">
        <v>17</v>
      </c>
      <c r="B1363">
        <v>65</v>
      </c>
      <c r="C1363" t="s">
        <v>54</v>
      </c>
      <c r="D1363" s="2">
        <v>45869</v>
      </c>
      <c r="E1363" s="3">
        <f t="shared" si="21"/>
        <v>45839</v>
      </c>
      <c r="F1363" t="s">
        <v>1404</v>
      </c>
      <c r="H1363" s="4">
        <v>-30113.77</v>
      </c>
      <c r="I1363" t="s">
        <v>31</v>
      </c>
      <c r="J1363" t="s">
        <v>55</v>
      </c>
      <c r="L1363" s="2">
        <v>45839</v>
      </c>
      <c r="M1363" t="s">
        <v>55</v>
      </c>
      <c r="N1363">
        <v>0</v>
      </c>
      <c r="O1363" t="s">
        <v>31</v>
      </c>
      <c r="P1363" t="s">
        <v>54</v>
      </c>
      <c r="Q1363">
        <v>0</v>
      </c>
    </row>
    <row r="1364" spans="1:17" x14ac:dyDescent="0.3">
      <c r="A1364" t="s">
        <v>17</v>
      </c>
      <c r="B1364">
        <v>68</v>
      </c>
      <c r="C1364" t="s">
        <v>34</v>
      </c>
      <c r="D1364" s="2">
        <v>45847</v>
      </c>
      <c r="E1364" s="3">
        <f t="shared" si="21"/>
        <v>45839</v>
      </c>
      <c r="F1364" t="s">
        <v>1329</v>
      </c>
      <c r="G1364" t="s">
        <v>1227</v>
      </c>
      <c r="H1364" s="4">
        <v>48.51</v>
      </c>
      <c r="I1364" t="s">
        <v>47</v>
      </c>
      <c r="J1364" t="s">
        <v>79</v>
      </c>
      <c r="K1364" t="s">
        <v>1405</v>
      </c>
      <c r="L1364" s="2">
        <v>45839</v>
      </c>
      <c r="M1364" t="s">
        <v>79</v>
      </c>
      <c r="N1364">
        <v>0</v>
      </c>
      <c r="O1364" t="s">
        <v>26</v>
      </c>
      <c r="P1364" t="s">
        <v>34</v>
      </c>
      <c r="Q1364">
        <v>0</v>
      </c>
    </row>
    <row r="1365" spans="1:17" x14ac:dyDescent="0.3">
      <c r="A1365" t="s">
        <v>17</v>
      </c>
      <c r="B1365">
        <v>68</v>
      </c>
      <c r="C1365" t="s">
        <v>34</v>
      </c>
      <c r="D1365" s="2">
        <v>45848</v>
      </c>
      <c r="E1365" s="3">
        <f t="shared" si="21"/>
        <v>45839</v>
      </c>
      <c r="F1365">
        <v>6206</v>
      </c>
      <c r="G1365" t="s">
        <v>131</v>
      </c>
      <c r="H1365" s="4">
        <v>84.31</v>
      </c>
      <c r="I1365" t="s">
        <v>31</v>
      </c>
      <c r="J1365" t="s">
        <v>79</v>
      </c>
      <c r="K1365" t="s">
        <v>1276</v>
      </c>
      <c r="L1365" s="2">
        <v>45839</v>
      </c>
      <c r="M1365" t="s">
        <v>79</v>
      </c>
      <c r="N1365">
        <v>0</v>
      </c>
      <c r="O1365" t="s">
        <v>31</v>
      </c>
      <c r="P1365" t="s">
        <v>34</v>
      </c>
      <c r="Q1365">
        <v>0</v>
      </c>
    </row>
    <row r="1366" spans="1:17" x14ac:dyDescent="0.3">
      <c r="A1366" t="s">
        <v>17</v>
      </c>
      <c r="B1366">
        <v>68</v>
      </c>
      <c r="C1366" t="s">
        <v>34</v>
      </c>
      <c r="D1366" s="2">
        <v>45848</v>
      </c>
      <c r="E1366" s="3">
        <f t="shared" si="21"/>
        <v>45839</v>
      </c>
      <c r="F1366">
        <v>6206</v>
      </c>
      <c r="G1366" t="s">
        <v>131</v>
      </c>
      <c r="H1366" s="4">
        <v>950</v>
      </c>
      <c r="I1366" t="s">
        <v>31</v>
      </c>
      <c r="J1366" t="s">
        <v>79</v>
      </c>
      <c r="K1366" t="s">
        <v>1406</v>
      </c>
      <c r="L1366" s="2">
        <v>45839</v>
      </c>
      <c r="M1366" t="s">
        <v>79</v>
      </c>
      <c r="N1366">
        <v>0</v>
      </c>
      <c r="O1366" t="s">
        <v>31</v>
      </c>
      <c r="P1366" t="s">
        <v>34</v>
      </c>
      <c r="Q1366">
        <v>0</v>
      </c>
    </row>
    <row r="1367" spans="1:17" x14ac:dyDescent="0.3">
      <c r="A1367" t="s">
        <v>17</v>
      </c>
      <c r="B1367">
        <v>68</v>
      </c>
      <c r="C1367" t="s">
        <v>34</v>
      </c>
      <c r="D1367" s="2">
        <v>45869</v>
      </c>
      <c r="E1367" s="3">
        <f t="shared" si="21"/>
        <v>45839</v>
      </c>
      <c r="F1367" t="s">
        <v>1407</v>
      </c>
      <c r="G1367" t="s">
        <v>266</v>
      </c>
      <c r="H1367" s="4">
        <v>22.39</v>
      </c>
      <c r="I1367" t="s">
        <v>31</v>
      </c>
      <c r="J1367" t="s">
        <v>79</v>
      </c>
      <c r="K1367" t="s">
        <v>1408</v>
      </c>
      <c r="L1367" s="2">
        <v>45839</v>
      </c>
      <c r="M1367" t="s">
        <v>79</v>
      </c>
      <c r="N1367">
        <v>0</v>
      </c>
      <c r="O1367" t="s">
        <v>31</v>
      </c>
      <c r="P1367" t="s">
        <v>34</v>
      </c>
      <c r="Q1367">
        <v>0</v>
      </c>
    </row>
    <row r="1368" spans="1:17" x14ac:dyDescent="0.3">
      <c r="A1368" t="s">
        <v>17</v>
      </c>
      <c r="B1368">
        <v>68</v>
      </c>
      <c r="C1368" t="s">
        <v>34</v>
      </c>
      <c r="D1368" s="2">
        <v>45869</v>
      </c>
      <c r="E1368" s="3">
        <f t="shared" si="21"/>
        <v>45839</v>
      </c>
      <c r="F1368" t="s">
        <v>1407</v>
      </c>
      <c r="G1368" t="s">
        <v>266</v>
      </c>
      <c r="H1368" s="4">
        <v>29.98</v>
      </c>
      <c r="I1368" t="s">
        <v>31</v>
      </c>
      <c r="J1368" t="s">
        <v>79</v>
      </c>
      <c r="K1368" t="s">
        <v>1409</v>
      </c>
      <c r="L1368" s="2">
        <v>45839</v>
      </c>
      <c r="M1368" t="s">
        <v>79</v>
      </c>
      <c r="N1368">
        <v>0</v>
      </c>
      <c r="O1368" t="s">
        <v>31</v>
      </c>
      <c r="P1368" t="s">
        <v>34</v>
      </c>
      <c r="Q1368">
        <v>0</v>
      </c>
    </row>
    <row r="1369" spans="1:17" x14ac:dyDescent="0.3">
      <c r="A1369" t="s">
        <v>17</v>
      </c>
      <c r="B1369">
        <v>68</v>
      </c>
      <c r="C1369" t="s">
        <v>34</v>
      </c>
      <c r="D1369" s="2">
        <v>45869</v>
      </c>
      <c r="E1369" s="3">
        <f t="shared" si="21"/>
        <v>45839</v>
      </c>
      <c r="F1369" t="s">
        <v>1407</v>
      </c>
      <c r="G1369" t="s">
        <v>266</v>
      </c>
      <c r="H1369" s="4">
        <v>109.89</v>
      </c>
      <c r="I1369" t="s">
        <v>31</v>
      </c>
      <c r="J1369" t="s">
        <v>79</v>
      </c>
      <c r="K1369" t="s">
        <v>1410</v>
      </c>
      <c r="L1369" s="2">
        <v>45839</v>
      </c>
      <c r="M1369" t="s">
        <v>79</v>
      </c>
      <c r="N1369">
        <v>0</v>
      </c>
      <c r="O1369" t="s">
        <v>31</v>
      </c>
      <c r="P1369" t="s">
        <v>34</v>
      </c>
      <c r="Q1369">
        <v>0</v>
      </c>
    </row>
    <row r="1370" spans="1:17" x14ac:dyDescent="0.3">
      <c r="A1370" t="s">
        <v>17</v>
      </c>
      <c r="B1370">
        <v>68</v>
      </c>
      <c r="C1370" t="s">
        <v>34</v>
      </c>
      <c r="D1370" s="2">
        <v>45869</v>
      </c>
      <c r="E1370" s="3">
        <f t="shared" si="21"/>
        <v>45839</v>
      </c>
      <c r="F1370" t="s">
        <v>1411</v>
      </c>
      <c r="H1370" s="4">
        <v>80.69</v>
      </c>
      <c r="I1370" t="s">
        <v>31</v>
      </c>
      <c r="J1370" t="s">
        <v>79</v>
      </c>
      <c r="K1370" t="s">
        <v>1412</v>
      </c>
      <c r="L1370" s="2">
        <v>45839</v>
      </c>
      <c r="M1370" t="s">
        <v>79</v>
      </c>
      <c r="N1370">
        <v>0</v>
      </c>
      <c r="O1370" t="s">
        <v>31</v>
      </c>
      <c r="P1370" t="s">
        <v>34</v>
      </c>
      <c r="Q1370">
        <v>0</v>
      </c>
    </row>
    <row r="1371" spans="1:17" x14ac:dyDescent="0.3">
      <c r="A1371" t="s">
        <v>17</v>
      </c>
      <c r="B1371">
        <v>68</v>
      </c>
      <c r="C1371" t="s">
        <v>34</v>
      </c>
      <c r="D1371" s="2">
        <v>45869</v>
      </c>
      <c r="E1371" s="3">
        <f t="shared" si="21"/>
        <v>45839</v>
      </c>
      <c r="F1371" t="s">
        <v>1413</v>
      </c>
      <c r="H1371" s="4">
        <v>131.19999999999999</v>
      </c>
      <c r="I1371" t="s">
        <v>21</v>
      </c>
      <c r="J1371" t="s">
        <v>79</v>
      </c>
      <c r="K1371" t="s">
        <v>320</v>
      </c>
      <c r="L1371" s="2">
        <v>45839</v>
      </c>
      <c r="M1371" t="s">
        <v>79</v>
      </c>
      <c r="N1371" t="s">
        <v>25</v>
      </c>
      <c r="O1371" t="s">
        <v>81</v>
      </c>
      <c r="P1371" t="s">
        <v>34</v>
      </c>
      <c r="Q1371">
        <v>0</v>
      </c>
    </row>
    <row r="1372" spans="1:17" x14ac:dyDescent="0.3">
      <c r="A1372" t="s">
        <v>17</v>
      </c>
      <c r="B1372">
        <v>66</v>
      </c>
      <c r="C1372" t="s">
        <v>134</v>
      </c>
      <c r="D1372" s="2">
        <v>45869</v>
      </c>
      <c r="E1372" s="3">
        <f t="shared" si="21"/>
        <v>45839</v>
      </c>
      <c r="F1372" t="s">
        <v>1414</v>
      </c>
      <c r="G1372" t="s">
        <v>254</v>
      </c>
      <c r="H1372" s="4">
        <v>500</v>
      </c>
      <c r="I1372" t="s">
        <v>108</v>
      </c>
      <c r="J1372" t="s">
        <v>255</v>
      </c>
      <c r="K1372" t="s">
        <v>1415</v>
      </c>
      <c r="L1372" s="2">
        <v>45839</v>
      </c>
      <c r="M1372" t="s">
        <v>257</v>
      </c>
      <c r="N1372">
        <v>0</v>
      </c>
      <c r="O1372" t="s">
        <v>111</v>
      </c>
      <c r="P1372" t="s">
        <v>134</v>
      </c>
      <c r="Q1372">
        <v>0</v>
      </c>
    </row>
    <row r="1373" spans="1:17" x14ac:dyDescent="0.3">
      <c r="A1373" t="s">
        <v>17</v>
      </c>
      <c r="B1373">
        <v>66</v>
      </c>
      <c r="C1373" t="s">
        <v>134</v>
      </c>
      <c r="D1373" s="2">
        <v>45869</v>
      </c>
      <c r="E1373" s="3">
        <f t="shared" si="21"/>
        <v>45839</v>
      </c>
      <c r="F1373" t="s">
        <v>1414</v>
      </c>
      <c r="G1373" t="s">
        <v>254</v>
      </c>
      <c r="H1373" s="4">
        <v>600</v>
      </c>
      <c r="I1373" t="s">
        <v>108</v>
      </c>
      <c r="J1373" t="s">
        <v>255</v>
      </c>
      <c r="K1373" t="s">
        <v>1416</v>
      </c>
      <c r="L1373" s="2">
        <v>45839</v>
      </c>
      <c r="M1373" t="s">
        <v>257</v>
      </c>
      <c r="N1373">
        <v>0</v>
      </c>
      <c r="O1373" t="s">
        <v>111</v>
      </c>
      <c r="P1373" t="s">
        <v>134</v>
      </c>
      <c r="Q1373">
        <v>0</v>
      </c>
    </row>
    <row r="1374" spans="1:17" x14ac:dyDescent="0.3">
      <c r="A1374" t="s">
        <v>17</v>
      </c>
      <c r="B1374">
        <v>66</v>
      </c>
      <c r="C1374" t="s">
        <v>134</v>
      </c>
      <c r="D1374" s="2">
        <v>45869</v>
      </c>
      <c r="E1374" s="3">
        <f t="shared" si="21"/>
        <v>45839</v>
      </c>
      <c r="F1374" t="s">
        <v>1414</v>
      </c>
      <c r="G1374" t="s">
        <v>254</v>
      </c>
      <c r="H1374" s="4">
        <v>200</v>
      </c>
      <c r="I1374" t="s">
        <v>108</v>
      </c>
      <c r="J1374" t="s">
        <v>255</v>
      </c>
      <c r="K1374" t="s">
        <v>1417</v>
      </c>
      <c r="L1374" s="2">
        <v>45839</v>
      </c>
      <c r="M1374" t="s">
        <v>257</v>
      </c>
      <c r="N1374">
        <v>0</v>
      </c>
      <c r="O1374" t="s">
        <v>111</v>
      </c>
      <c r="P1374" t="s">
        <v>134</v>
      </c>
      <c r="Q1374">
        <v>0</v>
      </c>
    </row>
    <row r="1375" spans="1:17" x14ac:dyDescent="0.3">
      <c r="A1375" t="s">
        <v>17</v>
      </c>
      <c r="B1375">
        <v>66</v>
      </c>
      <c r="C1375" t="s">
        <v>134</v>
      </c>
      <c r="D1375" s="2">
        <v>45869</v>
      </c>
      <c r="E1375" s="3">
        <f t="shared" si="21"/>
        <v>45839</v>
      </c>
      <c r="F1375" t="s">
        <v>1418</v>
      </c>
      <c r="H1375" s="4">
        <v>1300</v>
      </c>
      <c r="I1375" t="s">
        <v>108</v>
      </c>
      <c r="J1375" t="s">
        <v>255</v>
      </c>
      <c r="K1375" t="s">
        <v>1419</v>
      </c>
      <c r="L1375" s="2">
        <v>45839</v>
      </c>
      <c r="M1375" t="s">
        <v>257</v>
      </c>
      <c r="N1375">
        <v>0</v>
      </c>
      <c r="O1375" t="s">
        <v>111</v>
      </c>
      <c r="P1375" t="s">
        <v>134</v>
      </c>
      <c r="Q1375">
        <v>0</v>
      </c>
    </row>
    <row r="1376" spans="1:17" x14ac:dyDescent="0.3">
      <c r="A1376" t="s">
        <v>17</v>
      </c>
      <c r="B1376">
        <v>66</v>
      </c>
      <c r="C1376" t="s">
        <v>134</v>
      </c>
      <c r="D1376" s="2">
        <v>45839</v>
      </c>
      <c r="E1376" s="3">
        <f t="shared" si="21"/>
        <v>45839</v>
      </c>
      <c r="F1376" t="s">
        <v>1420</v>
      </c>
      <c r="G1376" t="s">
        <v>136</v>
      </c>
      <c r="H1376" s="4">
        <v>2422</v>
      </c>
      <c r="I1376" t="s">
        <v>108</v>
      </c>
      <c r="J1376" t="s">
        <v>138</v>
      </c>
      <c r="K1376" t="s">
        <v>1421</v>
      </c>
      <c r="L1376" s="2">
        <v>45839</v>
      </c>
      <c r="M1376" t="s">
        <v>140</v>
      </c>
      <c r="N1376">
        <v>0</v>
      </c>
      <c r="O1376" t="s">
        <v>111</v>
      </c>
      <c r="P1376" t="s">
        <v>134</v>
      </c>
      <c r="Q1376">
        <v>0</v>
      </c>
    </row>
    <row r="1377" spans="1:17" x14ac:dyDescent="0.3">
      <c r="A1377" t="s">
        <v>17</v>
      </c>
      <c r="B1377">
        <v>66</v>
      </c>
      <c r="C1377" t="s">
        <v>134</v>
      </c>
      <c r="D1377" s="2">
        <v>45869</v>
      </c>
      <c r="E1377" s="3">
        <f t="shared" si="21"/>
        <v>45839</v>
      </c>
      <c r="F1377" t="s">
        <v>1332</v>
      </c>
      <c r="G1377" t="s">
        <v>158</v>
      </c>
      <c r="H1377" s="4">
        <v>173.26</v>
      </c>
      <c r="I1377" t="s">
        <v>159</v>
      </c>
      <c r="J1377" t="s">
        <v>223</v>
      </c>
      <c r="K1377" t="s">
        <v>1422</v>
      </c>
      <c r="L1377" s="2">
        <v>45839</v>
      </c>
      <c r="M1377" t="s">
        <v>223</v>
      </c>
      <c r="N1377">
        <v>0</v>
      </c>
      <c r="O1377" t="s">
        <v>111</v>
      </c>
      <c r="P1377" t="s">
        <v>134</v>
      </c>
      <c r="Q1377">
        <v>0</v>
      </c>
    </row>
    <row r="1378" spans="1:17" x14ac:dyDescent="0.3">
      <c r="A1378" t="s">
        <v>17</v>
      </c>
      <c r="B1378">
        <v>68</v>
      </c>
      <c r="C1378" t="s">
        <v>34</v>
      </c>
      <c r="D1378" s="2">
        <v>45839</v>
      </c>
      <c r="E1378" s="3">
        <f t="shared" si="21"/>
        <v>45839</v>
      </c>
      <c r="F1378" t="s">
        <v>1423</v>
      </c>
      <c r="G1378" t="s">
        <v>107</v>
      </c>
      <c r="H1378" s="4">
        <v>57.76</v>
      </c>
      <c r="I1378" t="s">
        <v>108</v>
      </c>
      <c r="J1378" t="s">
        <v>109</v>
      </c>
      <c r="K1378" t="s">
        <v>1424</v>
      </c>
      <c r="L1378" s="2">
        <v>45839</v>
      </c>
      <c r="M1378" t="s">
        <v>109</v>
      </c>
      <c r="N1378">
        <v>0</v>
      </c>
      <c r="O1378" t="s">
        <v>111</v>
      </c>
      <c r="P1378" t="s">
        <v>112</v>
      </c>
      <c r="Q1378" t="s">
        <v>113</v>
      </c>
    </row>
    <row r="1379" spans="1:17" x14ac:dyDescent="0.3">
      <c r="A1379" t="s">
        <v>17</v>
      </c>
      <c r="B1379">
        <v>68</v>
      </c>
      <c r="C1379" t="s">
        <v>34</v>
      </c>
      <c r="D1379" s="2">
        <v>45846</v>
      </c>
      <c r="E1379" s="3">
        <f t="shared" si="21"/>
        <v>45839</v>
      </c>
      <c r="F1379" t="s">
        <v>1425</v>
      </c>
      <c r="G1379" t="s">
        <v>107</v>
      </c>
      <c r="H1379" s="4">
        <v>4.2</v>
      </c>
      <c r="I1379" t="s">
        <v>108</v>
      </c>
      <c r="J1379" t="s">
        <v>109</v>
      </c>
      <c r="K1379" t="s">
        <v>1426</v>
      </c>
      <c r="L1379" s="2">
        <v>45839</v>
      </c>
      <c r="M1379" t="s">
        <v>109</v>
      </c>
      <c r="N1379">
        <v>0</v>
      </c>
      <c r="O1379" t="s">
        <v>111</v>
      </c>
      <c r="P1379" t="s">
        <v>112</v>
      </c>
      <c r="Q1379" t="s">
        <v>113</v>
      </c>
    </row>
    <row r="1380" spans="1:17" x14ac:dyDescent="0.3">
      <c r="A1380" t="s">
        <v>17</v>
      </c>
      <c r="B1380">
        <v>68</v>
      </c>
      <c r="C1380" t="s">
        <v>34</v>
      </c>
      <c r="D1380" s="2">
        <v>45846</v>
      </c>
      <c r="E1380" s="3">
        <f t="shared" si="21"/>
        <v>45839</v>
      </c>
      <c r="F1380" t="s">
        <v>1425</v>
      </c>
      <c r="G1380" t="s">
        <v>107</v>
      </c>
      <c r="H1380" s="4">
        <v>1.5</v>
      </c>
      <c r="I1380" t="s">
        <v>108</v>
      </c>
      <c r="J1380" t="s">
        <v>109</v>
      </c>
      <c r="K1380" t="s">
        <v>1427</v>
      </c>
      <c r="L1380" s="2">
        <v>45839</v>
      </c>
      <c r="M1380" t="s">
        <v>109</v>
      </c>
      <c r="N1380">
        <v>0</v>
      </c>
      <c r="O1380" t="s">
        <v>111</v>
      </c>
      <c r="P1380" t="s">
        <v>112</v>
      </c>
      <c r="Q1380" t="s">
        <v>113</v>
      </c>
    </row>
    <row r="1381" spans="1:17" x14ac:dyDescent="0.3">
      <c r="A1381" t="s">
        <v>17</v>
      </c>
      <c r="B1381">
        <v>68</v>
      </c>
      <c r="C1381" t="s">
        <v>34</v>
      </c>
      <c r="D1381" s="2">
        <v>45846</v>
      </c>
      <c r="E1381" s="3">
        <f t="shared" si="21"/>
        <v>45839</v>
      </c>
      <c r="F1381" t="s">
        <v>1425</v>
      </c>
      <c r="G1381" t="s">
        <v>107</v>
      </c>
      <c r="H1381" s="4">
        <v>27</v>
      </c>
      <c r="I1381" t="s">
        <v>108</v>
      </c>
      <c r="J1381" t="s">
        <v>109</v>
      </c>
      <c r="K1381" t="s">
        <v>1428</v>
      </c>
      <c r="L1381" s="2">
        <v>45839</v>
      </c>
      <c r="M1381" t="s">
        <v>109</v>
      </c>
      <c r="N1381">
        <v>0</v>
      </c>
      <c r="O1381" t="s">
        <v>111</v>
      </c>
      <c r="P1381" t="s">
        <v>112</v>
      </c>
      <c r="Q1381" t="s">
        <v>113</v>
      </c>
    </row>
    <row r="1382" spans="1:17" x14ac:dyDescent="0.3">
      <c r="A1382" t="s">
        <v>17</v>
      </c>
      <c r="B1382">
        <v>68</v>
      </c>
      <c r="C1382" t="s">
        <v>34</v>
      </c>
      <c r="D1382" s="2">
        <v>45846</v>
      </c>
      <c r="E1382" s="3">
        <f t="shared" si="21"/>
        <v>45839</v>
      </c>
      <c r="F1382" t="s">
        <v>1425</v>
      </c>
      <c r="G1382" t="s">
        <v>107</v>
      </c>
      <c r="H1382" s="4">
        <v>153.41</v>
      </c>
      <c r="I1382" t="s">
        <v>108</v>
      </c>
      <c r="J1382" t="s">
        <v>109</v>
      </c>
      <c r="K1382" t="s">
        <v>1429</v>
      </c>
      <c r="L1382" s="2">
        <v>45839</v>
      </c>
      <c r="M1382" t="s">
        <v>109</v>
      </c>
      <c r="N1382">
        <v>0</v>
      </c>
      <c r="O1382" t="s">
        <v>111</v>
      </c>
      <c r="P1382" t="s">
        <v>112</v>
      </c>
      <c r="Q1382" t="s">
        <v>113</v>
      </c>
    </row>
    <row r="1383" spans="1:17" x14ac:dyDescent="0.3">
      <c r="A1383" t="s">
        <v>17</v>
      </c>
      <c r="B1383">
        <v>68</v>
      </c>
      <c r="C1383" t="s">
        <v>34</v>
      </c>
      <c r="D1383" s="2">
        <v>45846</v>
      </c>
      <c r="E1383" s="3">
        <f t="shared" si="21"/>
        <v>45839</v>
      </c>
      <c r="F1383" t="s">
        <v>1425</v>
      </c>
      <c r="G1383" t="s">
        <v>107</v>
      </c>
      <c r="H1383" s="4">
        <v>-422.77</v>
      </c>
      <c r="I1383" t="s">
        <v>108</v>
      </c>
      <c r="J1383" t="s">
        <v>109</v>
      </c>
      <c r="K1383" t="s">
        <v>1430</v>
      </c>
      <c r="L1383" s="2">
        <v>45839</v>
      </c>
      <c r="M1383" t="s">
        <v>109</v>
      </c>
      <c r="N1383">
        <v>0</v>
      </c>
      <c r="O1383" t="s">
        <v>111</v>
      </c>
      <c r="P1383" t="s">
        <v>112</v>
      </c>
      <c r="Q1383" t="s">
        <v>113</v>
      </c>
    </row>
    <row r="1384" spans="1:17" x14ac:dyDescent="0.3">
      <c r="A1384" t="s">
        <v>17</v>
      </c>
      <c r="B1384">
        <v>68</v>
      </c>
      <c r="C1384" t="s">
        <v>34</v>
      </c>
      <c r="D1384" s="2">
        <v>45846</v>
      </c>
      <c r="E1384" s="3">
        <f t="shared" si="21"/>
        <v>45839</v>
      </c>
      <c r="F1384" t="s">
        <v>1425</v>
      </c>
      <c r="G1384" t="s">
        <v>107</v>
      </c>
      <c r="H1384" s="4">
        <v>939.48</v>
      </c>
      <c r="I1384" t="s">
        <v>108</v>
      </c>
      <c r="J1384" t="s">
        <v>109</v>
      </c>
      <c r="K1384" t="s">
        <v>1431</v>
      </c>
      <c r="L1384" s="2">
        <v>45839</v>
      </c>
      <c r="M1384" t="s">
        <v>109</v>
      </c>
      <c r="N1384">
        <v>0</v>
      </c>
      <c r="O1384" t="s">
        <v>111</v>
      </c>
      <c r="P1384" t="s">
        <v>112</v>
      </c>
      <c r="Q1384" t="s">
        <v>113</v>
      </c>
    </row>
    <row r="1385" spans="1:17" x14ac:dyDescent="0.3">
      <c r="A1385" t="s">
        <v>17</v>
      </c>
      <c r="B1385">
        <v>68</v>
      </c>
      <c r="C1385" t="s">
        <v>34</v>
      </c>
      <c r="D1385" s="2">
        <v>45847</v>
      </c>
      <c r="E1385" s="3">
        <f t="shared" si="21"/>
        <v>45839</v>
      </c>
      <c r="F1385" t="s">
        <v>1327</v>
      </c>
      <c r="G1385" t="s">
        <v>824</v>
      </c>
      <c r="H1385" s="4">
        <v>24.76</v>
      </c>
      <c r="I1385" t="s">
        <v>108</v>
      </c>
      <c r="J1385" t="s">
        <v>109</v>
      </c>
      <c r="K1385" t="s">
        <v>1169</v>
      </c>
      <c r="L1385" s="2">
        <v>45839</v>
      </c>
      <c r="M1385" t="s">
        <v>109</v>
      </c>
      <c r="N1385">
        <v>0</v>
      </c>
      <c r="O1385" t="s">
        <v>111</v>
      </c>
      <c r="P1385" t="s">
        <v>112</v>
      </c>
      <c r="Q1385" t="s">
        <v>113</v>
      </c>
    </row>
    <row r="1386" spans="1:17" x14ac:dyDescent="0.3">
      <c r="A1386" t="s">
        <v>17</v>
      </c>
      <c r="B1386">
        <v>68</v>
      </c>
      <c r="C1386" t="s">
        <v>34</v>
      </c>
      <c r="D1386" s="2">
        <v>45847</v>
      </c>
      <c r="E1386" s="3">
        <f t="shared" si="21"/>
        <v>45839</v>
      </c>
      <c r="F1386" t="s">
        <v>1432</v>
      </c>
      <c r="G1386" t="s">
        <v>122</v>
      </c>
      <c r="H1386" s="4">
        <v>855.48</v>
      </c>
      <c r="I1386" t="s">
        <v>108</v>
      </c>
      <c r="J1386" t="s">
        <v>109</v>
      </c>
      <c r="K1386" t="s">
        <v>1433</v>
      </c>
      <c r="L1386" s="2">
        <v>45839</v>
      </c>
      <c r="M1386" t="s">
        <v>109</v>
      </c>
      <c r="N1386">
        <v>0</v>
      </c>
      <c r="O1386" t="s">
        <v>111</v>
      </c>
      <c r="P1386" t="s">
        <v>112</v>
      </c>
      <c r="Q1386" t="s">
        <v>113</v>
      </c>
    </row>
    <row r="1387" spans="1:17" x14ac:dyDescent="0.3">
      <c r="A1387" t="s">
        <v>17</v>
      </c>
      <c r="B1387">
        <v>68</v>
      </c>
      <c r="C1387" t="s">
        <v>34</v>
      </c>
      <c r="D1387" s="2">
        <v>45847</v>
      </c>
      <c r="E1387" s="3">
        <f t="shared" si="21"/>
        <v>45839</v>
      </c>
      <c r="F1387" t="s">
        <v>1432</v>
      </c>
      <c r="G1387" t="s">
        <v>122</v>
      </c>
      <c r="H1387" s="4">
        <v>104.63</v>
      </c>
      <c r="I1387" t="s">
        <v>108</v>
      </c>
      <c r="J1387" t="s">
        <v>109</v>
      </c>
      <c r="K1387" t="s">
        <v>1288</v>
      </c>
      <c r="L1387" s="2">
        <v>45839</v>
      </c>
      <c r="M1387" t="s">
        <v>109</v>
      </c>
      <c r="N1387">
        <v>0</v>
      </c>
      <c r="O1387" t="s">
        <v>111</v>
      </c>
      <c r="P1387" t="s">
        <v>112</v>
      </c>
      <c r="Q1387" t="s">
        <v>113</v>
      </c>
    </row>
    <row r="1388" spans="1:17" x14ac:dyDescent="0.3">
      <c r="A1388" t="s">
        <v>17</v>
      </c>
      <c r="B1388">
        <v>68</v>
      </c>
      <c r="C1388" t="s">
        <v>34</v>
      </c>
      <c r="D1388" s="2">
        <v>45854</v>
      </c>
      <c r="E1388" s="3">
        <f t="shared" si="21"/>
        <v>45839</v>
      </c>
      <c r="F1388" t="s">
        <v>1434</v>
      </c>
      <c r="G1388" t="s">
        <v>122</v>
      </c>
      <c r="H1388" s="4">
        <v>863</v>
      </c>
      <c r="I1388" t="s">
        <v>108</v>
      </c>
      <c r="J1388" t="s">
        <v>109</v>
      </c>
      <c r="K1388" t="s">
        <v>388</v>
      </c>
      <c r="L1388" s="2">
        <v>45839</v>
      </c>
      <c r="M1388" t="s">
        <v>109</v>
      </c>
      <c r="N1388">
        <v>0</v>
      </c>
      <c r="O1388" t="s">
        <v>111</v>
      </c>
      <c r="P1388" t="s">
        <v>112</v>
      </c>
      <c r="Q1388" t="s">
        <v>113</v>
      </c>
    </row>
    <row r="1389" spans="1:17" x14ac:dyDescent="0.3">
      <c r="A1389" t="s">
        <v>17</v>
      </c>
      <c r="B1389">
        <v>68</v>
      </c>
      <c r="C1389" t="s">
        <v>34</v>
      </c>
      <c r="D1389" s="2">
        <v>45854</v>
      </c>
      <c r="E1389" s="3">
        <f t="shared" si="21"/>
        <v>45839</v>
      </c>
      <c r="F1389" t="s">
        <v>1435</v>
      </c>
      <c r="G1389" t="s">
        <v>122</v>
      </c>
      <c r="H1389" s="4">
        <v>0.36</v>
      </c>
      <c r="I1389" t="s">
        <v>108</v>
      </c>
      <c r="J1389" t="s">
        <v>109</v>
      </c>
      <c r="K1389" t="s">
        <v>1436</v>
      </c>
      <c r="L1389" s="2">
        <v>45839</v>
      </c>
      <c r="M1389" t="s">
        <v>109</v>
      </c>
      <c r="N1389">
        <v>0</v>
      </c>
      <c r="O1389" t="s">
        <v>111</v>
      </c>
      <c r="P1389" t="s">
        <v>112</v>
      </c>
      <c r="Q1389" t="s">
        <v>113</v>
      </c>
    </row>
    <row r="1390" spans="1:17" x14ac:dyDescent="0.3">
      <c r="A1390" t="s">
        <v>17</v>
      </c>
      <c r="B1390">
        <v>68</v>
      </c>
      <c r="C1390" t="s">
        <v>34</v>
      </c>
      <c r="D1390" s="2">
        <v>45854</v>
      </c>
      <c r="E1390" s="3">
        <f t="shared" si="21"/>
        <v>45839</v>
      </c>
      <c r="F1390" t="s">
        <v>1435</v>
      </c>
      <c r="G1390" t="s">
        <v>122</v>
      </c>
      <c r="H1390" s="4">
        <v>11.95</v>
      </c>
      <c r="I1390" t="s">
        <v>108</v>
      </c>
      <c r="J1390" t="s">
        <v>109</v>
      </c>
      <c r="K1390" t="s">
        <v>1437</v>
      </c>
      <c r="L1390" s="2">
        <v>45839</v>
      </c>
      <c r="M1390" t="s">
        <v>109</v>
      </c>
      <c r="N1390">
        <v>0</v>
      </c>
      <c r="O1390" t="s">
        <v>111</v>
      </c>
      <c r="P1390" t="s">
        <v>112</v>
      </c>
      <c r="Q1390" t="s">
        <v>113</v>
      </c>
    </row>
    <row r="1391" spans="1:17" x14ac:dyDescent="0.3">
      <c r="A1391" t="s">
        <v>17</v>
      </c>
      <c r="B1391">
        <v>68</v>
      </c>
      <c r="C1391" t="s">
        <v>34</v>
      </c>
      <c r="D1391" s="2">
        <v>45854</v>
      </c>
      <c r="E1391" s="3">
        <f t="shared" si="21"/>
        <v>45839</v>
      </c>
      <c r="F1391" t="s">
        <v>1435</v>
      </c>
      <c r="G1391" t="s">
        <v>122</v>
      </c>
      <c r="H1391" s="4">
        <v>4.4000000000000004</v>
      </c>
      <c r="I1391" t="s">
        <v>108</v>
      </c>
      <c r="J1391" t="s">
        <v>109</v>
      </c>
      <c r="K1391" t="s">
        <v>1438</v>
      </c>
      <c r="L1391" s="2">
        <v>45839</v>
      </c>
      <c r="M1391" t="s">
        <v>109</v>
      </c>
      <c r="N1391">
        <v>0</v>
      </c>
      <c r="O1391" t="s">
        <v>111</v>
      </c>
      <c r="P1391" t="s">
        <v>112</v>
      </c>
      <c r="Q1391" t="s">
        <v>113</v>
      </c>
    </row>
    <row r="1392" spans="1:17" x14ac:dyDescent="0.3">
      <c r="A1392" t="s">
        <v>17</v>
      </c>
      <c r="B1392">
        <v>68</v>
      </c>
      <c r="C1392" t="s">
        <v>34</v>
      </c>
      <c r="D1392" s="2">
        <v>45854</v>
      </c>
      <c r="E1392" s="3">
        <f t="shared" si="21"/>
        <v>45839</v>
      </c>
      <c r="F1392" t="s">
        <v>1435</v>
      </c>
      <c r="G1392" t="s">
        <v>122</v>
      </c>
      <c r="H1392" s="4">
        <v>6</v>
      </c>
      <c r="I1392" t="s">
        <v>108</v>
      </c>
      <c r="J1392" t="s">
        <v>109</v>
      </c>
      <c r="K1392" t="s">
        <v>1439</v>
      </c>
      <c r="L1392" s="2">
        <v>45839</v>
      </c>
      <c r="M1392" t="s">
        <v>109</v>
      </c>
      <c r="N1392">
        <v>0</v>
      </c>
      <c r="O1392" t="s">
        <v>111</v>
      </c>
      <c r="P1392" t="s">
        <v>112</v>
      </c>
      <c r="Q1392" t="s">
        <v>113</v>
      </c>
    </row>
    <row r="1393" spans="1:17" x14ac:dyDescent="0.3">
      <c r="A1393" t="s">
        <v>17</v>
      </c>
      <c r="B1393">
        <v>68</v>
      </c>
      <c r="C1393" t="s">
        <v>34</v>
      </c>
      <c r="D1393" s="2">
        <v>45854</v>
      </c>
      <c r="E1393" s="3">
        <f t="shared" si="21"/>
        <v>45839</v>
      </c>
      <c r="F1393" t="s">
        <v>1435</v>
      </c>
      <c r="G1393" t="s">
        <v>122</v>
      </c>
      <c r="H1393" s="4">
        <v>58.51</v>
      </c>
      <c r="I1393" t="s">
        <v>108</v>
      </c>
      <c r="J1393" t="s">
        <v>109</v>
      </c>
      <c r="K1393" t="s">
        <v>1440</v>
      </c>
      <c r="L1393" s="2">
        <v>45839</v>
      </c>
      <c r="M1393" t="s">
        <v>109</v>
      </c>
      <c r="N1393">
        <v>0</v>
      </c>
      <c r="O1393" t="s">
        <v>111</v>
      </c>
      <c r="P1393" t="s">
        <v>112</v>
      </c>
      <c r="Q1393" t="s">
        <v>113</v>
      </c>
    </row>
    <row r="1394" spans="1:17" x14ac:dyDescent="0.3">
      <c r="A1394" t="s">
        <v>17</v>
      </c>
      <c r="B1394">
        <v>68</v>
      </c>
      <c r="C1394" t="s">
        <v>34</v>
      </c>
      <c r="D1394" s="2">
        <v>45855</v>
      </c>
      <c r="E1394" s="3">
        <f t="shared" si="21"/>
        <v>45839</v>
      </c>
      <c r="F1394" t="s">
        <v>1441</v>
      </c>
      <c r="G1394" t="s">
        <v>122</v>
      </c>
      <c r="H1394" s="4">
        <v>91.42</v>
      </c>
      <c r="I1394" t="s">
        <v>108</v>
      </c>
      <c r="J1394" t="s">
        <v>109</v>
      </c>
      <c r="K1394" t="s">
        <v>1442</v>
      </c>
      <c r="L1394" s="2">
        <v>45839</v>
      </c>
      <c r="M1394" t="s">
        <v>109</v>
      </c>
      <c r="N1394">
        <v>0</v>
      </c>
      <c r="O1394" t="s">
        <v>111</v>
      </c>
      <c r="P1394" t="s">
        <v>112</v>
      </c>
      <c r="Q1394" t="s">
        <v>113</v>
      </c>
    </row>
    <row r="1395" spans="1:17" x14ac:dyDescent="0.3">
      <c r="A1395" t="s">
        <v>17</v>
      </c>
      <c r="B1395">
        <v>68</v>
      </c>
      <c r="C1395" t="s">
        <v>34</v>
      </c>
      <c r="D1395" s="2">
        <v>45861</v>
      </c>
      <c r="E1395" s="3">
        <f t="shared" si="21"/>
        <v>45839</v>
      </c>
      <c r="F1395" t="s">
        <v>1443</v>
      </c>
      <c r="G1395" t="s">
        <v>122</v>
      </c>
      <c r="H1395" s="4">
        <v>1136.55</v>
      </c>
      <c r="I1395" t="s">
        <v>108</v>
      </c>
      <c r="J1395" t="s">
        <v>109</v>
      </c>
      <c r="K1395" t="s">
        <v>388</v>
      </c>
      <c r="L1395" s="2">
        <v>45839</v>
      </c>
      <c r="M1395" t="s">
        <v>109</v>
      </c>
      <c r="N1395">
        <v>0</v>
      </c>
      <c r="O1395" t="s">
        <v>111</v>
      </c>
      <c r="P1395" t="s">
        <v>112</v>
      </c>
      <c r="Q1395" t="s">
        <v>113</v>
      </c>
    </row>
    <row r="1396" spans="1:17" x14ac:dyDescent="0.3">
      <c r="A1396" t="s">
        <v>17</v>
      </c>
      <c r="B1396">
        <v>68</v>
      </c>
      <c r="C1396" t="s">
        <v>34</v>
      </c>
      <c r="D1396" s="2">
        <v>45863</v>
      </c>
      <c r="E1396" s="3">
        <f t="shared" si="21"/>
        <v>45839</v>
      </c>
      <c r="F1396" t="s">
        <v>1444</v>
      </c>
      <c r="G1396" t="s">
        <v>1445</v>
      </c>
      <c r="H1396" s="4">
        <v>285</v>
      </c>
      <c r="I1396" t="s">
        <v>31</v>
      </c>
      <c r="J1396" t="s">
        <v>109</v>
      </c>
      <c r="K1396" t="s">
        <v>1446</v>
      </c>
      <c r="L1396" s="2">
        <v>45839</v>
      </c>
      <c r="M1396" t="s">
        <v>109</v>
      </c>
      <c r="N1396">
        <v>0</v>
      </c>
      <c r="O1396" t="s">
        <v>31</v>
      </c>
      <c r="P1396" t="s">
        <v>112</v>
      </c>
      <c r="Q1396" t="s">
        <v>113</v>
      </c>
    </row>
    <row r="1397" spans="1:17" x14ac:dyDescent="0.3">
      <c r="A1397" t="s">
        <v>17</v>
      </c>
      <c r="B1397">
        <v>68</v>
      </c>
      <c r="C1397" t="s">
        <v>34</v>
      </c>
      <c r="D1397" s="2">
        <v>45866</v>
      </c>
      <c r="E1397" s="3">
        <f t="shared" si="21"/>
        <v>45839</v>
      </c>
      <c r="F1397" t="s">
        <v>1447</v>
      </c>
      <c r="G1397" t="s">
        <v>107</v>
      </c>
      <c r="H1397" s="4">
        <v>175.56</v>
      </c>
      <c r="I1397" t="s">
        <v>108</v>
      </c>
      <c r="J1397" t="s">
        <v>109</v>
      </c>
      <c r="K1397" t="s">
        <v>1448</v>
      </c>
      <c r="L1397" s="2">
        <v>45839</v>
      </c>
      <c r="M1397" t="s">
        <v>109</v>
      </c>
      <c r="N1397">
        <v>0</v>
      </c>
      <c r="O1397" t="s">
        <v>111</v>
      </c>
      <c r="P1397" t="s">
        <v>112</v>
      </c>
      <c r="Q1397" t="s">
        <v>113</v>
      </c>
    </row>
    <row r="1398" spans="1:17" x14ac:dyDescent="0.3">
      <c r="A1398" t="s">
        <v>17</v>
      </c>
      <c r="B1398">
        <v>68</v>
      </c>
      <c r="C1398" t="s">
        <v>34</v>
      </c>
      <c r="D1398" s="2">
        <v>45868</v>
      </c>
      <c r="E1398" s="3">
        <f t="shared" si="21"/>
        <v>45839</v>
      </c>
      <c r="F1398" t="s">
        <v>1449</v>
      </c>
      <c r="G1398" t="s">
        <v>122</v>
      </c>
      <c r="H1398" s="4">
        <v>3.48</v>
      </c>
      <c r="I1398" t="s">
        <v>108</v>
      </c>
      <c r="J1398" t="s">
        <v>109</v>
      </c>
      <c r="K1398" t="s">
        <v>1450</v>
      </c>
      <c r="L1398" s="2">
        <v>45839</v>
      </c>
      <c r="M1398" t="s">
        <v>109</v>
      </c>
      <c r="N1398">
        <v>0</v>
      </c>
      <c r="O1398" t="s">
        <v>111</v>
      </c>
      <c r="P1398" t="s">
        <v>112</v>
      </c>
      <c r="Q1398" t="s">
        <v>113</v>
      </c>
    </row>
    <row r="1399" spans="1:17" x14ac:dyDescent="0.3">
      <c r="A1399" t="s">
        <v>17</v>
      </c>
      <c r="B1399">
        <v>68</v>
      </c>
      <c r="C1399" t="s">
        <v>34</v>
      </c>
      <c r="D1399" s="2">
        <v>45868</v>
      </c>
      <c r="E1399" s="3">
        <f t="shared" si="21"/>
        <v>45839</v>
      </c>
      <c r="F1399" t="s">
        <v>1449</v>
      </c>
      <c r="G1399" t="s">
        <v>122</v>
      </c>
      <c r="H1399" s="4">
        <v>17</v>
      </c>
      <c r="I1399" t="s">
        <v>108</v>
      </c>
      <c r="J1399" t="s">
        <v>109</v>
      </c>
      <c r="K1399" t="s">
        <v>1451</v>
      </c>
      <c r="L1399" s="2">
        <v>45839</v>
      </c>
      <c r="M1399" t="s">
        <v>109</v>
      </c>
      <c r="N1399">
        <v>0</v>
      </c>
      <c r="O1399" t="s">
        <v>111</v>
      </c>
      <c r="P1399" t="s">
        <v>112</v>
      </c>
      <c r="Q1399" t="s">
        <v>113</v>
      </c>
    </row>
    <row r="1400" spans="1:17" x14ac:dyDescent="0.3">
      <c r="A1400" t="s">
        <v>17</v>
      </c>
      <c r="B1400">
        <v>68</v>
      </c>
      <c r="C1400" t="s">
        <v>34</v>
      </c>
      <c r="D1400" s="2">
        <v>45868</v>
      </c>
      <c r="E1400" s="3">
        <f t="shared" si="21"/>
        <v>45839</v>
      </c>
      <c r="F1400" t="s">
        <v>1449</v>
      </c>
      <c r="G1400" t="s">
        <v>122</v>
      </c>
      <c r="H1400" s="4">
        <v>1.31</v>
      </c>
      <c r="I1400" t="s">
        <v>108</v>
      </c>
      <c r="J1400" t="s">
        <v>109</v>
      </c>
      <c r="K1400" t="s">
        <v>1452</v>
      </c>
      <c r="L1400" s="2">
        <v>45839</v>
      </c>
      <c r="M1400" t="s">
        <v>109</v>
      </c>
      <c r="N1400">
        <v>0</v>
      </c>
      <c r="O1400" t="s">
        <v>111</v>
      </c>
      <c r="P1400" t="s">
        <v>112</v>
      </c>
      <c r="Q1400" t="s">
        <v>113</v>
      </c>
    </row>
    <row r="1401" spans="1:17" x14ac:dyDescent="0.3">
      <c r="A1401" t="s">
        <v>17</v>
      </c>
      <c r="B1401">
        <v>68</v>
      </c>
      <c r="C1401" t="s">
        <v>34</v>
      </c>
      <c r="D1401" s="2">
        <v>45868</v>
      </c>
      <c r="E1401" s="3">
        <f t="shared" si="21"/>
        <v>45839</v>
      </c>
      <c r="F1401" t="s">
        <v>1453</v>
      </c>
      <c r="G1401" t="s">
        <v>122</v>
      </c>
      <c r="H1401" s="4">
        <v>2.98</v>
      </c>
      <c r="I1401" t="s">
        <v>108</v>
      </c>
      <c r="J1401" t="s">
        <v>109</v>
      </c>
      <c r="L1401" s="2">
        <v>45839</v>
      </c>
      <c r="M1401" t="s">
        <v>109</v>
      </c>
      <c r="N1401">
        <v>0</v>
      </c>
      <c r="O1401" t="s">
        <v>111</v>
      </c>
      <c r="P1401" t="s">
        <v>112</v>
      </c>
      <c r="Q1401" t="s">
        <v>113</v>
      </c>
    </row>
    <row r="1402" spans="1:17" x14ac:dyDescent="0.3">
      <c r="A1402" t="s">
        <v>17</v>
      </c>
      <c r="B1402">
        <v>68</v>
      </c>
      <c r="C1402" t="s">
        <v>34</v>
      </c>
      <c r="D1402" s="2">
        <v>45868</v>
      </c>
      <c r="E1402" s="3">
        <f t="shared" si="21"/>
        <v>45839</v>
      </c>
      <c r="F1402" t="s">
        <v>1453</v>
      </c>
      <c r="G1402" t="s">
        <v>122</v>
      </c>
      <c r="H1402" s="4">
        <v>17</v>
      </c>
      <c r="I1402" t="s">
        <v>108</v>
      </c>
      <c r="J1402" t="s">
        <v>109</v>
      </c>
      <c r="L1402" s="2">
        <v>45839</v>
      </c>
      <c r="M1402" t="s">
        <v>109</v>
      </c>
      <c r="N1402">
        <v>0</v>
      </c>
      <c r="O1402" t="s">
        <v>111</v>
      </c>
      <c r="P1402" t="s">
        <v>112</v>
      </c>
      <c r="Q1402" t="s">
        <v>113</v>
      </c>
    </row>
    <row r="1403" spans="1:17" x14ac:dyDescent="0.3">
      <c r="A1403" t="s">
        <v>17</v>
      </c>
      <c r="B1403">
        <v>68</v>
      </c>
      <c r="C1403" t="s">
        <v>34</v>
      </c>
      <c r="D1403" s="2">
        <v>45868</v>
      </c>
      <c r="E1403" s="3">
        <f t="shared" si="21"/>
        <v>45839</v>
      </c>
      <c r="F1403" t="s">
        <v>1453</v>
      </c>
      <c r="G1403" t="s">
        <v>122</v>
      </c>
      <c r="H1403" s="4">
        <v>1.31</v>
      </c>
      <c r="I1403" t="s">
        <v>108</v>
      </c>
      <c r="J1403" t="s">
        <v>109</v>
      </c>
      <c r="L1403" s="2">
        <v>45839</v>
      </c>
      <c r="M1403" t="s">
        <v>109</v>
      </c>
      <c r="N1403">
        <v>0</v>
      </c>
      <c r="O1403" t="s">
        <v>111</v>
      </c>
      <c r="P1403" t="s">
        <v>112</v>
      </c>
      <c r="Q1403" t="s">
        <v>113</v>
      </c>
    </row>
    <row r="1404" spans="1:17" x14ac:dyDescent="0.3">
      <c r="A1404" t="s">
        <v>17</v>
      </c>
      <c r="B1404">
        <v>68</v>
      </c>
      <c r="C1404" t="s">
        <v>34</v>
      </c>
      <c r="D1404" s="2">
        <v>45869</v>
      </c>
      <c r="E1404" s="3">
        <f t="shared" si="21"/>
        <v>45839</v>
      </c>
      <c r="F1404" t="s">
        <v>1454</v>
      </c>
      <c r="G1404" t="s">
        <v>122</v>
      </c>
      <c r="H1404" s="4">
        <v>20.96</v>
      </c>
      <c r="I1404" t="s">
        <v>108</v>
      </c>
      <c r="J1404" t="s">
        <v>109</v>
      </c>
      <c r="K1404" t="s">
        <v>1450</v>
      </c>
      <c r="L1404" s="2">
        <v>45839</v>
      </c>
      <c r="M1404" t="s">
        <v>109</v>
      </c>
      <c r="N1404">
        <v>0</v>
      </c>
      <c r="O1404" t="s">
        <v>111</v>
      </c>
      <c r="P1404" t="s">
        <v>112</v>
      </c>
      <c r="Q1404" t="s">
        <v>113</v>
      </c>
    </row>
    <row r="1405" spans="1:17" x14ac:dyDescent="0.3">
      <c r="A1405" t="s">
        <v>17</v>
      </c>
      <c r="B1405">
        <v>68</v>
      </c>
      <c r="C1405" t="s">
        <v>34</v>
      </c>
      <c r="D1405" s="2">
        <v>45869</v>
      </c>
      <c r="E1405" s="3">
        <f t="shared" si="21"/>
        <v>45839</v>
      </c>
      <c r="F1405" t="s">
        <v>1454</v>
      </c>
      <c r="G1405" t="s">
        <v>122</v>
      </c>
      <c r="H1405" s="4">
        <v>17</v>
      </c>
      <c r="I1405" t="s">
        <v>108</v>
      </c>
      <c r="J1405" t="s">
        <v>109</v>
      </c>
      <c r="K1405" t="s">
        <v>1455</v>
      </c>
      <c r="L1405" s="2">
        <v>45839</v>
      </c>
      <c r="M1405" t="s">
        <v>109</v>
      </c>
      <c r="N1405">
        <v>0</v>
      </c>
      <c r="O1405" t="s">
        <v>111</v>
      </c>
      <c r="P1405" t="s">
        <v>112</v>
      </c>
      <c r="Q1405" t="s">
        <v>113</v>
      </c>
    </row>
    <row r="1406" spans="1:17" x14ac:dyDescent="0.3">
      <c r="A1406" t="s">
        <v>17</v>
      </c>
      <c r="B1406">
        <v>68</v>
      </c>
      <c r="C1406" t="s">
        <v>34</v>
      </c>
      <c r="D1406" s="2">
        <v>45869</v>
      </c>
      <c r="E1406" s="3">
        <f t="shared" si="21"/>
        <v>45839</v>
      </c>
      <c r="F1406" t="s">
        <v>1454</v>
      </c>
      <c r="G1406" t="s">
        <v>122</v>
      </c>
      <c r="H1406" s="4">
        <v>1.31</v>
      </c>
      <c r="I1406" t="s">
        <v>108</v>
      </c>
      <c r="J1406" t="s">
        <v>109</v>
      </c>
      <c r="K1406" t="s">
        <v>1452</v>
      </c>
      <c r="L1406" s="2">
        <v>45839</v>
      </c>
      <c r="M1406" t="s">
        <v>109</v>
      </c>
      <c r="N1406">
        <v>0</v>
      </c>
      <c r="O1406" t="s">
        <v>111</v>
      </c>
      <c r="P1406" t="s">
        <v>112</v>
      </c>
      <c r="Q1406" t="s">
        <v>113</v>
      </c>
    </row>
    <row r="1407" spans="1:17" x14ac:dyDescent="0.3">
      <c r="A1407" t="s">
        <v>17</v>
      </c>
      <c r="B1407">
        <v>68</v>
      </c>
      <c r="C1407" t="s">
        <v>34</v>
      </c>
      <c r="D1407" s="2">
        <v>45869</v>
      </c>
      <c r="E1407" s="3">
        <f t="shared" si="21"/>
        <v>45839</v>
      </c>
      <c r="F1407" t="s">
        <v>1456</v>
      </c>
      <c r="G1407" t="s">
        <v>122</v>
      </c>
      <c r="H1407" s="4">
        <v>4.4800000000000004</v>
      </c>
      <c r="I1407" t="s">
        <v>108</v>
      </c>
      <c r="J1407" t="s">
        <v>109</v>
      </c>
      <c r="L1407" s="2">
        <v>45839</v>
      </c>
      <c r="M1407" t="s">
        <v>109</v>
      </c>
      <c r="N1407">
        <v>0</v>
      </c>
      <c r="O1407" t="s">
        <v>111</v>
      </c>
      <c r="P1407" t="s">
        <v>112</v>
      </c>
      <c r="Q1407" t="s">
        <v>113</v>
      </c>
    </row>
    <row r="1408" spans="1:17" x14ac:dyDescent="0.3">
      <c r="A1408" t="s">
        <v>17</v>
      </c>
      <c r="B1408">
        <v>68</v>
      </c>
      <c r="C1408" t="s">
        <v>34</v>
      </c>
      <c r="D1408" s="2">
        <v>45869</v>
      </c>
      <c r="E1408" s="3">
        <f t="shared" si="21"/>
        <v>45839</v>
      </c>
      <c r="F1408" t="s">
        <v>1456</v>
      </c>
      <c r="G1408" t="s">
        <v>122</v>
      </c>
      <c r="H1408" s="4">
        <v>17</v>
      </c>
      <c r="I1408" t="s">
        <v>108</v>
      </c>
      <c r="J1408" t="s">
        <v>109</v>
      </c>
      <c r="K1408" t="s">
        <v>1455</v>
      </c>
      <c r="L1408" s="2">
        <v>45839</v>
      </c>
      <c r="M1408" t="s">
        <v>109</v>
      </c>
      <c r="N1408">
        <v>0</v>
      </c>
      <c r="O1408" t="s">
        <v>111</v>
      </c>
      <c r="P1408" t="s">
        <v>112</v>
      </c>
      <c r="Q1408" t="s">
        <v>113</v>
      </c>
    </row>
    <row r="1409" spans="1:17" x14ac:dyDescent="0.3">
      <c r="A1409" t="s">
        <v>17</v>
      </c>
      <c r="B1409">
        <v>68</v>
      </c>
      <c r="C1409" t="s">
        <v>34</v>
      </c>
      <c r="D1409" s="2">
        <v>45869</v>
      </c>
      <c r="E1409" s="3">
        <f t="shared" si="21"/>
        <v>45839</v>
      </c>
      <c r="F1409" t="s">
        <v>1456</v>
      </c>
      <c r="G1409" t="s">
        <v>122</v>
      </c>
      <c r="H1409" s="4">
        <v>1.31</v>
      </c>
      <c r="I1409" t="s">
        <v>108</v>
      </c>
      <c r="J1409" t="s">
        <v>109</v>
      </c>
      <c r="K1409" t="s">
        <v>1457</v>
      </c>
      <c r="L1409" s="2">
        <v>45839</v>
      </c>
      <c r="M1409" t="s">
        <v>109</v>
      </c>
      <c r="N1409">
        <v>0</v>
      </c>
      <c r="O1409" t="s">
        <v>111</v>
      </c>
      <c r="P1409" t="s">
        <v>112</v>
      </c>
      <c r="Q1409" t="s">
        <v>113</v>
      </c>
    </row>
    <row r="1410" spans="1:17" x14ac:dyDescent="0.3">
      <c r="A1410" t="s">
        <v>17</v>
      </c>
      <c r="B1410">
        <v>68</v>
      </c>
      <c r="C1410" t="s">
        <v>34</v>
      </c>
      <c r="D1410" s="2">
        <v>45869</v>
      </c>
      <c r="E1410" s="3">
        <f t="shared" si="21"/>
        <v>45839</v>
      </c>
      <c r="F1410" t="s">
        <v>1458</v>
      </c>
      <c r="G1410" t="s">
        <v>122</v>
      </c>
      <c r="H1410" s="4">
        <v>14.6</v>
      </c>
      <c r="I1410" t="s">
        <v>108</v>
      </c>
      <c r="J1410" t="s">
        <v>109</v>
      </c>
      <c r="L1410" s="2">
        <v>45839</v>
      </c>
      <c r="M1410" t="s">
        <v>109</v>
      </c>
      <c r="N1410">
        <v>0</v>
      </c>
      <c r="O1410" t="s">
        <v>111</v>
      </c>
      <c r="P1410" t="s">
        <v>112</v>
      </c>
      <c r="Q1410" t="s">
        <v>113</v>
      </c>
    </row>
    <row r="1411" spans="1:17" x14ac:dyDescent="0.3">
      <c r="A1411" t="s">
        <v>17</v>
      </c>
      <c r="B1411">
        <v>68</v>
      </c>
      <c r="C1411" t="s">
        <v>34</v>
      </c>
      <c r="D1411" s="2">
        <v>45869</v>
      </c>
      <c r="E1411" s="3">
        <f t="shared" ref="E1411:E1474" si="22">IF($D1411="","",DATE(YEAR($D1411),MONTH($D1411),1))</f>
        <v>45839</v>
      </c>
      <c r="F1411" t="s">
        <v>1458</v>
      </c>
      <c r="G1411" t="s">
        <v>122</v>
      </c>
      <c r="H1411" s="4">
        <v>17</v>
      </c>
      <c r="I1411" t="s">
        <v>108</v>
      </c>
      <c r="J1411" t="s">
        <v>109</v>
      </c>
      <c r="L1411" s="2">
        <v>45839</v>
      </c>
      <c r="M1411" t="s">
        <v>109</v>
      </c>
      <c r="N1411">
        <v>0</v>
      </c>
      <c r="O1411" t="s">
        <v>111</v>
      </c>
      <c r="P1411" t="s">
        <v>112</v>
      </c>
      <c r="Q1411" t="s">
        <v>113</v>
      </c>
    </row>
    <row r="1412" spans="1:17" x14ac:dyDescent="0.3">
      <c r="A1412" t="s">
        <v>17</v>
      </c>
      <c r="B1412">
        <v>68</v>
      </c>
      <c r="C1412" t="s">
        <v>34</v>
      </c>
      <c r="D1412" s="2">
        <v>45869</v>
      </c>
      <c r="E1412" s="3">
        <f t="shared" si="22"/>
        <v>45839</v>
      </c>
      <c r="F1412" t="s">
        <v>1458</v>
      </c>
      <c r="G1412" t="s">
        <v>122</v>
      </c>
      <c r="H1412" s="4">
        <v>1.31</v>
      </c>
      <c r="I1412" t="s">
        <v>108</v>
      </c>
      <c r="J1412" t="s">
        <v>109</v>
      </c>
      <c r="L1412" s="2">
        <v>45839</v>
      </c>
      <c r="M1412" t="s">
        <v>109</v>
      </c>
      <c r="N1412">
        <v>0</v>
      </c>
      <c r="O1412" t="s">
        <v>111</v>
      </c>
      <c r="P1412" t="s">
        <v>112</v>
      </c>
      <c r="Q1412" t="s">
        <v>113</v>
      </c>
    </row>
    <row r="1413" spans="1:17" x14ac:dyDescent="0.3">
      <c r="A1413" t="s">
        <v>17</v>
      </c>
      <c r="B1413">
        <v>68</v>
      </c>
      <c r="C1413" t="s">
        <v>34</v>
      </c>
      <c r="D1413" s="2">
        <v>45869</v>
      </c>
      <c r="E1413" s="3">
        <f t="shared" si="22"/>
        <v>45839</v>
      </c>
      <c r="F1413" t="s">
        <v>1459</v>
      </c>
      <c r="G1413" t="s">
        <v>122</v>
      </c>
      <c r="H1413" s="4">
        <v>1495.82</v>
      </c>
      <c r="I1413" t="s">
        <v>108</v>
      </c>
      <c r="J1413" t="s">
        <v>109</v>
      </c>
      <c r="K1413" t="s">
        <v>1287</v>
      </c>
      <c r="L1413" s="2">
        <v>45839</v>
      </c>
      <c r="M1413" t="s">
        <v>109</v>
      </c>
      <c r="N1413">
        <v>0</v>
      </c>
      <c r="O1413" t="s">
        <v>111</v>
      </c>
      <c r="P1413" t="s">
        <v>112</v>
      </c>
      <c r="Q1413" t="s">
        <v>113</v>
      </c>
    </row>
    <row r="1414" spans="1:17" x14ac:dyDescent="0.3">
      <c r="A1414" t="s">
        <v>17</v>
      </c>
      <c r="B1414">
        <v>68</v>
      </c>
      <c r="C1414" t="s">
        <v>34</v>
      </c>
      <c r="D1414" s="2">
        <v>45869</v>
      </c>
      <c r="E1414" s="3">
        <f t="shared" si="22"/>
        <v>45839</v>
      </c>
      <c r="F1414" t="s">
        <v>1459</v>
      </c>
      <c r="G1414" t="s">
        <v>122</v>
      </c>
      <c r="H1414" s="4">
        <v>181.05</v>
      </c>
      <c r="I1414" t="s">
        <v>108</v>
      </c>
      <c r="J1414" t="s">
        <v>109</v>
      </c>
      <c r="K1414" t="s">
        <v>1288</v>
      </c>
      <c r="L1414" s="2">
        <v>45839</v>
      </c>
      <c r="M1414" t="s">
        <v>109</v>
      </c>
      <c r="N1414">
        <v>0</v>
      </c>
      <c r="O1414" t="s">
        <v>111</v>
      </c>
      <c r="P1414" t="s">
        <v>112</v>
      </c>
      <c r="Q1414" t="s">
        <v>113</v>
      </c>
    </row>
    <row r="1415" spans="1:17" x14ac:dyDescent="0.3">
      <c r="A1415" t="s">
        <v>17</v>
      </c>
      <c r="B1415">
        <v>68</v>
      </c>
      <c r="C1415" t="s">
        <v>34</v>
      </c>
      <c r="D1415" s="2">
        <v>45869</v>
      </c>
      <c r="E1415" s="3">
        <f t="shared" si="22"/>
        <v>45839</v>
      </c>
      <c r="F1415" t="s">
        <v>1459</v>
      </c>
      <c r="G1415" t="s">
        <v>122</v>
      </c>
      <c r="H1415" s="4">
        <v>47.33</v>
      </c>
      <c r="I1415" t="s">
        <v>108</v>
      </c>
      <c r="J1415" t="s">
        <v>109</v>
      </c>
      <c r="K1415" t="s">
        <v>1460</v>
      </c>
      <c r="L1415" s="2">
        <v>45839</v>
      </c>
      <c r="M1415" t="s">
        <v>109</v>
      </c>
      <c r="N1415">
        <v>0</v>
      </c>
      <c r="O1415" t="s">
        <v>111</v>
      </c>
      <c r="P1415" t="s">
        <v>112</v>
      </c>
      <c r="Q1415" t="s">
        <v>113</v>
      </c>
    </row>
    <row r="1416" spans="1:17" x14ac:dyDescent="0.3">
      <c r="A1416" t="s">
        <v>17</v>
      </c>
      <c r="B1416">
        <v>68</v>
      </c>
      <c r="C1416" t="s">
        <v>34</v>
      </c>
      <c r="D1416" s="2">
        <v>45869</v>
      </c>
      <c r="E1416" s="3">
        <f t="shared" si="22"/>
        <v>45839</v>
      </c>
      <c r="F1416" t="s">
        <v>1461</v>
      </c>
      <c r="G1416" t="s">
        <v>122</v>
      </c>
      <c r="H1416" s="4">
        <v>117.86</v>
      </c>
      <c r="I1416" t="s">
        <v>108</v>
      </c>
      <c r="J1416" t="s">
        <v>109</v>
      </c>
      <c r="K1416" t="s">
        <v>1462</v>
      </c>
      <c r="L1416" s="2">
        <v>45839</v>
      </c>
      <c r="M1416" t="s">
        <v>109</v>
      </c>
      <c r="N1416">
        <v>0</v>
      </c>
      <c r="O1416" t="s">
        <v>111</v>
      </c>
      <c r="P1416" t="s">
        <v>112</v>
      </c>
      <c r="Q1416" t="s">
        <v>113</v>
      </c>
    </row>
    <row r="1417" spans="1:17" x14ac:dyDescent="0.3">
      <c r="A1417" t="s">
        <v>17</v>
      </c>
      <c r="B1417">
        <v>68</v>
      </c>
      <c r="C1417" t="s">
        <v>34</v>
      </c>
      <c r="D1417" s="2">
        <v>45869</v>
      </c>
      <c r="E1417" s="3">
        <f t="shared" si="22"/>
        <v>45839</v>
      </c>
      <c r="F1417" t="s">
        <v>1463</v>
      </c>
      <c r="G1417" t="s">
        <v>291</v>
      </c>
      <c r="H1417" s="4">
        <v>1837.01</v>
      </c>
      <c r="I1417" t="s">
        <v>47</v>
      </c>
      <c r="J1417" t="s">
        <v>109</v>
      </c>
      <c r="K1417" t="s">
        <v>1464</v>
      </c>
      <c r="L1417" s="2">
        <v>45839</v>
      </c>
      <c r="M1417" t="s">
        <v>109</v>
      </c>
      <c r="N1417">
        <v>0</v>
      </c>
      <c r="O1417" t="s">
        <v>26</v>
      </c>
      <c r="P1417" t="s">
        <v>112</v>
      </c>
      <c r="Q1417" t="s">
        <v>113</v>
      </c>
    </row>
    <row r="1418" spans="1:17" x14ac:dyDescent="0.3">
      <c r="A1418" t="s">
        <v>17</v>
      </c>
      <c r="B1418">
        <v>68</v>
      </c>
      <c r="C1418" t="s">
        <v>34</v>
      </c>
      <c r="D1418" s="2">
        <v>45869</v>
      </c>
      <c r="E1418" s="3">
        <f t="shared" si="22"/>
        <v>45839</v>
      </c>
      <c r="G1418" t="s">
        <v>1261</v>
      </c>
      <c r="H1418" s="4">
        <v>-244.29</v>
      </c>
      <c r="I1418" t="s">
        <v>492</v>
      </c>
      <c r="J1418" t="s">
        <v>109</v>
      </c>
      <c r="K1418" t="s">
        <v>1465</v>
      </c>
      <c r="L1418" s="2">
        <v>45839</v>
      </c>
      <c r="M1418" t="s">
        <v>109</v>
      </c>
      <c r="N1418">
        <v>0</v>
      </c>
      <c r="O1418" t="s">
        <v>494</v>
      </c>
      <c r="P1418" t="s">
        <v>112</v>
      </c>
      <c r="Q1418" t="s">
        <v>113</v>
      </c>
    </row>
    <row r="1419" spans="1:17" x14ac:dyDescent="0.3">
      <c r="A1419" t="s">
        <v>17</v>
      </c>
      <c r="B1419">
        <v>67</v>
      </c>
      <c r="C1419" t="s">
        <v>28</v>
      </c>
      <c r="D1419" s="2">
        <v>45839</v>
      </c>
      <c r="E1419" s="3">
        <f t="shared" si="22"/>
        <v>45839</v>
      </c>
      <c r="F1419">
        <v>20717</v>
      </c>
      <c r="G1419" t="s">
        <v>30</v>
      </c>
      <c r="H1419" s="4">
        <v>2124</v>
      </c>
      <c r="I1419" t="s">
        <v>31</v>
      </c>
      <c r="J1419" t="s">
        <v>32</v>
      </c>
      <c r="K1419" t="s">
        <v>1466</v>
      </c>
      <c r="L1419" s="2">
        <v>45839</v>
      </c>
      <c r="M1419" t="s">
        <v>32</v>
      </c>
      <c r="N1419">
        <v>0</v>
      </c>
      <c r="O1419" t="s">
        <v>31</v>
      </c>
      <c r="P1419" t="s">
        <v>28</v>
      </c>
      <c r="Q1419">
        <v>0</v>
      </c>
    </row>
    <row r="1420" spans="1:17" x14ac:dyDescent="0.3">
      <c r="A1420" t="s">
        <v>17</v>
      </c>
      <c r="B1420">
        <v>67</v>
      </c>
      <c r="C1420" t="s">
        <v>28</v>
      </c>
      <c r="D1420" s="2">
        <v>45840</v>
      </c>
      <c r="E1420" s="3">
        <f t="shared" si="22"/>
        <v>45839</v>
      </c>
      <c r="F1420">
        <v>1002528458</v>
      </c>
      <c r="G1420" t="s">
        <v>774</v>
      </c>
      <c r="H1420" s="4">
        <v>10170.450000000001</v>
      </c>
      <c r="I1420" t="s">
        <v>31</v>
      </c>
      <c r="J1420" t="s">
        <v>32</v>
      </c>
      <c r="K1420" t="s">
        <v>1467</v>
      </c>
      <c r="L1420" s="2">
        <v>45839</v>
      </c>
      <c r="M1420" t="s">
        <v>32</v>
      </c>
      <c r="N1420">
        <v>0</v>
      </c>
      <c r="O1420" t="s">
        <v>31</v>
      </c>
      <c r="P1420" t="s">
        <v>28</v>
      </c>
      <c r="Q1420">
        <v>0</v>
      </c>
    </row>
    <row r="1421" spans="1:17" x14ac:dyDescent="0.3">
      <c r="A1421" t="s">
        <v>17</v>
      </c>
      <c r="B1421">
        <v>67</v>
      </c>
      <c r="C1421" t="s">
        <v>28</v>
      </c>
      <c r="D1421" s="2">
        <v>45841</v>
      </c>
      <c r="E1421" s="3">
        <f t="shared" si="22"/>
        <v>45839</v>
      </c>
      <c r="F1421">
        <v>1002528460</v>
      </c>
      <c r="G1421" t="s">
        <v>774</v>
      </c>
      <c r="H1421" s="4">
        <v>5415.94</v>
      </c>
      <c r="I1421" t="s">
        <v>31</v>
      </c>
      <c r="J1421" t="s">
        <v>32</v>
      </c>
      <c r="K1421" t="s">
        <v>1468</v>
      </c>
      <c r="L1421" s="2">
        <v>45839</v>
      </c>
      <c r="M1421" t="s">
        <v>32</v>
      </c>
      <c r="N1421">
        <v>0</v>
      </c>
      <c r="O1421" t="s">
        <v>31</v>
      </c>
      <c r="P1421" t="s">
        <v>28</v>
      </c>
      <c r="Q1421">
        <v>0</v>
      </c>
    </row>
    <row r="1422" spans="1:17" x14ac:dyDescent="0.3">
      <c r="A1422" t="s">
        <v>17</v>
      </c>
      <c r="B1422">
        <v>67</v>
      </c>
      <c r="C1422" t="s">
        <v>28</v>
      </c>
      <c r="D1422" s="2">
        <v>45863</v>
      </c>
      <c r="E1422" s="3">
        <f t="shared" si="22"/>
        <v>45839</v>
      </c>
      <c r="F1422" t="s">
        <v>1469</v>
      </c>
      <c r="G1422" t="s">
        <v>205</v>
      </c>
      <c r="H1422" s="4">
        <v>1000</v>
      </c>
      <c r="I1422" t="s">
        <v>31</v>
      </c>
      <c r="J1422" t="s">
        <v>32</v>
      </c>
      <c r="K1422" t="s">
        <v>1470</v>
      </c>
      <c r="L1422" s="2">
        <v>45839</v>
      </c>
      <c r="M1422" t="s">
        <v>32</v>
      </c>
      <c r="N1422">
        <v>0</v>
      </c>
      <c r="O1422" t="s">
        <v>31</v>
      </c>
      <c r="P1422" t="s">
        <v>28</v>
      </c>
      <c r="Q1422">
        <v>0</v>
      </c>
    </row>
    <row r="1423" spans="1:17" x14ac:dyDescent="0.3">
      <c r="A1423" t="s">
        <v>17</v>
      </c>
      <c r="B1423">
        <v>67</v>
      </c>
      <c r="C1423" t="s">
        <v>28</v>
      </c>
      <c r="D1423" s="2">
        <v>45863</v>
      </c>
      <c r="E1423" s="3">
        <f t="shared" si="22"/>
        <v>45839</v>
      </c>
      <c r="F1423" t="s">
        <v>1471</v>
      </c>
      <c r="G1423" t="s">
        <v>208</v>
      </c>
      <c r="H1423" s="4">
        <v>500</v>
      </c>
      <c r="I1423" t="s">
        <v>31</v>
      </c>
      <c r="J1423" t="s">
        <v>32</v>
      </c>
      <c r="K1423" t="s">
        <v>1472</v>
      </c>
      <c r="L1423" s="2">
        <v>45839</v>
      </c>
      <c r="M1423" t="s">
        <v>32</v>
      </c>
      <c r="N1423">
        <v>0</v>
      </c>
      <c r="O1423" t="s">
        <v>31</v>
      </c>
      <c r="P1423" t="s">
        <v>28</v>
      </c>
      <c r="Q1423">
        <v>0</v>
      </c>
    </row>
    <row r="1424" spans="1:17" x14ac:dyDescent="0.3">
      <c r="A1424" t="s">
        <v>17</v>
      </c>
      <c r="B1424">
        <v>67</v>
      </c>
      <c r="C1424" t="s">
        <v>28</v>
      </c>
      <c r="D1424" s="2">
        <v>45869</v>
      </c>
      <c r="E1424" s="3">
        <f t="shared" si="22"/>
        <v>45839</v>
      </c>
      <c r="F1424" t="s">
        <v>1473</v>
      </c>
      <c r="G1424" t="s">
        <v>1474</v>
      </c>
      <c r="H1424" s="4">
        <v>2290</v>
      </c>
      <c r="I1424" t="s">
        <v>31</v>
      </c>
      <c r="J1424" t="s">
        <v>32</v>
      </c>
      <c r="K1424" t="s">
        <v>1475</v>
      </c>
      <c r="L1424" s="2">
        <v>45839</v>
      </c>
      <c r="M1424" t="s">
        <v>32</v>
      </c>
      <c r="N1424">
        <v>0</v>
      </c>
      <c r="O1424" t="s">
        <v>31</v>
      </c>
      <c r="P1424" t="s">
        <v>28</v>
      </c>
      <c r="Q1424">
        <v>0</v>
      </c>
    </row>
    <row r="1425" spans="1:17" x14ac:dyDescent="0.3">
      <c r="A1425" t="s">
        <v>17</v>
      </c>
      <c r="B1425">
        <v>67</v>
      </c>
      <c r="C1425" t="s">
        <v>28</v>
      </c>
      <c r="D1425" s="2">
        <v>45869</v>
      </c>
      <c r="E1425" s="3">
        <f t="shared" si="22"/>
        <v>45839</v>
      </c>
      <c r="F1425" t="s">
        <v>1476</v>
      </c>
      <c r="G1425" t="s">
        <v>259</v>
      </c>
      <c r="H1425" s="4">
        <v>10726.58</v>
      </c>
      <c r="I1425" t="s">
        <v>31</v>
      </c>
      <c r="J1425" t="s">
        <v>32</v>
      </c>
      <c r="K1425" t="s">
        <v>1477</v>
      </c>
      <c r="L1425" s="2">
        <v>45839</v>
      </c>
      <c r="M1425" t="s">
        <v>32</v>
      </c>
      <c r="N1425">
        <v>0</v>
      </c>
      <c r="O1425" t="s">
        <v>31</v>
      </c>
      <c r="P1425" t="s">
        <v>28</v>
      </c>
      <c r="Q1425">
        <v>0</v>
      </c>
    </row>
    <row r="1426" spans="1:17" x14ac:dyDescent="0.3">
      <c r="A1426" t="s">
        <v>17</v>
      </c>
      <c r="B1426">
        <v>67</v>
      </c>
      <c r="C1426" t="s">
        <v>28</v>
      </c>
      <c r="D1426" s="2">
        <v>45839</v>
      </c>
      <c r="E1426" s="3">
        <f t="shared" si="22"/>
        <v>45839</v>
      </c>
      <c r="F1426" t="s">
        <v>1478</v>
      </c>
      <c r="G1426" t="s">
        <v>578</v>
      </c>
      <c r="H1426" s="4">
        <v>2001.3</v>
      </c>
      <c r="I1426" t="s">
        <v>31</v>
      </c>
      <c r="J1426" t="s">
        <v>60</v>
      </c>
      <c r="K1426" t="s">
        <v>1479</v>
      </c>
      <c r="L1426" s="2">
        <v>45839</v>
      </c>
      <c r="M1426" t="s">
        <v>60</v>
      </c>
      <c r="N1426">
        <v>0</v>
      </c>
      <c r="O1426" t="s">
        <v>31</v>
      </c>
      <c r="P1426" t="s">
        <v>28</v>
      </c>
      <c r="Q1426">
        <v>0</v>
      </c>
    </row>
    <row r="1427" spans="1:17" x14ac:dyDescent="0.3">
      <c r="A1427" t="s">
        <v>17</v>
      </c>
      <c r="B1427">
        <v>67</v>
      </c>
      <c r="C1427" t="s">
        <v>28</v>
      </c>
      <c r="D1427" s="2">
        <v>45839</v>
      </c>
      <c r="E1427" s="3">
        <f t="shared" si="22"/>
        <v>45839</v>
      </c>
      <c r="F1427" t="s">
        <v>1480</v>
      </c>
      <c r="H1427" s="4">
        <v>32.03</v>
      </c>
      <c r="I1427" t="s">
        <v>31</v>
      </c>
      <c r="J1427" t="s">
        <v>60</v>
      </c>
      <c r="L1427" s="2">
        <v>45839</v>
      </c>
      <c r="M1427" t="s">
        <v>60</v>
      </c>
      <c r="N1427">
        <v>0</v>
      </c>
      <c r="O1427" t="s">
        <v>31</v>
      </c>
      <c r="P1427" t="s">
        <v>28</v>
      </c>
      <c r="Q1427">
        <v>0</v>
      </c>
    </row>
    <row r="1428" spans="1:17" x14ac:dyDescent="0.3">
      <c r="A1428" t="s">
        <v>17</v>
      </c>
      <c r="B1428">
        <v>67</v>
      </c>
      <c r="C1428" t="s">
        <v>28</v>
      </c>
      <c r="D1428" s="2">
        <v>45839</v>
      </c>
      <c r="E1428" s="3">
        <f t="shared" si="22"/>
        <v>45839</v>
      </c>
      <c r="F1428" t="s">
        <v>1480</v>
      </c>
      <c r="H1428" s="4">
        <v>44.29</v>
      </c>
      <c r="I1428" t="s">
        <v>31</v>
      </c>
      <c r="J1428" t="s">
        <v>60</v>
      </c>
      <c r="L1428" s="2">
        <v>45839</v>
      </c>
      <c r="M1428" t="s">
        <v>60</v>
      </c>
      <c r="N1428">
        <v>0</v>
      </c>
      <c r="O1428" t="s">
        <v>31</v>
      </c>
      <c r="P1428" t="s">
        <v>28</v>
      </c>
      <c r="Q1428">
        <v>0</v>
      </c>
    </row>
    <row r="1429" spans="1:17" x14ac:dyDescent="0.3">
      <c r="A1429" t="s">
        <v>17</v>
      </c>
      <c r="B1429">
        <v>67</v>
      </c>
      <c r="C1429" t="s">
        <v>28</v>
      </c>
      <c r="D1429" s="2">
        <v>45839</v>
      </c>
      <c r="E1429" s="3">
        <f t="shared" si="22"/>
        <v>45839</v>
      </c>
      <c r="F1429" t="s">
        <v>1480</v>
      </c>
      <c r="H1429" s="4">
        <v>51.08</v>
      </c>
      <c r="I1429" t="s">
        <v>31</v>
      </c>
      <c r="J1429" t="s">
        <v>60</v>
      </c>
      <c r="L1429" s="2">
        <v>45839</v>
      </c>
      <c r="M1429" t="s">
        <v>60</v>
      </c>
      <c r="N1429">
        <v>0</v>
      </c>
      <c r="O1429" t="s">
        <v>31</v>
      </c>
      <c r="P1429" t="s">
        <v>28</v>
      </c>
      <c r="Q1429">
        <v>0</v>
      </c>
    </row>
    <row r="1430" spans="1:17" x14ac:dyDescent="0.3">
      <c r="A1430" t="s">
        <v>17</v>
      </c>
      <c r="B1430">
        <v>67</v>
      </c>
      <c r="C1430" t="s">
        <v>28</v>
      </c>
      <c r="D1430" s="2">
        <v>45839</v>
      </c>
      <c r="E1430" s="3">
        <f t="shared" si="22"/>
        <v>45839</v>
      </c>
      <c r="F1430" t="s">
        <v>1480</v>
      </c>
      <c r="H1430" s="4">
        <v>0.72</v>
      </c>
      <c r="I1430" t="s">
        <v>31</v>
      </c>
      <c r="J1430" t="s">
        <v>60</v>
      </c>
      <c r="L1430" s="2">
        <v>45839</v>
      </c>
      <c r="M1430" t="s">
        <v>60</v>
      </c>
      <c r="N1430">
        <v>0</v>
      </c>
      <c r="O1430" t="s">
        <v>31</v>
      </c>
      <c r="P1430" t="s">
        <v>28</v>
      </c>
      <c r="Q1430">
        <v>0</v>
      </c>
    </row>
    <row r="1431" spans="1:17" x14ac:dyDescent="0.3">
      <c r="A1431" t="s">
        <v>17</v>
      </c>
      <c r="B1431">
        <v>67</v>
      </c>
      <c r="C1431" t="s">
        <v>28</v>
      </c>
      <c r="D1431" s="2">
        <v>45839</v>
      </c>
      <c r="E1431" s="3">
        <f t="shared" si="22"/>
        <v>45839</v>
      </c>
      <c r="F1431" t="s">
        <v>1480</v>
      </c>
      <c r="H1431" s="4">
        <v>7.43</v>
      </c>
      <c r="I1431" t="s">
        <v>31</v>
      </c>
      <c r="J1431" t="s">
        <v>60</v>
      </c>
      <c r="L1431" s="2">
        <v>45839</v>
      </c>
      <c r="M1431" t="s">
        <v>60</v>
      </c>
      <c r="N1431">
        <v>0</v>
      </c>
      <c r="O1431" t="s">
        <v>31</v>
      </c>
      <c r="P1431" t="s">
        <v>28</v>
      </c>
      <c r="Q1431">
        <v>0</v>
      </c>
    </row>
    <row r="1432" spans="1:17" x14ac:dyDescent="0.3">
      <c r="A1432" t="s">
        <v>17</v>
      </c>
      <c r="B1432">
        <v>67</v>
      </c>
      <c r="C1432" t="s">
        <v>28</v>
      </c>
      <c r="D1432" s="2">
        <v>45839</v>
      </c>
      <c r="E1432" s="3">
        <f t="shared" si="22"/>
        <v>45839</v>
      </c>
      <c r="F1432" t="s">
        <v>1480</v>
      </c>
      <c r="H1432" s="4">
        <v>37.42</v>
      </c>
      <c r="I1432" t="s">
        <v>31</v>
      </c>
      <c r="J1432" t="s">
        <v>60</v>
      </c>
      <c r="L1432" s="2">
        <v>45839</v>
      </c>
      <c r="M1432" t="s">
        <v>60</v>
      </c>
      <c r="N1432">
        <v>0</v>
      </c>
      <c r="O1432" t="s">
        <v>31</v>
      </c>
      <c r="P1432" t="s">
        <v>28</v>
      </c>
      <c r="Q1432">
        <v>0</v>
      </c>
    </row>
    <row r="1433" spans="1:17" x14ac:dyDescent="0.3">
      <c r="A1433" t="s">
        <v>17</v>
      </c>
      <c r="B1433">
        <v>67</v>
      </c>
      <c r="C1433" t="s">
        <v>28</v>
      </c>
      <c r="D1433" s="2">
        <v>45839</v>
      </c>
      <c r="E1433" s="3">
        <f t="shared" si="22"/>
        <v>45839</v>
      </c>
      <c r="F1433" t="s">
        <v>1480</v>
      </c>
      <c r="H1433" s="4">
        <v>8.51</v>
      </c>
      <c r="I1433" t="s">
        <v>31</v>
      </c>
      <c r="J1433" t="s">
        <v>60</v>
      </c>
      <c r="L1433" s="2">
        <v>45839</v>
      </c>
      <c r="M1433" t="s">
        <v>60</v>
      </c>
      <c r="N1433">
        <v>0</v>
      </c>
      <c r="O1433" t="s">
        <v>31</v>
      </c>
      <c r="P1433" t="s">
        <v>28</v>
      </c>
      <c r="Q1433">
        <v>0</v>
      </c>
    </row>
    <row r="1434" spans="1:17" x14ac:dyDescent="0.3">
      <c r="A1434" t="s">
        <v>17</v>
      </c>
      <c r="B1434">
        <v>67</v>
      </c>
      <c r="C1434" t="s">
        <v>28</v>
      </c>
      <c r="D1434" s="2">
        <v>45839</v>
      </c>
      <c r="E1434" s="3">
        <f t="shared" si="22"/>
        <v>45839</v>
      </c>
      <c r="F1434" t="s">
        <v>1480</v>
      </c>
      <c r="H1434" s="4">
        <v>22.52</v>
      </c>
      <c r="I1434" t="s">
        <v>31</v>
      </c>
      <c r="J1434" t="s">
        <v>60</v>
      </c>
      <c r="L1434" s="2">
        <v>45839</v>
      </c>
      <c r="M1434" t="s">
        <v>60</v>
      </c>
      <c r="N1434">
        <v>0</v>
      </c>
      <c r="O1434" t="s">
        <v>31</v>
      </c>
      <c r="P1434" t="s">
        <v>28</v>
      </c>
      <c r="Q1434">
        <v>0</v>
      </c>
    </row>
    <row r="1435" spans="1:17" x14ac:dyDescent="0.3">
      <c r="A1435" t="s">
        <v>17</v>
      </c>
      <c r="B1435">
        <v>67</v>
      </c>
      <c r="C1435" t="s">
        <v>28</v>
      </c>
      <c r="D1435" s="2">
        <v>45846</v>
      </c>
      <c r="E1435" s="3">
        <f t="shared" si="22"/>
        <v>45839</v>
      </c>
      <c r="F1435" t="s">
        <v>1481</v>
      </c>
      <c r="G1435" t="s">
        <v>578</v>
      </c>
      <c r="H1435" s="4">
        <v>425.76</v>
      </c>
      <c r="I1435" t="s">
        <v>31</v>
      </c>
      <c r="J1435" t="s">
        <v>60</v>
      </c>
      <c r="K1435" t="s">
        <v>1482</v>
      </c>
      <c r="L1435" s="2">
        <v>45839</v>
      </c>
      <c r="M1435" t="s">
        <v>60</v>
      </c>
      <c r="N1435">
        <v>0</v>
      </c>
      <c r="O1435" t="s">
        <v>31</v>
      </c>
      <c r="P1435" t="s">
        <v>28</v>
      </c>
      <c r="Q1435">
        <v>0</v>
      </c>
    </row>
    <row r="1436" spans="1:17" x14ac:dyDescent="0.3">
      <c r="A1436" t="s">
        <v>17</v>
      </c>
      <c r="B1436">
        <v>67</v>
      </c>
      <c r="C1436" t="s">
        <v>28</v>
      </c>
      <c r="D1436" s="2">
        <v>45849</v>
      </c>
      <c r="E1436" s="3">
        <f t="shared" si="22"/>
        <v>45839</v>
      </c>
      <c r="F1436" t="s">
        <v>1483</v>
      </c>
      <c r="H1436" s="4">
        <v>-56.12</v>
      </c>
      <c r="I1436" t="s">
        <v>31</v>
      </c>
      <c r="J1436" t="s">
        <v>60</v>
      </c>
      <c r="L1436" s="2">
        <v>45839</v>
      </c>
      <c r="M1436" t="s">
        <v>60</v>
      </c>
      <c r="N1436">
        <v>0</v>
      </c>
      <c r="O1436" t="s">
        <v>31</v>
      </c>
      <c r="P1436" t="s">
        <v>28</v>
      </c>
      <c r="Q1436">
        <v>0</v>
      </c>
    </row>
    <row r="1437" spans="1:17" x14ac:dyDescent="0.3">
      <c r="A1437" t="s">
        <v>17</v>
      </c>
      <c r="B1437">
        <v>67</v>
      </c>
      <c r="C1437" t="s">
        <v>28</v>
      </c>
      <c r="D1437" s="2">
        <v>45849</v>
      </c>
      <c r="E1437" s="3">
        <f t="shared" si="22"/>
        <v>45839</v>
      </c>
      <c r="F1437" t="s">
        <v>1483</v>
      </c>
      <c r="H1437" s="4">
        <v>-68</v>
      </c>
      <c r="I1437" t="s">
        <v>31</v>
      </c>
      <c r="J1437" t="s">
        <v>60</v>
      </c>
      <c r="L1437" s="2">
        <v>45839</v>
      </c>
      <c r="M1437" t="s">
        <v>60</v>
      </c>
      <c r="N1437">
        <v>0</v>
      </c>
      <c r="O1437" t="s">
        <v>31</v>
      </c>
      <c r="P1437" t="s">
        <v>28</v>
      </c>
      <c r="Q1437">
        <v>0</v>
      </c>
    </row>
    <row r="1438" spans="1:17" x14ac:dyDescent="0.3">
      <c r="A1438" t="s">
        <v>17</v>
      </c>
      <c r="B1438">
        <v>67</v>
      </c>
      <c r="C1438" t="s">
        <v>28</v>
      </c>
      <c r="D1438" s="2">
        <v>45849</v>
      </c>
      <c r="E1438" s="3">
        <f t="shared" si="22"/>
        <v>45839</v>
      </c>
      <c r="F1438" t="s">
        <v>1483</v>
      </c>
      <c r="H1438" s="4">
        <v>-85.14</v>
      </c>
      <c r="I1438" t="s">
        <v>31</v>
      </c>
      <c r="J1438" t="s">
        <v>60</v>
      </c>
      <c r="L1438" s="2">
        <v>45839</v>
      </c>
      <c r="M1438" t="s">
        <v>60</v>
      </c>
      <c r="N1438">
        <v>0</v>
      </c>
      <c r="O1438" t="s">
        <v>31</v>
      </c>
      <c r="P1438" t="s">
        <v>28</v>
      </c>
      <c r="Q1438">
        <v>0</v>
      </c>
    </row>
    <row r="1439" spans="1:17" x14ac:dyDescent="0.3">
      <c r="A1439" t="s">
        <v>17</v>
      </c>
      <c r="B1439">
        <v>67</v>
      </c>
      <c r="C1439" t="s">
        <v>28</v>
      </c>
      <c r="D1439" s="2">
        <v>45849</v>
      </c>
      <c r="E1439" s="3">
        <f t="shared" si="22"/>
        <v>45839</v>
      </c>
      <c r="F1439" t="s">
        <v>1483</v>
      </c>
      <c r="H1439" s="4">
        <v>-1.2</v>
      </c>
      <c r="I1439" t="s">
        <v>31</v>
      </c>
      <c r="J1439" t="s">
        <v>60</v>
      </c>
      <c r="L1439" s="2">
        <v>45839</v>
      </c>
      <c r="M1439" t="s">
        <v>60</v>
      </c>
      <c r="N1439">
        <v>0</v>
      </c>
      <c r="O1439" t="s">
        <v>31</v>
      </c>
      <c r="P1439" t="s">
        <v>28</v>
      </c>
      <c r="Q1439">
        <v>0</v>
      </c>
    </row>
    <row r="1440" spans="1:17" x14ac:dyDescent="0.3">
      <c r="A1440" t="s">
        <v>17</v>
      </c>
      <c r="B1440">
        <v>67</v>
      </c>
      <c r="C1440" t="s">
        <v>28</v>
      </c>
      <c r="D1440" s="2">
        <v>45849</v>
      </c>
      <c r="E1440" s="3">
        <f t="shared" si="22"/>
        <v>45839</v>
      </c>
      <c r="F1440" t="s">
        <v>1483</v>
      </c>
      <c r="H1440" s="4">
        <v>-12.39</v>
      </c>
      <c r="I1440" t="s">
        <v>31</v>
      </c>
      <c r="J1440" t="s">
        <v>60</v>
      </c>
      <c r="L1440" s="2">
        <v>45839</v>
      </c>
      <c r="M1440" t="s">
        <v>60</v>
      </c>
      <c r="N1440">
        <v>0</v>
      </c>
      <c r="O1440" t="s">
        <v>31</v>
      </c>
      <c r="P1440" t="s">
        <v>28</v>
      </c>
      <c r="Q1440">
        <v>0</v>
      </c>
    </row>
    <row r="1441" spans="1:17" x14ac:dyDescent="0.3">
      <c r="A1441" t="s">
        <v>17</v>
      </c>
      <c r="B1441">
        <v>67</v>
      </c>
      <c r="C1441" t="s">
        <v>28</v>
      </c>
      <c r="D1441" s="2">
        <v>45849</v>
      </c>
      <c r="E1441" s="3">
        <f t="shared" si="22"/>
        <v>45839</v>
      </c>
      <c r="F1441" t="s">
        <v>1483</v>
      </c>
      <c r="H1441" s="4">
        <v>-63.82</v>
      </c>
      <c r="I1441" t="s">
        <v>31</v>
      </c>
      <c r="J1441" t="s">
        <v>60</v>
      </c>
      <c r="L1441" s="2">
        <v>45839</v>
      </c>
      <c r="M1441" t="s">
        <v>60</v>
      </c>
      <c r="N1441">
        <v>0</v>
      </c>
      <c r="O1441" t="s">
        <v>31</v>
      </c>
      <c r="P1441" t="s">
        <v>28</v>
      </c>
      <c r="Q1441">
        <v>0</v>
      </c>
    </row>
    <row r="1442" spans="1:17" x14ac:dyDescent="0.3">
      <c r="A1442" t="s">
        <v>17</v>
      </c>
      <c r="B1442">
        <v>67</v>
      </c>
      <c r="C1442" t="s">
        <v>28</v>
      </c>
      <c r="D1442" s="2">
        <v>45849</v>
      </c>
      <c r="E1442" s="3">
        <f t="shared" si="22"/>
        <v>45839</v>
      </c>
      <c r="F1442" t="s">
        <v>1483</v>
      </c>
      <c r="H1442" s="4">
        <v>-14.18</v>
      </c>
      <c r="I1442" t="s">
        <v>31</v>
      </c>
      <c r="J1442" t="s">
        <v>60</v>
      </c>
      <c r="L1442" s="2">
        <v>45839</v>
      </c>
      <c r="M1442" t="s">
        <v>60</v>
      </c>
      <c r="N1442">
        <v>0</v>
      </c>
      <c r="O1442" t="s">
        <v>31</v>
      </c>
      <c r="P1442" t="s">
        <v>28</v>
      </c>
      <c r="Q1442">
        <v>0</v>
      </c>
    </row>
    <row r="1443" spans="1:17" x14ac:dyDescent="0.3">
      <c r="A1443" t="s">
        <v>17</v>
      </c>
      <c r="B1443">
        <v>67</v>
      </c>
      <c r="C1443" t="s">
        <v>28</v>
      </c>
      <c r="D1443" s="2">
        <v>45849</v>
      </c>
      <c r="E1443" s="3">
        <f t="shared" si="22"/>
        <v>45839</v>
      </c>
      <c r="F1443" t="s">
        <v>1483</v>
      </c>
      <c r="H1443" s="4">
        <v>-49.27</v>
      </c>
      <c r="I1443" t="s">
        <v>31</v>
      </c>
      <c r="J1443" t="s">
        <v>60</v>
      </c>
      <c r="L1443" s="2">
        <v>45839</v>
      </c>
      <c r="M1443" t="s">
        <v>60</v>
      </c>
      <c r="N1443">
        <v>0</v>
      </c>
      <c r="O1443" t="s">
        <v>31</v>
      </c>
      <c r="P1443" t="s">
        <v>28</v>
      </c>
      <c r="Q1443">
        <v>0</v>
      </c>
    </row>
    <row r="1444" spans="1:17" x14ac:dyDescent="0.3">
      <c r="A1444" t="s">
        <v>17</v>
      </c>
      <c r="B1444">
        <v>67</v>
      </c>
      <c r="C1444" t="s">
        <v>28</v>
      </c>
      <c r="D1444" s="2">
        <v>45863</v>
      </c>
      <c r="E1444" s="3">
        <f t="shared" si="22"/>
        <v>45839</v>
      </c>
      <c r="F1444" t="s">
        <v>1484</v>
      </c>
      <c r="H1444" s="4">
        <v>-53.38</v>
      </c>
      <c r="I1444" t="s">
        <v>31</v>
      </c>
      <c r="J1444" t="s">
        <v>60</v>
      </c>
      <c r="L1444" s="2">
        <v>45839</v>
      </c>
      <c r="M1444" t="s">
        <v>60</v>
      </c>
      <c r="N1444">
        <v>0</v>
      </c>
      <c r="O1444" t="s">
        <v>31</v>
      </c>
      <c r="P1444" t="s">
        <v>28</v>
      </c>
      <c r="Q1444">
        <v>0</v>
      </c>
    </row>
    <row r="1445" spans="1:17" x14ac:dyDescent="0.3">
      <c r="A1445" t="s">
        <v>17</v>
      </c>
      <c r="B1445">
        <v>67</v>
      </c>
      <c r="C1445" t="s">
        <v>28</v>
      </c>
      <c r="D1445" s="2">
        <v>45863</v>
      </c>
      <c r="E1445" s="3">
        <f t="shared" si="22"/>
        <v>45839</v>
      </c>
      <c r="F1445" t="s">
        <v>1484</v>
      </c>
      <c r="H1445" s="4">
        <v>-66.599999999999994</v>
      </c>
      <c r="I1445" t="s">
        <v>31</v>
      </c>
      <c r="J1445" t="s">
        <v>60</v>
      </c>
      <c r="L1445" s="2">
        <v>45839</v>
      </c>
      <c r="M1445" t="s">
        <v>60</v>
      </c>
      <c r="N1445">
        <v>0</v>
      </c>
      <c r="O1445" t="s">
        <v>31</v>
      </c>
      <c r="P1445" t="s">
        <v>28</v>
      </c>
      <c r="Q1445">
        <v>0</v>
      </c>
    </row>
    <row r="1446" spans="1:17" x14ac:dyDescent="0.3">
      <c r="A1446" t="s">
        <v>17</v>
      </c>
      <c r="B1446">
        <v>67</v>
      </c>
      <c r="C1446" t="s">
        <v>28</v>
      </c>
      <c r="D1446" s="2">
        <v>45863</v>
      </c>
      <c r="E1446" s="3">
        <f t="shared" si="22"/>
        <v>45839</v>
      </c>
      <c r="F1446" t="s">
        <v>1484</v>
      </c>
      <c r="H1446" s="4">
        <v>-85.14</v>
      </c>
      <c r="I1446" t="s">
        <v>31</v>
      </c>
      <c r="J1446" t="s">
        <v>60</v>
      </c>
      <c r="L1446" s="2">
        <v>45839</v>
      </c>
      <c r="M1446" t="s">
        <v>60</v>
      </c>
      <c r="N1446">
        <v>0</v>
      </c>
      <c r="O1446" t="s">
        <v>31</v>
      </c>
      <c r="P1446" t="s">
        <v>28</v>
      </c>
      <c r="Q1446">
        <v>0</v>
      </c>
    </row>
    <row r="1447" spans="1:17" x14ac:dyDescent="0.3">
      <c r="A1447" t="s">
        <v>17</v>
      </c>
      <c r="B1447">
        <v>67</v>
      </c>
      <c r="C1447" t="s">
        <v>28</v>
      </c>
      <c r="D1447" s="2">
        <v>45863</v>
      </c>
      <c r="E1447" s="3">
        <f t="shared" si="22"/>
        <v>45839</v>
      </c>
      <c r="F1447" t="s">
        <v>1484</v>
      </c>
      <c r="H1447" s="4">
        <v>-1.2</v>
      </c>
      <c r="I1447" t="s">
        <v>31</v>
      </c>
      <c r="J1447" t="s">
        <v>60</v>
      </c>
      <c r="L1447" s="2">
        <v>45839</v>
      </c>
      <c r="M1447" t="s">
        <v>60</v>
      </c>
      <c r="N1447">
        <v>0</v>
      </c>
      <c r="O1447" t="s">
        <v>31</v>
      </c>
      <c r="P1447" t="s">
        <v>28</v>
      </c>
      <c r="Q1447">
        <v>0</v>
      </c>
    </row>
    <row r="1448" spans="1:17" x14ac:dyDescent="0.3">
      <c r="A1448" t="s">
        <v>17</v>
      </c>
      <c r="B1448">
        <v>67</v>
      </c>
      <c r="C1448" t="s">
        <v>28</v>
      </c>
      <c r="D1448" s="2">
        <v>45863</v>
      </c>
      <c r="E1448" s="3">
        <f t="shared" si="22"/>
        <v>45839</v>
      </c>
      <c r="F1448" t="s">
        <v>1484</v>
      </c>
      <c r="H1448" s="4">
        <v>-12.39</v>
      </c>
      <c r="I1448" t="s">
        <v>31</v>
      </c>
      <c r="J1448" t="s">
        <v>60</v>
      </c>
      <c r="L1448" s="2">
        <v>45839</v>
      </c>
      <c r="M1448" t="s">
        <v>60</v>
      </c>
      <c r="N1448">
        <v>0</v>
      </c>
      <c r="O1448" t="s">
        <v>31</v>
      </c>
      <c r="P1448" t="s">
        <v>28</v>
      </c>
      <c r="Q1448">
        <v>0</v>
      </c>
    </row>
    <row r="1449" spans="1:17" x14ac:dyDescent="0.3">
      <c r="A1449" t="s">
        <v>17</v>
      </c>
      <c r="B1449">
        <v>67</v>
      </c>
      <c r="C1449" t="s">
        <v>28</v>
      </c>
      <c r="D1449" s="2">
        <v>45863</v>
      </c>
      <c r="E1449" s="3">
        <f t="shared" si="22"/>
        <v>45839</v>
      </c>
      <c r="F1449" t="s">
        <v>1484</v>
      </c>
      <c r="H1449" s="4">
        <v>-62.37</v>
      </c>
      <c r="I1449" t="s">
        <v>31</v>
      </c>
      <c r="J1449" t="s">
        <v>60</v>
      </c>
      <c r="L1449" s="2">
        <v>45839</v>
      </c>
      <c r="M1449" t="s">
        <v>60</v>
      </c>
      <c r="N1449">
        <v>0</v>
      </c>
      <c r="O1449" t="s">
        <v>31</v>
      </c>
      <c r="P1449" t="s">
        <v>28</v>
      </c>
      <c r="Q1449">
        <v>0</v>
      </c>
    </row>
    <row r="1450" spans="1:17" x14ac:dyDescent="0.3">
      <c r="A1450" t="s">
        <v>17</v>
      </c>
      <c r="B1450">
        <v>67</v>
      </c>
      <c r="C1450" t="s">
        <v>28</v>
      </c>
      <c r="D1450" s="2">
        <v>45863</v>
      </c>
      <c r="E1450" s="3">
        <f t="shared" si="22"/>
        <v>45839</v>
      </c>
      <c r="F1450" t="s">
        <v>1484</v>
      </c>
      <c r="H1450" s="4">
        <v>-14.18</v>
      </c>
      <c r="I1450" t="s">
        <v>31</v>
      </c>
      <c r="J1450" t="s">
        <v>60</v>
      </c>
      <c r="L1450" s="2">
        <v>45839</v>
      </c>
      <c r="M1450" t="s">
        <v>60</v>
      </c>
      <c r="N1450">
        <v>0</v>
      </c>
      <c r="O1450" t="s">
        <v>31</v>
      </c>
      <c r="P1450" t="s">
        <v>28</v>
      </c>
      <c r="Q1450">
        <v>0</v>
      </c>
    </row>
    <row r="1451" spans="1:17" x14ac:dyDescent="0.3">
      <c r="A1451" t="s">
        <v>17</v>
      </c>
      <c r="B1451">
        <v>67</v>
      </c>
      <c r="C1451" t="s">
        <v>28</v>
      </c>
      <c r="D1451" s="2">
        <v>45863</v>
      </c>
      <c r="E1451" s="3">
        <f t="shared" si="22"/>
        <v>45839</v>
      </c>
      <c r="F1451" t="s">
        <v>1484</v>
      </c>
      <c r="H1451" s="4">
        <v>-16.12</v>
      </c>
      <c r="I1451" t="s">
        <v>31</v>
      </c>
      <c r="J1451" t="s">
        <v>60</v>
      </c>
      <c r="L1451" s="2">
        <v>45839</v>
      </c>
      <c r="M1451" t="s">
        <v>60</v>
      </c>
      <c r="N1451">
        <v>0</v>
      </c>
      <c r="O1451" t="s">
        <v>31</v>
      </c>
      <c r="P1451" t="s">
        <v>28</v>
      </c>
      <c r="Q1451">
        <v>0</v>
      </c>
    </row>
    <row r="1452" spans="1:17" x14ac:dyDescent="0.3">
      <c r="A1452" t="s">
        <v>17</v>
      </c>
      <c r="B1452">
        <v>67</v>
      </c>
      <c r="C1452" t="s">
        <v>28</v>
      </c>
      <c r="D1452" s="2">
        <v>45869</v>
      </c>
      <c r="E1452" s="3">
        <f t="shared" si="22"/>
        <v>45839</v>
      </c>
      <c r="F1452" t="s">
        <v>1485</v>
      </c>
      <c r="H1452" s="4">
        <v>428.3</v>
      </c>
      <c r="I1452" t="s">
        <v>31</v>
      </c>
      <c r="J1452" t="s">
        <v>60</v>
      </c>
      <c r="K1452" t="s">
        <v>1123</v>
      </c>
      <c r="L1452" s="2">
        <v>45839</v>
      </c>
      <c r="M1452" t="s">
        <v>60</v>
      </c>
      <c r="N1452">
        <v>0</v>
      </c>
      <c r="O1452" t="s">
        <v>31</v>
      </c>
      <c r="P1452" t="s">
        <v>28</v>
      </c>
      <c r="Q1452">
        <v>0</v>
      </c>
    </row>
    <row r="1453" spans="1:17" x14ac:dyDescent="0.3">
      <c r="A1453" t="s">
        <v>17</v>
      </c>
      <c r="B1453">
        <v>67</v>
      </c>
      <c r="C1453" t="s">
        <v>28</v>
      </c>
      <c r="D1453" s="2">
        <v>45869</v>
      </c>
      <c r="E1453" s="3">
        <f t="shared" si="22"/>
        <v>45839</v>
      </c>
      <c r="F1453" t="s">
        <v>1486</v>
      </c>
      <c r="H1453" s="4">
        <v>1062.5</v>
      </c>
      <c r="I1453" t="s">
        <v>31</v>
      </c>
      <c r="J1453" t="s">
        <v>60</v>
      </c>
      <c r="K1453" t="s">
        <v>339</v>
      </c>
      <c r="L1453" s="2">
        <v>45839</v>
      </c>
      <c r="M1453" t="s">
        <v>60</v>
      </c>
      <c r="N1453">
        <v>0</v>
      </c>
      <c r="O1453" t="s">
        <v>31</v>
      </c>
      <c r="P1453" t="s">
        <v>28</v>
      </c>
      <c r="Q1453">
        <v>0</v>
      </c>
    </row>
    <row r="1454" spans="1:17" x14ac:dyDescent="0.3">
      <c r="A1454" t="s">
        <v>17</v>
      </c>
      <c r="B1454">
        <v>67</v>
      </c>
      <c r="C1454" t="s">
        <v>28</v>
      </c>
      <c r="D1454" s="2">
        <v>45869</v>
      </c>
      <c r="E1454" s="3">
        <f t="shared" si="22"/>
        <v>45839</v>
      </c>
      <c r="F1454" t="s">
        <v>1487</v>
      </c>
      <c r="H1454" s="4">
        <v>-76.63</v>
      </c>
      <c r="I1454" t="s">
        <v>31</v>
      </c>
      <c r="J1454" t="s">
        <v>60</v>
      </c>
      <c r="L1454" s="2">
        <v>45839</v>
      </c>
      <c r="M1454" t="s">
        <v>60</v>
      </c>
      <c r="N1454">
        <v>0</v>
      </c>
      <c r="O1454" t="s">
        <v>31</v>
      </c>
      <c r="P1454" t="s">
        <v>28</v>
      </c>
      <c r="Q1454">
        <v>0</v>
      </c>
    </row>
    <row r="1455" spans="1:17" x14ac:dyDescent="0.3">
      <c r="A1455" t="s">
        <v>17</v>
      </c>
      <c r="B1455">
        <v>67</v>
      </c>
      <c r="C1455" t="s">
        <v>28</v>
      </c>
      <c r="D1455" s="2">
        <v>45869</v>
      </c>
      <c r="E1455" s="3">
        <f t="shared" si="22"/>
        <v>45839</v>
      </c>
      <c r="F1455" t="s">
        <v>1487</v>
      </c>
      <c r="H1455" s="4">
        <v>-1.08</v>
      </c>
      <c r="I1455" t="s">
        <v>31</v>
      </c>
      <c r="J1455" t="s">
        <v>60</v>
      </c>
      <c r="L1455" s="2">
        <v>45839</v>
      </c>
      <c r="M1455" t="s">
        <v>60</v>
      </c>
      <c r="N1455">
        <v>0</v>
      </c>
      <c r="O1455" t="s">
        <v>31</v>
      </c>
      <c r="P1455" t="s">
        <v>28</v>
      </c>
      <c r="Q1455">
        <v>0</v>
      </c>
    </row>
    <row r="1456" spans="1:17" x14ac:dyDescent="0.3">
      <c r="A1456" t="s">
        <v>17</v>
      </c>
      <c r="B1456">
        <v>67</v>
      </c>
      <c r="C1456" t="s">
        <v>28</v>
      </c>
      <c r="D1456" s="2">
        <v>45869</v>
      </c>
      <c r="E1456" s="3">
        <f t="shared" si="22"/>
        <v>45839</v>
      </c>
      <c r="F1456" t="s">
        <v>1487</v>
      </c>
      <c r="H1456" s="4">
        <v>-11.15</v>
      </c>
      <c r="I1456" t="s">
        <v>31</v>
      </c>
      <c r="J1456" t="s">
        <v>60</v>
      </c>
      <c r="L1456" s="2">
        <v>45839</v>
      </c>
      <c r="M1456" t="s">
        <v>60</v>
      </c>
      <c r="N1456">
        <v>0</v>
      </c>
      <c r="O1456" t="s">
        <v>31</v>
      </c>
      <c r="P1456" t="s">
        <v>28</v>
      </c>
      <c r="Q1456">
        <v>0</v>
      </c>
    </row>
    <row r="1457" spans="1:17" x14ac:dyDescent="0.3">
      <c r="A1457" t="s">
        <v>17</v>
      </c>
      <c r="B1457">
        <v>67</v>
      </c>
      <c r="C1457" t="s">
        <v>28</v>
      </c>
      <c r="D1457" s="2">
        <v>45869</v>
      </c>
      <c r="E1457" s="3">
        <f t="shared" si="22"/>
        <v>45839</v>
      </c>
      <c r="F1457" t="s">
        <v>1487</v>
      </c>
      <c r="H1457" s="4">
        <v>-56.13</v>
      </c>
      <c r="I1457" t="s">
        <v>31</v>
      </c>
      <c r="J1457" t="s">
        <v>60</v>
      </c>
      <c r="L1457" s="2">
        <v>45839</v>
      </c>
      <c r="M1457" t="s">
        <v>60</v>
      </c>
      <c r="N1457">
        <v>0</v>
      </c>
      <c r="O1457" t="s">
        <v>31</v>
      </c>
      <c r="P1457" t="s">
        <v>28</v>
      </c>
      <c r="Q1457">
        <v>0</v>
      </c>
    </row>
    <row r="1458" spans="1:17" x14ac:dyDescent="0.3">
      <c r="A1458" t="s">
        <v>17</v>
      </c>
      <c r="B1458">
        <v>67</v>
      </c>
      <c r="C1458" t="s">
        <v>28</v>
      </c>
      <c r="D1458" s="2">
        <v>45869</v>
      </c>
      <c r="E1458" s="3">
        <f t="shared" si="22"/>
        <v>45839</v>
      </c>
      <c r="F1458" t="s">
        <v>1487</v>
      </c>
      <c r="H1458" s="4">
        <v>-12.76</v>
      </c>
      <c r="I1458" t="s">
        <v>31</v>
      </c>
      <c r="J1458" t="s">
        <v>60</v>
      </c>
      <c r="L1458" s="2">
        <v>45839</v>
      </c>
      <c r="M1458" t="s">
        <v>60</v>
      </c>
      <c r="N1458">
        <v>0</v>
      </c>
      <c r="O1458" t="s">
        <v>31</v>
      </c>
      <c r="P1458" t="s">
        <v>28</v>
      </c>
      <c r="Q1458">
        <v>0</v>
      </c>
    </row>
    <row r="1459" spans="1:17" x14ac:dyDescent="0.3">
      <c r="A1459" t="s">
        <v>17</v>
      </c>
      <c r="B1459">
        <v>67</v>
      </c>
      <c r="C1459" t="s">
        <v>28</v>
      </c>
      <c r="D1459" s="2">
        <v>45869</v>
      </c>
      <c r="E1459" s="3">
        <f t="shared" si="22"/>
        <v>45839</v>
      </c>
      <c r="F1459" t="s">
        <v>1487</v>
      </c>
      <c r="H1459" s="4">
        <v>-14.51</v>
      </c>
      <c r="I1459" t="s">
        <v>31</v>
      </c>
      <c r="J1459" t="s">
        <v>60</v>
      </c>
      <c r="L1459" s="2">
        <v>45839</v>
      </c>
      <c r="M1459" t="s">
        <v>60</v>
      </c>
      <c r="N1459">
        <v>0</v>
      </c>
      <c r="O1459" t="s">
        <v>31</v>
      </c>
      <c r="P1459" t="s">
        <v>28</v>
      </c>
      <c r="Q1459">
        <v>0</v>
      </c>
    </row>
    <row r="1460" spans="1:17" x14ac:dyDescent="0.3">
      <c r="A1460" t="s">
        <v>17</v>
      </c>
      <c r="B1460">
        <v>67</v>
      </c>
      <c r="C1460" t="s">
        <v>28</v>
      </c>
      <c r="D1460" s="2">
        <v>45869</v>
      </c>
      <c r="E1460" s="3">
        <f t="shared" si="22"/>
        <v>45839</v>
      </c>
      <c r="F1460" t="s">
        <v>1487</v>
      </c>
      <c r="H1460" s="4">
        <v>-48.04</v>
      </c>
      <c r="I1460" t="s">
        <v>31</v>
      </c>
      <c r="J1460" t="s">
        <v>60</v>
      </c>
      <c r="L1460" s="2">
        <v>45839</v>
      </c>
      <c r="M1460" t="s">
        <v>60</v>
      </c>
      <c r="N1460">
        <v>0</v>
      </c>
      <c r="O1460" t="s">
        <v>31</v>
      </c>
      <c r="P1460" t="s">
        <v>28</v>
      </c>
      <c r="Q1460">
        <v>0</v>
      </c>
    </row>
    <row r="1461" spans="1:17" x14ac:dyDescent="0.3">
      <c r="A1461" t="s">
        <v>17</v>
      </c>
      <c r="B1461">
        <v>67</v>
      </c>
      <c r="C1461" t="s">
        <v>28</v>
      </c>
      <c r="D1461" s="2">
        <v>45869</v>
      </c>
      <c r="E1461" s="3">
        <f t="shared" si="22"/>
        <v>45839</v>
      </c>
      <c r="F1461" t="s">
        <v>1487</v>
      </c>
      <c r="H1461" s="4">
        <v>-59.2</v>
      </c>
      <c r="I1461" t="s">
        <v>31</v>
      </c>
      <c r="J1461" t="s">
        <v>60</v>
      </c>
      <c r="L1461" s="2">
        <v>45839</v>
      </c>
      <c r="M1461" t="s">
        <v>60</v>
      </c>
      <c r="N1461">
        <v>0</v>
      </c>
      <c r="O1461" t="s">
        <v>31</v>
      </c>
      <c r="P1461" t="s">
        <v>28</v>
      </c>
      <c r="Q1461">
        <v>0</v>
      </c>
    </row>
    <row r="1462" spans="1:17" x14ac:dyDescent="0.3">
      <c r="A1462" t="s">
        <v>17</v>
      </c>
      <c r="B1462">
        <v>67</v>
      </c>
      <c r="C1462" t="s">
        <v>28</v>
      </c>
      <c r="D1462" s="2">
        <v>45839</v>
      </c>
      <c r="E1462" s="3">
        <f t="shared" si="22"/>
        <v>45839</v>
      </c>
      <c r="F1462">
        <v>101200345898</v>
      </c>
      <c r="G1462" t="s">
        <v>369</v>
      </c>
      <c r="H1462" s="4">
        <v>543.99</v>
      </c>
      <c r="I1462" t="s">
        <v>31</v>
      </c>
      <c r="J1462" t="s">
        <v>74</v>
      </c>
      <c r="K1462" t="s">
        <v>1488</v>
      </c>
      <c r="L1462" s="2">
        <v>45839</v>
      </c>
      <c r="M1462" t="s">
        <v>76</v>
      </c>
      <c r="N1462">
        <v>0</v>
      </c>
      <c r="O1462" t="s">
        <v>31</v>
      </c>
      <c r="P1462" t="s">
        <v>28</v>
      </c>
      <c r="Q1462">
        <v>0</v>
      </c>
    </row>
    <row r="1463" spans="1:17" x14ac:dyDescent="0.3">
      <c r="A1463" t="s">
        <v>17</v>
      </c>
      <c r="B1463">
        <v>67</v>
      </c>
      <c r="C1463" t="s">
        <v>28</v>
      </c>
      <c r="D1463" s="2">
        <v>45841</v>
      </c>
      <c r="E1463" s="3">
        <f t="shared" si="22"/>
        <v>45839</v>
      </c>
      <c r="F1463" t="s">
        <v>1336</v>
      </c>
      <c r="G1463" t="s">
        <v>101</v>
      </c>
      <c r="H1463" s="4">
        <v>1494</v>
      </c>
      <c r="I1463" t="s">
        <v>104</v>
      </c>
      <c r="J1463" t="s">
        <v>74</v>
      </c>
      <c r="K1463" t="s">
        <v>1489</v>
      </c>
      <c r="L1463" s="2">
        <v>45839</v>
      </c>
      <c r="M1463" t="s">
        <v>76</v>
      </c>
      <c r="N1463">
        <v>0</v>
      </c>
      <c r="O1463" t="s">
        <v>104</v>
      </c>
      <c r="P1463" t="s">
        <v>28</v>
      </c>
      <c r="Q1463">
        <v>0</v>
      </c>
    </row>
    <row r="1464" spans="1:17" x14ac:dyDescent="0.3">
      <c r="A1464" t="s">
        <v>17</v>
      </c>
      <c r="B1464">
        <v>67</v>
      </c>
      <c r="C1464" t="s">
        <v>28</v>
      </c>
      <c r="D1464" s="2">
        <v>45841</v>
      </c>
      <c r="E1464" s="3">
        <f t="shared" si="22"/>
        <v>45839</v>
      </c>
      <c r="F1464" t="s">
        <v>1336</v>
      </c>
      <c r="G1464" t="s">
        <v>101</v>
      </c>
      <c r="H1464" s="4">
        <v>75.400000000000006</v>
      </c>
      <c r="I1464" t="s">
        <v>31</v>
      </c>
      <c r="J1464" t="s">
        <v>74</v>
      </c>
      <c r="K1464" t="s">
        <v>1490</v>
      </c>
      <c r="L1464" s="2">
        <v>45839</v>
      </c>
      <c r="M1464" t="s">
        <v>76</v>
      </c>
      <c r="N1464">
        <v>0</v>
      </c>
      <c r="O1464" t="s">
        <v>31</v>
      </c>
      <c r="P1464" t="s">
        <v>28</v>
      </c>
      <c r="Q1464">
        <v>0</v>
      </c>
    </row>
    <row r="1465" spans="1:17" x14ac:dyDescent="0.3">
      <c r="A1465" t="s">
        <v>17</v>
      </c>
      <c r="B1465">
        <v>67</v>
      </c>
      <c r="C1465" t="s">
        <v>28</v>
      </c>
      <c r="D1465" s="2">
        <v>45841</v>
      </c>
      <c r="E1465" s="3">
        <f t="shared" si="22"/>
        <v>45839</v>
      </c>
      <c r="F1465" t="s">
        <v>1336</v>
      </c>
      <c r="G1465" t="s">
        <v>101</v>
      </c>
      <c r="H1465" s="4">
        <v>1779.84</v>
      </c>
      <c r="I1465" t="s">
        <v>31</v>
      </c>
      <c r="J1465" t="s">
        <v>74</v>
      </c>
      <c r="K1465" t="s">
        <v>1491</v>
      </c>
      <c r="L1465" s="2">
        <v>45839</v>
      </c>
      <c r="M1465" t="s">
        <v>76</v>
      </c>
      <c r="N1465">
        <v>0</v>
      </c>
      <c r="O1465" t="s">
        <v>31</v>
      </c>
      <c r="P1465" t="s">
        <v>28</v>
      </c>
      <c r="Q1465">
        <v>0</v>
      </c>
    </row>
    <row r="1466" spans="1:17" x14ac:dyDescent="0.3">
      <c r="A1466" t="s">
        <v>17</v>
      </c>
      <c r="B1466">
        <v>67</v>
      </c>
      <c r="C1466" t="s">
        <v>28</v>
      </c>
      <c r="D1466" s="2">
        <v>45841</v>
      </c>
      <c r="E1466" s="3">
        <f t="shared" si="22"/>
        <v>45839</v>
      </c>
      <c r="F1466" t="s">
        <v>1336</v>
      </c>
      <c r="G1466" t="s">
        <v>101</v>
      </c>
      <c r="H1466" s="4">
        <v>77.58</v>
      </c>
      <c r="I1466" t="s">
        <v>31</v>
      </c>
      <c r="J1466" t="s">
        <v>74</v>
      </c>
      <c r="K1466" t="s">
        <v>1490</v>
      </c>
      <c r="L1466" s="2">
        <v>45839</v>
      </c>
      <c r="M1466" t="s">
        <v>76</v>
      </c>
      <c r="N1466">
        <v>0</v>
      </c>
      <c r="O1466" t="s">
        <v>31</v>
      </c>
      <c r="P1466" t="s">
        <v>28</v>
      </c>
      <c r="Q1466">
        <v>0</v>
      </c>
    </row>
    <row r="1467" spans="1:17" x14ac:dyDescent="0.3">
      <c r="A1467" t="s">
        <v>17</v>
      </c>
      <c r="B1467">
        <v>67</v>
      </c>
      <c r="C1467" t="s">
        <v>28</v>
      </c>
      <c r="D1467" s="2">
        <v>45869</v>
      </c>
      <c r="E1467" s="3">
        <f t="shared" si="22"/>
        <v>45839</v>
      </c>
      <c r="F1467" t="s">
        <v>1332</v>
      </c>
      <c r="G1467" t="s">
        <v>158</v>
      </c>
      <c r="H1467" s="4">
        <v>21.78</v>
      </c>
      <c r="I1467" t="s">
        <v>159</v>
      </c>
      <c r="J1467" t="s">
        <v>74</v>
      </c>
      <c r="K1467" t="s">
        <v>429</v>
      </c>
      <c r="L1467" s="2">
        <v>45839</v>
      </c>
      <c r="M1467" t="s">
        <v>76</v>
      </c>
      <c r="N1467">
        <v>0</v>
      </c>
      <c r="O1467" t="s">
        <v>159</v>
      </c>
      <c r="P1467" t="s">
        <v>28</v>
      </c>
      <c r="Q1467">
        <v>0</v>
      </c>
    </row>
    <row r="1468" spans="1:17" x14ac:dyDescent="0.3">
      <c r="A1468" t="s">
        <v>17</v>
      </c>
      <c r="B1468">
        <v>67</v>
      </c>
      <c r="C1468" t="s">
        <v>28</v>
      </c>
      <c r="D1468" s="2">
        <v>45869</v>
      </c>
      <c r="E1468" s="3">
        <f t="shared" si="22"/>
        <v>45839</v>
      </c>
      <c r="F1468" t="s">
        <v>1333</v>
      </c>
      <c r="H1468" s="4">
        <v>21.78</v>
      </c>
      <c r="I1468" t="s">
        <v>31</v>
      </c>
      <c r="J1468" t="s">
        <v>74</v>
      </c>
      <c r="K1468" t="s">
        <v>1492</v>
      </c>
      <c r="L1468" s="2">
        <v>45839</v>
      </c>
      <c r="M1468" t="s">
        <v>76</v>
      </c>
      <c r="N1468">
        <v>0</v>
      </c>
      <c r="O1468" t="s">
        <v>31</v>
      </c>
      <c r="P1468" t="s">
        <v>28</v>
      </c>
      <c r="Q1468">
        <v>0</v>
      </c>
    </row>
    <row r="1469" spans="1:17" x14ac:dyDescent="0.3">
      <c r="A1469" t="s">
        <v>17</v>
      </c>
      <c r="B1469">
        <v>67</v>
      </c>
      <c r="C1469" t="s">
        <v>28</v>
      </c>
      <c r="D1469" s="2">
        <v>45869</v>
      </c>
      <c r="E1469" s="3">
        <f t="shared" si="22"/>
        <v>45839</v>
      </c>
      <c r="F1469" t="s">
        <v>1493</v>
      </c>
      <c r="H1469" s="4">
        <v>9.99</v>
      </c>
      <c r="I1469" t="s">
        <v>31</v>
      </c>
      <c r="J1469" t="s">
        <v>74</v>
      </c>
      <c r="K1469" t="s">
        <v>1494</v>
      </c>
      <c r="L1469" s="2">
        <v>45839</v>
      </c>
      <c r="M1469" t="s">
        <v>76</v>
      </c>
      <c r="N1469">
        <v>0</v>
      </c>
      <c r="O1469" t="s">
        <v>31</v>
      </c>
      <c r="P1469" t="s">
        <v>28</v>
      </c>
      <c r="Q1469">
        <v>0</v>
      </c>
    </row>
    <row r="1470" spans="1:17" x14ac:dyDescent="0.3">
      <c r="A1470" t="s">
        <v>17</v>
      </c>
      <c r="B1470">
        <v>67</v>
      </c>
      <c r="C1470" t="s">
        <v>28</v>
      </c>
      <c r="D1470" s="2">
        <v>45869</v>
      </c>
      <c r="E1470" s="3">
        <f t="shared" si="22"/>
        <v>45839</v>
      </c>
      <c r="F1470" t="s">
        <v>1495</v>
      </c>
      <c r="H1470" s="4">
        <v>2582.46</v>
      </c>
      <c r="I1470" t="s">
        <v>31</v>
      </c>
      <c r="J1470" t="s">
        <v>74</v>
      </c>
      <c r="K1470" t="s">
        <v>1100</v>
      </c>
      <c r="L1470" s="2">
        <v>45839</v>
      </c>
      <c r="M1470" t="s">
        <v>76</v>
      </c>
      <c r="N1470">
        <v>0</v>
      </c>
      <c r="O1470" t="s">
        <v>31</v>
      </c>
      <c r="P1470" t="s">
        <v>28</v>
      </c>
      <c r="Q1470">
        <v>0</v>
      </c>
    </row>
    <row r="1471" spans="1:17" x14ac:dyDescent="0.3">
      <c r="A1471" t="s">
        <v>17</v>
      </c>
      <c r="B1471">
        <v>67</v>
      </c>
      <c r="C1471" t="s">
        <v>28</v>
      </c>
      <c r="D1471" s="2">
        <v>45869</v>
      </c>
      <c r="E1471" s="3">
        <f t="shared" si="22"/>
        <v>45839</v>
      </c>
      <c r="F1471" t="s">
        <v>1496</v>
      </c>
      <c r="H1471" s="4">
        <v>3179.22</v>
      </c>
      <c r="I1471" t="s">
        <v>31</v>
      </c>
      <c r="J1471" t="s">
        <v>74</v>
      </c>
      <c r="K1471" t="s">
        <v>1098</v>
      </c>
      <c r="L1471" s="2">
        <v>45839</v>
      </c>
      <c r="M1471" t="s">
        <v>76</v>
      </c>
      <c r="N1471">
        <v>0</v>
      </c>
      <c r="O1471" t="s">
        <v>31</v>
      </c>
      <c r="P1471" t="s">
        <v>28</v>
      </c>
      <c r="Q1471">
        <v>0</v>
      </c>
    </row>
    <row r="1472" spans="1:17" x14ac:dyDescent="0.3">
      <c r="A1472" t="s">
        <v>17</v>
      </c>
      <c r="B1472">
        <v>67</v>
      </c>
      <c r="C1472" t="s">
        <v>28</v>
      </c>
      <c r="D1472" s="2">
        <v>45869</v>
      </c>
      <c r="E1472" s="3">
        <f t="shared" si="22"/>
        <v>45839</v>
      </c>
      <c r="F1472" t="s">
        <v>1497</v>
      </c>
      <c r="H1472" s="4">
        <v>226.82</v>
      </c>
      <c r="I1472" t="s">
        <v>31</v>
      </c>
      <c r="J1472" t="s">
        <v>74</v>
      </c>
      <c r="K1472" t="s">
        <v>355</v>
      </c>
      <c r="L1472" s="2">
        <v>45839</v>
      </c>
      <c r="M1472" t="s">
        <v>76</v>
      </c>
      <c r="N1472">
        <v>0</v>
      </c>
      <c r="O1472" t="s">
        <v>31</v>
      </c>
      <c r="P1472" t="s">
        <v>28</v>
      </c>
      <c r="Q1472">
        <v>0</v>
      </c>
    </row>
    <row r="1473" spans="1:17" x14ac:dyDescent="0.3">
      <c r="A1473" t="s">
        <v>17</v>
      </c>
      <c r="B1473">
        <v>67</v>
      </c>
      <c r="C1473" t="s">
        <v>28</v>
      </c>
      <c r="D1473" s="2">
        <v>45869</v>
      </c>
      <c r="E1473" s="3">
        <f t="shared" si="22"/>
        <v>45839</v>
      </c>
      <c r="F1473" t="s">
        <v>1498</v>
      </c>
      <c r="H1473" s="4">
        <v>4100</v>
      </c>
      <c r="I1473" t="s">
        <v>31</v>
      </c>
      <c r="J1473" t="s">
        <v>74</v>
      </c>
      <c r="K1473" t="s">
        <v>1499</v>
      </c>
      <c r="L1473" s="2">
        <v>45839</v>
      </c>
      <c r="M1473" t="s">
        <v>76</v>
      </c>
      <c r="N1473">
        <v>0</v>
      </c>
      <c r="O1473" t="s">
        <v>31</v>
      </c>
      <c r="P1473" t="s">
        <v>28</v>
      </c>
      <c r="Q1473">
        <v>0</v>
      </c>
    </row>
    <row r="1474" spans="1:17" x14ac:dyDescent="0.3">
      <c r="A1474" t="s">
        <v>17</v>
      </c>
      <c r="B1474">
        <v>67</v>
      </c>
      <c r="C1474" t="s">
        <v>28</v>
      </c>
      <c r="D1474" s="2">
        <v>45869</v>
      </c>
      <c r="E1474" s="3">
        <f t="shared" si="22"/>
        <v>45839</v>
      </c>
      <c r="F1474" t="s">
        <v>1500</v>
      </c>
      <c r="H1474" s="4">
        <v>411.58</v>
      </c>
      <c r="I1474" t="s">
        <v>31</v>
      </c>
      <c r="J1474" t="s">
        <v>74</v>
      </c>
      <c r="K1474" t="s">
        <v>1501</v>
      </c>
      <c r="L1474" s="2">
        <v>45839</v>
      </c>
      <c r="M1474" t="s">
        <v>76</v>
      </c>
      <c r="N1474">
        <v>0</v>
      </c>
      <c r="O1474" t="s">
        <v>31</v>
      </c>
      <c r="P1474" t="s">
        <v>28</v>
      </c>
      <c r="Q1474">
        <v>0</v>
      </c>
    </row>
    <row r="1475" spans="1:17" x14ac:dyDescent="0.3">
      <c r="A1475" t="s">
        <v>17</v>
      </c>
      <c r="B1475">
        <v>67</v>
      </c>
      <c r="C1475" t="s">
        <v>28</v>
      </c>
      <c r="D1475" s="2">
        <v>45869</v>
      </c>
      <c r="E1475" s="3">
        <f t="shared" ref="E1475:E1538" si="23">IF($D1475="","",DATE(YEAR($D1475),MONTH($D1475),1))</f>
        <v>45839</v>
      </c>
      <c r="F1475" t="s">
        <v>1502</v>
      </c>
      <c r="H1475" s="4">
        <v>2268.23</v>
      </c>
      <c r="I1475" t="s">
        <v>47</v>
      </c>
      <c r="J1475" t="s">
        <v>74</v>
      </c>
      <c r="K1475" t="s">
        <v>1108</v>
      </c>
      <c r="L1475" s="2">
        <v>45839</v>
      </c>
      <c r="M1475" t="s">
        <v>76</v>
      </c>
      <c r="N1475">
        <v>0</v>
      </c>
      <c r="O1475" t="s">
        <v>26</v>
      </c>
      <c r="P1475" t="s">
        <v>28</v>
      </c>
      <c r="Q1475">
        <v>0</v>
      </c>
    </row>
    <row r="1476" spans="1:17" x14ac:dyDescent="0.3">
      <c r="A1476" t="s">
        <v>17</v>
      </c>
      <c r="B1476">
        <v>68</v>
      </c>
      <c r="C1476" t="s">
        <v>34</v>
      </c>
      <c r="D1476" s="2">
        <v>45839</v>
      </c>
      <c r="E1476" s="3">
        <f t="shared" si="23"/>
        <v>45839</v>
      </c>
      <c r="F1476" t="s">
        <v>1402</v>
      </c>
      <c r="G1476" t="s">
        <v>40</v>
      </c>
      <c r="H1476" s="4">
        <v>290.16000000000003</v>
      </c>
      <c r="I1476" t="s">
        <v>31</v>
      </c>
      <c r="J1476" t="s">
        <v>37</v>
      </c>
      <c r="K1476" t="s">
        <v>1503</v>
      </c>
      <c r="L1476" s="2">
        <v>45839</v>
      </c>
      <c r="M1476" t="s">
        <v>37</v>
      </c>
      <c r="N1476">
        <v>0</v>
      </c>
      <c r="O1476" t="s">
        <v>31</v>
      </c>
      <c r="P1476" t="s">
        <v>34</v>
      </c>
      <c r="Q1476">
        <v>0</v>
      </c>
    </row>
    <row r="1477" spans="1:17" x14ac:dyDescent="0.3">
      <c r="A1477" t="s">
        <v>17</v>
      </c>
      <c r="B1477">
        <v>68</v>
      </c>
      <c r="C1477" t="s">
        <v>34</v>
      </c>
      <c r="D1477" s="2">
        <v>45839</v>
      </c>
      <c r="E1477" s="3">
        <f t="shared" si="23"/>
        <v>45839</v>
      </c>
      <c r="F1477" t="s">
        <v>1504</v>
      </c>
      <c r="G1477" t="s">
        <v>43</v>
      </c>
      <c r="H1477" s="4">
        <v>269.97000000000003</v>
      </c>
      <c r="I1477" t="s">
        <v>31</v>
      </c>
      <c r="J1477" t="s">
        <v>37</v>
      </c>
      <c r="K1477" t="s">
        <v>1505</v>
      </c>
      <c r="L1477" s="2">
        <v>45839</v>
      </c>
      <c r="M1477" t="s">
        <v>37</v>
      </c>
      <c r="N1477">
        <v>0</v>
      </c>
      <c r="O1477" t="s">
        <v>31</v>
      </c>
      <c r="P1477" t="s">
        <v>34</v>
      </c>
      <c r="Q1477">
        <v>0</v>
      </c>
    </row>
    <row r="1478" spans="1:17" x14ac:dyDescent="0.3">
      <c r="A1478" t="s">
        <v>17</v>
      </c>
      <c r="B1478">
        <v>68</v>
      </c>
      <c r="C1478" t="s">
        <v>34</v>
      </c>
      <c r="D1478" s="2">
        <v>45839</v>
      </c>
      <c r="E1478" s="3">
        <f t="shared" si="23"/>
        <v>45839</v>
      </c>
      <c r="F1478" t="s">
        <v>1506</v>
      </c>
      <c r="H1478" s="4">
        <v>-290.16000000000003</v>
      </c>
      <c r="I1478" t="s">
        <v>31</v>
      </c>
      <c r="J1478" t="s">
        <v>37</v>
      </c>
      <c r="K1478" t="s">
        <v>1319</v>
      </c>
      <c r="L1478" s="2">
        <v>45839</v>
      </c>
      <c r="M1478" t="s">
        <v>37</v>
      </c>
      <c r="N1478">
        <v>0</v>
      </c>
      <c r="O1478" t="s">
        <v>31</v>
      </c>
      <c r="P1478" t="s">
        <v>34</v>
      </c>
      <c r="Q1478">
        <v>0</v>
      </c>
    </row>
    <row r="1479" spans="1:17" x14ac:dyDescent="0.3">
      <c r="A1479" t="s">
        <v>17</v>
      </c>
      <c r="B1479">
        <v>68</v>
      </c>
      <c r="C1479" t="s">
        <v>34</v>
      </c>
      <c r="D1479" s="2">
        <v>45869</v>
      </c>
      <c r="E1479" s="3">
        <f t="shared" si="23"/>
        <v>45839</v>
      </c>
      <c r="F1479" t="s">
        <v>1507</v>
      </c>
      <c r="H1479" s="4">
        <v>728.58</v>
      </c>
      <c r="I1479" t="s">
        <v>31</v>
      </c>
      <c r="J1479" t="s">
        <v>37</v>
      </c>
      <c r="K1479" t="s">
        <v>1508</v>
      </c>
      <c r="L1479" s="2">
        <v>45839</v>
      </c>
      <c r="M1479" t="s">
        <v>37</v>
      </c>
      <c r="N1479">
        <v>0</v>
      </c>
      <c r="O1479" t="s">
        <v>31</v>
      </c>
      <c r="P1479" t="s">
        <v>34</v>
      </c>
      <c r="Q1479">
        <v>0</v>
      </c>
    </row>
    <row r="1480" spans="1:17" x14ac:dyDescent="0.3">
      <c r="A1480" t="s">
        <v>17</v>
      </c>
      <c r="B1480">
        <v>65</v>
      </c>
      <c r="C1480" t="s">
        <v>54</v>
      </c>
      <c r="D1480" s="2">
        <v>45852</v>
      </c>
      <c r="E1480" s="3">
        <f t="shared" si="23"/>
        <v>45839</v>
      </c>
      <c r="F1480">
        <v>41517531</v>
      </c>
      <c r="G1480" t="s">
        <v>154</v>
      </c>
      <c r="H1480" s="4">
        <v>740.48</v>
      </c>
      <c r="I1480" t="s">
        <v>31</v>
      </c>
      <c r="J1480" t="s">
        <v>155</v>
      </c>
      <c r="K1480" t="s">
        <v>1509</v>
      </c>
      <c r="L1480" s="2">
        <v>45839</v>
      </c>
      <c r="M1480" t="s">
        <v>155</v>
      </c>
      <c r="N1480">
        <v>0</v>
      </c>
      <c r="O1480" t="s">
        <v>31</v>
      </c>
      <c r="P1480" t="s">
        <v>54</v>
      </c>
      <c r="Q1480">
        <v>0</v>
      </c>
    </row>
    <row r="1481" spans="1:17" x14ac:dyDescent="0.3">
      <c r="A1481" t="s">
        <v>17</v>
      </c>
      <c r="B1481">
        <v>65</v>
      </c>
      <c r="C1481" t="s">
        <v>54</v>
      </c>
      <c r="D1481" s="2">
        <v>45869</v>
      </c>
      <c r="E1481" s="3">
        <f t="shared" si="23"/>
        <v>45839</v>
      </c>
      <c r="F1481" t="s">
        <v>1404</v>
      </c>
      <c r="H1481" s="4">
        <v>-606</v>
      </c>
      <c r="I1481" t="s">
        <v>31</v>
      </c>
      <c r="J1481" t="s">
        <v>155</v>
      </c>
      <c r="L1481" s="2">
        <v>45839</v>
      </c>
      <c r="M1481" t="s">
        <v>155</v>
      </c>
      <c r="N1481">
        <v>0</v>
      </c>
      <c r="O1481" t="s">
        <v>31</v>
      </c>
      <c r="P1481" t="s">
        <v>54</v>
      </c>
      <c r="Q1481">
        <v>0</v>
      </c>
    </row>
    <row r="1482" spans="1:17" x14ac:dyDescent="0.3">
      <c r="A1482" t="s">
        <v>17</v>
      </c>
      <c r="B1482">
        <v>67</v>
      </c>
      <c r="C1482" t="s">
        <v>28</v>
      </c>
      <c r="D1482" s="2">
        <v>45869</v>
      </c>
      <c r="E1482" s="3">
        <f t="shared" si="23"/>
        <v>45839</v>
      </c>
      <c r="F1482" t="s">
        <v>1510</v>
      </c>
      <c r="H1482" s="4">
        <v>153</v>
      </c>
      <c r="I1482" t="s">
        <v>47</v>
      </c>
      <c r="J1482" t="s">
        <v>352</v>
      </c>
      <c r="K1482" t="s">
        <v>359</v>
      </c>
      <c r="L1482" s="2">
        <v>45839</v>
      </c>
      <c r="M1482" t="s">
        <v>352</v>
      </c>
      <c r="N1482">
        <v>0</v>
      </c>
      <c r="O1482" t="s">
        <v>26</v>
      </c>
      <c r="P1482" t="s">
        <v>28</v>
      </c>
      <c r="Q1482">
        <v>0</v>
      </c>
    </row>
    <row r="1483" spans="1:17" x14ac:dyDescent="0.3">
      <c r="A1483" t="s">
        <v>17</v>
      </c>
      <c r="B1483">
        <v>67</v>
      </c>
      <c r="C1483" t="s">
        <v>28</v>
      </c>
      <c r="D1483" s="2">
        <v>45869</v>
      </c>
      <c r="E1483" s="3">
        <f t="shared" si="23"/>
        <v>45839</v>
      </c>
      <c r="F1483" t="s">
        <v>1511</v>
      </c>
      <c r="H1483" s="4">
        <v>175</v>
      </c>
      <c r="I1483" t="s">
        <v>108</v>
      </c>
      <c r="J1483" t="s">
        <v>352</v>
      </c>
      <c r="K1483" t="s">
        <v>1512</v>
      </c>
      <c r="L1483" s="2">
        <v>45839</v>
      </c>
      <c r="M1483" t="s">
        <v>352</v>
      </c>
      <c r="N1483">
        <v>0</v>
      </c>
      <c r="O1483" t="s">
        <v>111</v>
      </c>
      <c r="P1483" t="s">
        <v>28</v>
      </c>
      <c r="Q1483">
        <v>0</v>
      </c>
    </row>
    <row r="1484" spans="1:17" x14ac:dyDescent="0.3">
      <c r="A1484" t="s">
        <v>17</v>
      </c>
      <c r="B1484">
        <v>68</v>
      </c>
      <c r="C1484" t="s">
        <v>34</v>
      </c>
      <c r="D1484" s="2">
        <v>45869</v>
      </c>
      <c r="E1484" s="3">
        <f t="shared" si="23"/>
        <v>45839</v>
      </c>
      <c r="F1484" t="s">
        <v>1513</v>
      </c>
      <c r="H1484" s="4">
        <v>5000</v>
      </c>
      <c r="I1484" t="s">
        <v>21</v>
      </c>
      <c r="J1484" t="s">
        <v>726</v>
      </c>
      <c r="K1484" t="s">
        <v>1514</v>
      </c>
      <c r="L1484" s="2">
        <v>45839</v>
      </c>
      <c r="M1484" t="s">
        <v>726</v>
      </c>
      <c r="N1484" t="s">
        <v>25</v>
      </c>
      <c r="O1484" t="s">
        <v>81</v>
      </c>
      <c r="P1484" t="s">
        <v>34</v>
      </c>
      <c r="Q1484">
        <v>0</v>
      </c>
    </row>
    <row r="1485" spans="1:17" x14ac:dyDescent="0.3">
      <c r="A1485" t="s">
        <v>17</v>
      </c>
      <c r="B1485">
        <v>67</v>
      </c>
      <c r="C1485" t="s">
        <v>28</v>
      </c>
      <c r="D1485" s="2">
        <v>45841</v>
      </c>
      <c r="E1485" s="3">
        <f t="shared" si="23"/>
        <v>45839</v>
      </c>
      <c r="F1485" t="s">
        <v>1336</v>
      </c>
      <c r="G1485" t="s">
        <v>101</v>
      </c>
      <c r="H1485" s="4">
        <v>1.1599999999999999</v>
      </c>
      <c r="I1485" t="s">
        <v>31</v>
      </c>
      <c r="J1485" t="s">
        <v>64</v>
      </c>
      <c r="K1485" t="s">
        <v>1515</v>
      </c>
      <c r="L1485" s="2">
        <v>45839</v>
      </c>
      <c r="M1485" t="s">
        <v>64</v>
      </c>
      <c r="N1485">
        <v>0</v>
      </c>
      <c r="O1485" t="s">
        <v>31</v>
      </c>
      <c r="P1485" t="s">
        <v>28</v>
      </c>
      <c r="Q1485">
        <v>0</v>
      </c>
    </row>
    <row r="1486" spans="1:17" x14ac:dyDescent="0.3">
      <c r="A1486" t="s">
        <v>17</v>
      </c>
      <c r="B1486">
        <v>67</v>
      </c>
      <c r="C1486" t="s">
        <v>28</v>
      </c>
      <c r="D1486" s="2">
        <v>45841</v>
      </c>
      <c r="E1486" s="3">
        <f t="shared" si="23"/>
        <v>45839</v>
      </c>
      <c r="F1486" t="s">
        <v>1336</v>
      </c>
      <c r="G1486" t="s">
        <v>101</v>
      </c>
      <c r="H1486" s="4">
        <v>5.03</v>
      </c>
      <c r="I1486" t="s">
        <v>31</v>
      </c>
      <c r="J1486" t="s">
        <v>64</v>
      </c>
      <c r="K1486" t="s">
        <v>1515</v>
      </c>
      <c r="L1486" s="2">
        <v>45839</v>
      </c>
      <c r="M1486" t="s">
        <v>64</v>
      </c>
      <c r="N1486">
        <v>0</v>
      </c>
      <c r="O1486" t="s">
        <v>31</v>
      </c>
      <c r="P1486" t="s">
        <v>28</v>
      </c>
      <c r="Q1486">
        <v>0</v>
      </c>
    </row>
    <row r="1487" spans="1:17" x14ac:dyDescent="0.3">
      <c r="A1487" t="s">
        <v>17</v>
      </c>
      <c r="B1487">
        <v>67</v>
      </c>
      <c r="C1487" t="s">
        <v>28</v>
      </c>
      <c r="D1487" s="2">
        <v>45841</v>
      </c>
      <c r="E1487" s="3">
        <f t="shared" si="23"/>
        <v>45839</v>
      </c>
      <c r="F1487" t="s">
        <v>1336</v>
      </c>
      <c r="G1487" t="s">
        <v>101</v>
      </c>
      <c r="H1487" s="4">
        <v>1.1299999999999999</v>
      </c>
      <c r="I1487" t="s">
        <v>31</v>
      </c>
      <c r="J1487" t="s">
        <v>64</v>
      </c>
      <c r="K1487" t="s">
        <v>1166</v>
      </c>
      <c r="L1487" s="2">
        <v>45839</v>
      </c>
      <c r="M1487" t="s">
        <v>64</v>
      </c>
      <c r="N1487">
        <v>0</v>
      </c>
      <c r="O1487" t="s">
        <v>31</v>
      </c>
      <c r="P1487" t="s">
        <v>28</v>
      </c>
      <c r="Q1487">
        <v>0</v>
      </c>
    </row>
    <row r="1488" spans="1:17" x14ac:dyDescent="0.3">
      <c r="A1488" t="s">
        <v>17</v>
      </c>
      <c r="B1488">
        <v>67</v>
      </c>
      <c r="C1488" t="s">
        <v>28</v>
      </c>
      <c r="D1488" s="2">
        <v>45853</v>
      </c>
      <c r="E1488" s="3">
        <f t="shared" si="23"/>
        <v>45839</v>
      </c>
      <c r="F1488" t="s">
        <v>1516</v>
      </c>
      <c r="H1488" s="4">
        <v>650.94000000000005</v>
      </c>
      <c r="I1488" t="s">
        <v>31</v>
      </c>
      <c r="J1488" t="s">
        <v>64</v>
      </c>
      <c r="K1488" t="s">
        <v>168</v>
      </c>
      <c r="L1488" s="2">
        <v>45839</v>
      </c>
      <c r="M1488" t="s">
        <v>64</v>
      </c>
      <c r="N1488">
        <v>0</v>
      </c>
      <c r="O1488" t="s">
        <v>31</v>
      </c>
      <c r="P1488" t="s">
        <v>28</v>
      </c>
      <c r="Q1488">
        <v>0</v>
      </c>
    </row>
    <row r="1489" spans="1:17" x14ac:dyDescent="0.3">
      <c r="A1489" t="s">
        <v>17</v>
      </c>
      <c r="B1489">
        <v>68</v>
      </c>
      <c r="C1489" t="s">
        <v>34</v>
      </c>
      <c r="D1489" s="2">
        <v>45840</v>
      </c>
      <c r="E1489" s="3">
        <f t="shared" si="23"/>
        <v>45839</v>
      </c>
      <c r="F1489" t="s">
        <v>1517</v>
      </c>
      <c r="H1489" s="4">
        <v>-13.41</v>
      </c>
      <c r="I1489" t="s">
        <v>31</v>
      </c>
      <c r="J1489" t="s">
        <v>613</v>
      </c>
      <c r="K1489" t="s">
        <v>802</v>
      </c>
      <c r="L1489" s="2">
        <v>45839</v>
      </c>
      <c r="M1489" t="s">
        <v>613</v>
      </c>
      <c r="N1489">
        <v>0</v>
      </c>
      <c r="O1489" t="s">
        <v>31</v>
      </c>
      <c r="P1489" t="s">
        <v>34</v>
      </c>
      <c r="Q1489">
        <v>0</v>
      </c>
    </row>
    <row r="1490" spans="1:17" x14ac:dyDescent="0.3">
      <c r="A1490" t="s">
        <v>17</v>
      </c>
      <c r="B1490">
        <v>69</v>
      </c>
      <c r="C1490" t="s">
        <v>297</v>
      </c>
      <c r="D1490" s="2">
        <v>45869</v>
      </c>
      <c r="E1490" s="3">
        <f t="shared" si="23"/>
        <v>45839</v>
      </c>
      <c r="F1490" t="s">
        <v>1518</v>
      </c>
      <c r="H1490" s="4">
        <v>24.41</v>
      </c>
      <c r="I1490" t="s">
        <v>31</v>
      </c>
      <c r="J1490" t="s">
        <v>360</v>
      </c>
      <c r="L1490" s="2">
        <v>45839</v>
      </c>
      <c r="M1490" t="s">
        <v>361</v>
      </c>
      <c r="N1490">
        <v>0</v>
      </c>
      <c r="O1490" t="s">
        <v>31</v>
      </c>
      <c r="P1490" t="s">
        <v>297</v>
      </c>
      <c r="Q1490">
        <v>0</v>
      </c>
    </row>
    <row r="1491" spans="1:17" x14ac:dyDescent="0.3">
      <c r="A1491" t="s">
        <v>17</v>
      </c>
      <c r="B1491">
        <v>69</v>
      </c>
      <c r="C1491" t="s">
        <v>297</v>
      </c>
      <c r="D1491" s="2">
        <v>45869</v>
      </c>
      <c r="E1491" s="3">
        <f t="shared" si="23"/>
        <v>45839</v>
      </c>
      <c r="F1491" t="s">
        <v>1518</v>
      </c>
      <c r="H1491" s="4">
        <v>15.83</v>
      </c>
      <c r="I1491" t="s">
        <v>108</v>
      </c>
      <c r="J1491" t="s">
        <v>360</v>
      </c>
      <c r="L1491" s="2">
        <v>45839</v>
      </c>
      <c r="M1491" t="s">
        <v>361</v>
      </c>
      <c r="N1491">
        <v>0</v>
      </c>
      <c r="O1491" t="s">
        <v>111</v>
      </c>
      <c r="P1491" t="s">
        <v>297</v>
      </c>
      <c r="Q1491">
        <v>0</v>
      </c>
    </row>
    <row r="1492" spans="1:17" x14ac:dyDescent="0.3">
      <c r="A1492" t="s">
        <v>17</v>
      </c>
      <c r="B1492">
        <v>69</v>
      </c>
      <c r="C1492" t="s">
        <v>297</v>
      </c>
      <c r="D1492" s="2">
        <v>45869</v>
      </c>
      <c r="E1492" s="3">
        <f t="shared" si="23"/>
        <v>45839</v>
      </c>
      <c r="F1492" t="s">
        <v>1518</v>
      </c>
      <c r="H1492" s="4">
        <v>141.36000000000001</v>
      </c>
      <c r="I1492" t="s">
        <v>31</v>
      </c>
      <c r="J1492" t="s">
        <v>349</v>
      </c>
      <c r="L1492" s="2">
        <v>45839</v>
      </c>
      <c r="M1492" t="s">
        <v>350</v>
      </c>
      <c r="N1492">
        <v>0</v>
      </c>
      <c r="O1492" t="s">
        <v>31</v>
      </c>
      <c r="P1492" t="s">
        <v>297</v>
      </c>
      <c r="Q1492">
        <v>0</v>
      </c>
    </row>
    <row r="1493" spans="1:17" x14ac:dyDescent="0.3">
      <c r="A1493" t="s">
        <v>17</v>
      </c>
      <c r="B1493">
        <v>69</v>
      </c>
      <c r="C1493" t="s">
        <v>297</v>
      </c>
      <c r="D1493" s="2">
        <v>45869</v>
      </c>
      <c r="E1493" s="3">
        <f t="shared" si="23"/>
        <v>45839</v>
      </c>
      <c r="F1493" t="s">
        <v>1518</v>
      </c>
      <c r="H1493" s="4">
        <v>259.97000000000003</v>
      </c>
      <c r="I1493" t="s">
        <v>137</v>
      </c>
      <c r="J1493" t="s">
        <v>349</v>
      </c>
      <c r="L1493" s="2">
        <v>45839</v>
      </c>
      <c r="M1493" t="s">
        <v>350</v>
      </c>
      <c r="N1493" t="s">
        <v>141</v>
      </c>
      <c r="O1493" t="s">
        <v>141</v>
      </c>
      <c r="P1493" t="s">
        <v>297</v>
      </c>
      <c r="Q1493">
        <v>0</v>
      </c>
    </row>
    <row r="1494" spans="1:17" x14ac:dyDescent="0.3">
      <c r="A1494" t="s">
        <v>17</v>
      </c>
      <c r="B1494">
        <v>69</v>
      </c>
      <c r="C1494" t="s">
        <v>297</v>
      </c>
      <c r="D1494" s="2">
        <v>45869</v>
      </c>
      <c r="E1494" s="3">
        <f t="shared" si="23"/>
        <v>45839</v>
      </c>
      <c r="F1494" t="s">
        <v>1518</v>
      </c>
      <c r="H1494" s="4">
        <v>589.29999999999995</v>
      </c>
      <c r="I1494" t="s">
        <v>31</v>
      </c>
      <c r="J1494" t="s">
        <v>346</v>
      </c>
      <c r="L1494" s="2">
        <v>45839</v>
      </c>
      <c r="M1494" t="s">
        <v>347</v>
      </c>
      <c r="N1494">
        <v>0</v>
      </c>
      <c r="O1494" t="s">
        <v>31</v>
      </c>
      <c r="P1494" t="s">
        <v>297</v>
      </c>
      <c r="Q1494">
        <v>0</v>
      </c>
    </row>
    <row r="1495" spans="1:17" x14ac:dyDescent="0.3">
      <c r="A1495" t="s">
        <v>17</v>
      </c>
      <c r="B1495">
        <v>69</v>
      </c>
      <c r="C1495" t="s">
        <v>297</v>
      </c>
      <c r="D1495" s="2">
        <v>45869</v>
      </c>
      <c r="E1495" s="3">
        <f t="shared" si="23"/>
        <v>45839</v>
      </c>
      <c r="F1495" t="s">
        <v>1518</v>
      </c>
      <c r="H1495" s="4">
        <v>216.66</v>
      </c>
      <c r="I1495" t="s">
        <v>104</v>
      </c>
      <c r="J1495" t="s">
        <v>346</v>
      </c>
      <c r="L1495" s="2">
        <v>45839</v>
      </c>
      <c r="M1495" t="s">
        <v>347</v>
      </c>
      <c r="N1495">
        <v>0</v>
      </c>
      <c r="O1495" t="s">
        <v>104</v>
      </c>
      <c r="P1495" t="s">
        <v>297</v>
      </c>
      <c r="Q1495">
        <v>0</v>
      </c>
    </row>
    <row r="1496" spans="1:17" x14ac:dyDescent="0.3">
      <c r="A1496" t="s">
        <v>17</v>
      </c>
      <c r="B1496">
        <v>69</v>
      </c>
      <c r="C1496" t="s">
        <v>297</v>
      </c>
      <c r="D1496" s="2">
        <v>45869</v>
      </c>
      <c r="E1496" s="3">
        <f t="shared" si="23"/>
        <v>45839</v>
      </c>
      <c r="F1496" t="s">
        <v>1518</v>
      </c>
      <c r="H1496" s="4">
        <v>228.04</v>
      </c>
      <c r="I1496" t="s">
        <v>21</v>
      </c>
      <c r="J1496" t="s">
        <v>346</v>
      </c>
      <c r="L1496" s="2">
        <v>45839</v>
      </c>
      <c r="M1496" t="s">
        <v>347</v>
      </c>
      <c r="N1496" t="s">
        <v>25</v>
      </c>
      <c r="O1496" t="s">
        <v>81</v>
      </c>
      <c r="P1496" t="s">
        <v>297</v>
      </c>
      <c r="Q1496">
        <v>0</v>
      </c>
    </row>
    <row r="1497" spans="1:17" x14ac:dyDescent="0.3">
      <c r="A1497" t="s">
        <v>17</v>
      </c>
      <c r="B1497">
        <v>69</v>
      </c>
      <c r="C1497" t="s">
        <v>297</v>
      </c>
      <c r="D1497" s="2">
        <v>45869</v>
      </c>
      <c r="E1497" s="3">
        <f t="shared" si="23"/>
        <v>45839</v>
      </c>
      <c r="F1497" t="s">
        <v>1518</v>
      </c>
      <c r="H1497" s="4">
        <v>66.72</v>
      </c>
      <c r="I1497" t="s">
        <v>159</v>
      </c>
      <c r="J1497" t="s">
        <v>346</v>
      </c>
      <c r="L1497" s="2">
        <v>45839</v>
      </c>
      <c r="M1497" t="s">
        <v>347</v>
      </c>
      <c r="N1497">
        <v>0</v>
      </c>
      <c r="O1497" t="s">
        <v>159</v>
      </c>
      <c r="P1497" t="s">
        <v>297</v>
      </c>
      <c r="Q1497">
        <v>0</v>
      </c>
    </row>
    <row r="1498" spans="1:17" x14ac:dyDescent="0.3">
      <c r="A1498" t="s">
        <v>17</v>
      </c>
      <c r="B1498">
        <v>69</v>
      </c>
      <c r="C1498" t="s">
        <v>297</v>
      </c>
      <c r="D1498" s="2">
        <v>45869</v>
      </c>
      <c r="E1498" s="3">
        <f t="shared" si="23"/>
        <v>45839</v>
      </c>
      <c r="F1498" t="s">
        <v>1518</v>
      </c>
      <c r="H1498" s="4">
        <v>189.1</v>
      </c>
      <c r="I1498" t="s">
        <v>47</v>
      </c>
      <c r="J1498" t="s">
        <v>346</v>
      </c>
      <c r="L1498" s="2">
        <v>45839</v>
      </c>
      <c r="M1498" t="s">
        <v>347</v>
      </c>
      <c r="N1498">
        <v>0</v>
      </c>
      <c r="O1498" t="s">
        <v>26</v>
      </c>
      <c r="P1498" t="s">
        <v>297</v>
      </c>
      <c r="Q1498">
        <v>0</v>
      </c>
    </row>
    <row r="1499" spans="1:17" x14ac:dyDescent="0.3">
      <c r="A1499" t="s">
        <v>17</v>
      </c>
      <c r="B1499">
        <v>69</v>
      </c>
      <c r="C1499" t="s">
        <v>297</v>
      </c>
      <c r="D1499" s="2">
        <v>45869</v>
      </c>
      <c r="E1499" s="3">
        <f t="shared" si="23"/>
        <v>45839</v>
      </c>
      <c r="F1499" t="s">
        <v>1518</v>
      </c>
      <c r="H1499" s="4">
        <v>65.48</v>
      </c>
      <c r="I1499" t="s">
        <v>348</v>
      </c>
      <c r="J1499" t="s">
        <v>346</v>
      </c>
      <c r="L1499" s="2">
        <v>45839</v>
      </c>
      <c r="M1499" t="s">
        <v>347</v>
      </c>
      <c r="N1499">
        <v>0</v>
      </c>
      <c r="O1499" t="s">
        <v>348</v>
      </c>
      <c r="P1499" t="s">
        <v>297</v>
      </c>
      <c r="Q1499">
        <v>0</v>
      </c>
    </row>
    <row r="1500" spans="1:17" x14ac:dyDescent="0.3">
      <c r="A1500" t="s">
        <v>17</v>
      </c>
      <c r="B1500">
        <v>69</v>
      </c>
      <c r="C1500" t="s">
        <v>297</v>
      </c>
      <c r="D1500" s="2">
        <v>45869</v>
      </c>
      <c r="E1500" s="3">
        <f t="shared" si="23"/>
        <v>45839</v>
      </c>
      <c r="F1500" t="s">
        <v>1518</v>
      </c>
      <c r="H1500" s="4">
        <v>156.94</v>
      </c>
      <c r="I1500" t="s">
        <v>108</v>
      </c>
      <c r="J1500" t="s">
        <v>346</v>
      </c>
      <c r="L1500" s="2">
        <v>45839</v>
      </c>
      <c r="M1500" t="s">
        <v>347</v>
      </c>
      <c r="N1500">
        <v>0</v>
      </c>
      <c r="O1500" t="s">
        <v>111</v>
      </c>
      <c r="P1500" t="s">
        <v>297</v>
      </c>
      <c r="Q1500">
        <v>0</v>
      </c>
    </row>
    <row r="1501" spans="1:17" x14ac:dyDescent="0.3">
      <c r="A1501" t="s">
        <v>17</v>
      </c>
      <c r="B1501">
        <v>69</v>
      </c>
      <c r="C1501" t="s">
        <v>297</v>
      </c>
      <c r="D1501" s="2">
        <v>45869</v>
      </c>
      <c r="E1501" s="3">
        <f t="shared" si="23"/>
        <v>45839</v>
      </c>
      <c r="F1501" t="s">
        <v>1518</v>
      </c>
      <c r="H1501" s="4">
        <v>113.67</v>
      </c>
      <c r="I1501" t="s">
        <v>137</v>
      </c>
      <c r="J1501" t="s">
        <v>346</v>
      </c>
      <c r="L1501" s="2">
        <v>45839</v>
      </c>
      <c r="M1501" t="s">
        <v>347</v>
      </c>
      <c r="N1501" t="s">
        <v>141</v>
      </c>
      <c r="O1501" t="s">
        <v>141</v>
      </c>
      <c r="P1501" t="s">
        <v>297</v>
      </c>
      <c r="Q1501">
        <v>0</v>
      </c>
    </row>
    <row r="1502" spans="1:17" x14ac:dyDescent="0.3">
      <c r="A1502" t="s">
        <v>17</v>
      </c>
      <c r="B1502">
        <v>69</v>
      </c>
      <c r="C1502" t="s">
        <v>297</v>
      </c>
      <c r="D1502" s="2">
        <v>45869</v>
      </c>
      <c r="E1502" s="3">
        <f t="shared" si="23"/>
        <v>45839</v>
      </c>
      <c r="F1502" t="s">
        <v>1519</v>
      </c>
      <c r="H1502" s="4">
        <v>1954.72</v>
      </c>
      <c r="I1502" t="s">
        <v>31</v>
      </c>
      <c r="J1502" t="s">
        <v>299</v>
      </c>
      <c r="K1502" t="s">
        <v>300</v>
      </c>
      <c r="L1502" s="2">
        <v>45839</v>
      </c>
      <c r="M1502" t="s">
        <v>301</v>
      </c>
      <c r="N1502">
        <v>0</v>
      </c>
      <c r="O1502" t="s">
        <v>31</v>
      </c>
      <c r="P1502" t="s">
        <v>297</v>
      </c>
      <c r="Q1502">
        <v>0</v>
      </c>
    </row>
    <row r="1503" spans="1:17" x14ac:dyDescent="0.3">
      <c r="A1503" t="s">
        <v>17</v>
      </c>
      <c r="B1503">
        <v>65</v>
      </c>
      <c r="C1503" t="s">
        <v>54</v>
      </c>
      <c r="D1503" s="2">
        <v>45869</v>
      </c>
      <c r="E1503" s="3">
        <f t="shared" si="23"/>
        <v>45839</v>
      </c>
      <c r="F1503" t="s">
        <v>1404</v>
      </c>
      <c r="H1503" s="4">
        <v>23940.66</v>
      </c>
      <c r="I1503" t="s">
        <v>31</v>
      </c>
      <c r="J1503" t="s">
        <v>296</v>
      </c>
      <c r="L1503" s="2">
        <v>45839</v>
      </c>
      <c r="M1503" t="s">
        <v>296</v>
      </c>
      <c r="N1503">
        <v>0</v>
      </c>
      <c r="O1503" t="s">
        <v>31</v>
      </c>
      <c r="P1503" t="s">
        <v>54</v>
      </c>
      <c r="Q1503">
        <v>0</v>
      </c>
    </row>
    <row r="1504" spans="1:17" x14ac:dyDescent="0.3">
      <c r="A1504" t="s">
        <v>17</v>
      </c>
      <c r="B1504">
        <v>65</v>
      </c>
      <c r="C1504" t="s">
        <v>54</v>
      </c>
      <c r="D1504" s="2">
        <v>45869</v>
      </c>
      <c r="E1504" s="3">
        <f t="shared" si="23"/>
        <v>45839</v>
      </c>
      <c r="F1504" t="s">
        <v>1404</v>
      </c>
      <c r="H1504" s="4">
        <v>587.73</v>
      </c>
      <c r="I1504" t="s">
        <v>31</v>
      </c>
      <c r="J1504" t="s">
        <v>296</v>
      </c>
      <c r="L1504" s="2">
        <v>45839</v>
      </c>
      <c r="M1504" t="s">
        <v>296</v>
      </c>
      <c r="N1504">
        <v>0</v>
      </c>
      <c r="O1504" t="s">
        <v>31</v>
      </c>
      <c r="P1504" t="s">
        <v>54</v>
      </c>
      <c r="Q1504">
        <v>0</v>
      </c>
    </row>
    <row r="1505" spans="1:17" x14ac:dyDescent="0.3">
      <c r="A1505" t="s">
        <v>17</v>
      </c>
      <c r="B1505">
        <v>64</v>
      </c>
      <c r="C1505" t="s">
        <v>83</v>
      </c>
      <c r="D1505" s="2">
        <v>45875</v>
      </c>
      <c r="E1505" s="3">
        <f t="shared" si="23"/>
        <v>45870</v>
      </c>
      <c r="F1505" t="s">
        <v>1520</v>
      </c>
      <c r="G1505" t="s">
        <v>824</v>
      </c>
      <c r="H1505" s="4">
        <v>56.21</v>
      </c>
      <c r="I1505" t="s">
        <v>108</v>
      </c>
      <c r="J1505" t="s">
        <v>91</v>
      </c>
      <c r="K1505" t="s">
        <v>825</v>
      </c>
      <c r="L1505" s="2">
        <v>45870</v>
      </c>
      <c r="M1505" t="s">
        <v>93</v>
      </c>
      <c r="N1505">
        <v>0</v>
      </c>
      <c r="O1505" t="s">
        <v>111</v>
      </c>
      <c r="P1505" t="s">
        <v>83</v>
      </c>
      <c r="Q1505">
        <v>0</v>
      </c>
    </row>
    <row r="1506" spans="1:17" x14ac:dyDescent="0.3">
      <c r="A1506" t="s">
        <v>17</v>
      </c>
      <c r="B1506">
        <v>64</v>
      </c>
      <c r="C1506" t="s">
        <v>83</v>
      </c>
      <c r="D1506" s="2">
        <v>45875</v>
      </c>
      <c r="E1506" s="3">
        <f t="shared" si="23"/>
        <v>45870</v>
      </c>
      <c r="F1506" t="s">
        <v>1521</v>
      </c>
      <c r="G1506" t="s">
        <v>1334</v>
      </c>
      <c r="H1506" s="4">
        <v>48.39</v>
      </c>
      <c r="I1506" t="s">
        <v>31</v>
      </c>
      <c r="J1506" t="s">
        <v>91</v>
      </c>
      <c r="K1506" t="s">
        <v>1335</v>
      </c>
      <c r="L1506" s="2">
        <v>45870</v>
      </c>
      <c r="M1506" t="s">
        <v>93</v>
      </c>
      <c r="N1506">
        <v>0</v>
      </c>
      <c r="O1506" t="s">
        <v>31</v>
      </c>
      <c r="P1506" t="s">
        <v>83</v>
      </c>
      <c r="Q1506">
        <v>0</v>
      </c>
    </row>
    <row r="1507" spans="1:17" x14ac:dyDescent="0.3">
      <c r="A1507" t="s">
        <v>17</v>
      </c>
      <c r="B1507">
        <v>64</v>
      </c>
      <c r="C1507" t="s">
        <v>83</v>
      </c>
      <c r="D1507" s="2">
        <v>45875</v>
      </c>
      <c r="E1507" s="3">
        <f t="shared" si="23"/>
        <v>45870</v>
      </c>
      <c r="F1507" t="s">
        <v>1521</v>
      </c>
      <c r="G1507" t="s">
        <v>1334</v>
      </c>
      <c r="H1507" s="4">
        <v>9.26</v>
      </c>
      <c r="I1507" t="s">
        <v>31</v>
      </c>
      <c r="J1507" t="s">
        <v>91</v>
      </c>
      <c r="K1507" t="s">
        <v>1335</v>
      </c>
      <c r="L1507" s="2">
        <v>45870</v>
      </c>
      <c r="M1507" t="s">
        <v>93</v>
      </c>
      <c r="N1507">
        <v>0</v>
      </c>
      <c r="O1507" t="s">
        <v>31</v>
      </c>
      <c r="P1507" t="s">
        <v>83</v>
      </c>
      <c r="Q1507">
        <v>0</v>
      </c>
    </row>
    <row r="1508" spans="1:17" x14ac:dyDescent="0.3">
      <c r="A1508" t="s">
        <v>17</v>
      </c>
      <c r="B1508">
        <v>64</v>
      </c>
      <c r="C1508" t="s">
        <v>83</v>
      </c>
      <c r="D1508" s="2">
        <v>45876</v>
      </c>
      <c r="E1508" s="3">
        <f t="shared" si="23"/>
        <v>45870</v>
      </c>
      <c r="F1508" t="s">
        <v>1522</v>
      </c>
      <c r="G1508" t="s">
        <v>1227</v>
      </c>
      <c r="H1508" s="4">
        <v>299.29000000000002</v>
      </c>
      <c r="I1508" t="s">
        <v>47</v>
      </c>
      <c r="J1508" t="s">
        <v>91</v>
      </c>
      <c r="K1508" t="s">
        <v>1523</v>
      </c>
      <c r="L1508" s="2">
        <v>45870</v>
      </c>
      <c r="M1508" t="s">
        <v>93</v>
      </c>
      <c r="N1508">
        <v>0</v>
      </c>
      <c r="O1508" t="s">
        <v>26</v>
      </c>
      <c r="P1508" t="s">
        <v>83</v>
      </c>
      <c r="Q1508">
        <v>0</v>
      </c>
    </row>
    <row r="1509" spans="1:17" x14ac:dyDescent="0.3">
      <c r="A1509" t="s">
        <v>17</v>
      </c>
      <c r="B1509">
        <v>64</v>
      </c>
      <c r="C1509" t="s">
        <v>83</v>
      </c>
      <c r="D1509" s="2">
        <v>45876</v>
      </c>
      <c r="E1509" s="3">
        <f t="shared" si="23"/>
        <v>45870</v>
      </c>
      <c r="F1509" t="s">
        <v>1522</v>
      </c>
      <c r="G1509" t="s">
        <v>1227</v>
      </c>
      <c r="H1509" s="4">
        <v>471.5</v>
      </c>
      <c r="I1509" t="s">
        <v>47</v>
      </c>
      <c r="J1509" t="s">
        <v>91</v>
      </c>
      <c r="K1509" t="s">
        <v>1524</v>
      </c>
      <c r="L1509" s="2">
        <v>45870</v>
      </c>
      <c r="M1509" t="s">
        <v>93</v>
      </c>
      <c r="N1509">
        <v>0</v>
      </c>
      <c r="O1509" t="s">
        <v>26</v>
      </c>
      <c r="P1509" t="s">
        <v>83</v>
      </c>
      <c r="Q1509">
        <v>0</v>
      </c>
    </row>
    <row r="1510" spans="1:17" x14ac:dyDescent="0.3">
      <c r="A1510" t="s">
        <v>17</v>
      </c>
      <c r="B1510">
        <v>64</v>
      </c>
      <c r="C1510" t="s">
        <v>83</v>
      </c>
      <c r="D1510" s="2">
        <v>45894</v>
      </c>
      <c r="E1510" s="3">
        <f t="shared" si="23"/>
        <v>45870</v>
      </c>
      <c r="F1510" t="s">
        <v>1525</v>
      </c>
      <c r="H1510" s="4">
        <v>110.72</v>
      </c>
      <c r="I1510" t="s">
        <v>159</v>
      </c>
      <c r="J1510" t="s">
        <v>91</v>
      </c>
      <c r="K1510" t="s">
        <v>1526</v>
      </c>
      <c r="L1510" s="2">
        <v>45870</v>
      </c>
      <c r="M1510" t="s">
        <v>93</v>
      </c>
      <c r="N1510">
        <v>0</v>
      </c>
      <c r="O1510" t="s">
        <v>159</v>
      </c>
      <c r="P1510" t="s">
        <v>83</v>
      </c>
      <c r="Q1510">
        <v>0</v>
      </c>
    </row>
    <row r="1511" spans="1:17" x14ac:dyDescent="0.3">
      <c r="A1511" t="s">
        <v>17</v>
      </c>
      <c r="B1511">
        <v>64</v>
      </c>
      <c r="C1511" t="s">
        <v>83</v>
      </c>
      <c r="D1511" s="2">
        <v>45895</v>
      </c>
      <c r="E1511" s="3">
        <f t="shared" si="23"/>
        <v>45870</v>
      </c>
      <c r="F1511" t="s">
        <v>1527</v>
      </c>
      <c r="G1511" t="s">
        <v>174</v>
      </c>
      <c r="H1511" s="4">
        <v>68.930000000000007</v>
      </c>
      <c r="I1511" t="s">
        <v>31</v>
      </c>
      <c r="J1511" t="s">
        <v>91</v>
      </c>
      <c r="K1511" t="s">
        <v>1199</v>
      </c>
      <c r="L1511" s="2">
        <v>45870</v>
      </c>
      <c r="M1511" t="s">
        <v>93</v>
      </c>
      <c r="N1511">
        <v>0</v>
      </c>
      <c r="O1511" t="s">
        <v>31</v>
      </c>
      <c r="P1511" t="s">
        <v>83</v>
      </c>
      <c r="Q1511">
        <v>0</v>
      </c>
    </row>
    <row r="1512" spans="1:17" x14ac:dyDescent="0.3">
      <c r="A1512" t="s">
        <v>17</v>
      </c>
      <c r="B1512">
        <v>64</v>
      </c>
      <c r="C1512" t="s">
        <v>83</v>
      </c>
      <c r="D1512" s="2">
        <v>45876</v>
      </c>
      <c r="E1512" s="3">
        <f t="shared" si="23"/>
        <v>45870</v>
      </c>
      <c r="F1512" t="s">
        <v>1522</v>
      </c>
      <c r="G1512" t="s">
        <v>1227</v>
      </c>
      <c r="H1512" s="4">
        <v>16.02</v>
      </c>
      <c r="I1512" t="s">
        <v>47</v>
      </c>
      <c r="J1512" t="s">
        <v>87</v>
      </c>
      <c r="K1512" t="s">
        <v>1528</v>
      </c>
      <c r="L1512" s="2">
        <v>45870</v>
      </c>
      <c r="M1512" t="s">
        <v>89</v>
      </c>
      <c r="N1512">
        <v>0</v>
      </c>
      <c r="O1512" t="s">
        <v>26</v>
      </c>
      <c r="P1512" t="s">
        <v>83</v>
      </c>
      <c r="Q1512">
        <v>0</v>
      </c>
    </row>
    <row r="1513" spans="1:17" x14ac:dyDescent="0.3">
      <c r="A1513" t="s">
        <v>17</v>
      </c>
      <c r="B1513">
        <v>64</v>
      </c>
      <c r="C1513" t="s">
        <v>83</v>
      </c>
      <c r="D1513" s="2">
        <v>45876</v>
      </c>
      <c r="E1513" s="3">
        <f t="shared" si="23"/>
        <v>45870</v>
      </c>
      <c r="F1513" t="s">
        <v>1522</v>
      </c>
      <c r="G1513" t="s">
        <v>1227</v>
      </c>
      <c r="H1513" s="4">
        <v>54.96</v>
      </c>
      <c r="I1513" t="s">
        <v>47</v>
      </c>
      <c r="J1513" t="s">
        <v>87</v>
      </c>
      <c r="K1513" t="s">
        <v>1529</v>
      </c>
      <c r="L1513" s="2">
        <v>45870</v>
      </c>
      <c r="M1513" t="s">
        <v>89</v>
      </c>
      <c r="N1513">
        <v>0</v>
      </c>
      <c r="O1513" t="s">
        <v>26</v>
      </c>
      <c r="P1513" t="s">
        <v>83</v>
      </c>
      <c r="Q1513">
        <v>0</v>
      </c>
    </row>
    <row r="1514" spans="1:17" x14ac:dyDescent="0.3">
      <c r="A1514" t="s">
        <v>17</v>
      </c>
      <c r="B1514">
        <v>64</v>
      </c>
      <c r="C1514" t="s">
        <v>83</v>
      </c>
      <c r="D1514" s="2">
        <v>45876</v>
      </c>
      <c r="E1514" s="3">
        <f t="shared" si="23"/>
        <v>45870</v>
      </c>
      <c r="F1514" t="s">
        <v>1522</v>
      </c>
      <c r="G1514" t="s">
        <v>1227</v>
      </c>
      <c r="H1514" s="4">
        <v>85.31</v>
      </c>
      <c r="I1514" t="s">
        <v>47</v>
      </c>
      <c r="J1514" t="s">
        <v>87</v>
      </c>
      <c r="K1514" t="s">
        <v>1530</v>
      </c>
      <c r="L1514" s="2">
        <v>45870</v>
      </c>
      <c r="M1514" t="s">
        <v>89</v>
      </c>
      <c r="N1514">
        <v>0</v>
      </c>
      <c r="O1514" t="s">
        <v>26</v>
      </c>
      <c r="P1514" t="s">
        <v>83</v>
      </c>
      <c r="Q1514">
        <v>0</v>
      </c>
    </row>
    <row r="1515" spans="1:17" x14ac:dyDescent="0.3">
      <c r="A1515" t="s">
        <v>17</v>
      </c>
      <c r="B1515">
        <v>64</v>
      </c>
      <c r="C1515" t="s">
        <v>83</v>
      </c>
      <c r="D1515" s="2">
        <v>45879</v>
      </c>
      <c r="E1515" s="3">
        <f t="shared" si="23"/>
        <v>45870</v>
      </c>
      <c r="F1515" t="s">
        <v>1531</v>
      </c>
      <c r="H1515" s="4">
        <v>58.9</v>
      </c>
      <c r="I1515" t="s">
        <v>31</v>
      </c>
      <c r="J1515" t="s">
        <v>87</v>
      </c>
      <c r="K1515" t="s">
        <v>1532</v>
      </c>
      <c r="L1515" s="2">
        <v>45870</v>
      </c>
      <c r="M1515" t="s">
        <v>89</v>
      </c>
      <c r="N1515">
        <v>0</v>
      </c>
      <c r="O1515" t="s">
        <v>31</v>
      </c>
      <c r="P1515" t="s">
        <v>83</v>
      </c>
      <c r="Q1515">
        <v>0</v>
      </c>
    </row>
    <row r="1516" spans="1:17" x14ac:dyDescent="0.3">
      <c r="A1516" t="s">
        <v>17</v>
      </c>
      <c r="B1516">
        <v>67</v>
      </c>
      <c r="C1516" t="s">
        <v>28</v>
      </c>
      <c r="D1516" s="2">
        <v>45875</v>
      </c>
      <c r="E1516" s="3">
        <f t="shared" si="23"/>
        <v>45870</v>
      </c>
      <c r="F1516" t="s">
        <v>1521</v>
      </c>
      <c r="H1516" s="4">
        <v>40.6</v>
      </c>
      <c r="I1516" t="s">
        <v>31</v>
      </c>
      <c r="J1516" t="s">
        <v>399</v>
      </c>
      <c r="K1516" t="s">
        <v>1533</v>
      </c>
      <c r="L1516" s="2">
        <v>45870</v>
      </c>
      <c r="M1516" t="s">
        <v>401</v>
      </c>
      <c r="N1516">
        <v>0</v>
      </c>
      <c r="O1516" t="s">
        <v>31</v>
      </c>
      <c r="P1516" t="s">
        <v>28</v>
      </c>
      <c r="Q1516">
        <v>0</v>
      </c>
    </row>
    <row r="1517" spans="1:17" x14ac:dyDescent="0.3">
      <c r="A1517" t="s">
        <v>17</v>
      </c>
      <c r="B1517">
        <v>67</v>
      </c>
      <c r="C1517" t="s">
        <v>28</v>
      </c>
      <c r="D1517" s="2">
        <v>45875</v>
      </c>
      <c r="E1517" s="3">
        <f t="shared" si="23"/>
        <v>45870</v>
      </c>
      <c r="F1517" t="s">
        <v>1521</v>
      </c>
      <c r="H1517" s="4">
        <v>540</v>
      </c>
      <c r="I1517" t="s">
        <v>31</v>
      </c>
      <c r="J1517" t="s">
        <v>399</v>
      </c>
      <c r="K1517" t="s">
        <v>1533</v>
      </c>
      <c r="L1517" s="2">
        <v>45870</v>
      </c>
      <c r="M1517" t="s">
        <v>401</v>
      </c>
      <c r="N1517">
        <v>0</v>
      </c>
      <c r="O1517" t="s">
        <v>31</v>
      </c>
      <c r="P1517" t="s">
        <v>28</v>
      </c>
      <c r="Q1517">
        <v>0</v>
      </c>
    </row>
    <row r="1518" spans="1:17" x14ac:dyDescent="0.3">
      <c r="A1518" t="s">
        <v>17</v>
      </c>
      <c r="B1518">
        <v>67</v>
      </c>
      <c r="C1518" t="s">
        <v>28</v>
      </c>
      <c r="D1518" s="2">
        <v>45875</v>
      </c>
      <c r="E1518" s="3">
        <f t="shared" si="23"/>
        <v>45870</v>
      </c>
      <c r="F1518" t="s">
        <v>1521</v>
      </c>
      <c r="H1518" s="4">
        <v>43.54</v>
      </c>
      <c r="I1518" t="s">
        <v>31</v>
      </c>
      <c r="J1518" t="s">
        <v>399</v>
      </c>
      <c r="K1518" t="s">
        <v>1533</v>
      </c>
      <c r="L1518" s="2">
        <v>45870</v>
      </c>
      <c r="M1518" t="s">
        <v>401</v>
      </c>
      <c r="N1518">
        <v>0</v>
      </c>
      <c r="O1518" t="s">
        <v>31</v>
      </c>
      <c r="P1518" t="s">
        <v>28</v>
      </c>
      <c r="Q1518">
        <v>0</v>
      </c>
    </row>
    <row r="1519" spans="1:17" x14ac:dyDescent="0.3">
      <c r="A1519" t="s">
        <v>17</v>
      </c>
      <c r="B1519">
        <v>67</v>
      </c>
      <c r="C1519" t="s">
        <v>28</v>
      </c>
      <c r="D1519" s="2">
        <v>45875</v>
      </c>
      <c r="E1519" s="3">
        <f t="shared" si="23"/>
        <v>45870</v>
      </c>
      <c r="F1519" t="s">
        <v>1521</v>
      </c>
      <c r="H1519" s="4">
        <v>517.15</v>
      </c>
      <c r="I1519" t="s">
        <v>31</v>
      </c>
      <c r="J1519" t="s">
        <v>399</v>
      </c>
      <c r="K1519" t="s">
        <v>1533</v>
      </c>
      <c r="L1519" s="2">
        <v>45870</v>
      </c>
      <c r="M1519" t="s">
        <v>401</v>
      </c>
      <c r="N1519">
        <v>0</v>
      </c>
      <c r="O1519" t="s">
        <v>31</v>
      </c>
      <c r="P1519" t="s">
        <v>28</v>
      </c>
      <c r="Q1519">
        <v>0</v>
      </c>
    </row>
    <row r="1520" spans="1:17" x14ac:dyDescent="0.3">
      <c r="A1520" t="s">
        <v>17</v>
      </c>
      <c r="B1520">
        <v>67</v>
      </c>
      <c r="C1520" t="s">
        <v>28</v>
      </c>
      <c r="D1520" s="2">
        <v>45894</v>
      </c>
      <c r="E1520" s="3">
        <f t="shared" si="23"/>
        <v>45870</v>
      </c>
      <c r="F1520" t="s">
        <v>1525</v>
      </c>
      <c r="H1520" s="4">
        <v>108.86</v>
      </c>
      <c r="I1520" t="s">
        <v>159</v>
      </c>
      <c r="J1520" t="s">
        <v>399</v>
      </c>
      <c r="K1520" t="s">
        <v>1534</v>
      </c>
      <c r="L1520" s="2">
        <v>45870</v>
      </c>
      <c r="M1520" t="s">
        <v>401</v>
      </c>
      <c r="N1520">
        <v>0</v>
      </c>
      <c r="O1520" t="s">
        <v>159</v>
      </c>
      <c r="P1520" t="s">
        <v>28</v>
      </c>
      <c r="Q1520">
        <v>0</v>
      </c>
    </row>
    <row r="1521" spans="1:17" x14ac:dyDescent="0.3">
      <c r="A1521" t="s">
        <v>17</v>
      </c>
      <c r="B1521">
        <v>67</v>
      </c>
      <c r="C1521" t="s">
        <v>28</v>
      </c>
      <c r="D1521" s="2">
        <v>45894</v>
      </c>
      <c r="E1521" s="3">
        <f t="shared" si="23"/>
        <v>45870</v>
      </c>
      <c r="F1521" t="s">
        <v>1525</v>
      </c>
      <c r="H1521" s="4">
        <v>55.36</v>
      </c>
      <c r="I1521" t="s">
        <v>159</v>
      </c>
      <c r="J1521" t="s">
        <v>399</v>
      </c>
      <c r="K1521" t="s">
        <v>1534</v>
      </c>
      <c r="L1521" s="2">
        <v>45870</v>
      </c>
      <c r="M1521" t="s">
        <v>401</v>
      </c>
      <c r="N1521">
        <v>0</v>
      </c>
      <c r="O1521" t="s">
        <v>159</v>
      </c>
      <c r="P1521" t="s">
        <v>28</v>
      </c>
      <c r="Q1521">
        <v>0</v>
      </c>
    </row>
    <row r="1522" spans="1:17" x14ac:dyDescent="0.3">
      <c r="A1522" t="s">
        <v>17</v>
      </c>
      <c r="B1522">
        <v>67</v>
      </c>
      <c r="C1522" t="s">
        <v>28</v>
      </c>
      <c r="D1522" s="2">
        <v>45894</v>
      </c>
      <c r="E1522" s="3">
        <f t="shared" si="23"/>
        <v>45870</v>
      </c>
      <c r="F1522" t="s">
        <v>1525</v>
      </c>
      <c r="H1522" s="4">
        <v>503.12</v>
      </c>
      <c r="I1522" t="s">
        <v>159</v>
      </c>
      <c r="J1522" t="s">
        <v>399</v>
      </c>
      <c r="K1522" t="s">
        <v>1534</v>
      </c>
      <c r="L1522" s="2">
        <v>45870</v>
      </c>
      <c r="M1522" t="s">
        <v>401</v>
      </c>
      <c r="N1522">
        <v>0</v>
      </c>
      <c r="O1522" t="s">
        <v>159</v>
      </c>
      <c r="P1522" t="s">
        <v>28</v>
      </c>
      <c r="Q1522">
        <v>0</v>
      </c>
    </row>
    <row r="1523" spans="1:17" x14ac:dyDescent="0.3">
      <c r="A1523" t="s">
        <v>17</v>
      </c>
      <c r="B1523">
        <v>67</v>
      </c>
      <c r="C1523" t="s">
        <v>28</v>
      </c>
      <c r="D1523" s="2">
        <v>45894</v>
      </c>
      <c r="E1523" s="3">
        <f t="shared" si="23"/>
        <v>45870</v>
      </c>
      <c r="F1523" t="s">
        <v>1525</v>
      </c>
      <c r="H1523" s="4">
        <v>505</v>
      </c>
      <c r="I1523" t="s">
        <v>159</v>
      </c>
      <c r="J1523" t="s">
        <v>399</v>
      </c>
      <c r="K1523" t="s">
        <v>1534</v>
      </c>
      <c r="L1523" s="2">
        <v>45870</v>
      </c>
      <c r="M1523" t="s">
        <v>401</v>
      </c>
      <c r="N1523">
        <v>0</v>
      </c>
      <c r="O1523" t="s">
        <v>159</v>
      </c>
      <c r="P1523" t="s">
        <v>28</v>
      </c>
      <c r="Q1523">
        <v>0</v>
      </c>
    </row>
    <row r="1524" spans="1:17" x14ac:dyDescent="0.3">
      <c r="A1524" t="s">
        <v>17</v>
      </c>
      <c r="B1524">
        <v>67</v>
      </c>
      <c r="C1524" t="s">
        <v>28</v>
      </c>
      <c r="D1524" s="2">
        <v>45900</v>
      </c>
      <c r="E1524" s="3">
        <f t="shared" si="23"/>
        <v>45870</v>
      </c>
      <c r="F1524" t="s">
        <v>1535</v>
      </c>
      <c r="G1524" t="s">
        <v>1281</v>
      </c>
      <c r="H1524" s="4">
        <v>45634.63</v>
      </c>
      <c r="I1524" t="s">
        <v>31</v>
      </c>
      <c r="J1524" t="s">
        <v>399</v>
      </c>
      <c r="K1524" t="s">
        <v>1282</v>
      </c>
      <c r="L1524" s="2">
        <v>45870</v>
      </c>
      <c r="M1524" t="s">
        <v>401</v>
      </c>
      <c r="N1524">
        <v>0</v>
      </c>
      <c r="O1524" t="s">
        <v>31</v>
      </c>
      <c r="P1524" t="s">
        <v>28</v>
      </c>
      <c r="Q1524">
        <v>0</v>
      </c>
    </row>
    <row r="1525" spans="1:17" x14ac:dyDescent="0.3">
      <c r="A1525" t="s">
        <v>17</v>
      </c>
      <c r="B1525">
        <v>67</v>
      </c>
      <c r="C1525" t="s">
        <v>28</v>
      </c>
      <c r="D1525" s="2">
        <v>45870</v>
      </c>
      <c r="E1525" s="3">
        <f t="shared" si="23"/>
        <v>45870</v>
      </c>
      <c r="F1525">
        <v>20615</v>
      </c>
      <c r="G1525" t="s">
        <v>52</v>
      </c>
      <c r="H1525" s="4">
        <v>18.899999999999999</v>
      </c>
      <c r="I1525" t="s">
        <v>31</v>
      </c>
      <c r="J1525" t="s">
        <v>48</v>
      </c>
      <c r="K1525" t="s">
        <v>1339</v>
      </c>
      <c r="L1525" s="2">
        <v>45870</v>
      </c>
      <c r="M1525" t="s">
        <v>50</v>
      </c>
      <c r="N1525">
        <v>0</v>
      </c>
      <c r="O1525" t="s">
        <v>31</v>
      </c>
      <c r="P1525" t="s">
        <v>28</v>
      </c>
      <c r="Q1525">
        <v>0</v>
      </c>
    </row>
    <row r="1526" spans="1:17" x14ac:dyDescent="0.3">
      <c r="A1526" t="s">
        <v>17</v>
      </c>
      <c r="B1526">
        <v>67</v>
      </c>
      <c r="C1526" t="s">
        <v>28</v>
      </c>
      <c r="D1526" s="2">
        <v>45870</v>
      </c>
      <c r="E1526" s="3">
        <f t="shared" si="23"/>
        <v>45870</v>
      </c>
      <c r="F1526">
        <v>20615</v>
      </c>
      <c r="G1526" t="s">
        <v>52</v>
      </c>
      <c r="H1526" s="4">
        <v>640</v>
      </c>
      <c r="I1526" t="s">
        <v>31</v>
      </c>
      <c r="J1526" t="s">
        <v>48</v>
      </c>
      <c r="K1526" t="s">
        <v>1340</v>
      </c>
      <c r="L1526" s="2">
        <v>45870</v>
      </c>
      <c r="M1526" t="s">
        <v>50</v>
      </c>
      <c r="N1526">
        <v>0</v>
      </c>
      <c r="O1526" t="s">
        <v>31</v>
      </c>
      <c r="P1526" t="s">
        <v>28</v>
      </c>
      <c r="Q1526">
        <v>0</v>
      </c>
    </row>
    <row r="1527" spans="1:17" x14ac:dyDescent="0.3">
      <c r="A1527" t="s">
        <v>17</v>
      </c>
      <c r="B1527">
        <v>67</v>
      </c>
      <c r="C1527" t="s">
        <v>28</v>
      </c>
      <c r="D1527" s="2">
        <v>45870</v>
      </c>
      <c r="E1527" s="3">
        <f t="shared" si="23"/>
        <v>45870</v>
      </c>
      <c r="F1527">
        <v>20615</v>
      </c>
      <c r="G1527" t="s">
        <v>52</v>
      </c>
      <c r="H1527" s="4">
        <v>9</v>
      </c>
      <c r="I1527" t="s">
        <v>31</v>
      </c>
      <c r="J1527" t="s">
        <v>48</v>
      </c>
      <c r="K1527" t="s">
        <v>1341</v>
      </c>
      <c r="L1527" s="2">
        <v>45870</v>
      </c>
      <c r="M1527" t="s">
        <v>50</v>
      </c>
      <c r="N1527">
        <v>0</v>
      </c>
      <c r="O1527" t="s">
        <v>31</v>
      </c>
      <c r="P1527" t="s">
        <v>28</v>
      </c>
      <c r="Q1527">
        <v>0</v>
      </c>
    </row>
    <row r="1528" spans="1:17" x14ac:dyDescent="0.3">
      <c r="A1528" t="s">
        <v>17</v>
      </c>
      <c r="B1528">
        <v>67</v>
      </c>
      <c r="C1528" t="s">
        <v>28</v>
      </c>
      <c r="D1528" s="2">
        <v>45870</v>
      </c>
      <c r="E1528" s="3">
        <f t="shared" si="23"/>
        <v>45870</v>
      </c>
      <c r="F1528">
        <v>20615</v>
      </c>
      <c r="G1528" t="s">
        <v>52</v>
      </c>
      <c r="H1528" s="4">
        <v>125</v>
      </c>
      <c r="I1528" t="s">
        <v>31</v>
      </c>
      <c r="J1528" t="s">
        <v>48</v>
      </c>
      <c r="K1528" t="s">
        <v>1342</v>
      </c>
      <c r="L1528" s="2">
        <v>45870</v>
      </c>
      <c r="M1528" t="s">
        <v>50</v>
      </c>
      <c r="N1528">
        <v>0</v>
      </c>
      <c r="O1528" t="s">
        <v>31</v>
      </c>
      <c r="P1528" t="s">
        <v>28</v>
      </c>
      <c r="Q1528">
        <v>0</v>
      </c>
    </row>
    <row r="1529" spans="1:17" x14ac:dyDescent="0.3">
      <c r="A1529" t="s">
        <v>17</v>
      </c>
      <c r="B1529">
        <v>67</v>
      </c>
      <c r="C1529" t="s">
        <v>28</v>
      </c>
      <c r="D1529" s="2">
        <v>45870</v>
      </c>
      <c r="E1529" s="3">
        <f t="shared" si="23"/>
        <v>45870</v>
      </c>
      <c r="F1529">
        <v>20615</v>
      </c>
      <c r="G1529" t="s">
        <v>52</v>
      </c>
      <c r="H1529" s="4">
        <v>2500</v>
      </c>
      <c r="I1529" t="s">
        <v>31</v>
      </c>
      <c r="J1529" t="s">
        <v>48</v>
      </c>
      <c r="K1529" t="s">
        <v>1343</v>
      </c>
      <c r="L1529" s="2">
        <v>45870</v>
      </c>
      <c r="M1529" t="s">
        <v>50</v>
      </c>
      <c r="N1529">
        <v>0</v>
      </c>
      <c r="O1529" t="s">
        <v>31</v>
      </c>
      <c r="P1529" t="s">
        <v>28</v>
      </c>
      <c r="Q1529">
        <v>0</v>
      </c>
    </row>
    <row r="1530" spans="1:17" x14ac:dyDescent="0.3">
      <c r="A1530" t="s">
        <v>17</v>
      </c>
      <c r="B1530">
        <v>67</v>
      </c>
      <c r="C1530" t="s">
        <v>28</v>
      </c>
      <c r="D1530" s="2">
        <v>45881</v>
      </c>
      <c r="E1530" s="3">
        <f t="shared" si="23"/>
        <v>45870</v>
      </c>
      <c r="F1530">
        <v>26261</v>
      </c>
      <c r="G1530" t="s">
        <v>673</v>
      </c>
      <c r="H1530" s="4">
        <v>25.13</v>
      </c>
      <c r="I1530" t="s">
        <v>47</v>
      </c>
      <c r="J1530" t="s">
        <v>48</v>
      </c>
      <c r="K1530" t="s">
        <v>1536</v>
      </c>
      <c r="L1530" s="2">
        <v>45870</v>
      </c>
      <c r="M1530" t="s">
        <v>50</v>
      </c>
      <c r="N1530">
        <v>0</v>
      </c>
      <c r="O1530" t="s">
        <v>26</v>
      </c>
      <c r="P1530" t="s">
        <v>28</v>
      </c>
      <c r="Q1530">
        <v>0</v>
      </c>
    </row>
    <row r="1531" spans="1:17" x14ac:dyDescent="0.3">
      <c r="A1531" t="s">
        <v>17</v>
      </c>
      <c r="B1531">
        <v>67</v>
      </c>
      <c r="C1531" t="s">
        <v>28</v>
      </c>
      <c r="D1531" s="2">
        <v>45881</v>
      </c>
      <c r="E1531" s="3">
        <f t="shared" si="23"/>
        <v>45870</v>
      </c>
      <c r="F1531">
        <v>26261</v>
      </c>
      <c r="G1531" t="s">
        <v>673</v>
      </c>
      <c r="H1531" s="4">
        <v>300</v>
      </c>
      <c r="I1531" t="s">
        <v>47</v>
      </c>
      <c r="J1531" t="s">
        <v>48</v>
      </c>
      <c r="K1531" t="s">
        <v>1350</v>
      </c>
      <c r="L1531" s="2">
        <v>45870</v>
      </c>
      <c r="M1531" t="s">
        <v>50</v>
      </c>
      <c r="N1531">
        <v>0</v>
      </c>
      <c r="O1531" t="s">
        <v>26</v>
      </c>
      <c r="P1531" t="s">
        <v>28</v>
      </c>
      <c r="Q1531">
        <v>0</v>
      </c>
    </row>
    <row r="1532" spans="1:17" x14ac:dyDescent="0.3">
      <c r="A1532" t="s">
        <v>17</v>
      </c>
      <c r="B1532">
        <v>67</v>
      </c>
      <c r="C1532" t="s">
        <v>28</v>
      </c>
      <c r="D1532" s="2">
        <v>45881</v>
      </c>
      <c r="E1532" s="3">
        <f t="shared" si="23"/>
        <v>45870</v>
      </c>
      <c r="F1532">
        <v>26261</v>
      </c>
      <c r="G1532" t="s">
        <v>673</v>
      </c>
      <c r="H1532" s="4">
        <v>300</v>
      </c>
      <c r="I1532" t="s">
        <v>47</v>
      </c>
      <c r="J1532" t="s">
        <v>48</v>
      </c>
      <c r="K1532" t="s">
        <v>1351</v>
      </c>
      <c r="L1532" s="2">
        <v>45870</v>
      </c>
      <c r="M1532" t="s">
        <v>50</v>
      </c>
      <c r="N1532">
        <v>0</v>
      </c>
      <c r="O1532" t="s">
        <v>26</v>
      </c>
      <c r="P1532" t="s">
        <v>28</v>
      </c>
      <c r="Q1532">
        <v>0</v>
      </c>
    </row>
    <row r="1533" spans="1:17" x14ac:dyDescent="0.3">
      <c r="A1533" t="s">
        <v>17</v>
      </c>
      <c r="B1533">
        <v>67</v>
      </c>
      <c r="C1533" t="s">
        <v>28</v>
      </c>
      <c r="D1533" s="2">
        <v>45881</v>
      </c>
      <c r="E1533" s="3">
        <f t="shared" si="23"/>
        <v>45870</v>
      </c>
      <c r="F1533">
        <v>26261</v>
      </c>
      <c r="G1533" t="s">
        <v>673</v>
      </c>
      <c r="H1533" s="4">
        <v>150</v>
      </c>
      <c r="I1533" t="s">
        <v>47</v>
      </c>
      <c r="J1533" t="s">
        <v>48</v>
      </c>
      <c r="K1533" t="s">
        <v>1352</v>
      </c>
      <c r="L1533" s="2">
        <v>45870</v>
      </c>
      <c r="M1533" t="s">
        <v>50</v>
      </c>
      <c r="N1533">
        <v>0</v>
      </c>
      <c r="O1533" t="s">
        <v>26</v>
      </c>
      <c r="P1533" t="s">
        <v>28</v>
      </c>
      <c r="Q1533">
        <v>0</v>
      </c>
    </row>
    <row r="1534" spans="1:17" x14ac:dyDescent="0.3">
      <c r="A1534" t="s">
        <v>17</v>
      </c>
      <c r="B1534">
        <v>67</v>
      </c>
      <c r="C1534" t="s">
        <v>28</v>
      </c>
      <c r="D1534" s="2">
        <v>45881</v>
      </c>
      <c r="E1534" s="3">
        <f t="shared" si="23"/>
        <v>45870</v>
      </c>
      <c r="F1534">
        <v>26261</v>
      </c>
      <c r="G1534" t="s">
        <v>673</v>
      </c>
      <c r="H1534" s="4">
        <v>500</v>
      </c>
      <c r="I1534" t="s">
        <v>47</v>
      </c>
      <c r="J1534" t="s">
        <v>48</v>
      </c>
      <c r="K1534" t="s">
        <v>1353</v>
      </c>
      <c r="L1534" s="2">
        <v>45870</v>
      </c>
      <c r="M1534" t="s">
        <v>50</v>
      </c>
      <c r="N1534">
        <v>0</v>
      </c>
      <c r="O1534" t="s">
        <v>26</v>
      </c>
      <c r="P1534" t="s">
        <v>28</v>
      </c>
      <c r="Q1534">
        <v>0</v>
      </c>
    </row>
    <row r="1535" spans="1:17" x14ac:dyDescent="0.3">
      <c r="A1535" t="s">
        <v>17</v>
      </c>
      <c r="B1535">
        <v>67</v>
      </c>
      <c r="C1535" t="s">
        <v>28</v>
      </c>
      <c r="D1535" s="2">
        <v>45881</v>
      </c>
      <c r="E1535" s="3">
        <f t="shared" si="23"/>
        <v>45870</v>
      </c>
      <c r="F1535">
        <v>26261</v>
      </c>
      <c r="G1535" t="s">
        <v>673</v>
      </c>
      <c r="H1535" s="4">
        <v>10000</v>
      </c>
      <c r="I1535" t="s">
        <v>47</v>
      </c>
      <c r="J1535" t="s">
        <v>48</v>
      </c>
      <c r="K1535" t="s">
        <v>1537</v>
      </c>
      <c r="L1535" s="2">
        <v>45870</v>
      </c>
      <c r="M1535" t="s">
        <v>50</v>
      </c>
      <c r="N1535">
        <v>0</v>
      </c>
      <c r="O1535" t="s">
        <v>26</v>
      </c>
      <c r="P1535" t="s">
        <v>28</v>
      </c>
      <c r="Q1535">
        <v>0</v>
      </c>
    </row>
    <row r="1536" spans="1:17" x14ac:dyDescent="0.3">
      <c r="A1536" t="s">
        <v>17</v>
      </c>
      <c r="B1536">
        <v>67</v>
      </c>
      <c r="C1536" t="s">
        <v>28</v>
      </c>
      <c r="D1536" s="2">
        <v>45900</v>
      </c>
      <c r="E1536" s="3">
        <f t="shared" si="23"/>
        <v>45870</v>
      </c>
      <c r="F1536">
        <v>1110231</v>
      </c>
      <c r="G1536" t="s">
        <v>283</v>
      </c>
      <c r="H1536" s="4">
        <v>134.25</v>
      </c>
      <c r="I1536" t="s">
        <v>31</v>
      </c>
      <c r="J1536" t="s">
        <v>48</v>
      </c>
      <c r="K1536" t="s">
        <v>1538</v>
      </c>
      <c r="L1536" s="2">
        <v>45870</v>
      </c>
      <c r="M1536" t="s">
        <v>50</v>
      </c>
      <c r="N1536">
        <v>0</v>
      </c>
      <c r="O1536" t="s">
        <v>31</v>
      </c>
      <c r="P1536" t="s">
        <v>28</v>
      </c>
      <c r="Q1536">
        <v>0</v>
      </c>
    </row>
    <row r="1537" spans="1:17" x14ac:dyDescent="0.3">
      <c r="A1537" t="s">
        <v>17</v>
      </c>
      <c r="B1537">
        <v>67</v>
      </c>
      <c r="C1537" t="s">
        <v>28</v>
      </c>
      <c r="D1537" s="2">
        <v>45900</v>
      </c>
      <c r="E1537" s="3">
        <f t="shared" si="23"/>
        <v>45870</v>
      </c>
      <c r="F1537">
        <v>1110231</v>
      </c>
      <c r="G1537" t="s">
        <v>283</v>
      </c>
      <c r="H1537" s="4">
        <v>27</v>
      </c>
      <c r="I1537" t="s">
        <v>31</v>
      </c>
      <c r="J1537" t="s">
        <v>48</v>
      </c>
      <c r="K1537" t="s">
        <v>1539</v>
      </c>
      <c r="L1537" s="2">
        <v>45870</v>
      </c>
      <c r="M1537" t="s">
        <v>50</v>
      </c>
      <c r="N1537">
        <v>0</v>
      </c>
      <c r="O1537" t="s">
        <v>31</v>
      </c>
      <c r="P1537" t="s">
        <v>28</v>
      </c>
      <c r="Q1537">
        <v>0</v>
      </c>
    </row>
    <row r="1538" spans="1:17" x14ac:dyDescent="0.3">
      <c r="A1538" t="s">
        <v>17</v>
      </c>
      <c r="B1538">
        <v>67</v>
      </c>
      <c r="C1538" t="s">
        <v>28</v>
      </c>
      <c r="D1538" s="2">
        <v>45900</v>
      </c>
      <c r="E1538" s="3">
        <f t="shared" si="23"/>
        <v>45870</v>
      </c>
      <c r="F1538">
        <v>1110231</v>
      </c>
      <c r="G1538" t="s">
        <v>283</v>
      </c>
      <c r="H1538" s="4">
        <v>13.75</v>
      </c>
      <c r="I1538" t="s">
        <v>31</v>
      </c>
      <c r="J1538" t="s">
        <v>48</v>
      </c>
      <c r="K1538" t="s">
        <v>1540</v>
      </c>
      <c r="L1538" s="2">
        <v>45870</v>
      </c>
      <c r="M1538" t="s">
        <v>50</v>
      </c>
      <c r="N1538">
        <v>0</v>
      </c>
      <c r="O1538" t="s">
        <v>31</v>
      </c>
      <c r="P1538" t="s">
        <v>28</v>
      </c>
      <c r="Q1538">
        <v>0</v>
      </c>
    </row>
    <row r="1539" spans="1:17" x14ac:dyDescent="0.3">
      <c r="A1539" t="s">
        <v>17</v>
      </c>
      <c r="B1539">
        <v>67</v>
      </c>
      <c r="C1539" t="s">
        <v>28</v>
      </c>
      <c r="D1539" s="2">
        <v>45900</v>
      </c>
      <c r="E1539" s="3">
        <f t="shared" ref="E1539:E1602" si="24">IF($D1539="","",DATE(YEAR($D1539),MONTH($D1539),1))</f>
        <v>45870</v>
      </c>
      <c r="F1539" t="s">
        <v>1541</v>
      </c>
      <c r="H1539" s="4">
        <v>833.33</v>
      </c>
      <c r="I1539" t="s">
        <v>31</v>
      </c>
      <c r="J1539" t="s">
        <v>48</v>
      </c>
      <c r="K1539" t="s">
        <v>937</v>
      </c>
      <c r="L1539" s="2">
        <v>45870</v>
      </c>
      <c r="M1539" t="s">
        <v>50</v>
      </c>
      <c r="N1539">
        <v>0</v>
      </c>
      <c r="O1539" t="s">
        <v>31</v>
      </c>
      <c r="P1539" t="s">
        <v>28</v>
      </c>
      <c r="Q1539">
        <v>0</v>
      </c>
    </row>
    <row r="1540" spans="1:17" x14ac:dyDescent="0.3">
      <c r="A1540" t="s">
        <v>17</v>
      </c>
      <c r="B1540">
        <v>63</v>
      </c>
      <c r="C1540" t="s">
        <v>18</v>
      </c>
      <c r="D1540" s="2">
        <v>45870</v>
      </c>
      <c r="E1540" s="3">
        <f t="shared" si="24"/>
        <v>45870</v>
      </c>
      <c r="F1540" t="s">
        <v>1542</v>
      </c>
      <c r="G1540" t="s">
        <v>408</v>
      </c>
      <c r="H1540" s="4">
        <v>5625</v>
      </c>
      <c r="I1540" t="s">
        <v>47</v>
      </c>
      <c r="J1540" t="s">
        <v>272</v>
      </c>
      <c r="K1540" t="s">
        <v>1543</v>
      </c>
      <c r="L1540" s="2">
        <v>45870</v>
      </c>
      <c r="M1540" t="s">
        <v>272</v>
      </c>
      <c r="N1540">
        <v>0</v>
      </c>
      <c r="O1540" t="s">
        <v>26</v>
      </c>
      <c r="P1540" t="s">
        <v>18</v>
      </c>
      <c r="Q1540" t="s">
        <v>274</v>
      </c>
    </row>
    <row r="1541" spans="1:17" x14ac:dyDescent="0.3">
      <c r="A1541" t="s">
        <v>17</v>
      </c>
      <c r="B1541">
        <v>63</v>
      </c>
      <c r="C1541" t="s">
        <v>18</v>
      </c>
      <c r="D1541" s="2">
        <v>45870</v>
      </c>
      <c r="E1541" s="3">
        <f t="shared" si="24"/>
        <v>45870</v>
      </c>
      <c r="F1541" t="s">
        <v>1542</v>
      </c>
      <c r="G1541" t="s">
        <v>408</v>
      </c>
      <c r="H1541" s="4">
        <v>2900</v>
      </c>
      <c r="I1541" t="s">
        <v>47</v>
      </c>
      <c r="J1541" t="s">
        <v>272</v>
      </c>
      <c r="K1541" t="s">
        <v>1544</v>
      </c>
      <c r="L1541" s="2">
        <v>45870</v>
      </c>
      <c r="M1541" t="s">
        <v>272</v>
      </c>
      <c r="N1541">
        <v>0</v>
      </c>
      <c r="O1541" t="s">
        <v>26</v>
      </c>
      <c r="P1541" t="s">
        <v>18</v>
      </c>
      <c r="Q1541" t="s">
        <v>274</v>
      </c>
    </row>
    <row r="1542" spans="1:17" x14ac:dyDescent="0.3">
      <c r="A1542" t="s">
        <v>17</v>
      </c>
      <c r="B1542">
        <v>63</v>
      </c>
      <c r="C1542" t="s">
        <v>18</v>
      </c>
      <c r="D1542" s="2">
        <v>45870</v>
      </c>
      <c r="E1542" s="3">
        <f t="shared" si="24"/>
        <v>45870</v>
      </c>
      <c r="F1542" t="s">
        <v>1542</v>
      </c>
      <c r="G1542" t="s">
        <v>408</v>
      </c>
      <c r="H1542" s="4">
        <v>1450</v>
      </c>
      <c r="I1542" t="s">
        <v>47</v>
      </c>
      <c r="J1542" t="s">
        <v>272</v>
      </c>
      <c r="K1542" t="s">
        <v>1545</v>
      </c>
      <c r="L1542" s="2">
        <v>45870</v>
      </c>
      <c r="M1542" t="s">
        <v>272</v>
      </c>
      <c r="N1542">
        <v>0</v>
      </c>
      <c r="O1542" t="s">
        <v>26</v>
      </c>
      <c r="P1542" t="s">
        <v>18</v>
      </c>
      <c r="Q1542" t="s">
        <v>274</v>
      </c>
    </row>
    <row r="1543" spans="1:17" x14ac:dyDescent="0.3">
      <c r="A1543" t="s">
        <v>17</v>
      </c>
      <c r="B1543">
        <v>63</v>
      </c>
      <c r="C1543" t="s">
        <v>18</v>
      </c>
      <c r="D1543" s="2">
        <v>45870</v>
      </c>
      <c r="E1543" s="3">
        <f t="shared" si="24"/>
        <v>45870</v>
      </c>
      <c r="F1543" t="s">
        <v>1542</v>
      </c>
      <c r="G1543" t="s">
        <v>408</v>
      </c>
      <c r="H1543" s="4">
        <v>13095</v>
      </c>
      <c r="I1543" t="s">
        <v>47</v>
      </c>
      <c r="J1543" t="s">
        <v>272</v>
      </c>
      <c r="K1543" t="s">
        <v>1546</v>
      </c>
      <c r="L1543" s="2">
        <v>45870</v>
      </c>
      <c r="M1543" t="s">
        <v>272</v>
      </c>
      <c r="N1543">
        <v>0</v>
      </c>
      <c r="O1543" t="s">
        <v>26</v>
      </c>
      <c r="P1543" t="s">
        <v>18</v>
      </c>
      <c r="Q1543" t="s">
        <v>274</v>
      </c>
    </row>
    <row r="1544" spans="1:17" x14ac:dyDescent="0.3">
      <c r="A1544" t="s">
        <v>17</v>
      </c>
      <c r="B1544">
        <v>63</v>
      </c>
      <c r="C1544" t="s">
        <v>18</v>
      </c>
      <c r="D1544" s="2">
        <v>45870</v>
      </c>
      <c r="E1544" s="3">
        <f t="shared" si="24"/>
        <v>45870</v>
      </c>
      <c r="F1544" t="s">
        <v>1542</v>
      </c>
      <c r="G1544" t="s">
        <v>408</v>
      </c>
      <c r="H1544" s="4">
        <v>180</v>
      </c>
      <c r="I1544" t="s">
        <v>47</v>
      </c>
      <c r="J1544" t="s">
        <v>272</v>
      </c>
      <c r="K1544" t="s">
        <v>1547</v>
      </c>
      <c r="L1544" s="2">
        <v>45870</v>
      </c>
      <c r="M1544" t="s">
        <v>272</v>
      </c>
      <c r="N1544">
        <v>0</v>
      </c>
      <c r="O1544" t="s">
        <v>26</v>
      </c>
      <c r="P1544" t="s">
        <v>18</v>
      </c>
      <c r="Q1544" t="s">
        <v>274</v>
      </c>
    </row>
    <row r="1545" spans="1:17" x14ac:dyDescent="0.3">
      <c r="A1545" t="s">
        <v>17</v>
      </c>
      <c r="B1545">
        <v>63</v>
      </c>
      <c r="C1545" t="s">
        <v>18</v>
      </c>
      <c r="D1545" s="2">
        <v>45900</v>
      </c>
      <c r="E1545" s="3">
        <f t="shared" si="24"/>
        <v>45870</v>
      </c>
      <c r="F1545" t="s">
        <v>1548</v>
      </c>
      <c r="H1545" s="4">
        <v>40291.65</v>
      </c>
      <c r="I1545" t="s">
        <v>47</v>
      </c>
      <c r="J1545" t="s">
        <v>272</v>
      </c>
      <c r="K1545" t="s">
        <v>755</v>
      </c>
      <c r="L1545" s="2">
        <v>45870</v>
      </c>
      <c r="M1545" t="s">
        <v>272</v>
      </c>
      <c r="N1545">
        <v>0</v>
      </c>
      <c r="O1545" t="s">
        <v>26</v>
      </c>
      <c r="P1545" t="s">
        <v>18</v>
      </c>
      <c r="Q1545" t="s">
        <v>274</v>
      </c>
    </row>
    <row r="1546" spans="1:17" x14ac:dyDescent="0.3">
      <c r="A1546" t="s">
        <v>17</v>
      </c>
      <c r="B1546">
        <v>63</v>
      </c>
      <c r="C1546" t="s">
        <v>18</v>
      </c>
      <c r="D1546" s="2">
        <v>45900</v>
      </c>
      <c r="E1546" s="3">
        <f t="shared" si="24"/>
        <v>45870</v>
      </c>
      <c r="F1546" t="s">
        <v>1549</v>
      </c>
      <c r="H1546" s="4">
        <v>833.33</v>
      </c>
      <c r="I1546" t="s">
        <v>47</v>
      </c>
      <c r="J1546" t="s">
        <v>331</v>
      </c>
      <c r="K1546" t="s">
        <v>561</v>
      </c>
      <c r="L1546" s="2">
        <v>45870</v>
      </c>
      <c r="M1546" t="s">
        <v>333</v>
      </c>
      <c r="N1546">
        <v>0</v>
      </c>
      <c r="O1546" t="s">
        <v>26</v>
      </c>
      <c r="P1546" t="s">
        <v>18</v>
      </c>
      <c r="Q1546" t="s">
        <v>18</v>
      </c>
    </row>
    <row r="1547" spans="1:17" x14ac:dyDescent="0.3">
      <c r="A1547" t="s">
        <v>17</v>
      </c>
      <c r="B1547">
        <v>63</v>
      </c>
      <c r="C1547" t="s">
        <v>18</v>
      </c>
      <c r="D1547" s="2">
        <v>45900</v>
      </c>
      <c r="E1547" s="3">
        <f t="shared" si="24"/>
        <v>45870</v>
      </c>
      <c r="F1547" t="s">
        <v>1550</v>
      </c>
      <c r="H1547" s="4">
        <v>3333.33</v>
      </c>
      <c r="I1547" t="s">
        <v>47</v>
      </c>
      <c r="J1547" t="s">
        <v>331</v>
      </c>
      <c r="K1547" t="s">
        <v>1369</v>
      </c>
      <c r="L1547" s="2">
        <v>45870</v>
      </c>
      <c r="M1547" t="s">
        <v>333</v>
      </c>
      <c r="N1547">
        <v>0</v>
      </c>
      <c r="O1547" t="s">
        <v>26</v>
      </c>
      <c r="P1547" t="s">
        <v>18</v>
      </c>
      <c r="Q1547" t="s">
        <v>18</v>
      </c>
    </row>
    <row r="1548" spans="1:17" x14ac:dyDescent="0.3">
      <c r="A1548" t="s">
        <v>17</v>
      </c>
      <c r="B1548">
        <v>63</v>
      </c>
      <c r="C1548" t="s">
        <v>18</v>
      </c>
      <c r="D1548" s="2">
        <v>45900</v>
      </c>
      <c r="E1548" s="3">
        <f t="shared" si="24"/>
        <v>45870</v>
      </c>
      <c r="F1548">
        <v>5350920517</v>
      </c>
      <c r="G1548" t="s">
        <v>235</v>
      </c>
      <c r="H1548" s="4">
        <v>-20.87</v>
      </c>
      <c r="I1548" t="s">
        <v>21</v>
      </c>
      <c r="J1548" t="s">
        <v>236</v>
      </c>
      <c r="K1548" t="s">
        <v>1551</v>
      </c>
      <c r="L1548" s="2">
        <v>45870</v>
      </c>
      <c r="M1548" t="s">
        <v>238</v>
      </c>
      <c r="N1548" t="s">
        <v>25</v>
      </c>
      <c r="O1548" t="s">
        <v>26</v>
      </c>
      <c r="P1548" t="s">
        <v>18</v>
      </c>
      <c r="Q1548" t="s">
        <v>239</v>
      </c>
    </row>
    <row r="1549" spans="1:17" x14ac:dyDescent="0.3">
      <c r="A1549" t="s">
        <v>17</v>
      </c>
      <c r="B1549">
        <v>63</v>
      </c>
      <c r="C1549" t="s">
        <v>18</v>
      </c>
      <c r="D1549" s="2">
        <v>45900</v>
      </c>
      <c r="E1549" s="3">
        <f t="shared" si="24"/>
        <v>45870</v>
      </c>
      <c r="F1549">
        <v>5350920517</v>
      </c>
      <c r="G1549" t="s">
        <v>235</v>
      </c>
      <c r="H1549" s="4">
        <v>-5.28</v>
      </c>
      <c r="I1549" t="s">
        <v>21</v>
      </c>
      <c r="J1549" t="s">
        <v>236</v>
      </c>
      <c r="K1549" t="s">
        <v>1552</v>
      </c>
      <c r="L1549" s="2">
        <v>45870</v>
      </c>
      <c r="M1549" t="s">
        <v>238</v>
      </c>
      <c r="N1549" t="s">
        <v>25</v>
      </c>
      <c r="O1549" t="s">
        <v>26</v>
      </c>
      <c r="P1549" t="s">
        <v>18</v>
      </c>
      <c r="Q1549" t="s">
        <v>239</v>
      </c>
    </row>
    <row r="1550" spans="1:17" x14ac:dyDescent="0.3">
      <c r="A1550" t="s">
        <v>17</v>
      </c>
      <c r="B1550">
        <v>63</v>
      </c>
      <c r="C1550" t="s">
        <v>18</v>
      </c>
      <c r="D1550" s="2">
        <v>45900</v>
      </c>
      <c r="E1550" s="3">
        <f t="shared" si="24"/>
        <v>45870</v>
      </c>
      <c r="F1550">
        <v>5350920517</v>
      </c>
      <c r="G1550" t="s">
        <v>235</v>
      </c>
      <c r="H1550" s="4">
        <v>100.38</v>
      </c>
      <c r="I1550" t="s">
        <v>21</v>
      </c>
      <c r="J1550" t="s">
        <v>236</v>
      </c>
      <c r="K1550" t="s">
        <v>1553</v>
      </c>
      <c r="L1550" s="2">
        <v>45870</v>
      </c>
      <c r="M1550" t="s">
        <v>238</v>
      </c>
      <c r="N1550" t="s">
        <v>25</v>
      </c>
      <c r="O1550" t="s">
        <v>26</v>
      </c>
      <c r="P1550" t="s">
        <v>18</v>
      </c>
      <c r="Q1550" t="s">
        <v>239</v>
      </c>
    </row>
    <row r="1551" spans="1:17" x14ac:dyDescent="0.3">
      <c r="A1551" t="s">
        <v>17</v>
      </c>
      <c r="B1551">
        <v>63</v>
      </c>
      <c r="C1551" t="s">
        <v>18</v>
      </c>
      <c r="D1551" s="2">
        <v>45900</v>
      </c>
      <c r="E1551" s="3">
        <f t="shared" si="24"/>
        <v>45870</v>
      </c>
      <c r="F1551">
        <v>5350920517</v>
      </c>
      <c r="G1551" t="s">
        <v>235</v>
      </c>
      <c r="H1551" s="4">
        <v>129.13999999999999</v>
      </c>
      <c r="I1551" t="s">
        <v>21</v>
      </c>
      <c r="J1551" t="s">
        <v>236</v>
      </c>
      <c r="K1551" t="s">
        <v>1554</v>
      </c>
      <c r="L1551" s="2">
        <v>45870</v>
      </c>
      <c r="M1551" t="s">
        <v>238</v>
      </c>
      <c r="N1551" t="s">
        <v>25</v>
      </c>
      <c r="O1551" t="s">
        <v>26</v>
      </c>
      <c r="P1551" t="s">
        <v>18</v>
      </c>
      <c r="Q1551" t="s">
        <v>239</v>
      </c>
    </row>
    <row r="1552" spans="1:17" x14ac:dyDescent="0.3">
      <c r="A1552" t="s">
        <v>17</v>
      </c>
      <c r="B1552">
        <v>63</v>
      </c>
      <c r="C1552" t="s">
        <v>18</v>
      </c>
      <c r="D1552" s="2">
        <v>45900</v>
      </c>
      <c r="E1552" s="3">
        <f t="shared" si="24"/>
        <v>45870</v>
      </c>
      <c r="F1552">
        <v>5350920517</v>
      </c>
      <c r="G1552" t="s">
        <v>235</v>
      </c>
      <c r="H1552" s="4">
        <v>321.16000000000003</v>
      </c>
      <c r="I1552" t="s">
        <v>21</v>
      </c>
      <c r="J1552" t="s">
        <v>236</v>
      </c>
      <c r="K1552" t="s">
        <v>1372</v>
      </c>
      <c r="L1552" s="2">
        <v>45870</v>
      </c>
      <c r="M1552" t="s">
        <v>238</v>
      </c>
      <c r="N1552" t="s">
        <v>25</v>
      </c>
      <c r="O1552" t="s">
        <v>26</v>
      </c>
      <c r="P1552" t="s">
        <v>18</v>
      </c>
      <c r="Q1552" t="s">
        <v>239</v>
      </c>
    </row>
    <row r="1553" spans="1:17" x14ac:dyDescent="0.3">
      <c r="A1553" t="s">
        <v>17</v>
      </c>
      <c r="B1553">
        <v>63</v>
      </c>
      <c r="C1553" t="s">
        <v>18</v>
      </c>
      <c r="D1553" s="2">
        <v>45900</v>
      </c>
      <c r="E1553" s="3">
        <f t="shared" si="24"/>
        <v>45870</v>
      </c>
      <c r="F1553">
        <v>5350920517</v>
      </c>
      <c r="G1553" t="s">
        <v>235</v>
      </c>
      <c r="H1553" s="4">
        <v>370.46</v>
      </c>
      <c r="I1553" t="s">
        <v>21</v>
      </c>
      <c r="J1553" t="s">
        <v>236</v>
      </c>
      <c r="K1553" t="s">
        <v>1554</v>
      </c>
      <c r="L1553" s="2">
        <v>45870</v>
      </c>
      <c r="M1553" t="s">
        <v>238</v>
      </c>
      <c r="N1553" t="s">
        <v>25</v>
      </c>
      <c r="O1553" t="s">
        <v>26</v>
      </c>
      <c r="P1553" t="s">
        <v>18</v>
      </c>
      <c r="Q1553" t="s">
        <v>239</v>
      </c>
    </row>
    <row r="1554" spans="1:17" x14ac:dyDescent="0.3">
      <c r="A1554" t="s">
        <v>17</v>
      </c>
      <c r="B1554">
        <v>63</v>
      </c>
      <c r="C1554" t="s">
        <v>18</v>
      </c>
      <c r="D1554" s="2">
        <v>45900</v>
      </c>
      <c r="E1554" s="3">
        <f t="shared" si="24"/>
        <v>45870</v>
      </c>
      <c r="F1554">
        <v>5350920517</v>
      </c>
      <c r="G1554" t="s">
        <v>235</v>
      </c>
      <c r="H1554" s="4">
        <v>882.42</v>
      </c>
      <c r="I1554" t="s">
        <v>21</v>
      </c>
      <c r="J1554" t="s">
        <v>236</v>
      </c>
      <c r="K1554" t="s">
        <v>1373</v>
      </c>
      <c r="L1554" s="2">
        <v>45870</v>
      </c>
      <c r="M1554" t="s">
        <v>238</v>
      </c>
      <c r="N1554" t="s">
        <v>25</v>
      </c>
      <c r="O1554" t="s">
        <v>26</v>
      </c>
      <c r="P1554" t="s">
        <v>18</v>
      </c>
      <c r="Q1554" t="s">
        <v>239</v>
      </c>
    </row>
    <row r="1555" spans="1:17" x14ac:dyDescent="0.3">
      <c r="A1555" t="s">
        <v>17</v>
      </c>
      <c r="B1555">
        <v>63</v>
      </c>
      <c r="C1555" t="s">
        <v>18</v>
      </c>
      <c r="D1555" s="2">
        <v>45900</v>
      </c>
      <c r="E1555" s="3">
        <f t="shared" si="24"/>
        <v>45870</v>
      </c>
      <c r="F1555">
        <v>5350920517</v>
      </c>
      <c r="G1555" t="s">
        <v>235</v>
      </c>
      <c r="H1555" s="4">
        <v>1710.04</v>
      </c>
      <c r="I1555" t="s">
        <v>21</v>
      </c>
      <c r="J1555" t="s">
        <v>236</v>
      </c>
      <c r="K1555" t="s">
        <v>1375</v>
      </c>
      <c r="L1555" s="2">
        <v>45870</v>
      </c>
      <c r="M1555" t="s">
        <v>238</v>
      </c>
      <c r="N1555" t="s">
        <v>25</v>
      </c>
      <c r="O1555" t="s">
        <v>26</v>
      </c>
      <c r="P1555" t="s">
        <v>18</v>
      </c>
      <c r="Q1555" t="s">
        <v>239</v>
      </c>
    </row>
    <row r="1556" spans="1:17" x14ac:dyDescent="0.3">
      <c r="A1556" t="s">
        <v>17</v>
      </c>
      <c r="B1556">
        <v>63</v>
      </c>
      <c r="C1556" t="s">
        <v>18</v>
      </c>
      <c r="D1556" s="2">
        <v>45900</v>
      </c>
      <c r="E1556" s="3">
        <f t="shared" si="24"/>
        <v>45870</v>
      </c>
      <c r="F1556">
        <v>5350920517</v>
      </c>
      <c r="G1556" t="s">
        <v>235</v>
      </c>
      <c r="H1556" s="4">
        <v>2646.28</v>
      </c>
      <c r="I1556" t="s">
        <v>21</v>
      </c>
      <c r="J1556" t="s">
        <v>236</v>
      </c>
      <c r="K1556" t="s">
        <v>1376</v>
      </c>
      <c r="L1556" s="2">
        <v>45870</v>
      </c>
      <c r="M1556" t="s">
        <v>238</v>
      </c>
      <c r="N1556" t="s">
        <v>25</v>
      </c>
      <c r="O1556" t="s">
        <v>26</v>
      </c>
      <c r="P1556" t="s">
        <v>18</v>
      </c>
      <c r="Q1556" t="s">
        <v>239</v>
      </c>
    </row>
    <row r="1557" spans="1:17" x14ac:dyDescent="0.3">
      <c r="A1557" t="s">
        <v>17</v>
      </c>
      <c r="B1557">
        <v>63</v>
      </c>
      <c r="C1557" t="s">
        <v>18</v>
      </c>
      <c r="D1557" s="2">
        <v>45900</v>
      </c>
      <c r="E1557" s="3">
        <f t="shared" si="24"/>
        <v>45870</v>
      </c>
      <c r="F1557">
        <v>5350920517</v>
      </c>
      <c r="G1557" t="s">
        <v>235</v>
      </c>
      <c r="H1557" s="4">
        <v>3507.6</v>
      </c>
      <c r="I1557" t="s">
        <v>21</v>
      </c>
      <c r="J1557" t="s">
        <v>236</v>
      </c>
      <c r="K1557" t="s">
        <v>1555</v>
      </c>
      <c r="L1557" s="2">
        <v>45870</v>
      </c>
      <c r="M1557" t="s">
        <v>238</v>
      </c>
      <c r="N1557" t="s">
        <v>25</v>
      </c>
      <c r="O1557" t="s">
        <v>26</v>
      </c>
      <c r="P1557" t="s">
        <v>18</v>
      </c>
      <c r="Q1557" t="s">
        <v>239</v>
      </c>
    </row>
    <row r="1558" spans="1:17" x14ac:dyDescent="0.3">
      <c r="A1558" t="s">
        <v>17</v>
      </c>
      <c r="B1558">
        <v>63</v>
      </c>
      <c r="C1558" t="s">
        <v>18</v>
      </c>
      <c r="D1558" s="2">
        <v>45900</v>
      </c>
      <c r="E1558" s="3">
        <f t="shared" si="24"/>
        <v>45870</v>
      </c>
      <c r="F1558">
        <v>5350920517</v>
      </c>
      <c r="G1558" t="s">
        <v>235</v>
      </c>
      <c r="H1558" s="4">
        <v>3955.56</v>
      </c>
      <c r="I1558" t="s">
        <v>21</v>
      </c>
      <c r="J1558" t="s">
        <v>236</v>
      </c>
      <c r="K1558" t="s">
        <v>1373</v>
      </c>
      <c r="L1558" s="2">
        <v>45870</v>
      </c>
      <c r="M1558" t="s">
        <v>238</v>
      </c>
      <c r="N1558" t="s">
        <v>25</v>
      </c>
      <c r="O1558" t="s">
        <v>26</v>
      </c>
      <c r="P1558" t="s">
        <v>18</v>
      </c>
      <c r="Q1558" t="s">
        <v>239</v>
      </c>
    </row>
    <row r="1559" spans="1:17" x14ac:dyDescent="0.3">
      <c r="A1559" t="s">
        <v>17</v>
      </c>
      <c r="B1559">
        <v>63</v>
      </c>
      <c r="C1559" t="s">
        <v>18</v>
      </c>
      <c r="D1559" s="2">
        <v>45870</v>
      </c>
      <c r="E1559" s="3">
        <f t="shared" si="24"/>
        <v>45870</v>
      </c>
      <c r="F1559">
        <v>222324</v>
      </c>
      <c r="G1559" t="s">
        <v>251</v>
      </c>
      <c r="H1559" s="4">
        <v>240</v>
      </c>
      <c r="I1559" t="s">
        <v>47</v>
      </c>
      <c r="J1559" t="s">
        <v>22</v>
      </c>
      <c r="K1559" t="s">
        <v>1556</v>
      </c>
      <c r="L1559" s="2">
        <v>45870</v>
      </c>
      <c r="M1559" t="s">
        <v>24</v>
      </c>
      <c r="N1559">
        <v>0</v>
      </c>
      <c r="O1559" t="s">
        <v>26</v>
      </c>
      <c r="P1559" t="s">
        <v>18</v>
      </c>
      <c r="Q1559" t="s">
        <v>27</v>
      </c>
    </row>
    <row r="1560" spans="1:17" x14ac:dyDescent="0.3">
      <c r="A1560" t="s">
        <v>17</v>
      </c>
      <c r="B1560">
        <v>63</v>
      </c>
      <c r="C1560" t="s">
        <v>18</v>
      </c>
      <c r="D1560" s="2">
        <v>45870</v>
      </c>
      <c r="E1560" s="3">
        <f t="shared" si="24"/>
        <v>45870</v>
      </c>
      <c r="F1560">
        <v>222324</v>
      </c>
      <c r="G1560" t="s">
        <v>251</v>
      </c>
      <c r="H1560" s="4">
        <v>1200</v>
      </c>
      <c r="I1560" t="s">
        <v>47</v>
      </c>
      <c r="J1560" t="s">
        <v>22</v>
      </c>
      <c r="K1560" t="s">
        <v>1557</v>
      </c>
      <c r="L1560" s="2">
        <v>45870</v>
      </c>
      <c r="M1560" t="s">
        <v>24</v>
      </c>
      <c r="N1560">
        <v>0</v>
      </c>
      <c r="O1560" t="s">
        <v>26</v>
      </c>
      <c r="P1560" t="s">
        <v>18</v>
      </c>
      <c r="Q1560" t="s">
        <v>27</v>
      </c>
    </row>
    <row r="1561" spans="1:17" x14ac:dyDescent="0.3">
      <c r="A1561" t="s">
        <v>17</v>
      </c>
      <c r="B1561">
        <v>63</v>
      </c>
      <c r="C1561" t="s">
        <v>18</v>
      </c>
      <c r="D1561" s="2">
        <v>45873</v>
      </c>
      <c r="E1561" s="3">
        <f t="shared" si="24"/>
        <v>45870</v>
      </c>
      <c r="F1561">
        <v>830313</v>
      </c>
      <c r="G1561" t="s">
        <v>125</v>
      </c>
      <c r="H1561" s="4">
        <v>165</v>
      </c>
      <c r="I1561" t="s">
        <v>47</v>
      </c>
      <c r="J1561" t="s">
        <v>22</v>
      </c>
      <c r="K1561" t="s">
        <v>1378</v>
      </c>
      <c r="L1561" s="2">
        <v>45870</v>
      </c>
      <c r="M1561" t="s">
        <v>24</v>
      </c>
      <c r="N1561">
        <v>0</v>
      </c>
      <c r="O1561" t="s">
        <v>26</v>
      </c>
      <c r="P1561" t="s">
        <v>18</v>
      </c>
      <c r="Q1561" t="s">
        <v>27</v>
      </c>
    </row>
    <row r="1562" spans="1:17" x14ac:dyDescent="0.3">
      <c r="A1562" t="s">
        <v>17</v>
      </c>
      <c r="B1562">
        <v>63</v>
      </c>
      <c r="C1562" t="s">
        <v>18</v>
      </c>
      <c r="D1562" s="2">
        <v>45873</v>
      </c>
      <c r="E1562" s="3">
        <f t="shared" si="24"/>
        <v>45870</v>
      </c>
      <c r="F1562">
        <v>830313</v>
      </c>
      <c r="G1562" t="s">
        <v>125</v>
      </c>
      <c r="H1562" s="4">
        <v>825</v>
      </c>
      <c r="I1562" t="s">
        <v>47</v>
      </c>
      <c r="J1562" t="s">
        <v>22</v>
      </c>
      <c r="K1562" t="s">
        <v>1558</v>
      </c>
      <c r="L1562" s="2">
        <v>45870</v>
      </c>
      <c r="M1562" t="s">
        <v>24</v>
      </c>
      <c r="N1562">
        <v>0</v>
      </c>
      <c r="O1562" t="s">
        <v>26</v>
      </c>
      <c r="P1562" t="s">
        <v>18</v>
      </c>
      <c r="Q1562" t="s">
        <v>27</v>
      </c>
    </row>
    <row r="1563" spans="1:17" x14ac:dyDescent="0.3">
      <c r="A1563" t="s">
        <v>17</v>
      </c>
      <c r="B1563">
        <v>63</v>
      </c>
      <c r="C1563" t="s">
        <v>18</v>
      </c>
      <c r="D1563" s="2">
        <v>45876</v>
      </c>
      <c r="E1563" s="3">
        <f t="shared" si="24"/>
        <v>45870</v>
      </c>
      <c r="F1563">
        <v>830709</v>
      </c>
      <c r="G1563" t="s">
        <v>125</v>
      </c>
      <c r="H1563" s="4">
        <v>82.5</v>
      </c>
      <c r="I1563" t="s">
        <v>47</v>
      </c>
      <c r="J1563" t="s">
        <v>22</v>
      </c>
      <c r="K1563" t="s">
        <v>1559</v>
      </c>
      <c r="L1563" s="2">
        <v>45870</v>
      </c>
      <c r="M1563" t="s">
        <v>24</v>
      </c>
      <c r="N1563">
        <v>0</v>
      </c>
      <c r="O1563" t="s">
        <v>26</v>
      </c>
      <c r="P1563" t="s">
        <v>18</v>
      </c>
      <c r="Q1563" t="s">
        <v>27</v>
      </c>
    </row>
    <row r="1564" spans="1:17" x14ac:dyDescent="0.3">
      <c r="A1564" t="s">
        <v>17</v>
      </c>
      <c r="B1564">
        <v>63</v>
      </c>
      <c r="C1564" t="s">
        <v>18</v>
      </c>
      <c r="D1564" s="2">
        <v>45876</v>
      </c>
      <c r="E1564" s="3">
        <f t="shared" si="24"/>
        <v>45870</v>
      </c>
      <c r="F1564">
        <v>830709</v>
      </c>
      <c r="G1564" t="s">
        <v>125</v>
      </c>
      <c r="H1564" s="4">
        <v>412.5</v>
      </c>
      <c r="I1564" t="s">
        <v>47</v>
      </c>
      <c r="J1564" t="s">
        <v>22</v>
      </c>
      <c r="K1564" t="s">
        <v>1560</v>
      </c>
      <c r="L1564" s="2">
        <v>45870</v>
      </c>
      <c r="M1564" t="s">
        <v>24</v>
      </c>
      <c r="N1564">
        <v>0</v>
      </c>
      <c r="O1564" t="s">
        <v>26</v>
      </c>
      <c r="P1564" t="s">
        <v>18</v>
      </c>
      <c r="Q1564" t="s">
        <v>27</v>
      </c>
    </row>
    <row r="1565" spans="1:17" x14ac:dyDescent="0.3">
      <c r="A1565" t="s">
        <v>17</v>
      </c>
      <c r="B1565">
        <v>63</v>
      </c>
      <c r="C1565" t="s">
        <v>18</v>
      </c>
      <c r="D1565" s="2">
        <v>45900</v>
      </c>
      <c r="E1565" s="3">
        <f t="shared" si="24"/>
        <v>45870</v>
      </c>
      <c r="F1565" t="s">
        <v>1561</v>
      </c>
      <c r="H1565" s="4">
        <v>3324.38</v>
      </c>
      <c r="I1565" t="s">
        <v>47</v>
      </c>
      <c r="J1565" t="s">
        <v>326</v>
      </c>
      <c r="K1565" t="s">
        <v>1562</v>
      </c>
      <c r="L1565" s="2">
        <v>45870</v>
      </c>
      <c r="M1565" t="s">
        <v>328</v>
      </c>
      <c r="N1565">
        <v>0</v>
      </c>
      <c r="O1565" t="s">
        <v>26</v>
      </c>
      <c r="P1565" t="s">
        <v>18</v>
      </c>
      <c r="Q1565" t="s">
        <v>329</v>
      </c>
    </row>
    <row r="1566" spans="1:17" x14ac:dyDescent="0.3">
      <c r="A1566" t="s">
        <v>17</v>
      </c>
      <c r="B1566">
        <v>67</v>
      </c>
      <c r="C1566" t="s">
        <v>28</v>
      </c>
      <c r="D1566" s="2">
        <v>45870</v>
      </c>
      <c r="E1566" s="3">
        <f t="shared" si="24"/>
        <v>45870</v>
      </c>
      <c r="F1566" t="s">
        <v>1563</v>
      </c>
      <c r="G1566" t="s">
        <v>67</v>
      </c>
      <c r="H1566" s="4">
        <v>280.23</v>
      </c>
      <c r="I1566" t="s">
        <v>31</v>
      </c>
      <c r="J1566" t="s">
        <v>68</v>
      </c>
      <c r="K1566" t="s">
        <v>1564</v>
      </c>
      <c r="L1566" s="2">
        <v>45870</v>
      </c>
      <c r="M1566" t="s">
        <v>68</v>
      </c>
      <c r="N1566">
        <v>0</v>
      </c>
      <c r="O1566" t="s">
        <v>31</v>
      </c>
      <c r="P1566" t="s">
        <v>28</v>
      </c>
      <c r="Q1566">
        <v>0</v>
      </c>
    </row>
    <row r="1567" spans="1:17" x14ac:dyDescent="0.3">
      <c r="A1567" t="s">
        <v>17</v>
      </c>
      <c r="B1567">
        <v>67</v>
      </c>
      <c r="C1567" t="s">
        <v>28</v>
      </c>
      <c r="D1567" s="2">
        <v>45870</v>
      </c>
      <c r="E1567" s="3">
        <f t="shared" si="24"/>
        <v>45870</v>
      </c>
      <c r="F1567" t="s">
        <v>1565</v>
      </c>
      <c r="G1567" t="s">
        <v>67</v>
      </c>
      <c r="H1567" s="4">
        <v>493.67</v>
      </c>
      <c r="I1567" t="s">
        <v>31</v>
      </c>
      <c r="J1567" t="s">
        <v>68</v>
      </c>
      <c r="K1567" t="s">
        <v>1564</v>
      </c>
      <c r="L1567" s="2">
        <v>45870</v>
      </c>
      <c r="M1567" t="s">
        <v>68</v>
      </c>
      <c r="N1567">
        <v>0</v>
      </c>
      <c r="O1567" t="s">
        <v>31</v>
      </c>
      <c r="P1567" t="s">
        <v>28</v>
      </c>
      <c r="Q1567">
        <v>0</v>
      </c>
    </row>
    <row r="1568" spans="1:17" x14ac:dyDescent="0.3">
      <c r="A1568" t="s">
        <v>17</v>
      </c>
      <c r="B1568">
        <v>67</v>
      </c>
      <c r="C1568" t="s">
        <v>28</v>
      </c>
      <c r="D1568" s="2">
        <v>45875</v>
      </c>
      <c r="E1568" s="3">
        <f t="shared" si="24"/>
        <v>45870</v>
      </c>
      <c r="F1568" t="s">
        <v>1566</v>
      </c>
      <c r="G1568" t="s">
        <v>119</v>
      </c>
      <c r="H1568" s="4">
        <v>1152.5</v>
      </c>
      <c r="I1568" t="s">
        <v>31</v>
      </c>
      <c r="J1568" t="s">
        <v>68</v>
      </c>
      <c r="K1568" t="s">
        <v>1567</v>
      </c>
      <c r="L1568" s="2">
        <v>45870</v>
      </c>
      <c r="M1568" t="s">
        <v>68</v>
      </c>
      <c r="N1568">
        <v>0</v>
      </c>
      <c r="O1568" t="s">
        <v>31</v>
      </c>
      <c r="P1568" t="s">
        <v>28</v>
      </c>
      <c r="Q1568">
        <v>0</v>
      </c>
    </row>
    <row r="1569" spans="1:17" x14ac:dyDescent="0.3">
      <c r="A1569" t="s">
        <v>17</v>
      </c>
      <c r="B1569">
        <v>67</v>
      </c>
      <c r="C1569" t="s">
        <v>28</v>
      </c>
      <c r="D1569" s="2">
        <v>45877</v>
      </c>
      <c r="E1569" s="3">
        <f t="shared" si="24"/>
        <v>45870</v>
      </c>
      <c r="F1569" t="s">
        <v>1568</v>
      </c>
      <c r="G1569" t="s">
        <v>67</v>
      </c>
      <c r="H1569" s="4">
        <v>186.58</v>
      </c>
      <c r="I1569" t="s">
        <v>31</v>
      </c>
      <c r="J1569" t="s">
        <v>68</v>
      </c>
      <c r="K1569" t="s">
        <v>1569</v>
      </c>
      <c r="L1569" s="2">
        <v>45870</v>
      </c>
      <c r="M1569" t="s">
        <v>68</v>
      </c>
      <c r="N1569">
        <v>0</v>
      </c>
      <c r="O1569" t="s">
        <v>31</v>
      </c>
      <c r="P1569" t="s">
        <v>28</v>
      </c>
      <c r="Q1569">
        <v>0</v>
      </c>
    </row>
    <row r="1570" spans="1:17" x14ac:dyDescent="0.3">
      <c r="A1570" t="s">
        <v>17</v>
      </c>
      <c r="B1570">
        <v>67</v>
      </c>
      <c r="C1570" t="s">
        <v>28</v>
      </c>
      <c r="D1570" s="2">
        <v>45882</v>
      </c>
      <c r="E1570" s="3">
        <f t="shared" si="24"/>
        <v>45870</v>
      </c>
      <c r="F1570" t="s">
        <v>1570</v>
      </c>
      <c r="G1570" t="s">
        <v>119</v>
      </c>
      <c r="H1570" s="4">
        <v>1755</v>
      </c>
      <c r="I1570" t="s">
        <v>31</v>
      </c>
      <c r="J1570" t="s">
        <v>68</v>
      </c>
      <c r="K1570" t="s">
        <v>1571</v>
      </c>
      <c r="L1570" s="2">
        <v>45870</v>
      </c>
      <c r="M1570" t="s">
        <v>68</v>
      </c>
      <c r="N1570">
        <v>0</v>
      </c>
      <c r="O1570" t="s">
        <v>31</v>
      </c>
      <c r="P1570" t="s">
        <v>28</v>
      </c>
      <c r="Q1570">
        <v>0</v>
      </c>
    </row>
    <row r="1571" spans="1:17" x14ac:dyDescent="0.3">
      <c r="A1571" t="s">
        <v>17</v>
      </c>
      <c r="B1571">
        <v>67</v>
      </c>
      <c r="C1571" t="s">
        <v>28</v>
      </c>
      <c r="D1571" s="2">
        <v>45882</v>
      </c>
      <c r="E1571" s="3">
        <f t="shared" si="24"/>
        <v>45870</v>
      </c>
      <c r="F1571" t="s">
        <v>1570</v>
      </c>
      <c r="G1571" t="s">
        <v>119</v>
      </c>
      <c r="H1571" s="4">
        <v>1123.75</v>
      </c>
      <c r="I1571" t="s">
        <v>31</v>
      </c>
      <c r="J1571" t="s">
        <v>68</v>
      </c>
      <c r="K1571" t="s">
        <v>1567</v>
      </c>
      <c r="L1571" s="2">
        <v>45870</v>
      </c>
      <c r="M1571" t="s">
        <v>68</v>
      </c>
      <c r="N1571">
        <v>0</v>
      </c>
      <c r="O1571" t="s">
        <v>31</v>
      </c>
      <c r="P1571" t="s">
        <v>28</v>
      </c>
      <c r="Q1571">
        <v>0</v>
      </c>
    </row>
    <row r="1572" spans="1:17" x14ac:dyDescent="0.3">
      <c r="A1572" t="s">
        <v>17</v>
      </c>
      <c r="B1572">
        <v>67</v>
      </c>
      <c r="C1572" t="s">
        <v>28</v>
      </c>
      <c r="D1572" s="2">
        <v>45884</v>
      </c>
      <c r="E1572" s="3">
        <f t="shared" si="24"/>
        <v>45870</v>
      </c>
      <c r="F1572" t="s">
        <v>1572</v>
      </c>
      <c r="H1572" s="4">
        <v>349.1</v>
      </c>
      <c r="I1572" t="s">
        <v>31</v>
      </c>
      <c r="J1572" t="s">
        <v>68</v>
      </c>
      <c r="K1572" t="s">
        <v>1573</v>
      </c>
      <c r="L1572" s="2">
        <v>45870</v>
      </c>
      <c r="M1572" t="s">
        <v>68</v>
      </c>
      <c r="N1572">
        <v>0</v>
      </c>
      <c r="O1572" t="s">
        <v>31</v>
      </c>
      <c r="P1572" t="s">
        <v>28</v>
      </c>
      <c r="Q1572">
        <v>0</v>
      </c>
    </row>
    <row r="1573" spans="1:17" x14ac:dyDescent="0.3">
      <c r="A1573" t="s">
        <v>17</v>
      </c>
      <c r="B1573">
        <v>67</v>
      </c>
      <c r="C1573" t="s">
        <v>28</v>
      </c>
      <c r="D1573" s="2">
        <v>45889</v>
      </c>
      <c r="E1573" s="3">
        <f t="shared" si="24"/>
        <v>45870</v>
      </c>
      <c r="F1573" t="s">
        <v>1574</v>
      </c>
      <c r="G1573" t="s">
        <v>119</v>
      </c>
      <c r="H1573" s="4">
        <v>641.25</v>
      </c>
      <c r="I1573" t="s">
        <v>31</v>
      </c>
      <c r="J1573" t="s">
        <v>68</v>
      </c>
      <c r="K1573" t="s">
        <v>1571</v>
      </c>
      <c r="L1573" s="2">
        <v>45870</v>
      </c>
      <c r="M1573" t="s">
        <v>68</v>
      </c>
      <c r="N1573">
        <v>0</v>
      </c>
      <c r="O1573" t="s">
        <v>31</v>
      </c>
      <c r="P1573" t="s">
        <v>28</v>
      </c>
      <c r="Q1573">
        <v>0</v>
      </c>
    </row>
    <row r="1574" spans="1:17" x14ac:dyDescent="0.3">
      <c r="A1574" t="s">
        <v>17</v>
      </c>
      <c r="B1574">
        <v>67</v>
      </c>
      <c r="C1574" t="s">
        <v>28</v>
      </c>
      <c r="D1574" s="2">
        <v>45889</v>
      </c>
      <c r="E1574" s="3">
        <f t="shared" si="24"/>
        <v>45870</v>
      </c>
      <c r="F1574" t="s">
        <v>1574</v>
      </c>
      <c r="G1574" t="s">
        <v>119</v>
      </c>
      <c r="H1574" s="4">
        <v>2053.75</v>
      </c>
      <c r="I1574" t="s">
        <v>31</v>
      </c>
      <c r="J1574" t="s">
        <v>68</v>
      </c>
      <c r="K1574" t="s">
        <v>1575</v>
      </c>
      <c r="L1574" s="2">
        <v>45870</v>
      </c>
      <c r="M1574" t="s">
        <v>68</v>
      </c>
      <c r="N1574">
        <v>0</v>
      </c>
      <c r="O1574" t="s">
        <v>31</v>
      </c>
      <c r="P1574" t="s">
        <v>28</v>
      </c>
      <c r="Q1574">
        <v>0</v>
      </c>
    </row>
    <row r="1575" spans="1:17" x14ac:dyDescent="0.3">
      <c r="A1575" t="s">
        <v>17</v>
      </c>
      <c r="B1575">
        <v>67</v>
      </c>
      <c r="C1575" t="s">
        <v>28</v>
      </c>
      <c r="D1575" s="2">
        <v>45891</v>
      </c>
      <c r="E1575" s="3">
        <f t="shared" si="24"/>
        <v>45870</v>
      </c>
      <c r="F1575" t="s">
        <v>1576</v>
      </c>
      <c r="H1575" s="4">
        <v>169.76</v>
      </c>
      <c r="I1575" t="s">
        <v>31</v>
      </c>
      <c r="J1575" t="s">
        <v>68</v>
      </c>
      <c r="K1575" t="s">
        <v>1577</v>
      </c>
      <c r="L1575" s="2">
        <v>45870</v>
      </c>
      <c r="M1575" t="s">
        <v>68</v>
      </c>
      <c r="N1575">
        <v>0</v>
      </c>
      <c r="O1575" t="s">
        <v>31</v>
      </c>
      <c r="P1575" t="s">
        <v>28</v>
      </c>
      <c r="Q1575">
        <v>0</v>
      </c>
    </row>
    <row r="1576" spans="1:17" x14ac:dyDescent="0.3">
      <c r="A1576" t="s">
        <v>17</v>
      </c>
      <c r="B1576">
        <v>67</v>
      </c>
      <c r="C1576" t="s">
        <v>28</v>
      </c>
      <c r="D1576" s="2">
        <v>45896</v>
      </c>
      <c r="E1576" s="3">
        <f t="shared" si="24"/>
        <v>45870</v>
      </c>
      <c r="F1576" t="s">
        <v>1578</v>
      </c>
      <c r="G1576" t="s">
        <v>119</v>
      </c>
      <c r="H1576" s="4">
        <v>2073.75</v>
      </c>
      <c r="I1576" t="s">
        <v>31</v>
      </c>
      <c r="J1576" t="s">
        <v>68</v>
      </c>
      <c r="K1576" t="s">
        <v>1567</v>
      </c>
      <c r="L1576" s="2">
        <v>45870</v>
      </c>
      <c r="M1576" t="s">
        <v>68</v>
      </c>
      <c r="N1576">
        <v>0</v>
      </c>
      <c r="O1576" t="s">
        <v>31</v>
      </c>
      <c r="P1576" t="s">
        <v>28</v>
      </c>
      <c r="Q1576">
        <v>0</v>
      </c>
    </row>
    <row r="1577" spans="1:17" x14ac:dyDescent="0.3">
      <c r="A1577" t="s">
        <v>17</v>
      </c>
      <c r="B1577">
        <v>67</v>
      </c>
      <c r="C1577" t="s">
        <v>28</v>
      </c>
      <c r="D1577" s="2">
        <v>45898</v>
      </c>
      <c r="E1577" s="3">
        <f t="shared" si="24"/>
        <v>45870</v>
      </c>
      <c r="F1577" t="s">
        <v>1579</v>
      </c>
      <c r="G1577" t="s">
        <v>67</v>
      </c>
      <c r="H1577" s="4">
        <v>309.75</v>
      </c>
      <c r="I1577" t="s">
        <v>31</v>
      </c>
      <c r="J1577" t="s">
        <v>68</v>
      </c>
      <c r="K1577" t="s">
        <v>1580</v>
      </c>
      <c r="L1577" s="2">
        <v>45870</v>
      </c>
      <c r="M1577" t="s">
        <v>68</v>
      </c>
      <c r="N1577">
        <v>0</v>
      </c>
      <c r="O1577" t="s">
        <v>31</v>
      </c>
      <c r="P1577" t="s">
        <v>28</v>
      </c>
      <c r="Q1577">
        <v>0</v>
      </c>
    </row>
    <row r="1578" spans="1:17" x14ac:dyDescent="0.3">
      <c r="A1578" t="s">
        <v>17</v>
      </c>
      <c r="B1578">
        <v>65</v>
      </c>
      <c r="C1578" t="s">
        <v>54</v>
      </c>
      <c r="D1578" s="2">
        <v>45870</v>
      </c>
      <c r="E1578" s="3">
        <f t="shared" si="24"/>
        <v>45870</v>
      </c>
      <c r="F1578" t="s">
        <v>1581</v>
      </c>
      <c r="G1578" t="s">
        <v>40</v>
      </c>
      <c r="H1578" s="4">
        <v>30113.77</v>
      </c>
      <c r="I1578" t="s">
        <v>31</v>
      </c>
      <c r="J1578" t="s">
        <v>55</v>
      </c>
      <c r="K1578" t="s">
        <v>1582</v>
      </c>
      <c r="L1578" s="2">
        <v>45870</v>
      </c>
      <c r="M1578" t="s">
        <v>55</v>
      </c>
      <c r="N1578">
        <v>0</v>
      </c>
      <c r="O1578" t="s">
        <v>31</v>
      </c>
      <c r="P1578" t="s">
        <v>54</v>
      </c>
      <c r="Q1578">
        <v>0</v>
      </c>
    </row>
    <row r="1579" spans="1:17" x14ac:dyDescent="0.3">
      <c r="A1579" t="s">
        <v>17</v>
      </c>
      <c r="B1579">
        <v>65</v>
      </c>
      <c r="C1579" t="s">
        <v>54</v>
      </c>
      <c r="D1579" s="2">
        <v>45900</v>
      </c>
      <c r="E1579" s="3">
        <f t="shared" si="24"/>
        <v>45870</v>
      </c>
      <c r="F1579" t="s">
        <v>1583</v>
      </c>
      <c r="H1579" s="4">
        <v>-30113.77</v>
      </c>
      <c r="I1579" t="s">
        <v>31</v>
      </c>
      <c r="J1579" t="s">
        <v>55</v>
      </c>
      <c r="L1579" s="2">
        <v>45870</v>
      </c>
      <c r="M1579" t="s">
        <v>55</v>
      </c>
      <c r="N1579">
        <v>0</v>
      </c>
      <c r="O1579" t="s">
        <v>31</v>
      </c>
      <c r="P1579" t="s">
        <v>54</v>
      </c>
      <c r="Q1579">
        <v>0</v>
      </c>
    </row>
    <row r="1580" spans="1:17" x14ac:dyDescent="0.3">
      <c r="A1580" t="s">
        <v>17</v>
      </c>
      <c r="B1580">
        <v>68</v>
      </c>
      <c r="C1580" t="s">
        <v>34</v>
      </c>
      <c r="D1580" s="2">
        <v>45875</v>
      </c>
      <c r="E1580" s="3">
        <f t="shared" si="24"/>
        <v>45870</v>
      </c>
      <c r="F1580" t="s">
        <v>1520</v>
      </c>
      <c r="H1580" s="4">
        <v>77.14</v>
      </c>
      <c r="I1580" t="s">
        <v>108</v>
      </c>
      <c r="J1580" t="s">
        <v>79</v>
      </c>
      <c r="K1580" t="s">
        <v>1584</v>
      </c>
      <c r="L1580" s="2">
        <v>45870</v>
      </c>
      <c r="M1580" t="s">
        <v>79</v>
      </c>
      <c r="N1580">
        <v>0</v>
      </c>
      <c r="O1580" t="s">
        <v>111</v>
      </c>
      <c r="P1580" t="s">
        <v>34</v>
      </c>
      <c r="Q1580">
        <v>0</v>
      </c>
    </row>
    <row r="1581" spans="1:17" x14ac:dyDescent="0.3">
      <c r="A1581" t="s">
        <v>17</v>
      </c>
      <c r="B1581">
        <v>68</v>
      </c>
      <c r="C1581" t="s">
        <v>34</v>
      </c>
      <c r="D1581" s="2">
        <v>45875</v>
      </c>
      <c r="E1581" s="3">
        <f t="shared" si="24"/>
        <v>45870</v>
      </c>
      <c r="F1581" t="s">
        <v>1585</v>
      </c>
      <c r="G1581" t="s">
        <v>1586</v>
      </c>
      <c r="H1581" s="4">
        <v>1060</v>
      </c>
      <c r="I1581" t="s">
        <v>47</v>
      </c>
      <c r="J1581" t="s">
        <v>79</v>
      </c>
      <c r="K1581" t="s">
        <v>1587</v>
      </c>
      <c r="L1581" s="2">
        <v>45870</v>
      </c>
      <c r="M1581" t="s">
        <v>79</v>
      </c>
      <c r="N1581">
        <v>0</v>
      </c>
      <c r="O1581" t="s">
        <v>26</v>
      </c>
      <c r="P1581" t="s">
        <v>34</v>
      </c>
      <c r="Q1581">
        <v>0</v>
      </c>
    </row>
    <row r="1582" spans="1:17" x14ac:dyDescent="0.3">
      <c r="A1582" t="s">
        <v>17</v>
      </c>
      <c r="B1582">
        <v>68</v>
      </c>
      <c r="C1582" t="s">
        <v>34</v>
      </c>
      <c r="D1582" s="2">
        <v>45875</v>
      </c>
      <c r="E1582" s="3">
        <f t="shared" si="24"/>
        <v>45870</v>
      </c>
      <c r="F1582" t="s">
        <v>1588</v>
      </c>
      <c r="H1582" s="4">
        <v>70.66</v>
      </c>
      <c r="I1582" t="s">
        <v>31</v>
      </c>
      <c r="J1582" t="s">
        <v>79</v>
      </c>
      <c r="K1582" t="s">
        <v>1589</v>
      </c>
      <c r="L1582" s="2">
        <v>45870</v>
      </c>
      <c r="M1582" t="s">
        <v>79</v>
      </c>
      <c r="N1582">
        <v>0</v>
      </c>
      <c r="O1582" t="s">
        <v>31</v>
      </c>
      <c r="P1582" t="s">
        <v>34</v>
      </c>
      <c r="Q1582">
        <v>0</v>
      </c>
    </row>
    <row r="1583" spans="1:17" x14ac:dyDescent="0.3">
      <c r="A1583" t="s">
        <v>17</v>
      </c>
      <c r="B1583">
        <v>68</v>
      </c>
      <c r="C1583" t="s">
        <v>34</v>
      </c>
      <c r="D1583" s="2">
        <v>45875</v>
      </c>
      <c r="E1583" s="3">
        <f t="shared" si="24"/>
        <v>45870</v>
      </c>
      <c r="F1583" t="s">
        <v>1588</v>
      </c>
      <c r="G1583" t="s">
        <v>101</v>
      </c>
      <c r="H1583" s="4">
        <v>65.33</v>
      </c>
      <c r="I1583" t="s">
        <v>31</v>
      </c>
      <c r="J1583" t="s">
        <v>79</v>
      </c>
      <c r="K1583" t="s">
        <v>1590</v>
      </c>
      <c r="L1583" s="2">
        <v>45870</v>
      </c>
      <c r="M1583" t="s">
        <v>79</v>
      </c>
      <c r="N1583">
        <v>0</v>
      </c>
      <c r="O1583" t="s">
        <v>31</v>
      </c>
      <c r="P1583" t="s">
        <v>34</v>
      </c>
      <c r="Q1583">
        <v>0</v>
      </c>
    </row>
    <row r="1584" spans="1:17" x14ac:dyDescent="0.3">
      <c r="A1584" t="s">
        <v>17</v>
      </c>
      <c r="B1584">
        <v>68</v>
      </c>
      <c r="C1584" t="s">
        <v>34</v>
      </c>
      <c r="D1584" s="2">
        <v>45876</v>
      </c>
      <c r="E1584" s="3">
        <f t="shared" si="24"/>
        <v>45870</v>
      </c>
      <c r="F1584" t="s">
        <v>1522</v>
      </c>
      <c r="G1584" t="s">
        <v>1227</v>
      </c>
      <c r="H1584" s="4">
        <v>308.98</v>
      </c>
      <c r="I1584" t="s">
        <v>47</v>
      </c>
      <c r="J1584" t="s">
        <v>79</v>
      </c>
      <c r="K1584" t="s">
        <v>1591</v>
      </c>
      <c r="L1584" s="2">
        <v>45870</v>
      </c>
      <c r="M1584" t="s">
        <v>79</v>
      </c>
      <c r="N1584">
        <v>0</v>
      </c>
      <c r="O1584" t="s">
        <v>26</v>
      </c>
      <c r="P1584" t="s">
        <v>34</v>
      </c>
      <c r="Q1584">
        <v>0</v>
      </c>
    </row>
    <row r="1585" spans="1:17" x14ac:dyDescent="0.3">
      <c r="A1585" t="s">
        <v>17</v>
      </c>
      <c r="B1585">
        <v>68</v>
      </c>
      <c r="C1585" t="s">
        <v>34</v>
      </c>
      <c r="D1585" s="2">
        <v>45877</v>
      </c>
      <c r="E1585" s="3">
        <f t="shared" si="24"/>
        <v>45870</v>
      </c>
      <c r="F1585" t="s">
        <v>1592</v>
      </c>
      <c r="H1585" s="4">
        <v>-3.59</v>
      </c>
      <c r="I1585" t="s">
        <v>31</v>
      </c>
      <c r="J1585" t="s">
        <v>79</v>
      </c>
      <c r="K1585" t="s">
        <v>1593</v>
      </c>
      <c r="L1585" s="2">
        <v>45870</v>
      </c>
      <c r="M1585" t="s">
        <v>79</v>
      </c>
      <c r="N1585">
        <v>0</v>
      </c>
      <c r="O1585" t="s">
        <v>31</v>
      </c>
      <c r="P1585" t="s">
        <v>34</v>
      </c>
      <c r="Q1585">
        <v>0</v>
      </c>
    </row>
    <row r="1586" spans="1:17" x14ac:dyDescent="0.3">
      <c r="A1586" t="s">
        <v>17</v>
      </c>
      <c r="B1586">
        <v>68</v>
      </c>
      <c r="C1586" t="s">
        <v>34</v>
      </c>
      <c r="D1586" s="2">
        <v>45879</v>
      </c>
      <c r="E1586" s="3">
        <f t="shared" si="24"/>
        <v>45870</v>
      </c>
      <c r="F1586">
        <v>11723</v>
      </c>
      <c r="G1586" t="s">
        <v>131</v>
      </c>
      <c r="H1586" s="4">
        <v>84.31</v>
      </c>
      <c r="I1586" t="s">
        <v>31</v>
      </c>
      <c r="J1586" t="s">
        <v>79</v>
      </c>
      <c r="K1586" t="s">
        <v>1276</v>
      </c>
      <c r="L1586" s="2">
        <v>45870</v>
      </c>
      <c r="M1586" t="s">
        <v>79</v>
      </c>
      <c r="N1586">
        <v>0</v>
      </c>
      <c r="O1586" t="s">
        <v>31</v>
      </c>
      <c r="P1586" t="s">
        <v>34</v>
      </c>
      <c r="Q1586">
        <v>0</v>
      </c>
    </row>
    <row r="1587" spans="1:17" x14ac:dyDescent="0.3">
      <c r="A1587" t="s">
        <v>17</v>
      </c>
      <c r="B1587">
        <v>68</v>
      </c>
      <c r="C1587" t="s">
        <v>34</v>
      </c>
      <c r="D1587" s="2">
        <v>45879</v>
      </c>
      <c r="E1587" s="3">
        <f t="shared" si="24"/>
        <v>45870</v>
      </c>
      <c r="F1587">
        <v>11723</v>
      </c>
      <c r="G1587" t="s">
        <v>131</v>
      </c>
      <c r="H1587" s="4">
        <v>950</v>
      </c>
      <c r="I1587" t="s">
        <v>31</v>
      </c>
      <c r="J1587" t="s">
        <v>79</v>
      </c>
      <c r="K1587" t="s">
        <v>1406</v>
      </c>
      <c r="L1587" s="2">
        <v>45870</v>
      </c>
      <c r="M1587" t="s">
        <v>79</v>
      </c>
      <c r="N1587">
        <v>0</v>
      </c>
      <c r="O1587" t="s">
        <v>31</v>
      </c>
      <c r="P1587" t="s">
        <v>34</v>
      </c>
      <c r="Q1587">
        <v>0</v>
      </c>
    </row>
    <row r="1588" spans="1:17" x14ac:dyDescent="0.3">
      <c r="A1588" t="s">
        <v>17</v>
      </c>
      <c r="B1588">
        <v>68</v>
      </c>
      <c r="C1588" t="s">
        <v>34</v>
      </c>
      <c r="D1588" s="2">
        <v>45889</v>
      </c>
      <c r="E1588" s="3">
        <f t="shared" si="24"/>
        <v>45870</v>
      </c>
      <c r="F1588" t="s">
        <v>1594</v>
      </c>
      <c r="H1588" s="4">
        <v>-1060</v>
      </c>
      <c r="I1588" t="s">
        <v>47</v>
      </c>
      <c r="J1588" t="s">
        <v>79</v>
      </c>
      <c r="K1588" t="s">
        <v>1595</v>
      </c>
      <c r="L1588" s="2">
        <v>45870</v>
      </c>
      <c r="M1588" t="s">
        <v>79</v>
      </c>
      <c r="N1588">
        <v>0</v>
      </c>
      <c r="O1588" t="s">
        <v>26</v>
      </c>
      <c r="P1588" t="s">
        <v>34</v>
      </c>
      <c r="Q1588">
        <v>0</v>
      </c>
    </row>
    <row r="1589" spans="1:17" x14ac:dyDescent="0.3">
      <c r="A1589" t="s">
        <v>17</v>
      </c>
      <c r="B1589">
        <v>68</v>
      </c>
      <c r="C1589" t="s">
        <v>34</v>
      </c>
      <c r="D1589" s="2">
        <v>45891</v>
      </c>
      <c r="E1589" s="3">
        <f t="shared" si="24"/>
        <v>45870</v>
      </c>
      <c r="F1589" t="s">
        <v>1596</v>
      </c>
      <c r="H1589" s="4">
        <v>1060</v>
      </c>
      <c r="I1589" t="s">
        <v>47</v>
      </c>
      <c r="J1589" t="s">
        <v>79</v>
      </c>
      <c r="K1589" t="s">
        <v>1597</v>
      </c>
      <c r="L1589" s="2">
        <v>45870</v>
      </c>
      <c r="M1589" t="s">
        <v>79</v>
      </c>
      <c r="N1589">
        <v>0</v>
      </c>
      <c r="O1589" t="s">
        <v>26</v>
      </c>
      <c r="P1589" t="s">
        <v>34</v>
      </c>
      <c r="Q1589">
        <v>0</v>
      </c>
    </row>
    <row r="1590" spans="1:17" x14ac:dyDescent="0.3">
      <c r="A1590" t="s">
        <v>17</v>
      </c>
      <c r="B1590">
        <v>68</v>
      </c>
      <c r="C1590" t="s">
        <v>34</v>
      </c>
      <c r="D1590" s="2">
        <v>45895</v>
      </c>
      <c r="E1590" s="3">
        <f t="shared" si="24"/>
        <v>45870</v>
      </c>
      <c r="F1590" t="s">
        <v>1527</v>
      </c>
      <c r="H1590" s="4">
        <v>318.60000000000002</v>
      </c>
      <c r="I1590" t="s">
        <v>31</v>
      </c>
      <c r="J1590" t="s">
        <v>79</v>
      </c>
      <c r="K1590" t="s">
        <v>1598</v>
      </c>
      <c r="L1590" s="2">
        <v>45870</v>
      </c>
      <c r="M1590" t="s">
        <v>79</v>
      </c>
      <c r="N1590">
        <v>0</v>
      </c>
      <c r="O1590" t="s">
        <v>31</v>
      </c>
      <c r="P1590" t="s">
        <v>34</v>
      </c>
      <c r="Q1590">
        <v>0</v>
      </c>
    </row>
    <row r="1591" spans="1:17" x14ac:dyDescent="0.3">
      <c r="A1591" t="s">
        <v>17</v>
      </c>
      <c r="B1591">
        <v>68</v>
      </c>
      <c r="C1591" t="s">
        <v>34</v>
      </c>
      <c r="D1591" s="2">
        <v>45898</v>
      </c>
      <c r="E1591" s="3">
        <f t="shared" si="24"/>
        <v>45870</v>
      </c>
      <c r="F1591" t="s">
        <v>1599</v>
      </c>
      <c r="H1591" s="4">
        <v>10136.299999999999</v>
      </c>
      <c r="I1591" t="s">
        <v>31</v>
      </c>
      <c r="J1591" t="s">
        <v>79</v>
      </c>
      <c r="K1591" t="s">
        <v>1600</v>
      </c>
      <c r="L1591" s="2">
        <v>45870</v>
      </c>
      <c r="M1591" t="s">
        <v>79</v>
      </c>
      <c r="N1591">
        <v>0</v>
      </c>
      <c r="O1591" t="s">
        <v>31</v>
      </c>
      <c r="P1591" t="s">
        <v>34</v>
      </c>
      <c r="Q1591">
        <v>0</v>
      </c>
    </row>
    <row r="1592" spans="1:17" x14ac:dyDescent="0.3">
      <c r="A1592" t="s">
        <v>17</v>
      </c>
      <c r="B1592">
        <v>68</v>
      </c>
      <c r="C1592" t="s">
        <v>34</v>
      </c>
      <c r="D1592" s="2">
        <v>45900</v>
      </c>
      <c r="E1592" s="3">
        <f t="shared" si="24"/>
        <v>45870</v>
      </c>
      <c r="F1592" t="s">
        <v>1601</v>
      </c>
      <c r="G1592" t="s">
        <v>266</v>
      </c>
      <c r="H1592" s="4">
        <v>3</v>
      </c>
      <c r="I1592" t="s">
        <v>31</v>
      </c>
      <c r="J1592" t="s">
        <v>79</v>
      </c>
      <c r="K1592" t="s">
        <v>34</v>
      </c>
      <c r="L1592" s="2">
        <v>45870</v>
      </c>
      <c r="M1592" t="s">
        <v>79</v>
      </c>
      <c r="N1592">
        <v>0</v>
      </c>
      <c r="O1592" t="s">
        <v>31</v>
      </c>
      <c r="P1592" t="s">
        <v>34</v>
      </c>
      <c r="Q1592">
        <v>0</v>
      </c>
    </row>
    <row r="1593" spans="1:17" x14ac:dyDescent="0.3">
      <c r="A1593" t="s">
        <v>17</v>
      </c>
      <c r="B1593">
        <v>68</v>
      </c>
      <c r="C1593" t="s">
        <v>34</v>
      </c>
      <c r="D1593" s="2">
        <v>45900</v>
      </c>
      <c r="E1593" s="3">
        <f t="shared" si="24"/>
        <v>45870</v>
      </c>
      <c r="F1593" t="s">
        <v>1601</v>
      </c>
      <c r="G1593" t="s">
        <v>266</v>
      </c>
      <c r="H1593" s="4">
        <v>14.02</v>
      </c>
      <c r="I1593" t="s">
        <v>31</v>
      </c>
      <c r="J1593" t="s">
        <v>79</v>
      </c>
      <c r="K1593" t="s">
        <v>1602</v>
      </c>
      <c r="L1593" s="2">
        <v>45870</v>
      </c>
      <c r="M1593" t="s">
        <v>79</v>
      </c>
      <c r="N1593">
        <v>0</v>
      </c>
      <c r="O1593" t="s">
        <v>31</v>
      </c>
      <c r="P1593" t="s">
        <v>34</v>
      </c>
      <c r="Q1593">
        <v>0</v>
      </c>
    </row>
    <row r="1594" spans="1:17" x14ac:dyDescent="0.3">
      <c r="A1594" t="s">
        <v>17</v>
      </c>
      <c r="B1594">
        <v>68</v>
      </c>
      <c r="C1594" t="s">
        <v>34</v>
      </c>
      <c r="D1594" s="2">
        <v>45900</v>
      </c>
      <c r="E1594" s="3">
        <f t="shared" si="24"/>
        <v>45870</v>
      </c>
      <c r="F1594" t="s">
        <v>1601</v>
      </c>
      <c r="G1594" t="s">
        <v>266</v>
      </c>
      <c r="H1594" s="4">
        <v>14.28</v>
      </c>
      <c r="I1594" t="s">
        <v>31</v>
      </c>
      <c r="J1594" t="s">
        <v>79</v>
      </c>
      <c r="K1594" t="s">
        <v>1603</v>
      </c>
      <c r="L1594" s="2">
        <v>45870</v>
      </c>
      <c r="M1594" t="s">
        <v>79</v>
      </c>
      <c r="N1594">
        <v>0</v>
      </c>
      <c r="O1594" t="s">
        <v>31</v>
      </c>
      <c r="P1594" t="s">
        <v>34</v>
      </c>
      <c r="Q1594">
        <v>0</v>
      </c>
    </row>
    <row r="1595" spans="1:17" x14ac:dyDescent="0.3">
      <c r="A1595" t="s">
        <v>17</v>
      </c>
      <c r="B1595">
        <v>68</v>
      </c>
      <c r="C1595" t="s">
        <v>34</v>
      </c>
      <c r="D1595" s="2">
        <v>45900</v>
      </c>
      <c r="E1595" s="3">
        <f t="shared" si="24"/>
        <v>45870</v>
      </c>
      <c r="F1595" t="s">
        <v>1601</v>
      </c>
      <c r="G1595" t="s">
        <v>266</v>
      </c>
      <c r="H1595" s="4">
        <v>14.22</v>
      </c>
      <c r="I1595" t="s">
        <v>31</v>
      </c>
      <c r="J1595" t="s">
        <v>79</v>
      </c>
      <c r="K1595" t="s">
        <v>1604</v>
      </c>
      <c r="L1595" s="2">
        <v>45870</v>
      </c>
      <c r="M1595" t="s">
        <v>79</v>
      </c>
      <c r="N1595">
        <v>0</v>
      </c>
      <c r="O1595" t="s">
        <v>31</v>
      </c>
      <c r="P1595" t="s">
        <v>34</v>
      </c>
      <c r="Q1595">
        <v>0</v>
      </c>
    </row>
    <row r="1596" spans="1:17" x14ac:dyDescent="0.3">
      <c r="A1596" t="s">
        <v>17</v>
      </c>
      <c r="B1596">
        <v>68</v>
      </c>
      <c r="C1596" t="s">
        <v>34</v>
      </c>
      <c r="D1596" s="2">
        <v>45900</v>
      </c>
      <c r="E1596" s="3">
        <f t="shared" si="24"/>
        <v>45870</v>
      </c>
      <c r="F1596" t="s">
        <v>1601</v>
      </c>
      <c r="G1596" t="s">
        <v>266</v>
      </c>
      <c r="H1596" s="4">
        <v>42</v>
      </c>
      <c r="I1596" t="s">
        <v>31</v>
      </c>
      <c r="J1596" t="s">
        <v>79</v>
      </c>
      <c r="K1596" t="s">
        <v>1605</v>
      </c>
      <c r="L1596" s="2">
        <v>45870</v>
      </c>
      <c r="M1596" t="s">
        <v>79</v>
      </c>
      <c r="N1596">
        <v>0</v>
      </c>
      <c r="O1596" t="s">
        <v>31</v>
      </c>
      <c r="P1596" t="s">
        <v>34</v>
      </c>
      <c r="Q1596">
        <v>0</v>
      </c>
    </row>
    <row r="1597" spans="1:17" x14ac:dyDescent="0.3">
      <c r="A1597" t="s">
        <v>17</v>
      </c>
      <c r="B1597">
        <v>68</v>
      </c>
      <c r="C1597" t="s">
        <v>34</v>
      </c>
      <c r="D1597" s="2">
        <v>45900</v>
      </c>
      <c r="E1597" s="3">
        <f t="shared" si="24"/>
        <v>45870</v>
      </c>
      <c r="F1597" t="s">
        <v>1601</v>
      </c>
      <c r="G1597" t="s">
        <v>266</v>
      </c>
      <c r="H1597" s="4">
        <v>42.33</v>
      </c>
      <c r="I1597" t="s">
        <v>31</v>
      </c>
      <c r="J1597" t="s">
        <v>79</v>
      </c>
      <c r="K1597" t="s">
        <v>1606</v>
      </c>
      <c r="L1597" s="2">
        <v>45870</v>
      </c>
      <c r="M1597" t="s">
        <v>79</v>
      </c>
      <c r="N1597">
        <v>0</v>
      </c>
      <c r="O1597" t="s">
        <v>31</v>
      </c>
      <c r="P1597" t="s">
        <v>34</v>
      </c>
      <c r="Q1597">
        <v>0</v>
      </c>
    </row>
    <row r="1598" spans="1:17" x14ac:dyDescent="0.3">
      <c r="A1598" t="s">
        <v>17</v>
      </c>
      <c r="B1598">
        <v>68</v>
      </c>
      <c r="C1598" t="s">
        <v>34</v>
      </c>
      <c r="D1598" s="2">
        <v>45900</v>
      </c>
      <c r="E1598" s="3">
        <f t="shared" si="24"/>
        <v>45870</v>
      </c>
      <c r="F1598" t="s">
        <v>1601</v>
      </c>
      <c r="G1598" t="s">
        <v>266</v>
      </c>
      <c r="H1598" s="4">
        <v>19.84</v>
      </c>
      <c r="I1598" t="s">
        <v>31</v>
      </c>
      <c r="J1598" t="s">
        <v>79</v>
      </c>
      <c r="K1598" t="s">
        <v>1607</v>
      </c>
      <c r="L1598" s="2">
        <v>45870</v>
      </c>
      <c r="M1598" t="s">
        <v>79</v>
      </c>
      <c r="N1598">
        <v>0</v>
      </c>
      <c r="O1598" t="s">
        <v>31</v>
      </c>
      <c r="P1598" t="s">
        <v>34</v>
      </c>
      <c r="Q1598">
        <v>0</v>
      </c>
    </row>
    <row r="1599" spans="1:17" x14ac:dyDescent="0.3">
      <c r="A1599" t="s">
        <v>17</v>
      </c>
      <c r="B1599">
        <v>68</v>
      </c>
      <c r="C1599" t="s">
        <v>34</v>
      </c>
      <c r="D1599" s="2">
        <v>45900</v>
      </c>
      <c r="E1599" s="3">
        <f t="shared" si="24"/>
        <v>45870</v>
      </c>
      <c r="F1599" t="s">
        <v>1601</v>
      </c>
      <c r="G1599" t="s">
        <v>266</v>
      </c>
      <c r="H1599" s="4">
        <v>19.98</v>
      </c>
      <c r="I1599" t="s">
        <v>31</v>
      </c>
      <c r="J1599" t="s">
        <v>79</v>
      </c>
      <c r="K1599" t="s">
        <v>1608</v>
      </c>
      <c r="L1599" s="2">
        <v>45870</v>
      </c>
      <c r="M1599" t="s">
        <v>79</v>
      </c>
      <c r="N1599">
        <v>0</v>
      </c>
      <c r="O1599" t="s">
        <v>31</v>
      </c>
      <c r="P1599" t="s">
        <v>34</v>
      </c>
      <c r="Q1599">
        <v>0</v>
      </c>
    </row>
    <row r="1600" spans="1:17" x14ac:dyDescent="0.3">
      <c r="A1600" t="s">
        <v>17</v>
      </c>
      <c r="B1600">
        <v>68</v>
      </c>
      <c r="C1600" t="s">
        <v>34</v>
      </c>
      <c r="D1600" s="2">
        <v>45900</v>
      </c>
      <c r="E1600" s="3">
        <f t="shared" si="24"/>
        <v>45870</v>
      </c>
      <c r="F1600" t="s">
        <v>1601</v>
      </c>
      <c r="G1600" t="s">
        <v>266</v>
      </c>
      <c r="H1600" s="4">
        <v>99.99</v>
      </c>
      <c r="I1600" t="s">
        <v>31</v>
      </c>
      <c r="J1600" t="s">
        <v>79</v>
      </c>
      <c r="K1600" t="s">
        <v>1609</v>
      </c>
      <c r="L1600" s="2">
        <v>45870</v>
      </c>
      <c r="M1600" t="s">
        <v>79</v>
      </c>
      <c r="N1600">
        <v>0</v>
      </c>
      <c r="O1600" t="s">
        <v>31</v>
      </c>
      <c r="P1600" t="s">
        <v>34</v>
      </c>
      <c r="Q1600">
        <v>0</v>
      </c>
    </row>
    <row r="1601" spans="1:17" x14ac:dyDescent="0.3">
      <c r="A1601" t="s">
        <v>17</v>
      </c>
      <c r="B1601">
        <v>68</v>
      </c>
      <c r="C1601" t="s">
        <v>34</v>
      </c>
      <c r="D1601" s="2">
        <v>45900</v>
      </c>
      <c r="E1601" s="3">
        <f t="shared" si="24"/>
        <v>45870</v>
      </c>
      <c r="F1601" t="s">
        <v>1601</v>
      </c>
      <c r="G1601" t="s">
        <v>266</v>
      </c>
      <c r="H1601" s="4">
        <v>12</v>
      </c>
      <c r="I1601" t="s">
        <v>31</v>
      </c>
      <c r="J1601" t="s">
        <v>79</v>
      </c>
      <c r="K1601" t="s">
        <v>1610</v>
      </c>
      <c r="L1601" s="2">
        <v>45870</v>
      </c>
      <c r="M1601" t="s">
        <v>79</v>
      </c>
      <c r="N1601">
        <v>0</v>
      </c>
      <c r="O1601" t="s">
        <v>31</v>
      </c>
      <c r="P1601" t="s">
        <v>34</v>
      </c>
      <c r="Q1601">
        <v>0</v>
      </c>
    </row>
    <row r="1602" spans="1:17" x14ac:dyDescent="0.3">
      <c r="A1602" t="s">
        <v>17</v>
      </c>
      <c r="B1602">
        <v>68</v>
      </c>
      <c r="C1602" t="s">
        <v>34</v>
      </c>
      <c r="D1602" s="2">
        <v>45900</v>
      </c>
      <c r="E1602" s="3">
        <f t="shared" si="24"/>
        <v>45870</v>
      </c>
      <c r="F1602" t="s">
        <v>1601</v>
      </c>
      <c r="G1602" t="s">
        <v>266</v>
      </c>
      <c r="H1602" s="4">
        <v>12</v>
      </c>
      <c r="I1602" t="s">
        <v>31</v>
      </c>
      <c r="J1602" t="s">
        <v>79</v>
      </c>
      <c r="K1602" t="s">
        <v>1611</v>
      </c>
      <c r="L1602" s="2">
        <v>45870</v>
      </c>
      <c r="M1602" t="s">
        <v>79</v>
      </c>
      <c r="N1602">
        <v>0</v>
      </c>
      <c r="O1602" t="s">
        <v>31</v>
      </c>
      <c r="P1602" t="s">
        <v>34</v>
      </c>
      <c r="Q1602">
        <v>0</v>
      </c>
    </row>
    <row r="1603" spans="1:17" x14ac:dyDescent="0.3">
      <c r="A1603" t="s">
        <v>17</v>
      </c>
      <c r="B1603">
        <v>68</v>
      </c>
      <c r="C1603" t="s">
        <v>34</v>
      </c>
      <c r="D1603" s="2">
        <v>45900</v>
      </c>
      <c r="E1603" s="3">
        <f t="shared" ref="E1603:E1666" si="25">IF($D1603="","",DATE(YEAR($D1603),MONTH($D1603),1))</f>
        <v>45870</v>
      </c>
      <c r="F1603" t="s">
        <v>1601</v>
      </c>
      <c r="G1603" t="s">
        <v>266</v>
      </c>
      <c r="H1603" s="4">
        <v>11.42</v>
      </c>
      <c r="I1603" t="s">
        <v>31</v>
      </c>
      <c r="J1603" t="s">
        <v>79</v>
      </c>
      <c r="K1603" t="s">
        <v>1612</v>
      </c>
      <c r="L1603" s="2">
        <v>45870</v>
      </c>
      <c r="M1603" t="s">
        <v>79</v>
      </c>
      <c r="N1603">
        <v>0</v>
      </c>
      <c r="O1603" t="s">
        <v>31</v>
      </c>
      <c r="P1603" t="s">
        <v>34</v>
      </c>
      <c r="Q1603">
        <v>0</v>
      </c>
    </row>
    <row r="1604" spans="1:17" x14ac:dyDescent="0.3">
      <c r="A1604" t="s">
        <v>17</v>
      </c>
      <c r="B1604">
        <v>68</v>
      </c>
      <c r="C1604" t="s">
        <v>34</v>
      </c>
      <c r="D1604" s="2">
        <v>45900</v>
      </c>
      <c r="E1604" s="3">
        <f t="shared" si="25"/>
        <v>45870</v>
      </c>
      <c r="F1604" t="s">
        <v>1601</v>
      </c>
      <c r="G1604" t="s">
        <v>266</v>
      </c>
      <c r="H1604" s="4">
        <v>26.5</v>
      </c>
      <c r="I1604" t="s">
        <v>31</v>
      </c>
      <c r="J1604" t="s">
        <v>79</v>
      </c>
      <c r="K1604" t="s">
        <v>1276</v>
      </c>
      <c r="L1604" s="2">
        <v>45870</v>
      </c>
      <c r="M1604" t="s">
        <v>79</v>
      </c>
      <c r="N1604">
        <v>0</v>
      </c>
      <c r="O1604" t="s">
        <v>31</v>
      </c>
      <c r="P1604" t="s">
        <v>34</v>
      </c>
      <c r="Q1604">
        <v>0</v>
      </c>
    </row>
    <row r="1605" spans="1:17" x14ac:dyDescent="0.3">
      <c r="A1605" t="s">
        <v>17</v>
      </c>
      <c r="B1605">
        <v>68</v>
      </c>
      <c r="C1605" t="s">
        <v>34</v>
      </c>
      <c r="D1605" s="2">
        <v>45900</v>
      </c>
      <c r="E1605" s="3">
        <f t="shared" si="25"/>
        <v>45870</v>
      </c>
      <c r="F1605" t="s">
        <v>1601</v>
      </c>
      <c r="G1605" t="s">
        <v>266</v>
      </c>
      <c r="H1605" s="4">
        <v>14.28</v>
      </c>
      <c r="I1605" t="s">
        <v>31</v>
      </c>
      <c r="J1605" t="s">
        <v>79</v>
      </c>
      <c r="K1605" t="s">
        <v>1603</v>
      </c>
      <c r="L1605" s="2">
        <v>45870</v>
      </c>
      <c r="M1605" t="s">
        <v>79</v>
      </c>
      <c r="N1605">
        <v>0</v>
      </c>
      <c r="O1605" t="s">
        <v>31</v>
      </c>
      <c r="P1605" t="s">
        <v>34</v>
      </c>
      <c r="Q1605">
        <v>0</v>
      </c>
    </row>
    <row r="1606" spans="1:17" x14ac:dyDescent="0.3">
      <c r="A1606" t="s">
        <v>17</v>
      </c>
      <c r="B1606">
        <v>68</v>
      </c>
      <c r="C1606" t="s">
        <v>34</v>
      </c>
      <c r="D1606" s="2">
        <v>45900</v>
      </c>
      <c r="E1606" s="3">
        <f t="shared" si="25"/>
        <v>45870</v>
      </c>
      <c r="F1606" t="s">
        <v>1601</v>
      </c>
      <c r="G1606" t="s">
        <v>266</v>
      </c>
      <c r="H1606" s="4">
        <v>42</v>
      </c>
      <c r="I1606" t="s">
        <v>31</v>
      </c>
      <c r="J1606" t="s">
        <v>79</v>
      </c>
      <c r="K1606" t="s">
        <v>1613</v>
      </c>
      <c r="L1606" s="2">
        <v>45870</v>
      </c>
      <c r="M1606" t="s">
        <v>79</v>
      </c>
      <c r="N1606">
        <v>0</v>
      </c>
      <c r="O1606" t="s">
        <v>31</v>
      </c>
      <c r="P1606" t="s">
        <v>34</v>
      </c>
      <c r="Q1606">
        <v>0</v>
      </c>
    </row>
    <row r="1607" spans="1:17" x14ac:dyDescent="0.3">
      <c r="A1607" t="s">
        <v>17</v>
      </c>
      <c r="B1607">
        <v>68</v>
      </c>
      <c r="C1607" t="s">
        <v>34</v>
      </c>
      <c r="D1607" s="2">
        <v>45900</v>
      </c>
      <c r="E1607" s="3">
        <f t="shared" si="25"/>
        <v>45870</v>
      </c>
      <c r="F1607" t="s">
        <v>1601</v>
      </c>
      <c r="G1607" t="s">
        <v>266</v>
      </c>
      <c r="H1607" s="4">
        <v>19.940000000000001</v>
      </c>
      <c r="I1607" t="s">
        <v>31</v>
      </c>
      <c r="J1607" t="s">
        <v>79</v>
      </c>
      <c r="K1607" t="s">
        <v>1614</v>
      </c>
      <c r="L1607" s="2">
        <v>45870</v>
      </c>
      <c r="M1607" t="s">
        <v>79</v>
      </c>
      <c r="N1607">
        <v>0</v>
      </c>
      <c r="O1607" t="s">
        <v>31</v>
      </c>
      <c r="P1607" t="s">
        <v>34</v>
      </c>
      <c r="Q1607">
        <v>0</v>
      </c>
    </row>
    <row r="1608" spans="1:17" x14ac:dyDescent="0.3">
      <c r="A1608" t="s">
        <v>17</v>
      </c>
      <c r="B1608">
        <v>68</v>
      </c>
      <c r="C1608" t="s">
        <v>34</v>
      </c>
      <c r="D1608" s="2">
        <v>45900</v>
      </c>
      <c r="E1608" s="3">
        <f t="shared" si="25"/>
        <v>45870</v>
      </c>
      <c r="F1608" t="s">
        <v>1601</v>
      </c>
      <c r="G1608" t="s">
        <v>266</v>
      </c>
      <c r="H1608" s="4">
        <v>4.33</v>
      </c>
      <c r="I1608" t="s">
        <v>31</v>
      </c>
      <c r="J1608" t="s">
        <v>79</v>
      </c>
      <c r="K1608" t="s">
        <v>1615</v>
      </c>
      <c r="L1608" s="2">
        <v>45870</v>
      </c>
      <c r="M1608" t="s">
        <v>79</v>
      </c>
      <c r="N1608">
        <v>0</v>
      </c>
      <c r="O1608" t="s">
        <v>31</v>
      </c>
      <c r="P1608" t="s">
        <v>34</v>
      </c>
      <c r="Q1608">
        <v>0</v>
      </c>
    </row>
    <row r="1609" spans="1:17" x14ac:dyDescent="0.3">
      <c r="A1609" t="s">
        <v>17</v>
      </c>
      <c r="B1609">
        <v>68</v>
      </c>
      <c r="C1609" t="s">
        <v>34</v>
      </c>
      <c r="D1609" s="2">
        <v>45900</v>
      </c>
      <c r="E1609" s="3">
        <f t="shared" si="25"/>
        <v>45870</v>
      </c>
      <c r="F1609" t="s">
        <v>1616</v>
      </c>
      <c r="H1609" s="4">
        <v>3.59</v>
      </c>
      <c r="I1609" t="s">
        <v>31</v>
      </c>
      <c r="J1609" t="s">
        <v>79</v>
      </c>
      <c r="K1609" t="s">
        <v>1412</v>
      </c>
      <c r="L1609" s="2">
        <v>45870</v>
      </c>
      <c r="M1609" t="s">
        <v>79</v>
      </c>
      <c r="N1609">
        <v>0</v>
      </c>
      <c r="O1609" t="s">
        <v>31</v>
      </c>
      <c r="P1609" t="s">
        <v>34</v>
      </c>
      <c r="Q1609">
        <v>0</v>
      </c>
    </row>
    <row r="1610" spans="1:17" x14ac:dyDescent="0.3">
      <c r="A1610" t="s">
        <v>17</v>
      </c>
      <c r="B1610">
        <v>68</v>
      </c>
      <c r="C1610" t="s">
        <v>34</v>
      </c>
      <c r="D1610" s="2">
        <v>45900</v>
      </c>
      <c r="E1610" s="3">
        <f t="shared" si="25"/>
        <v>45870</v>
      </c>
      <c r="F1610" t="s">
        <v>1617</v>
      </c>
      <c r="H1610" s="4">
        <v>114</v>
      </c>
      <c r="I1610" t="s">
        <v>21</v>
      </c>
      <c r="J1610" t="s">
        <v>79</v>
      </c>
      <c r="K1610" t="s">
        <v>320</v>
      </c>
      <c r="L1610" s="2">
        <v>45870</v>
      </c>
      <c r="M1610" t="s">
        <v>79</v>
      </c>
      <c r="N1610" t="s">
        <v>25</v>
      </c>
      <c r="O1610" t="s">
        <v>81</v>
      </c>
      <c r="P1610" t="s">
        <v>34</v>
      </c>
      <c r="Q1610">
        <v>0</v>
      </c>
    </row>
    <row r="1611" spans="1:17" x14ac:dyDescent="0.3">
      <c r="A1611" t="s">
        <v>17</v>
      </c>
      <c r="B1611">
        <v>66</v>
      </c>
      <c r="C1611" t="s">
        <v>134</v>
      </c>
      <c r="D1611" s="2">
        <v>45870</v>
      </c>
      <c r="E1611" s="3">
        <f t="shared" si="25"/>
        <v>45870</v>
      </c>
      <c r="F1611" t="s">
        <v>1618</v>
      </c>
      <c r="H1611" s="4">
        <v>-1300</v>
      </c>
      <c r="I1611" t="s">
        <v>108</v>
      </c>
      <c r="J1611" t="s">
        <v>255</v>
      </c>
      <c r="K1611" t="s">
        <v>1419</v>
      </c>
      <c r="L1611" s="2">
        <v>45870</v>
      </c>
      <c r="M1611" t="s">
        <v>257</v>
      </c>
      <c r="N1611">
        <v>0</v>
      </c>
      <c r="O1611" t="s">
        <v>111</v>
      </c>
      <c r="P1611" t="s">
        <v>134</v>
      </c>
      <c r="Q1611">
        <v>0</v>
      </c>
    </row>
    <row r="1612" spans="1:17" x14ac:dyDescent="0.3">
      <c r="A1612" t="s">
        <v>17</v>
      </c>
      <c r="B1612">
        <v>66</v>
      </c>
      <c r="C1612" t="s">
        <v>134</v>
      </c>
      <c r="D1612" s="2">
        <v>45900</v>
      </c>
      <c r="E1612" s="3">
        <f t="shared" si="25"/>
        <v>45870</v>
      </c>
      <c r="F1612" t="s">
        <v>1619</v>
      </c>
      <c r="G1612" t="s">
        <v>254</v>
      </c>
      <c r="H1612" s="4">
        <v>200</v>
      </c>
      <c r="I1612" t="s">
        <v>108</v>
      </c>
      <c r="J1612" t="s">
        <v>255</v>
      </c>
      <c r="K1612" t="s">
        <v>1620</v>
      </c>
      <c r="L1612" s="2">
        <v>45870</v>
      </c>
      <c r="M1612" t="s">
        <v>257</v>
      </c>
      <c r="N1612">
        <v>0</v>
      </c>
      <c r="O1612" t="s">
        <v>111</v>
      </c>
      <c r="P1612" t="s">
        <v>134</v>
      </c>
      <c r="Q1612">
        <v>0</v>
      </c>
    </row>
    <row r="1613" spans="1:17" x14ac:dyDescent="0.3">
      <c r="A1613" t="s">
        <v>17</v>
      </c>
      <c r="B1613">
        <v>66</v>
      </c>
      <c r="C1613" t="s">
        <v>134</v>
      </c>
      <c r="D1613" s="2">
        <v>45900</v>
      </c>
      <c r="E1613" s="3">
        <f t="shared" si="25"/>
        <v>45870</v>
      </c>
      <c r="F1613" t="s">
        <v>1619</v>
      </c>
      <c r="G1613" t="s">
        <v>254</v>
      </c>
      <c r="H1613" s="4">
        <v>250</v>
      </c>
      <c r="I1613" t="s">
        <v>108</v>
      </c>
      <c r="J1613" t="s">
        <v>255</v>
      </c>
      <c r="K1613" t="s">
        <v>1621</v>
      </c>
      <c r="L1613" s="2">
        <v>45870</v>
      </c>
      <c r="M1613" t="s">
        <v>257</v>
      </c>
      <c r="N1613">
        <v>0</v>
      </c>
      <c r="O1613" t="s">
        <v>111</v>
      </c>
      <c r="P1613" t="s">
        <v>134</v>
      </c>
      <c r="Q1613">
        <v>0</v>
      </c>
    </row>
    <row r="1614" spans="1:17" x14ac:dyDescent="0.3">
      <c r="A1614" t="s">
        <v>17</v>
      </c>
      <c r="B1614">
        <v>66</v>
      </c>
      <c r="C1614" t="s">
        <v>134</v>
      </c>
      <c r="D1614" s="2">
        <v>45900</v>
      </c>
      <c r="E1614" s="3">
        <f t="shared" si="25"/>
        <v>45870</v>
      </c>
      <c r="F1614" t="s">
        <v>1619</v>
      </c>
      <c r="G1614" t="s">
        <v>254</v>
      </c>
      <c r="H1614" s="4">
        <v>300</v>
      </c>
      <c r="I1614" t="s">
        <v>108</v>
      </c>
      <c r="J1614" t="s">
        <v>255</v>
      </c>
      <c r="K1614" t="s">
        <v>1622</v>
      </c>
      <c r="L1614" s="2">
        <v>45870</v>
      </c>
      <c r="M1614" t="s">
        <v>257</v>
      </c>
      <c r="N1614">
        <v>0</v>
      </c>
      <c r="O1614" t="s">
        <v>111</v>
      </c>
      <c r="P1614" t="s">
        <v>134</v>
      </c>
      <c r="Q1614">
        <v>0</v>
      </c>
    </row>
    <row r="1615" spans="1:17" x14ac:dyDescent="0.3">
      <c r="A1615" t="s">
        <v>17</v>
      </c>
      <c r="B1615">
        <v>66</v>
      </c>
      <c r="C1615" t="s">
        <v>134</v>
      </c>
      <c r="D1615" s="2">
        <v>45900</v>
      </c>
      <c r="E1615" s="3">
        <f t="shared" si="25"/>
        <v>45870</v>
      </c>
      <c r="F1615" t="s">
        <v>1619</v>
      </c>
      <c r="G1615" t="s">
        <v>254</v>
      </c>
      <c r="H1615" s="4">
        <v>600</v>
      </c>
      <c r="I1615" t="s">
        <v>108</v>
      </c>
      <c r="J1615" t="s">
        <v>255</v>
      </c>
      <c r="K1615" t="s">
        <v>1623</v>
      </c>
      <c r="L1615" s="2">
        <v>45870</v>
      </c>
      <c r="M1615" t="s">
        <v>257</v>
      </c>
      <c r="N1615">
        <v>0</v>
      </c>
      <c r="O1615" t="s">
        <v>111</v>
      </c>
      <c r="P1615" t="s">
        <v>134</v>
      </c>
      <c r="Q1615">
        <v>0</v>
      </c>
    </row>
    <row r="1616" spans="1:17" x14ac:dyDescent="0.3">
      <c r="A1616" t="s">
        <v>17</v>
      </c>
      <c r="B1616">
        <v>66</v>
      </c>
      <c r="C1616" t="s">
        <v>134</v>
      </c>
      <c r="D1616" s="2">
        <v>45888</v>
      </c>
      <c r="E1616" s="3">
        <f t="shared" si="25"/>
        <v>45870</v>
      </c>
      <c r="F1616">
        <v>202500830</v>
      </c>
      <c r="G1616" t="s">
        <v>458</v>
      </c>
      <c r="H1616" s="4">
        <v>168.51</v>
      </c>
      <c r="I1616" t="s">
        <v>104</v>
      </c>
      <c r="J1616" t="s">
        <v>138</v>
      </c>
      <c r="K1616" t="s">
        <v>1624</v>
      </c>
      <c r="L1616" s="2">
        <v>45870</v>
      </c>
      <c r="M1616" t="s">
        <v>140</v>
      </c>
      <c r="N1616">
        <v>0</v>
      </c>
      <c r="O1616" t="s">
        <v>104</v>
      </c>
      <c r="P1616" t="s">
        <v>134</v>
      </c>
      <c r="Q1616">
        <v>0</v>
      </c>
    </row>
    <row r="1617" spans="1:17" x14ac:dyDescent="0.3">
      <c r="A1617" t="s">
        <v>17</v>
      </c>
      <c r="B1617">
        <v>66</v>
      </c>
      <c r="C1617" t="s">
        <v>134</v>
      </c>
      <c r="D1617" s="2">
        <v>45888</v>
      </c>
      <c r="E1617" s="3">
        <f t="shared" si="25"/>
        <v>45870</v>
      </c>
      <c r="F1617">
        <v>202500830</v>
      </c>
      <c r="G1617" t="s">
        <v>458</v>
      </c>
      <c r="H1617" s="4">
        <v>74.17</v>
      </c>
      <c r="I1617" t="s">
        <v>104</v>
      </c>
      <c r="J1617" t="s">
        <v>138</v>
      </c>
      <c r="K1617" t="s">
        <v>1625</v>
      </c>
      <c r="L1617" s="2">
        <v>45870</v>
      </c>
      <c r="M1617" t="s">
        <v>140</v>
      </c>
      <c r="N1617">
        <v>0</v>
      </c>
      <c r="O1617" t="s">
        <v>104</v>
      </c>
      <c r="P1617" t="s">
        <v>134</v>
      </c>
      <c r="Q1617">
        <v>0</v>
      </c>
    </row>
    <row r="1618" spans="1:17" x14ac:dyDescent="0.3">
      <c r="A1618" t="s">
        <v>17</v>
      </c>
      <c r="B1618">
        <v>66</v>
      </c>
      <c r="C1618" t="s">
        <v>134</v>
      </c>
      <c r="D1618" s="2">
        <v>45888</v>
      </c>
      <c r="E1618" s="3">
        <f t="shared" si="25"/>
        <v>45870</v>
      </c>
      <c r="F1618">
        <v>202500830</v>
      </c>
      <c r="G1618" t="s">
        <v>458</v>
      </c>
      <c r="H1618" s="4">
        <v>143.19999999999999</v>
      </c>
      <c r="I1618" t="s">
        <v>104</v>
      </c>
      <c r="J1618" t="s">
        <v>138</v>
      </c>
      <c r="K1618" t="s">
        <v>1626</v>
      </c>
      <c r="L1618" s="2">
        <v>45870</v>
      </c>
      <c r="M1618" t="s">
        <v>140</v>
      </c>
      <c r="N1618">
        <v>0</v>
      </c>
      <c r="O1618" t="s">
        <v>104</v>
      </c>
      <c r="P1618" t="s">
        <v>134</v>
      </c>
      <c r="Q1618">
        <v>0</v>
      </c>
    </row>
    <row r="1619" spans="1:17" x14ac:dyDescent="0.3">
      <c r="A1619" t="s">
        <v>17</v>
      </c>
      <c r="B1619">
        <v>66</v>
      </c>
      <c r="C1619" t="s">
        <v>134</v>
      </c>
      <c r="D1619" s="2">
        <v>45888</v>
      </c>
      <c r="E1619" s="3">
        <f t="shared" si="25"/>
        <v>45870</v>
      </c>
      <c r="F1619">
        <v>202500830</v>
      </c>
      <c r="G1619" t="s">
        <v>458</v>
      </c>
      <c r="H1619" s="4">
        <v>726.87</v>
      </c>
      <c r="I1619" t="s">
        <v>104</v>
      </c>
      <c r="J1619" t="s">
        <v>138</v>
      </c>
      <c r="K1619" t="s">
        <v>1627</v>
      </c>
      <c r="L1619" s="2">
        <v>45870</v>
      </c>
      <c r="M1619" t="s">
        <v>140</v>
      </c>
      <c r="N1619">
        <v>0</v>
      </c>
      <c r="O1619" t="s">
        <v>104</v>
      </c>
      <c r="P1619" t="s">
        <v>134</v>
      </c>
      <c r="Q1619">
        <v>0</v>
      </c>
    </row>
    <row r="1620" spans="1:17" x14ac:dyDescent="0.3">
      <c r="A1620" t="s">
        <v>17</v>
      </c>
      <c r="B1620">
        <v>66</v>
      </c>
      <c r="C1620" t="s">
        <v>134</v>
      </c>
      <c r="D1620" s="2">
        <v>45888</v>
      </c>
      <c r="E1620" s="3">
        <f t="shared" si="25"/>
        <v>45870</v>
      </c>
      <c r="F1620">
        <v>202500831</v>
      </c>
      <c r="G1620" t="s">
        <v>458</v>
      </c>
      <c r="H1620" s="4">
        <v>57.23</v>
      </c>
      <c r="I1620" t="s">
        <v>104</v>
      </c>
      <c r="J1620" t="s">
        <v>138</v>
      </c>
      <c r="K1620" t="s">
        <v>1628</v>
      </c>
      <c r="L1620" s="2">
        <v>45870</v>
      </c>
      <c r="M1620" t="s">
        <v>140</v>
      </c>
      <c r="N1620">
        <v>0</v>
      </c>
      <c r="O1620" t="s">
        <v>104</v>
      </c>
      <c r="P1620" t="s">
        <v>134</v>
      </c>
      <c r="Q1620">
        <v>0</v>
      </c>
    </row>
    <row r="1621" spans="1:17" x14ac:dyDescent="0.3">
      <c r="A1621" t="s">
        <v>17</v>
      </c>
      <c r="B1621">
        <v>66</v>
      </c>
      <c r="C1621" t="s">
        <v>134</v>
      </c>
      <c r="D1621" s="2">
        <v>45888</v>
      </c>
      <c r="E1621" s="3">
        <f t="shared" si="25"/>
        <v>45870</v>
      </c>
      <c r="F1621">
        <v>202500831</v>
      </c>
      <c r="G1621" t="s">
        <v>458</v>
      </c>
      <c r="H1621" s="4">
        <v>715.83</v>
      </c>
      <c r="I1621" t="s">
        <v>104</v>
      </c>
      <c r="J1621" t="s">
        <v>138</v>
      </c>
      <c r="K1621" t="s">
        <v>1629</v>
      </c>
      <c r="L1621" s="2">
        <v>45870</v>
      </c>
      <c r="M1621" t="s">
        <v>140</v>
      </c>
      <c r="N1621">
        <v>0</v>
      </c>
      <c r="O1621" t="s">
        <v>104</v>
      </c>
      <c r="P1621" t="s">
        <v>134</v>
      </c>
      <c r="Q1621">
        <v>0</v>
      </c>
    </row>
    <row r="1622" spans="1:17" x14ac:dyDescent="0.3">
      <c r="A1622" t="s">
        <v>17</v>
      </c>
      <c r="B1622">
        <v>68</v>
      </c>
      <c r="C1622" t="s">
        <v>34</v>
      </c>
      <c r="D1622" s="2">
        <v>45870</v>
      </c>
      <c r="E1622" s="3">
        <f t="shared" si="25"/>
        <v>45870</v>
      </c>
      <c r="F1622" t="s">
        <v>1630</v>
      </c>
      <c r="G1622" t="s">
        <v>122</v>
      </c>
      <c r="H1622" s="4">
        <v>19.16</v>
      </c>
      <c r="I1622" t="s">
        <v>108</v>
      </c>
      <c r="J1622" t="s">
        <v>109</v>
      </c>
      <c r="K1622" t="s">
        <v>1631</v>
      </c>
      <c r="L1622" s="2">
        <v>45870</v>
      </c>
      <c r="M1622" t="s">
        <v>109</v>
      </c>
      <c r="N1622">
        <v>0</v>
      </c>
      <c r="O1622" t="s">
        <v>111</v>
      </c>
      <c r="P1622" t="s">
        <v>112</v>
      </c>
      <c r="Q1622" t="s">
        <v>113</v>
      </c>
    </row>
    <row r="1623" spans="1:17" x14ac:dyDescent="0.3">
      <c r="A1623" t="s">
        <v>17</v>
      </c>
      <c r="B1623">
        <v>68</v>
      </c>
      <c r="C1623" t="s">
        <v>34</v>
      </c>
      <c r="D1623" s="2">
        <v>45871</v>
      </c>
      <c r="E1623" s="3">
        <f t="shared" si="25"/>
        <v>45870</v>
      </c>
      <c r="F1623" t="s">
        <v>1632</v>
      </c>
      <c r="G1623" t="s">
        <v>122</v>
      </c>
      <c r="H1623" s="4">
        <v>40.31</v>
      </c>
      <c r="I1623" t="s">
        <v>108</v>
      </c>
      <c r="J1623" t="s">
        <v>109</v>
      </c>
      <c r="K1623" t="s">
        <v>1633</v>
      </c>
      <c r="L1623" s="2">
        <v>45870</v>
      </c>
      <c r="M1623" t="s">
        <v>109</v>
      </c>
      <c r="N1623">
        <v>0</v>
      </c>
      <c r="O1623" t="s">
        <v>111</v>
      </c>
      <c r="P1623" t="s">
        <v>112</v>
      </c>
      <c r="Q1623" t="s">
        <v>113</v>
      </c>
    </row>
    <row r="1624" spans="1:17" x14ac:dyDescent="0.3">
      <c r="A1624" t="s">
        <v>17</v>
      </c>
      <c r="B1624">
        <v>68</v>
      </c>
      <c r="C1624" t="s">
        <v>34</v>
      </c>
      <c r="D1624" s="2">
        <v>45871</v>
      </c>
      <c r="E1624" s="3">
        <f t="shared" si="25"/>
        <v>45870</v>
      </c>
      <c r="F1624" t="s">
        <v>1634</v>
      </c>
      <c r="G1624" t="s">
        <v>122</v>
      </c>
      <c r="H1624" s="4">
        <v>40.32</v>
      </c>
      <c r="I1624" t="s">
        <v>108</v>
      </c>
      <c r="J1624" t="s">
        <v>109</v>
      </c>
      <c r="L1624" s="2">
        <v>45870</v>
      </c>
      <c r="M1624" t="s">
        <v>109</v>
      </c>
      <c r="N1624">
        <v>0</v>
      </c>
      <c r="O1624" t="s">
        <v>111</v>
      </c>
      <c r="P1624" t="s">
        <v>112</v>
      </c>
      <c r="Q1624" t="s">
        <v>113</v>
      </c>
    </row>
    <row r="1625" spans="1:17" x14ac:dyDescent="0.3">
      <c r="A1625" t="s">
        <v>17</v>
      </c>
      <c r="B1625">
        <v>68</v>
      </c>
      <c r="C1625" t="s">
        <v>34</v>
      </c>
      <c r="D1625" s="2">
        <v>45871</v>
      </c>
      <c r="E1625" s="3">
        <f t="shared" si="25"/>
        <v>45870</v>
      </c>
      <c r="F1625" t="s">
        <v>1634</v>
      </c>
      <c r="G1625" t="s">
        <v>122</v>
      </c>
      <c r="H1625" s="4">
        <v>17</v>
      </c>
      <c r="I1625" t="s">
        <v>108</v>
      </c>
      <c r="J1625" t="s">
        <v>109</v>
      </c>
      <c r="K1625" t="s">
        <v>1455</v>
      </c>
      <c r="L1625" s="2">
        <v>45870</v>
      </c>
      <c r="M1625" t="s">
        <v>109</v>
      </c>
      <c r="N1625">
        <v>0</v>
      </c>
      <c r="O1625" t="s">
        <v>111</v>
      </c>
      <c r="P1625" t="s">
        <v>112</v>
      </c>
      <c r="Q1625" t="s">
        <v>113</v>
      </c>
    </row>
    <row r="1626" spans="1:17" x14ac:dyDescent="0.3">
      <c r="A1626" t="s">
        <v>17</v>
      </c>
      <c r="B1626">
        <v>68</v>
      </c>
      <c r="C1626" t="s">
        <v>34</v>
      </c>
      <c r="D1626" s="2">
        <v>45871</v>
      </c>
      <c r="E1626" s="3">
        <f t="shared" si="25"/>
        <v>45870</v>
      </c>
      <c r="F1626" t="s">
        <v>1634</v>
      </c>
      <c r="G1626" t="s">
        <v>122</v>
      </c>
      <c r="H1626" s="4">
        <v>1.31</v>
      </c>
      <c r="I1626" t="s">
        <v>108</v>
      </c>
      <c r="J1626" t="s">
        <v>109</v>
      </c>
      <c r="K1626" t="s">
        <v>1457</v>
      </c>
      <c r="L1626" s="2">
        <v>45870</v>
      </c>
      <c r="M1626" t="s">
        <v>109</v>
      </c>
      <c r="N1626">
        <v>0</v>
      </c>
      <c r="O1626" t="s">
        <v>111</v>
      </c>
      <c r="P1626" t="s">
        <v>112</v>
      </c>
      <c r="Q1626" t="s">
        <v>113</v>
      </c>
    </row>
    <row r="1627" spans="1:17" x14ac:dyDescent="0.3">
      <c r="A1627" t="s">
        <v>17</v>
      </c>
      <c r="B1627">
        <v>68</v>
      </c>
      <c r="C1627" t="s">
        <v>34</v>
      </c>
      <c r="D1627" s="2">
        <v>45872</v>
      </c>
      <c r="E1627" s="3">
        <f t="shared" si="25"/>
        <v>45870</v>
      </c>
      <c r="F1627" t="s">
        <v>1635</v>
      </c>
      <c r="G1627" t="s">
        <v>122</v>
      </c>
      <c r="H1627" s="4">
        <v>20.49</v>
      </c>
      <c r="I1627" t="s">
        <v>108</v>
      </c>
      <c r="J1627" t="s">
        <v>109</v>
      </c>
      <c r="K1627" t="s">
        <v>1636</v>
      </c>
      <c r="L1627" s="2">
        <v>45870</v>
      </c>
      <c r="M1627" t="s">
        <v>109</v>
      </c>
      <c r="N1627">
        <v>0</v>
      </c>
      <c r="O1627" t="s">
        <v>111</v>
      </c>
      <c r="P1627" t="s">
        <v>112</v>
      </c>
      <c r="Q1627" t="s">
        <v>113</v>
      </c>
    </row>
    <row r="1628" spans="1:17" x14ac:dyDescent="0.3">
      <c r="A1628" t="s">
        <v>17</v>
      </c>
      <c r="B1628">
        <v>68</v>
      </c>
      <c r="C1628" t="s">
        <v>34</v>
      </c>
      <c r="D1628" s="2">
        <v>45872</v>
      </c>
      <c r="E1628" s="3">
        <f t="shared" si="25"/>
        <v>45870</v>
      </c>
      <c r="F1628" t="s">
        <v>1637</v>
      </c>
      <c r="G1628" t="s">
        <v>122</v>
      </c>
      <c r="H1628" s="4">
        <v>22.66</v>
      </c>
      <c r="I1628" t="s">
        <v>108</v>
      </c>
      <c r="J1628" t="s">
        <v>109</v>
      </c>
      <c r="K1628" t="s">
        <v>1636</v>
      </c>
      <c r="L1628" s="2">
        <v>45870</v>
      </c>
      <c r="M1628" t="s">
        <v>109</v>
      </c>
      <c r="N1628">
        <v>0</v>
      </c>
      <c r="O1628" t="s">
        <v>111</v>
      </c>
      <c r="P1628" t="s">
        <v>112</v>
      </c>
      <c r="Q1628" t="s">
        <v>113</v>
      </c>
    </row>
    <row r="1629" spans="1:17" x14ac:dyDescent="0.3">
      <c r="A1629" t="s">
        <v>17</v>
      </c>
      <c r="B1629">
        <v>68</v>
      </c>
      <c r="C1629" t="s">
        <v>34</v>
      </c>
      <c r="D1629" s="2">
        <v>45872</v>
      </c>
      <c r="E1629" s="3">
        <f t="shared" si="25"/>
        <v>45870</v>
      </c>
      <c r="F1629" t="s">
        <v>1638</v>
      </c>
      <c r="G1629" t="s">
        <v>122</v>
      </c>
      <c r="H1629" s="4">
        <v>15.3</v>
      </c>
      <c r="I1629" t="s">
        <v>108</v>
      </c>
      <c r="J1629" t="s">
        <v>109</v>
      </c>
      <c r="L1629" s="2">
        <v>45870</v>
      </c>
      <c r="M1629" t="s">
        <v>109</v>
      </c>
      <c r="N1629">
        <v>0</v>
      </c>
      <c r="O1629" t="s">
        <v>111</v>
      </c>
      <c r="P1629" t="s">
        <v>112</v>
      </c>
      <c r="Q1629" t="s">
        <v>113</v>
      </c>
    </row>
    <row r="1630" spans="1:17" x14ac:dyDescent="0.3">
      <c r="A1630" t="s">
        <v>17</v>
      </c>
      <c r="B1630">
        <v>68</v>
      </c>
      <c r="C1630" t="s">
        <v>34</v>
      </c>
      <c r="D1630" s="2">
        <v>45872</v>
      </c>
      <c r="E1630" s="3">
        <f t="shared" si="25"/>
        <v>45870</v>
      </c>
      <c r="F1630" t="s">
        <v>1638</v>
      </c>
      <c r="G1630" t="s">
        <v>122</v>
      </c>
      <c r="H1630" s="4">
        <v>17</v>
      </c>
      <c r="I1630" t="s">
        <v>108</v>
      </c>
      <c r="J1630" t="s">
        <v>109</v>
      </c>
      <c r="K1630" t="s">
        <v>1455</v>
      </c>
      <c r="L1630" s="2">
        <v>45870</v>
      </c>
      <c r="M1630" t="s">
        <v>109</v>
      </c>
      <c r="N1630">
        <v>0</v>
      </c>
      <c r="O1630" t="s">
        <v>111</v>
      </c>
      <c r="P1630" t="s">
        <v>112</v>
      </c>
      <c r="Q1630" t="s">
        <v>113</v>
      </c>
    </row>
    <row r="1631" spans="1:17" x14ac:dyDescent="0.3">
      <c r="A1631" t="s">
        <v>17</v>
      </c>
      <c r="B1631">
        <v>68</v>
      </c>
      <c r="C1631" t="s">
        <v>34</v>
      </c>
      <c r="D1631" s="2">
        <v>45872</v>
      </c>
      <c r="E1631" s="3">
        <f t="shared" si="25"/>
        <v>45870</v>
      </c>
      <c r="F1631" t="s">
        <v>1638</v>
      </c>
      <c r="G1631" t="s">
        <v>122</v>
      </c>
      <c r="H1631" s="4">
        <v>1.31</v>
      </c>
      <c r="I1631" t="s">
        <v>108</v>
      </c>
      <c r="J1631" t="s">
        <v>109</v>
      </c>
      <c r="K1631" t="s">
        <v>1457</v>
      </c>
      <c r="L1631" s="2">
        <v>45870</v>
      </c>
      <c r="M1631" t="s">
        <v>109</v>
      </c>
      <c r="N1631">
        <v>0</v>
      </c>
      <c r="O1631" t="s">
        <v>111</v>
      </c>
      <c r="P1631" t="s">
        <v>112</v>
      </c>
      <c r="Q1631" t="s">
        <v>113</v>
      </c>
    </row>
    <row r="1632" spans="1:17" x14ac:dyDescent="0.3">
      <c r="A1632" t="s">
        <v>17</v>
      </c>
      <c r="B1632">
        <v>68</v>
      </c>
      <c r="C1632" t="s">
        <v>34</v>
      </c>
      <c r="D1632" s="2">
        <v>45872</v>
      </c>
      <c r="E1632" s="3">
        <f t="shared" si="25"/>
        <v>45870</v>
      </c>
      <c r="F1632" t="s">
        <v>1639</v>
      </c>
      <c r="G1632" t="s">
        <v>122</v>
      </c>
      <c r="H1632" s="4">
        <v>28.21</v>
      </c>
      <c r="I1632" t="s">
        <v>108</v>
      </c>
      <c r="J1632" t="s">
        <v>109</v>
      </c>
      <c r="K1632" t="s">
        <v>1640</v>
      </c>
      <c r="L1632" s="2">
        <v>45870</v>
      </c>
      <c r="M1632" t="s">
        <v>109</v>
      </c>
      <c r="N1632">
        <v>0</v>
      </c>
      <c r="O1632" t="s">
        <v>111</v>
      </c>
      <c r="P1632" t="s">
        <v>112</v>
      </c>
      <c r="Q1632" t="s">
        <v>113</v>
      </c>
    </row>
    <row r="1633" spans="1:17" x14ac:dyDescent="0.3">
      <c r="A1633" t="s">
        <v>17</v>
      </c>
      <c r="B1633">
        <v>68</v>
      </c>
      <c r="C1633" t="s">
        <v>34</v>
      </c>
      <c r="D1633" s="2">
        <v>45872</v>
      </c>
      <c r="E1633" s="3">
        <f t="shared" si="25"/>
        <v>45870</v>
      </c>
      <c r="F1633" t="s">
        <v>1641</v>
      </c>
      <c r="G1633" t="s">
        <v>122</v>
      </c>
      <c r="H1633" s="4">
        <v>26.37</v>
      </c>
      <c r="I1633" t="s">
        <v>108</v>
      </c>
      <c r="J1633" t="s">
        <v>109</v>
      </c>
      <c r="K1633" t="s">
        <v>1636</v>
      </c>
      <c r="L1633" s="2">
        <v>45870</v>
      </c>
      <c r="M1633" t="s">
        <v>109</v>
      </c>
      <c r="N1633">
        <v>0</v>
      </c>
      <c r="O1633" t="s">
        <v>111</v>
      </c>
      <c r="P1633" t="s">
        <v>112</v>
      </c>
      <c r="Q1633" t="s">
        <v>113</v>
      </c>
    </row>
    <row r="1634" spans="1:17" x14ac:dyDescent="0.3">
      <c r="A1634" t="s">
        <v>17</v>
      </c>
      <c r="B1634">
        <v>68</v>
      </c>
      <c r="C1634" t="s">
        <v>34</v>
      </c>
      <c r="D1634" s="2">
        <v>45872</v>
      </c>
      <c r="E1634" s="3">
        <f t="shared" si="25"/>
        <v>45870</v>
      </c>
      <c r="F1634" t="s">
        <v>1642</v>
      </c>
      <c r="G1634" t="s">
        <v>122</v>
      </c>
      <c r="H1634" s="4">
        <v>2.08</v>
      </c>
      <c r="I1634" t="s">
        <v>108</v>
      </c>
      <c r="J1634" t="s">
        <v>109</v>
      </c>
      <c r="K1634" t="s">
        <v>1640</v>
      </c>
      <c r="L1634" s="2">
        <v>45870</v>
      </c>
      <c r="M1634" t="s">
        <v>109</v>
      </c>
      <c r="N1634">
        <v>0</v>
      </c>
      <c r="O1634" t="s">
        <v>111</v>
      </c>
      <c r="P1634" t="s">
        <v>112</v>
      </c>
      <c r="Q1634" t="s">
        <v>113</v>
      </c>
    </row>
    <row r="1635" spans="1:17" x14ac:dyDescent="0.3">
      <c r="A1635" t="s">
        <v>17</v>
      </c>
      <c r="B1635">
        <v>68</v>
      </c>
      <c r="C1635" t="s">
        <v>34</v>
      </c>
      <c r="D1635" s="2">
        <v>45872</v>
      </c>
      <c r="E1635" s="3">
        <f t="shared" si="25"/>
        <v>45870</v>
      </c>
      <c r="F1635" t="s">
        <v>1642</v>
      </c>
      <c r="G1635" t="s">
        <v>122</v>
      </c>
      <c r="H1635" s="4">
        <v>17</v>
      </c>
      <c r="I1635" t="s">
        <v>108</v>
      </c>
      <c r="J1635" t="s">
        <v>109</v>
      </c>
      <c r="K1635" t="s">
        <v>1640</v>
      </c>
      <c r="L1635" s="2">
        <v>45870</v>
      </c>
      <c r="M1635" t="s">
        <v>109</v>
      </c>
      <c r="N1635">
        <v>0</v>
      </c>
      <c r="O1635" t="s">
        <v>111</v>
      </c>
      <c r="P1635" t="s">
        <v>112</v>
      </c>
      <c r="Q1635" t="s">
        <v>113</v>
      </c>
    </row>
    <row r="1636" spans="1:17" x14ac:dyDescent="0.3">
      <c r="A1636" t="s">
        <v>17</v>
      </c>
      <c r="B1636">
        <v>68</v>
      </c>
      <c r="C1636" t="s">
        <v>34</v>
      </c>
      <c r="D1636" s="2">
        <v>45872</v>
      </c>
      <c r="E1636" s="3">
        <f t="shared" si="25"/>
        <v>45870</v>
      </c>
      <c r="F1636" t="s">
        <v>1642</v>
      </c>
      <c r="G1636" t="s">
        <v>122</v>
      </c>
      <c r="H1636" s="4">
        <v>1.31</v>
      </c>
      <c r="I1636" t="s">
        <v>108</v>
      </c>
      <c r="J1636" t="s">
        <v>109</v>
      </c>
      <c r="K1636" t="s">
        <v>1640</v>
      </c>
      <c r="L1636" s="2">
        <v>45870</v>
      </c>
      <c r="M1636" t="s">
        <v>109</v>
      </c>
      <c r="N1636">
        <v>0</v>
      </c>
      <c r="O1636" t="s">
        <v>111</v>
      </c>
      <c r="P1636" t="s">
        <v>112</v>
      </c>
      <c r="Q1636" t="s">
        <v>113</v>
      </c>
    </row>
    <row r="1637" spans="1:17" x14ac:dyDescent="0.3">
      <c r="A1637" t="s">
        <v>17</v>
      </c>
      <c r="B1637">
        <v>68</v>
      </c>
      <c r="C1637" t="s">
        <v>34</v>
      </c>
      <c r="D1637" s="2">
        <v>45873</v>
      </c>
      <c r="E1637" s="3">
        <f t="shared" si="25"/>
        <v>45870</v>
      </c>
      <c r="F1637" t="s">
        <v>1643</v>
      </c>
      <c r="G1637" t="s">
        <v>122</v>
      </c>
      <c r="H1637" s="4">
        <v>0</v>
      </c>
      <c r="I1637" t="s">
        <v>108</v>
      </c>
      <c r="J1637" t="s">
        <v>109</v>
      </c>
      <c r="L1637" s="2">
        <v>45870</v>
      </c>
      <c r="M1637" t="s">
        <v>109</v>
      </c>
      <c r="N1637">
        <v>0</v>
      </c>
      <c r="O1637" t="s">
        <v>111</v>
      </c>
      <c r="P1637" t="s">
        <v>112</v>
      </c>
      <c r="Q1637" t="s">
        <v>113</v>
      </c>
    </row>
    <row r="1638" spans="1:17" x14ac:dyDescent="0.3">
      <c r="A1638" t="s">
        <v>17</v>
      </c>
      <c r="B1638">
        <v>68</v>
      </c>
      <c r="C1638" t="s">
        <v>34</v>
      </c>
      <c r="D1638" s="2">
        <v>45873</v>
      </c>
      <c r="E1638" s="3">
        <f t="shared" si="25"/>
        <v>45870</v>
      </c>
      <c r="F1638" t="s">
        <v>1643</v>
      </c>
      <c r="G1638" t="s">
        <v>122</v>
      </c>
      <c r="H1638" s="4">
        <v>18.59</v>
      </c>
      <c r="I1638" t="s">
        <v>108</v>
      </c>
      <c r="J1638" t="s">
        <v>109</v>
      </c>
      <c r="K1638" t="s">
        <v>388</v>
      </c>
      <c r="L1638" s="2">
        <v>45870</v>
      </c>
      <c r="M1638" t="s">
        <v>109</v>
      </c>
      <c r="N1638">
        <v>0</v>
      </c>
      <c r="O1638" t="s">
        <v>111</v>
      </c>
      <c r="P1638" t="s">
        <v>112</v>
      </c>
      <c r="Q1638" t="s">
        <v>113</v>
      </c>
    </row>
    <row r="1639" spans="1:17" x14ac:dyDescent="0.3">
      <c r="A1639" t="s">
        <v>17</v>
      </c>
      <c r="B1639">
        <v>68</v>
      </c>
      <c r="C1639" t="s">
        <v>34</v>
      </c>
      <c r="D1639" s="2">
        <v>45874</v>
      </c>
      <c r="E1639" s="3">
        <f t="shared" si="25"/>
        <v>45870</v>
      </c>
      <c r="F1639" t="s">
        <v>1644</v>
      </c>
      <c r="G1639" t="s">
        <v>122</v>
      </c>
      <c r="H1639" s="4">
        <v>20.69</v>
      </c>
      <c r="I1639" t="s">
        <v>108</v>
      </c>
      <c r="J1639" t="s">
        <v>109</v>
      </c>
      <c r="K1639" t="s">
        <v>1636</v>
      </c>
      <c r="L1639" s="2">
        <v>45870</v>
      </c>
      <c r="M1639" t="s">
        <v>109</v>
      </c>
      <c r="N1639">
        <v>0</v>
      </c>
      <c r="O1639" t="s">
        <v>111</v>
      </c>
      <c r="P1639" t="s">
        <v>112</v>
      </c>
      <c r="Q1639" t="s">
        <v>113</v>
      </c>
    </row>
    <row r="1640" spans="1:17" x14ac:dyDescent="0.3">
      <c r="A1640" t="s">
        <v>17</v>
      </c>
      <c r="B1640">
        <v>68</v>
      </c>
      <c r="C1640" t="s">
        <v>34</v>
      </c>
      <c r="D1640" s="2">
        <v>45874</v>
      </c>
      <c r="E1640" s="3">
        <f t="shared" si="25"/>
        <v>45870</v>
      </c>
      <c r="F1640" t="s">
        <v>1645</v>
      </c>
      <c r="G1640" t="s">
        <v>122</v>
      </c>
      <c r="H1640" s="4">
        <v>15.06</v>
      </c>
      <c r="I1640" t="s">
        <v>108</v>
      </c>
      <c r="J1640" t="s">
        <v>109</v>
      </c>
      <c r="L1640" s="2">
        <v>45870</v>
      </c>
      <c r="M1640" t="s">
        <v>109</v>
      </c>
      <c r="N1640">
        <v>0</v>
      </c>
      <c r="O1640" t="s">
        <v>111</v>
      </c>
      <c r="P1640" t="s">
        <v>112</v>
      </c>
      <c r="Q1640" t="s">
        <v>113</v>
      </c>
    </row>
    <row r="1641" spans="1:17" x14ac:dyDescent="0.3">
      <c r="A1641" t="s">
        <v>17</v>
      </c>
      <c r="B1641">
        <v>68</v>
      </c>
      <c r="C1641" t="s">
        <v>34</v>
      </c>
      <c r="D1641" s="2">
        <v>45874</v>
      </c>
      <c r="E1641" s="3">
        <f t="shared" si="25"/>
        <v>45870</v>
      </c>
      <c r="F1641" t="s">
        <v>1645</v>
      </c>
      <c r="G1641" t="s">
        <v>122</v>
      </c>
      <c r="H1641" s="4">
        <v>17</v>
      </c>
      <c r="I1641" t="s">
        <v>108</v>
      </c>
      <c r="J1641" t="s">
        <v>109</v>
      </c>
      <c r="L1641" s="2">
        <v>45870</v>
      </c>
      <c r="M1641" t="s">
        <v>109</v>
      </c>
      <c r="N1641">
        <v>0</v>
      </c>
      <c r="O1641" t="s">
        <v>111</v>
      </c>
      <c r="P1641" t="s">
        <v>112</v>
      </c>
      <c r="Q1641" t="s">
        <v>113</v>
      </c>
    </row>
    <row r="1642" spans="1:17" x14ac:dyDescent="0.3">
      <c r="A1642" t="s">
        <v>17</v>
      </c>
      <c r="B1642">
        <v>68</v>
      </c>
      <c r="C1642" t="s">
        <v>34</v>
      </c>
      <c r="D1642" s="2">
        <v>45874</v>
      </c>
      <c r="E1642" s="3">
        <f t="shared" si="25"/>
        <v>45870</v>
      </c>
      <c r="F1642" t="s">
        <v>1645</v>
      </c>
      <c r="G1642" t="s">
        <v>122</v>
      </c>
      <c r="H1642" s="4">
        <v>1.31</v>
      </c>
      <c r="I1642" t="s">
        <v>108</v>
      </c>
      <c r="J1642" t="s">
        <v>109</v>
      </c>
      <c r="K1642" t="s">
        <v>1646</v>
      </c>
      <c r="L1642" s="2">
        <v>45870</v>
      </c>
      <c r="M1642" t="s">
        <v>109</v>
      </c>
      <c r="N1642">
        <v>0</v>
      </c>
      <c r="O1642" t="s">
        <v>111</v>
      </c>
      <c r="P1642" t="s">
        <v>112</v>
      </c>
      <c r="Q1642" t="s">
        <v>113</v>
      </c>
    </row>
    <row r="1643" spans="1:17" x14ac:dyDescent="0.3">
      <c r="A1643" t="s">
        <v>17</v>
      </c>
      <c r="B1643">
        <v>68</v>
      </c>
      <c r="C1643" t="s">
        <v>34</v>
      </c>
      <c r="D1643" s="2">
        <v>45874</v>
      </c>
      <c r="E1643" s="3">
        <f t="shared" si="25"/>
        <v>45870</v>
      </c>
      <c r="F1643" t="s">
        <v>1647</v>
      </c>
      <c r="G1643" t="s">
        <v>122</v>
      </c>
      <c r="H1643" s="4">
        <v>51.86</v>
      </c>
      <c r="I1643" t="s">
        <v>108</v>
      </c>
      <c r="J1643" t="s">
        <v>109</v>
      </c>
      <c r="K1643" t="s">
        <v>1646</v>
      </c>
      <c r="L1643" s="2">
        <v>45870</v>
      </c>
      <c r="M1643" t="s">
        <v>109</v>
      </c>
      <c r="N1643">
        <v>0</v>
      </c>
      <c r="O1643" t="s">
        <v>111</v>
      </c>
      <c r="P1643" t="s">
        <v>112</v>
      </c>
      <c r="Q1643" t="s">
        <v>113</v>
      </c>
    </row>
    <row r="1644" spans="1:17" x14ac:dyDescent="0.3">
      <c r="A1644" t="s">
        <v>17</v>
      </c>
      <c r="B1644">
        <v>68</v>
      </c>
      <c r="C1644" t="s">
        <v>34</v>
      </c>
      <c r="D1644" s="2">
        <v>45874</v>
      </c>
      <c r="E1644" s="3">
        <f t="shared" si="25"/>
        <v>45870</v>
      </c>
      <c r="F1644" t="s">
        <v>1648</v>
      </c>
      <c r="G1644" t="s">
        <v>122</v>
      </c>
      <c r="H1644" s="4">
        <v>25.45</v>
      </c>
      <c r="I1644" t="s">
        <v>108</v>
      </c>
      <c r="J1644" t="s">
        <v>109</v>
      </c>
      <c r="K1644" t="s">
        <v>1636</v>
      </c>
      <c r="L1644" s="2">
        <v>45870</v>
      </c>
      <c r="M1644" t="s">
        <v>109</v>
      </c>
      <c r="N1644">
        <v>0</v>
      </c>
      <c r="O1644" t="s">
        <v>111</v>
      </c>
      <c r="P1644" t="s">
        <v>112</v>
      </c>
      <c r="Q1644" t="s">
        <v>113</v>
      </c>
    </row>
    <row r="1645" spans="1:17" x14ac:dyDescent="0.3">
      <c r="A1645" t="s">
        <v>17</v>
      </c>
      <c r="B1645">
        <v>68</v>
      </c>
      <c r="C1645" t="s">
        <v>34</v>
      </c>
      <c r="D1645" s="2">
        <v>45875</v>
      </c>
      <c r="E1645" s="3">
        <f t="shared" si="25"/>
        <v>45870</v>
      </c>
      <c r="F1645" t="s">
        <v>1649</v>
      </c>
      <c r="G1645" t="s">
        <v>122</v>
      </c>
      <c r="H1645" s="4">
        <v>29.11</v>
      </c>
      <c r="I1645" t="s">
        <v>108</v>
      </c>
      <c r="J1645" t="s">
        <v>109</v>
      </c>
      <c r="K1645" t="s">
        <v>1650</v>
      </c>
      <c r="L1645" s="2">
        <v>45870</v>
      </c>
      <c r="M1645" t="s">
        <v>109</v>
      </c>
      <c r="N1645">
        <v>0</v>
      </c>
      <c r="O1645" t="s">
        <v>111</v>
      </c>
      <c r="P1645" t="s">
        <v>112</v>
      </c>
      <c r="Q1645" t="s">
        <v>113</v>
      </c>
    </row>
    <row r="1646" spans="1:17" x14ac:dyDescent="0.3">
      <c r="A1646" t="s">
        <v>17</v>
      </c>
      <c r="B1646">
        <v>68</v>
      </c>
      <c r="C1646" t="s">
        <v>34</v>
      </c>
      <c r="D1646" s="2">
        <v>45875</v>
      </c>
      <c r="E1646" s="3">
        <f t="shared" si="25"/>
        <v>45870</v>
      </c>
      <c r="F1646" t="s">
        <v>1651</v>
      </c>
      <c r="G1646" t="s">
        <v>122</v>
      </c>
      <c r="H1646" s="4">
        <v>1121.71</v>
      </c>
      <c r="I1646" t="s">
        <v>108</v>
      </c>
      <c r="J1646" t="s">
        <v>109</v>
      </c>
      <c r="K1646" t="s">
        <v>388</v>
      </c>
      <c r="L1646" s="2">
        <v>45870</v>
      </c>
      <c r="M1646" t="s">
        <v>109</v>
      </c>
      <c r="N1646">
        <v>0</v>
      </c>
      <c r="O1646" t="s">
        <v>111</v>
      </c>
      <c r="P1646" t="s">
        <v>112</v>
      </c>
      <c r="Q1646" t="s">
        <v>113</v>
      </c>
    </row>
    <row r="1647" spans="1:17" x14ac:dyDescent="0.3">
      <c r="A1647" t="s">
        <v>17</v>
      </c>
      <c r="B1647">
        <v>68</v>
      </c>
      <c r="C1647" t="s">
        <v>34</v>
      </c>
      <c r="D1647" s="2">
        <v>45875</v>
      </c>
      <c r="E1647" s="3">
        <f t="shared" si="25"/>
        <v>45870</v>
      </c>
      <c r="F1647" t="s">
        <v>1652</v>
      </c>
      <c r="G1647" t="s">
        <v>122</v>
      </c>
      <c r="H1647" s="4">
        <v>20.99</v>
      </c>
      <c r="I1647" t="s">
        <v>108</v>
      </c>
      <c r="J1647" t="s">
        <v>109</v>
      </c>
      <c r="K1647" t="s">
        <v>1653</v>
      </c>
      <c r="L1647" s="2">
        <v>45870</v>
      </c>
      <c r="M1647" t="s">
        <v>109</v>
      </c>
      <c r="N1647">
        <v>0</v>
      </c>
      <c r="O1647" t="s">
        <v>111</v>
      </c>
      <c r="P1647" t="s">
        <v>112</v>
      </c>
      <c r="Q1647" t="s">
        <v>113</v>
      </c>
    </row>
    <row r="1648" spans="1:17" x14ac:dyDescent="0.3">
      <c r="A1648" t="s">
        <v>17</v>
      </c>
      <c r="B1648">
        <v>68</v>
      </c>
      <c r="C1648" t="s">
        <v>34</v>
      </c>
      <c r="D1648" s="2">
        <v>45877</v>
      </c>
      <c r="E1648" s="3">
        <f t="shared" si="25"/>
        <v>45870</v>
      </c>
      <c r="F1648" t="s">
        <v>1654</v>
      </c>
      <c r="G1648" t="s">
        <v>107</v>
      </c>
      <c r="H1648" s="4">
        <v>7.87</v>
      </c>
      <c r="I1648" t="s">
        <v>108</v>
      </c>
      <c r="J1648" t="s">
        <v>109</v>
      </c>
      <c r="K1648" t="s">
        <v>1655</v>
      </c>
      <c r="L1648" s="2">
        <v>45870</v>
      </c>
      <c r="M1648" t="s">
        <v>109</v>
      </c>
      <c r="N1648">
        <v>0</v>
      </c>
      <c r="O1648" t="s">
        <v>111</v>
      </c>
      <c r="P1648" t="s">
        <v>112</v>
      </c>
      <c r="Q1648" t="s">
        <v>113</v>
      </c>
    </row>
    <row r="1649" spans="1:17" x14ac:dyDescent="0.3">
      <c r="A1649" t="s">
        <v>17</v>
      </c>
      <c r="B1649">
        <v>68</v>
      </c>
      <c r="C1649" t="s">
        <v>34</v>
      </c>
      <c r="D1649" s="2">
        <v>45880</v>
      </c>
      <c r="E1649" s="3">
        <f t="shared" si="25"/>
        <v>45870</v>
      </c>
      <c r="F1649" t="s">
        <v>1656</v>
      </c>
      <c r="G1649" t="s">
        <v>107</v>
      </c>
      <c r="H1649" s="4">
        <v>0.37</v>
      </c>
      <c r="I1649" t="s">
        <v>108</v>
      </c>
      <c r="J1649" t="s">
        <v>109</v>
      </c>
      <c r="K1649" t="s">
        <v>1655</v>
      </c>
      <c r="L1649" s="2">
        <v>45870</v>
      </c>
      <c r="M1649" t="s">
        <v>109</v>
      </c>
      <c r="N1649">
        <v>0</v>
      </c>
      <c r="O1649" t="s">
        <v>111</v>
      </c>
      <c r="P1649" t="s">
        <v>112</v>
      </c>
      <c r="Q1649" t="s">
        <v>113</v>
      </c>
    </row>
    <row r="1650" spans="1:17" x14ac:dyDescent="0.3">
      <c r="A1650" t="s">
        <v>17</v>
      </c>
      <c r="B1650">
        <v>68</v>
      </c>
      <c r="C1650" t="s">
        <v>34</v>
      </c>
      <c r="D1650" s="2">
        <v>45881</v>
      </c>
      <c r="E1650" s="3">
        <f t="shared" si="25"/>
        <v>45870</v>
      </c>
      <c r="F1650" t="s">
        <v>1657</v>
      </c>
      <c r="G1650" t="s">
        <v>122</v>
      </c>
      <c r="H1650" s="4">
        <v>26.88</v>
      </c>
      <c r="I1650" t="s">
        <v>108</v>
      </c>
      <c r="J1650" t="s">
        <v>109</v>
      </c>
      <c r="L1650" s="2">
        <v>45870</v>
      </c>
      <c r="M1650" t="s">
        <v>109</v>
      </c>
      <c r="N1650">
        <v>0</v>
      </c>
      <c r="O1650" t="s">
        <v>111</v>
      </c>
      <c r="P1650" t="s">
        <v>112</v>
      </c>
      <c r="Q1650" t="s">
        <v>113</v>
      </c>
    </row>
    <row r="1651" spans="1:17" x14ac:dyDescent="0.3">
      <c r="A1651" t="s">
        <v>17</v>
      </c>
      <c r="B1651">
        <v>68</v>
      </c>
      <c r="C1651" t="s">
        <v>34</v>
      </c>
      <c r="D1651" s="2">
        <v>45881</v>
      </c>
      <c r="E1651" s="3">
        <f t="shared" si="25"/>
        <v>45870</v>
      </c>
      <c r="F1651" t="s">
        <v>1657</v>
      </c>
      <c r="G1651" t="s">
        <v>122</v>
      </c>
      <c r="H1651" s="4">
        <v>17</v>
      </c>
      <c r="I1651" t="s">
        <v>108</v>
      </c>
      <c r="J1651" t="s">
        <v>109</v>
      </c>
      <c r="K1651" t="s">
        <v>1455</v>
      </c>
      <c r="L1651" s="2">
        <v>45870</v>
      </c>
      <c r="M1651" t="s">
        <v>109</v>
      </c>
      <c r="N1651">
        <v>0</v>
      </c>
      <c r="O1651" t="s">
        <v>111</v>
      </c>
      <c r="P1651" t="s">
        <v>112</v>
      </c>
      <c r="Q1651" t="s">
        <v>113</v>
      </c>
    </row>
    <row r="1652" spans="1:17" x14ac:dyDescent="0.3">
      <c r="A1652" t="s">
        <v>17</v>
      </c>
      <c r="B1652">
        <v>68</v>
      </c>
      <c r="C1652" t="s">
        <v>34</v>
      </c>
      <c r="D1652" s="2">
        <v>45881</v>
      </c>
      <c r="E1652" s="3">
        <f t="shared" si="25"/>
        <v>45870</v>
      </c>
      <c r="F1652" t="s">
        <v>1657</v>
      </c>
      <c r="G1652" t="s">
        <v>122</v>
      </c>
      <c r="H1652" s="4">
        <v>1.31</v>
      </c>
      <c r="I1652" t="s">
        <v>108</v>
      </c>
      <c r="J1652" t="s">
        <v>109</v>
      </c>
      <c r="K1652" t="s">
        <v>1452</v>
      </c>
      <c r="L1652" s="2">
        <v>45870</v>
      </c>
      <c r="M1652" t="s">
        <v>109</v>
      </c>
      <c r="N1652">
        <v>0</v>
      </c>
      <c r="O1652" t="s">
        <v>111</v>
      </c>
      <c r="P1652" t="s">
        <v>112</v>
      </c>
      <c r="Q1652" t="s">
        <v>113</v>
      </c>
    </row>
    <row r="1653" spans="1:17" x14ac:dyDescent="0.3">
      <c r="A1653" t="s">
        <v>17</v>
      </c>
      <c r="B1653">
        <v>68</v>
      </c>
      <c r="C1653" t="s">
        <v>34</v>
      </c>
      <c r="D1653" s="2">
        <v>45881</v>
      </c>
      <c r="E1653" s="3">
        <f t="shared" si="25"/>
        <v>45870</v>
      </c>
      <c r="F1653" t="s">
        <v>1658</v>
      </c>
      <c r="G1653" t="s">
        <v>122</v>
      </c>
      <c r="H1653" s="4">
        <v>16.2</v>
      </c>
      <c r="I1653" t="s">
        <v>108</v>
      </c>
      <c r="J1653" t="s">
        <v>109</v>
      </c>
      <c r="L1653" s="2">
        <v>45870</v>
      </c>
      <c r="M1653" t="s">
        <v>109</v>
      </c>
      <c r="N1653">
        <v>0</v>
      </c>
      <c r="O1653" t="s">
        <v>111</v>
      </c>
      <c r="P1653" t="s">
        <v>112</v>
      </c>
      <c r="Q1653" t="s">
        <v>113</v>
      </c>
    </row>
    <row r="1654" spans="1:17" x14ac:dyDescent="0.3">
      <c r="A1654" t="s">
        <v>17</v>
      </c>
      <c r="B1654">
        <v>68</v>
      </c>
      <c r="C1654" t="s">
        <v>34</v>
      </c>
      <c r="D1654" s="2">
        <v>45881</v>
      </c>
      <c r="E1654" s="3">
        <f t="shared" si="25"/>
        <v>45870</v>
      </c>
      <c r="F1654" t="s">
        <v>1658</v>
      </c>
      <c r="G1654" t="s">
        <v>122</v>
      </c>
      <c r="H1654" s="4">
        <v>17</v>
      </c>
      <c r="I1654" t="s">
        <v>108</v>
      </c>
      <c r="J1654" t="s">
        <v>109</v>
      </c>
      <c r="L1654" s="2">
        <v>45870</v>
      </c>
      <c r="M1654" t="s">
        <v>109</v>
      </c>
      <c r="N1654">
        <v>0</v>
      </c>
      <c r="O1654" t="s">
        <v>111</v>
      </c>
      <c r="P1654" t="s">
        <v>112</v>
      </c>
      <c r="Q1654" t="s">
        <v>113</v>
      </c>
    </row>
    <row r="1655" spans="1:17" x14ac:dyDescent="0.3">
      <c r="A1655" t="s">
        <v>17</v>
      </c>
      <c r="B1655">
        <v>68</v>
      </c>
      <c r="C1655" t="s">
        <v>34</v>
      </c>
      <c r="D1655" s="2">
        <v>45881</v>
      </c>
      <c r="E1655" s="3">
        <f t="shared" si="25"/>
        <v>45870</v>
      </c>
      <c r="F1655" t="s">
        <v>1658</v>
      </c>
      <c r="G1655" t="s">
        <v>122</v>
      </c>
      <c r="H1655" s="4">
        <v>1.31</v>
      </c>
      <c r="I1655" t="s">
        <v>108</v>
      </c>
      <c r="J1655" t="s">
        <v>109</v>
      </c>
      <c r="K1655" t="s">
        <v>1457</v>
      </c>
      <c r="L1655" s="2">
        <v>45870</v>
      </c>
      <c r="M1655" t="s">
        <v>109</v>
      </c>
      <c r="N1655">
        <v>0</v>
      </c>
      <c r="O1655" t="s">
        <v>111</v>
      </c>
      <c r="P1655" t="s">
        <v>112</v>
      </c>
      <c r="Q1655" t="s">
        <v>113</v>
      </c>
    </row>
    <row r="1656" spans="1:17" x14ac:dyDescent="0.3">
      <c r="A1656" t="s">
        <v>17</v>
      </c>
      <c r="B1656">
        <v>68</v>
      </c>
      <c r="C1656" t="s">
        <v>34</v>
      </c>
      <c r="D1656" s="2">
        <v>45881</v>
      </c>
      <c r="E1656" s="3">
        <f t="shared" si="25"/>
        <v>45870</v>
      </c>
      <c r="F1656" t="s">
        <v>1659</v>
      </c>
      <c r="G1656" t="s">
        <v>122</v>
      </c>
      <c r="H1656" s="4">
        <v>17.920000000000002</v>
      </c>
      <c r="I1656" t="s">
        <v>108</v>
      </c>
      <c r="J1656" t="s">
        <v>109</v>
      </c>
      <c r="L1656" s="2">
        <v>45870</v>
      </c>
      <c r="M1656" t="s">
        <v>109</v>
      </c>
      <c r="N1656">
        <v>0</v>
      </c>
      <c r="O1656" t="s">
        <v>111</v>
      </c>
      <c r="P1656" t="s">
        <v>112</v>
      </c>
      <c r="Q1656" t="s">
        <v>113</v>
      </c>
    </row>
    <row r="1657" spans="1:17" x14ac:dyDescent="0.3">
      <c r="A1657" t="s">
        <v>17</v>
      </c>
      <c r="B1657">
        <v>68</v>
      </c>
      <c r="C1657" t="s">
        <v>34</v>
      </c>
      <c r="D1657" s="2">
        <v>45881</v>
      </c>
      <c r="E1657" s="3">
        <f t="shared" si="25"/>
        <v>45870</v>
      </c>
      <c r="F1657" t="s">
        <v>1659</v>
      </c>
      <c r="G1657" t="s">
        <v>122</v>
      </c>
      <c r="H1657" s="4">
        <v>17</v>
      </c>
      <c r="I1657" t="s">
        <v>108</v>
      </c>
      <c r="J1657" t="s">
        <v>109</v>
      </c>
      <c r="L1657" s="2">
        <v>45870</v>
      </c>
      <c r="M1657" t="s">
        <v>109</v>
      </c>
      <c r="N1657">
        <v>0</v>
      </c>
      <c r="O1657" t="s">
        <v>111</v>
      </c>
      <c r="P1657" t="s">
        <v>112</v>
      </c>
      <c r="Q1657" t="s">
        <v>113</v>
      </c>
    </row>
    <row r="1658" spans="1:17" x14ac:dyDescent="0.3">
      <c r="A1658" t="s">
        <v>17</v>
      </c>
      <c r="B1658">
        <v>68</v>
      </c>
      <c r="C1658" t="s">
        <v>34</v>
      </c>
      <c r="D1658" s="2">
        <v>45881</v>
      </c>
      <c r="E1658" s="3">
        <f t="shared" si="25"/>
        <v>45870</v>
      </c>
      <c r="F1658" t="s">
        <v>1659</v>
      </c>
      <c r="G1658" t="s">
        <v>122</v>
      </c>
      <c r="H1658" s="4">
        <v>1.31</v>
      </c>
      <c r="I1658" t="s">
        <v>108</v>
      </c>
      <c r="J1658" t="s">
        <v>109</v>
      </c>
      <c r="L1658" s="2">
        <v>45870</v>
      </c>
      <c r="M1658" t="s">
        <v>109</v>
      </c>
      <c r="N1658">
        <v>0</v>
      </c>
      <c r="O1658" t="s">
        <v>111</v>
      </c>
      <c r="P1658" t="s">
        <v>112</v>
      </c>
      <c r="Q1658" t="s">
        <v>113</v>
      </c>
    </row>
    <row r="1659" spans="1:17" x14ac:dyDescent="0.3">
      <c r="A1659" t="s">
        <v>17</v>
      </c>
      <c r="B1659">
        <v>68</v>
      </c>
      <c r="C1659" t="s">
        <v>34</v>
      </c>
      <c r="D1659" s="2">
        <v>45881</v>
      </c>
      <c r="E1659" s="3">
        <f t="shared" si="25"/>
        <v>45870</v>
      </c>
      <c r="F1659" t="s">
        <v>1660</v>
      </c>
      <c r="G1659" t="s">
        <v>107</v>
      </c>
      <c r="H1659" s="4">
        <v>1.5</v>
      </c>
      <c r="I1659" t="s">
        <v>108</v>
      </c>
      <c r="J1659" t="s">
        <v>109</v>
      </c>
      <c r="K1659" t="s">
        <v>1427</v>
      </c>
      <c r="L1659" s="2">
        <v>45870</v>
      </c>
      <c r="M1659" t="s">
        <v>109</v>
      </c>
      <c r="N1659">
        <v>0</v>
      </c>
      <c r="O1659" t="s">
        <v>111</v>
      </c>
      <c r="P1659" t="s">
        <v>112</v>
      </c>
      <c r="Q1659" t="s">
        <v>113</v>
      </c>
    </row>
    <row r="1660" spans="1:17" x14ac:dyDescent="0.3">
      <c r="A1660" t="s">
        <v>17</v>
      </c>
      <c r="B1660">
        <v>68</v>
      </c>
      <c r="C1660" t="s">
        <v>34</v>
      </c>
      <c r="D1660" s="2">
        <v>45881</v>
      </c>
      <c r="E1660" s="3">
        <f t="shared" si="25"/>
        <v>45870</v>
      </c>
      <c r="F1660" t="s">
        <v>1660</v>
      </c>
      <c r="G1660" t="s">
        <v>107</v>
      </c>
      <c r="H1660" s="4">
        <v>4.2</v>
      </c>
      <c r="I1660" t="s">
        <v>108</v>
      </c>
      <c r="J1660" t="s">
        <v>109</v>
      </c>
      <c r="K1660" t="s">
        <v>1426</v>
      </c>
      <c r="L1660" s="2">
        <v>45870</v>
      </c>
      <c r="M1660" t="s">
        <v>109</v>
      </c>
      <c r="N1660">
        <v>0</v>
      </c>
      <c r="O1660" t="s">
        <v>111</v>
      </c>
      <c r="P1660" t="s">
        <v>112</v>
      </c>
      <c r="Q1660" t="s">
        <v>113</v>
      </c>
    </row>
    <row r="1661" spans="1:17" x14ac:dyDescent="0.3">
      <c r="A1661" t="s">
        <v>17</v>
      </c>
      <c r="B1661">
        <v>68</v>
      </c>
      <c r="C1661" t="s">
        <v>34</v>
      </c>
      <c r="D1661" s="2">
        <v>45881</v>
      </c>
      <c r="E1661" s="3">
        <f t="shared" si="25"/>
        <v>45870</v>
      </c>
      <c r="F1661" t="s">
        <v>1660</v>
      </c>
      <c r="G1661" t="s">
        <v>107</v>
      </c>
      <c r="H1661" s="4">
        <v>19.64</v>
      </c>
      <c r="I1661" t="s">
        <v>108</v>
      </c>
      <c r="J1661" t="s">
        <v>109</v>
      </c>
      <c r="K1661" t="s">
        <v>1429</v>
      </c>
      <c r="L1661" s="2">
        <v>45870</v>
      </c>
      <c r="M1661" t="s">
        <v>109</v>
      </c>
      <c r="N1661">
        <v>0</v>
      </c>
      <c r="O1661" t="s">
        <v>111</v>
      </c>
      <c r="P1661" t="s">
        <v>112</v>
      </c>
      <c r="Q1661" t="s">
        <v>113</v>
      </c>
    </row>
    <row r="1662" spans="1:17" x14ac:dyDescent="0.3">
      <c r="A1662" t="s">
        <v>17</v>
      </c>
      <c r="B1662">
        <v>68</v>
      </c>
      <c r="C1662" t="s">
        <v>34</v>
      </c>
      <c r="D1662" s="2">
        <v>45881</v>
      </c>
      <c r="E1662" s="3">
        <f t="shared" si="25"/>
        <v>45870</v>
      </c>
      <c r="F1662" t="s">
        <v>1660</v>
      </c>
      <c r="G1662" t="s">
        <v>107</v>
      </c>
      <c r="H1662" s="4">
        <v>-51.03</v>
      </c>
      <c r="I1662" t="s">
        <v>108</v>
      </c>
      <c r="J1662" t="s">
        <v>109</v>
      </c>
      <c r="K1662" t="s">
        <v>1430</v>
      </c>
      <c r="L1662" s="2">
        <v>45870</v>
      </c>
      <c r="M1662" t="s">
        <v>109</v>
      </c>
      <c r="N1662">
        <v>0</v>
      </c>
      <c r="O1662" t="s">
        <v>111</v>
      </c>
      <c r="P1662" t="s">
        <v>112</v>
      </c>
      <c r="Q1662" t="s">
        <v>113</v>
      </c>
    </row>
    <row r="1663" spans="1:17" x14ac:dyDescent="0.3">
      <c r="A1663" t="s">
        <v>17</v>
      </c>
      <c r="B1663">
        <v>68</v>
      </c>
      <c r="C1663" t="s">
        <v>34</v>
      </c>
      <c r="D1663" s="2">
        <v>45881</v>
      </c>
      <c r="E1663" s="3">
        <f t="shared" si="25"/>
        <v>45870</v>
      </c>
      <c r="F1663" t="s">
        <v>1660</v>
      </c>
      <c r="G1663" t="s">
        <v>107</v>
      </c>
      <c r="H1663" s="4">
        <v>113.4</v>
      </c>
      <c r="I1663" t="s">
        <v>108</v>
      </c>
      <c r="J1663" t="s">
        <v>109</v>
      </c>
      <c r="K1663" t="s">
        <v>1431</v>
      </c>
      <c r="L1663" s="2">
        <v>45870</v>
      </c>
      <c r="M1663" t="s">
        <v>109</v>
      </c>
      <c r="N1663">
        <v>0</v>
      </c>
      <c r="O1663" t="s">
        <v>111</v>
      </c>
      <c r="P1663" t="s">
        <v>112</v>
      </c>
      <c r="Q1663" t="s">
        <v>113</v>
      </c>
    </row>
    <row r="1664" spans="1:17" x14ac:dyDescent="0.3">
      <c r="A1664" t="s">
        <v>17</v>
      </c>
      <c r="B1664">
        <v>68</v>
      </c>
      <c r="C1664" t="s">
        <v>34</v>
      </c>
      <c r="D1664" s="2">
        <v>45881</v>
      </c>
      <c r="E1664" s="3">
        <f t="shared" si="25"/>
        <v>45870</v>
      </c>
      <c r="F1664" t="s">
        <v>1660</v>
      </c>
      <c r="G1664" t="s">
        <v>107</v>
      </c>
      <c r="H1664" s="4">
        <v>1.5</v>
      </c>
      <c r="I1664" t="s">
        <v>108</v>
      </c>
      <c r="J1664" t="s">
        <v>109</v>
      </c>
      <c r="K1664" t="s">
        <v>1427</v>
      </c>
      <c r="L1664" s="2">
        <v>45870</v>
      </c>
      <c r="M1664" t="s">
        <v>109</v>
      </c>
      <c r="N1664">
        <v>0</v>
      </c>
      <c r="O1664" t="s">
        <v>111</v>
      </c>
      <c r="P1664" t="s">
        <v>112</v>
      </c>
      <c r="Q1664" t="s">
        <v>113</v>
      </c>
    </row>
    <row r="1665" spans="1:17" x14ac:dyDescent="0.3">
      <c r="A1665" t="s">
        <v>17</v>
      </c>
      <c r="B1665">
        <v>68</v>
      </c>
      <c r="C1665" t="s">
        <v>34</v>
      </c>
      <c r="D1665" s="2">
        <v>45881</v>
      </c>
      <c r="E1665" s="3">
        <f t="shared" si="25"/>
        <v>45870</v>
      </c>
      <c r="F1665" t="s">
        <v>1660</v>
      </c>
      <c r="G1665" t="s">
        <v>107</v>
      </c>
      <c r="H1665" s="4">
        <v>4.2</v>
      </c>
      <c r="I1665" t="s">
        <v>108</v>
      </c>
      <c r="J1665" t="s">
        <v>109</v>
      </c>
      <c r="K1665" t="s">
        <v>1426</v>
      </c>
      <c r="L1665" s="2">
        <v>45870</v>
      </c>
      <c r="M1665" t="s">
        <v>109</v>
      </c>
      <c r="N1665">
        <v>0</v>
      </c>
      <c r="O1665" t="s">
        <v>111</v>
      </c>
      <c r="P1665" t="s">
        <v>112</v>
      </c>
      <c r="Q1665" t="s">
        <v>113</v>
      </c>
    </row>
    <row r="1666" spans="1:17" x14ac:dyDescent="0.3">
      <c r="A1666" t="s">
        <v>17</v>
      </c>
      <c r="B1666">
        <v>68</v>
      </c>
      <c r="C1666" t="s">
        <v>34</v>
      </c>
      <c r="D1666" s="2">
        <v>45881</v>
      </c>
      <c r="E1666" s="3">
        <f t="shared" si="25"/>
        <v>45870</v>
      </c>
      <c r="F1666" t="s">
        <v>1660</v>
      </c>
      <c r="G1666" t="s">
        <v>107</v>
      </c>
      <c r="H1666" s="4">
        <v>16.059999999999999</v>
      </c>
      <c r="I1666" t="s">
        <v>108</v>
      </c>
      <c r="J1666" t="s">
        <v>109</v>
      </c>
      <c r="K1666" t="s">
        <v>1429</v>
      </c>
      <c r="L1666" s="2">
        <v>45870</v>
      </c>
      <c r="M1666" t="s">
        <v>109</v>
      </c>
      <c r="N1666">
        <v>0</v>
      </c>
      <c r="O1666" t="s">
        <v>111</v>
      </c>
      <c r="P1666" t="s">
        <v>112</v>
      </c>
      <c r="Q1666" t="s">
        <v>113</v>
      </c>
    </row>
    <row r="1667" spans="1:17" x14ac:dyDescent="0.3">
      <c r="A1667" t="s">
        <v>17</v>
      </c>
      <c r="B1667">
        <v>68</v>
      </c>
      <c r="C1667" t="s">
        <v>34</v>
      </c>
      <c r="D1667" s="2">
        <v>45881</v>
      </c>
      <c r="E1667" s="3">
        <f t="shared" ref="E1667:E1730" si="26">IF($D1667="","",DATE(YEAR($D1667),MONTH($D1667),1))</f>
        <v>45870</v>
      </c>
      <c r="F1667" t="s">
        <v>1660</v>
      </c>
      <c r="G1667" t="s">
        <v>107</v>
      </c>
      <c r="H1667" s="4">
        <v>-41.49</v>
      </c>
      <c r="I1667" t="s">
        <v>108</v>
      </c>
      <c r="J1667" t="s">
        <v>109</v>
      </c>
      <c r="K1667" t="s">
        <v>1430</v>
      </c>
      <c r="L1667" s="2">
        <v>45870</v>
      </c>
      <c r="M1667" t="s">
        <v>109</v>
      </c>
      <c r="N1667">
        <v>0</v>
      </c>
      <c r="O1667" t="s">
        <v>111</v>
      </c>
      <c r="P1667" t="s">
        <v>112</v>
      </c>
      <c r="Q1667" t="s">
        <v>113</v>
      </c>
    </row>
    <row r="1668" spans="1:17" x14ac:dyDescent="0.3">
      <c r="A1668" t="s">
        <v>17</v>
      </c>
      <c r="B1668">
        <v>68</v>
      </c>
      <c r="C1668" t="s">
        <v>34</v>
      </c>
      <c r="D1668" s="2">
        <v>45881</v>
      </c>
      <c r="E1668" s="3">
        <f t="shared" si="26"/>
        <v>45870</v>
      </c>
      <c r="F1668" t="s">
        <v>1660</v>
      </c>
      <c r="G1668" t="s">
        <v>107</v>
      </c>
      <c r="H1668" s="4">
        <v>92.2</v>
      </c>
      <c r="I1668" t="s">
        <v>108</v>
      </c>
      <c r="J1668" t="s">
        <v>109</v>
      </c>
      <c r="K1668" t="s">
        <v>1431</v>
      </c>
      <c r="L1668" s="2">
        <v>45870</v>
      </c>
      <c r="M1668" t="s">
        <v>109</v>
      </c>
      <c r="N1668">
        <v>0</v>
      </c>
      <c r="O1668" t="s">
        <v>111</v>
      </c>
      <c r="P1668" t="s">
        <v>112</v>
      </c>
      <c r="Q1668" t="s">
        <v>113</v>
      </c>
    </row>
    <row r="1669" spans="1:17" x14ac:dyDescent="0.3">
      <c r="A1669" t="s">
        <v>17</v>
      </c>
      <c r="B1669">
        <v>68</v>
      </c>
      <c r="C1669" t="s">
        <v>34</v>
      </c>
      <c r="D1669" s="2">
        <v>45881</v>
      </c>
      <c r="E1669" s="3">
        <f t="shared" si="26"/>
        <v>45870</v>
      </c>
      <c r="F1669" t="s">
        <v>1660</v>
      </c>
      <c r="G1669" t="s">
        <v>107</v>
      </c>
      <c r="H1669" s="4">
        <v>1.5</v>
      </c>
      <c r="I1669" t="s">
        <v>108</v>
      </c>
      <c r="J1669" t="s">
        <v>109</v>
      </c>
      <c r="K1669" t="s">
        <v>1661</v>
      </c>
      <c r="L1669" s="2">
        <v>45870</v>
      </c>
      <c r="M1669" t="s">
        <v>109</v>
      </c>
      <c r="N1669">
        <v>0</v>
      </c>
      <c r="O1669" t="s">
        <v>111</v>
      </c>
      <c r="P1669" t="s">
        <v>112</v>
      </c>
      <c r="Q1669" t="s">
        <v>113</v>
      </c>
    </row>
    <row r="1670" spans="1:17" x14ac:dyDescent="0.3">
      <c r="A1670" t="s">
        <v>17</v>
      </c>
      <c r="B1670">
        <v>68</v>
      </c>
      <c r="C1670" t="s">
        <v>34</v>
      </c>
      <c r="D1670" s="2">
        <v>45881</v>
      </c>
      <c r="E1670" s="3">
        <f t="shared" si="26"/>
        <v>45870</v>
      </c>
      <c r="F1670" t="s">
        <v>1660</v>
      </c>
      <c r="G1670" t="s">
        <v>107</v>
      </c>
      <c r="H1670" s="4">
        <v>4.2</v>
      </c>
      <c r="I1670" t="s">
        <v>108</v>
      </c>
      <c r="J1670" t="s">
        <v>109</v>
      </c>
      <c r="K1670" t="s">
        <v>1426</v>
      </c>
      <c r="L1670" s="2">
        <v>45870</v>
      </c>
      <c r="M1670" t="s">
        <v>109</v>
      </c>
      <c r="N1670">
        <v>0</v>
      </c>
      <c r="O1670" t="s">
        <v>111</v>
      </c>
      <c r="P1670" t="s">
        <v>112</v>
      </c>
      <c r="Q1670" t="s">
        <v>113</v>
      </c>
    </row>
    <row r="1671" spans="1:17" x14ac:dyDescent="0.3">
      <c r="A1671" t="s">
        <v>17</v>
      </c>
      <c r="B1671">
        <v>68</v>
      </c>
      <c r="C1671" t="s">
        <v>34</v>
      </c>
      <c r="D1671" s="2">
        <v>45881</v>
      </c>
      <c r="E1671" s="3">
        <f t="shared" si="26"/>
        <v>45870</v>
      </c>
      <c r="F1671" t="s">
        <v>1660</v>
      </c>
      <c r="G1671" t="s">
        <v>107</v>
      </c>
      <c r="H1671" s="4">
        <v>20.16</v>
      </c>
      <c r="I1671" t="s">
        <v>108</v>
      </c>
      <c r="J1671" t="s">
        <v>109</v>
      </c>
      <c r="K1671" t="s">
        <v>1429</v>
      </c>
      <c r="L1671" s="2">
        <v>45870</v>
      </c>
      <c r="M1671" t="s">
        <v>109</v>
      </c>
      <c r="N1671">
        <v>0</v>
      </c>
      <c r="O1671" t="s">
        <v>111</v>
      </c>
      <c r="P1671" t="s">
        <v>112</v>
      </c>
      <c r="Q1671" t="s">
        <v>113</v>
      </c>
    </row>
    <row r="1672" spans="1:17" x14ac:dyDescent="0.3">
      <c r="A1672" t="s">
        <v>17</v>
      </c>
      <c r="B1672">
        <v>68</v>
      </c>
      <c r="C1672" t="s">
        <v>34</v>
      </c>
      <c r="D1672" s="2">
        <v>45881</v>
      </c>
      <c r="E1672" s="3">
        <f t="shared" si="26"/>
        <v>45870</v>
      </c>
      <c r="F1672" t="s">
        <v>1660</v>
      </c>
      <c r="G1672" t="s">
        <v>107</v>
      </c>
      <c r="H1672" s="4">
        <v>-52.97</v>
      </c>
      <c r="I1672" t="s">
        <v>108</v>
      </c>
      <c r="J1672" t="s">
        <v>109</v>
      </c>
      <c r="K1672" t="s">
        <v>1430</v>
      </c>
      <c r="L1672" s="2">
        <v>45870</v>
      </c>
      <c r="M1672" t="s">
        <v>109</v>
      </c>
      <c r="N1672">
        <v>0</v>
      </c>
      <c r="O1672" t="s">
        <v>111</v>
      </c>
      <c r="P1672" t="s">
        <v>112</v>
      </c>
      <c r="Q1672" t="s">
        <v>113</v>
      </c>
    </row>
    <row r="1673" spans="1:17" x14ac:dyDescent="0.3">
      <c r="A1673" t="s">
        <v>17</v>
      </c>
      <c r="B1673">
        <v>68</v>
      </c>
      <c r="C1673" t="s">
        <v>34</v>
      </c>
      <c r="D1673" s="2">
        <v>45881</v>
      </c>
      <c r="E1673" s="3">
        <f t="shared" si="26"/>
        <v>45870</v>
      </c>
      <c r="F1673" t="s">
        <v>1660</v>
      </c>
      <c r="G1673" t="s">
        <v>107</v>
      </c>
      <c r="H1673" s="4">
        <v>117.7</v>
      </c>
      <c r="I1673" t="s">
        <v>108</v>
      </c>
      <c r="J1673" t="s">
        <v>109</v>
      </c>
      <c r="K1673" t="s">
        <v>1431</v>
      </c>
      <c r="L1673" s="2">
        <v>45870</v>
      </c>
      <c r="M1673" t="s">
        <v>109</v>
      </c>
      <c r="N1673">
        <v>0</v>
      </c>
      <c r="O1673" t="s">
        <v>111</v>
      </c>
      <c r="P1673" t="s">
        <v>112</v>
      </c>
      <c r="Q1673" t="s">
        <v>113</v>
      </c>
    </row>
    <row r="1674" spans="1:17" x14ac:dyDescent="0.3">
      <c r="A1674" t="s">
        <v>17</v>
      </c>
      <c r="B1674">
        <v>68</v>
      </c>
      <c r="C1674" t="s">
        <v>34</v>
      </c>
      <c r="D1674" s="2">
        <v>45881</v>
      </c>
      <c r="E1674" s="3">
        <f t="shared" si="26"/>
        <v>45870</v>
      </c>
      <c r="F1674" t="s">
        <v>1662</v>
      </c>
      <c r="G1674" t="s">
        <v>122</v>
      </c>
      <c r="H1674" s="4">
        <v>6.26</v>
      </c>
      <c r="I1674" t="s">
        <v>108</v>
      </c>
      <c r="J1674" t="s">
        <v>109</v>
      </c>
      <c r="L1674" s="2">
        <v>45870</v>
      </c>
      <c r="M1674" t="s">
        <v>109</v>
      </c>
      <c r="N1674">
        <v>0</v>
      </c>
      <c r="O1674" t="s">
        <v>111</v>
      </c>
      <c r="P1674" t="s">
        <v>112</v>
      </c>
      <c r="Q1674" t="s">
        <v>113</v>
      </c>
    </row>
    <row r="1675" spans="1:17" x14ac:dyDescent="0.3">
      <c r="A1675" t="s">
        <v>17</v>
      </c>
      <c r="B1675">
        <v>68</v>
      </c>
      <c r="C1675" t="s">
        <v>34</v>
      </c>
      <c r="D1675" s="2">
        <v>45881</v>
      </c>
      <c r="E1675" s="3">
        <f t="shared" si="26"/>
        <v>45870</v>
      </c>
      <c r="F1675" t="s">
        <v>1662</v>
      </c>
      <c r="G1675" t="s">
        <v>122</v>
      </c>
      <c r="H1675" s="4">
        <v>17</v>
      </c>
      <c r="I1675" t="s">
        <v>108</v>
      </c>
      <c r="J1675" t="s">
        <v>109</v>
      </c>
      <c r="L1675" s="2">
        <v>45870</v>
      </c>
      <c r="M1675" t="s">
        <v>109</v>
      </c>
      <c r="N1675">
        <v>0</v>
      </c>
      <c r="O1675" t="s">
        <v>111</v>
      </c>
      <c r="P1675" t="s">
        <v>112</v>
      </c>
      <c r="Q1675" t="s">
        <v>113</v>
      </c>
    </row>
    <row r="1676" spans="1:17" x14ac:dyDescent="0.3">
      <c r="A1676" t="s">
        <v>17</v>
      </c>
      <c r="B1676">
        <v>68</v>
      </c>
      <c r="C1676" t="s">
        <v>34</v>
      </c>
      <c r="D1676" s="2">
        <v>45881</v>
      </c>
      <c r="E1676" s="3">
        <f t="shared" si="26"/>
        <v>45870</v>
      </c>
      <c r="F1676" t="s">
        <v>1662</v>
      </c>
      <c r="G1676" t="s">
        <v>122</v>
      </c>
      <c r="H1676" s="4">
        <v>1.31</v>
      </c>
      <c r="I1676" t="s">
        <v>108</v>
      </c>
      <c r="J1676" t="s">
        <v>109</v>
      </c>
      <c r="L1676" s="2">
        <v>45870</v>
      </c>
      <c r="M1676" t="s">
        <v>109</v>
      </c>
      <c r="N1676">
        <v>0</v>
      </c>
      <c r="O1676" t="s">
        <v>111</v>
      </c>
      <c r="P1676" t="s">
        <v>112</v>
      </c>
      <c r="Q1676" t="s">
        <v>113</v>
      </c>
    </row>
    <row r="1677" spans="1:17" x14ac:dyDescent="0.3">
      <c r="A1677" t="s">
        <v>17</v>
      </c>
      <c r="B1677">
        <v>68</v>
      </c>
      <c r="C1677" t="s">
        <v>34</v>
      </c>
      <c r="D1677" s="2">
        <v>45881</v>
      </c>
      <c r="E1677" s="3">
        <f t="shared" si="26"/>
        <v>45870</v>
      </c>
      <c r="F1677" t="s">
        <v>1663</v>
      </c>
      <c r="G1677" t="s">
        <v>122</v>
      </c>
      <c r="H1677" s="4">
        <v>6.95</v>
      </c>
      <c r="I1677" t="s">
        <v>108</v>
      </c>
      <c r="J1677" t="s">
        <v>109</v>
      </c>
      <c r="L1677" s="2">
        <v>45870</v>
      </c>
      <c r="M1677" t="s">
        <v>109</v>
      </c>
      <c r="N1677">
        <v>0</v>
      </c>
      <c r="O1677" t="s">
        <v>111</v>
      </c>
      <c r="P1677" t="s">
        <v>112</v>
      </c>
      <c r="Q1677" t="s">
        <v>113</v>
      </c>
    </row>
    <row r="1678" spans="1:17" x14ac:dyDescent="0.3">
      <c r="A1678" t="s">
        <v>17</v>
      </c>
      <c r="B1678">
        <v>68</v>
      </c>
      <c r="C1678" t="s">
        <v>34</v>
      </c>
      <c r="D1678" s="2">
        <v>45881</v>
      </c>
      <c r="E1678" s="3">
        <f t="shared" si="26"/>
        <v>45870</v>
      </c>
      <c r="F1678" t="s">
        <v>1663</v>
      </c>
      <c r="G1678" t="s">
        <v>122</v>
      </c>
      <c r="H1678" s="4">
        <v>17</v>
      </c>
      <c r="I1678" t="s">
        <v>108</v>
      </c>
      <c r="J1678" t="s">
        <v>109</v>
      </c>
      <c r="L1678" s="2">
        <v>45870</v>
      </c>
      <c r="M1678" t="s">
        <v>109</v>
      </c>
      <c r="N1678">
        <v>0</v>
      </c>
      <c r="O1678" t="s">
        <v>111</v>
      </c>
      <c r="P1678" t="s">
        <v>112</v>
      </c>
      <c r="Q1678" t="s">
        <v>113</v>
      </c>
    </row>
    <row r="1679" spans="1:17" x14ac:dyDescent="0.3">
      <c r="A1679" t="s">
        <v>17</v>
      </c>
      <c r="B1679">
        <v>68</v>
      </c>
      <c r="C1679" t="s">
        <v>34</v>
      </c>
      <c r="D1679" s="2">
        <v>45881</v>
      </c>
      <c r="E1679" s="3">
        <f t="shared" si="26"/>
        <v>45870</v>
      </c>
      <c r="F1679" t="s">
        <v>1663</v>
      </c>
      <c r="G1679" t="s">
        <v>122</v>
      </c>
      <c r="H1679" s="4">
        <v>1.31</v>
      </c>
      <c r="I1679" t="s">
        <v>108</v>
      </c>
      <c r="J1679" t="s">
        <v>109</v>
      </c>
      <c r="L1679" s="2">
        <v>45870</v>
      </c>
      <c r="M1679" t="s">
        <v>109</v>
      </c>
      <c r="N1679">
        <v>0</v>
      </c>
      <c r="O1679" t="s">
        <v>111</v>
      </c>
      <c r="P1679" t="s">
        <v>112</v>
      </c>
      <c r="Q1679" t="s">
        <v>113</v>
      </c>
    </row>
    <row r="1680" spans="1:17" x14ac:dyDescent="0.3">
      <c r="A1680" t="s">
        <v>17</v>
      </c>
      <c r="B1680">
        <v>68</v>
      </c>
      <c r="C1680" t="s">
        <v>34</v>
      </c>
      <c r="D1680" s="2">
        <v>45882</v>
      </c>
      <c r="E1680" s="3">
        <f t="shared" si="26"/>
        <v>45870</v>
      </c>
      <c r="F1680" t="s">
        <v>1664</v>
      </c>
      <c r="G1680" t="s">
        <v>122</v>
      </c>
      <c r="H1680" s="4">
        <v>16.2</v>
      </c>
      <c r="I1680" t="s">
        <v>108</v>
      </c>
      <c r="J1680" t="s">
        <v>109</v>
      </c>
      <c r="L1680" s="2">
        <v>45870</v>
      </c>
      <c r="M1680" t="s">
        <v>109</v>
      </c>
      <c r="N1680">
        <v>0</v>
      </c>
      <c r="O1680" t="s">
        <v>111</v>
      </c>
      <c r="P1680" t="s">
        <v>112</v>
      </c>
      <c r="Q1680" t="s">
        <v>113</v>
      </c>
    </row>
    <row r="1681" spans="1:17" x14ac:dyDescent="0.3">
      <c r="A1681" t="s">
        <v>17</v>
      </c>
      <c r="B1681">
        <v>68</v>
      </c>
      <c r="C1681" t="s">
        <v>34</v>
      </c>
      <c r="D1681" s="2">
        <v>45882</v>
      </c>
      <c r="E1681" s="3">
        <f t="shared" si="26"/>
        <v>45870</v>
      </c>
      <c r="F1681" t="s">
        <v>1664</v>
      </c>
      <c r="G1681" t="s">
        <v>122</v>
      </c>
      <c r="H1681" s="4">
        <v>17</v>
      </c>
      <c r="I1681" t="s">
        <v>108</v>
      </c>
      <c r="J1681" t="s">
        <v>109</v>
      </c>
      <c r="K1681" t="s">
        <v>1455</v>
      </c>
      <c r="L1681" s="2">
        <v>45870</v>
      </c>
      <c r="M1681" t="s">
        <v>109</v>
      </c>
      <c r="N1681">
        <v>0</v>
      </c>
      <c r="O1681" t="s">
        <v>111</v>
      </c>
      <c r="P1681" t="s">
        <v>112</v>
      </c>
      <c r="Q1681" t="s">
        <v>113</v>
      </c>
    </row>
    <row r="1682" spans="1:17" x14ac:dyDescent="0.3">
      <c r="A1682" t="s">
        <v>17</v>
      </c>
      <c r="B1682">
        <v>68</v>
      </c>
      <c r="C1682" t="s">
        <v>34</v>
      </c>
      <c r="D1682" s="2">
        <v>45882</v>
      </c>
      <c r="E1682" s="3">
        <f t="shared" si="26"/>
        <v>45870</v>
      </c>
      <c r="F1682" t="s">
        <v>1664</v>
      </c>
      <c r="G1682" t="s">
        <v>122</v>
      </c>
      <c r="H1682" s="4">
        <v>1.31</v>
      </c>
      <c r="I1682" t="s">
        <v>108</v>
      </c>
      <c r="J1682" t="s">
        <v>109</v>
      </c>
      <c r="K1682" t="s">
        <v>1665</v>
      </c>
      <c r="L1682" s="2">
        <v>45870</v>
      </c>
      <c r="M1682" t="s">
        <v>109</v>
      </c>
      <c r="N1682">
        <v>0</v>
      </c>
      <c r="O1682" t="s">
        <v>111</v>
      </c>
      <c r="P1682" t="s">
        <v>112</v>
      </c>
      <c r="Q1682" t="s">
        <v>113</v>
      </c>
    </row>
    <row r="1683" spans="1:17" x14ac:dyDescent="0.3">
      <c r="A1683" t="s">
        <v>17</v>
      </c>
      <c r="B1683">
        <v>68</v>
      </c>
      <c r="C1683" t="s">
        <v>34</v>
      </c>
      <c r="D1683" s="2">
        <v>45882</v>
      </c>
      <c r="E1683" s="3">
        <f t="shared" si="26"/>
        <v>45870</v>
      </c>
      <c r="F1683" t="s">
        <v>1666</v>
      </c>
      <c r="G1683" t="s">
        <v>122</v>
      </c>
      <c r="H1683" s="4">
        <v>551.27</v>
      </c>
      <c r="I1683" t="s">
        <v>108</v>
      </c>
      <c r="J1683" t="s">
        <v>109</v>
      </c>
      <c r="K1683" t="s">
        <v>1442</v>
      </c>
      <c r="L1683" s="2">
        <v>45870</v>
      </c>
      <c r="M1683" t="s">
        <v>109</v>
      </c>
      <c r="N1683">
        <v>0</v>
      </c>
      <c r="O1683" t="s">
        <v>111</v>
      </c>
      <c r="P1683" t="s">
        <v>112</v>
      </c>
      <c r="Q1683" t="s">
        <v>113</v>
      </c>
    </row>
    <row r="1684" spans="1:17" x14ac:dyDescent="0.3">
      <c r="A1684" t="s">
        <v>17</v>
      </c>
      <c r="B1684">
        <v>68</v>
      </c>
      <c r="C1684" t="s">
        <v>34</v>
      </c>
      <c r="D1684" s="2">
        <v>45883</v>
      </c>
      <c r="E1684" s="3">
        <f t="shared" si="26"/>
        <v>45870</v>
      </c>
      <c r="F1684" t="s">
        <v>1667</v>
      </c>
      <c r="G1684" t="s">
        <v>122</v>
      </c>
      <c r="H1684" s="4">
        <v>23.67</v>
      </c>
      <c r="I1684" t="s">
        <v>108</v>
      </c>
      <c r="J1684" t="s">
        <v>109</v>
      </c>
      <c r="K1684" t="s">
        <v>1636</v>
      </c>
      <c r="L1684" s="2">
        <v>45870</v>
      </c>
      <c r="M1684" t="s">
        <v>109</v>
      </c>
      <c r="N1684">
        <v>0</v>
      </c>
      <c r="O1684" t="s">
        <v>111</v>
      </c>
      <c r="P1684" t="s">
        <v>112</v>
      </c>
      <c r="Q1684" t="s">
        <v>113</v>
      </c>
    </row>
    <row r="1685" spans="1:17" x14ac:dyDescent="0.3">
      <c r="A1685" t="s">
        <v>17</v>
      </c>
      <c r="B1685">
        <v>68</v>
      </c>
      <c r="C1685" t="s">
        <v>34</v>
      </c>
      <c r="D1685" s="2">
        <v>45883</v>
      </c>
      <c r="E1685" s="3">
        <f t="shared" si="26"/>
        <v>45870</v>
      </c>
      <c r="F1685" t="s">
        <v>1668</v>
      </c>
      <c r="G1685" t="s">
        <v>122</v>
      </c>
      <c r="H1685" s="4">
        <v>74.11</v>
      </c>
      <c r="I1685" t="s">
        <v>108</v>
      </c>
      <c r="J1685" t="s">
        <v>109</v>
      </c>
      <c r="K1685" t="s">
        <v>1646</v>
      </c>
      <c r="L1685" s="2">
        <v>45870</v>
      </c>
      <c r="M1685" t="s">
        <v>109</v>
      </c>
      <c r="N1685">
        <v>0</v>
      </c>
      <c r="O1685" t="s">
        <v>111</v>
      </c>
      <c r="P1685" t="s">
        <v>112</v>
      </c>
      <c r="Q1685" t="s">
        <v>113</v>
      </c>
    </row>
    <row r="1686" spans="1:17" x14ac:dyDescent="0.3">
      <c r="A1686" t="s">
        <v>17</v>
      </c>
      <c r="B1686">
        <v>68</v>
      </c>
      <c r="C1686" t="s">
        <v>34</v>
      </c>
      <c r="D1686" s="2">
        <v>45883</v>
      </c>
      <c r="E1686" s="3">
        <f t="shared" si="26"/>
        <v>45870</v>
      </c>
      <c r="F1686" t="s">
        <v>1669</v>
      </c>
      <c r="G1686" t="s">
        <v>122</v>
      </c>
      <c r="H1686" s="4">
        <v>22.68</v>
      </c>
      <c r="I1686" t="s">
        <v>108</v>
      </c>
      <c r="J1686" t="s">
        <v>109</v>
      </c>
      <c r="K1686" t="s">
        <v>1670</v>
      </c>
      <c r="L1686" s="2">
        <v>45870</v>
      </c>
      <c r="M1686" t="s">
        <v>109</v>
      </c>
      <c r="N1686">
        <v>0</v>
      </c>
      <c r="O1686" t="s">
        <v>111</v>
      </c>
      <c r="P1686" t="s">
        <v>112</v>
      </c>
      <c r="Q1686" t="s">
        <v>113</v>
      </c>
    </row>
    <row r="1687" spans="1:17" x14ac:dyDescent="0.3">
      <c r="A1687" t="s">
        <v>17</v>
      </c>
      <c r="B1687">
        <v>68</v>
      </c>
      <c r="C1687" t="s">
        <v>34</v>
      </c>
      <c r="D1687" s="2">
        <v>45884</v>
      </c>
      <c r="E1687" s="3">
        <f t="shared" si="26"/>
        <v>45870</v>
      </c>
      <c r="F1687" t="s">
        <v>1671</v>
      </c>
      <c r="G1687" t="s">
        <v>122</v>
      </c>
      <c r="H1687" s="4">
        <v>5.56</v>
      </c>
      <c r="I1687" t="s">
        <v>108</v>
      </c>
      <c r="J1687" t="s">
        <v>109</v>
      </c>
      <c r="L1687" s="2">
        <v>45870</v>
      </c>
      <c r="M1687" t="s">
        <v>109</v>
      </c>
      <c r="N1687">
        <v>0</v>
      </c>
      <c r="O1687" t="s">
        <v>111</v>
      </c>
      <c r="P1687" t="s">
        <v>112</v>
      </c>
      <c r="Q1687" t="s">
        <v>113</v>
      </c>
    </row>
    <row r="1688" spans="1:17" x14ac:dyDescent="0.3">
      <c r="A1688" t="s">
        <v>17</v>
      </c>
      <c r="B1688">
        <v>68</v>
      </c>
      <c r="C1688" t="s">
        <v>34</v>
      </c>
      <c r="D1688" s="2">
        <v>45884</v>
      </c>
      <c r="E1688" s="3">
        <f t="shared" si="26"/>
        <v>45870</v>
      </c>
      <c r="F1688" t="s">
        <v>1671</v>
      </c>
      <c r="G1688" t="s">
        <v>122</v>
      </c>
      <c r="H1688" s="4">
        <v>17</v>
      </c>
      <c r="I1688" t="s">
        <v>108</v>
      </c>
      <c r="J1688" t="s">
        <v>109</v>
      </c>
      <c r="L1688" s="2">
        <v>45870</v>
      </c>
      <c r="M1688" t="s">
        <v>109</v>
      </c>
      <c r="N1688">
        <v>0</v>
      </c>
      <c r="O1688" t="s">
        <v>111</v>
      </c>
      <c r="P1688" t="s">
        <v>112</v>
      </c>
      <c r="Q1688" t="s">
        <v>113</v>
      </c>
    </row>
    <row r="1689" spans="1:17" x14ac:dyDescent="0.3">
      <c r="A1689" t="s">
        <v>17</v>
      </c>
      <c r="B1689">
        <v>68</v>
      </c>
      <c r="C1689" t="s">
        <v>34</v>
      </c>
      <c r="D1689" s="2">
        <v>45884</v>
      </c>
      <c r="E1689" s="3">
        <f t="shared" si="26"/>
        <v>45870</v>
      </c>
      <c r="F1689" t="s">
        <v>1671</v>
      </c>
      <c r="G1689" t="s">
        <v>122</v>
      </c>
      <c r="H1689" s="4">
        <v>1.31</v>
      </c>
      <c r="I1689" t="s">
        <v>108</v>
      </c>
      <c r="J1689" t="s">
        <v>109</v>
      </c>
      <c r="K1689" t="s">
        <v>1636</v>
      </c>
      <c r="L1689" s="2">
        <v>45870</v>
      </c>
      <c r="M1689" t="s">
        <v>109</v>
      </c>
      <c r="N1689">
        <v>0</v>
      </c>
      <c r="O1689" t="s">
        <v>111</v>
      </c>
      <c r="P1689" t="s">
        <v>112</v>
      </c>
      <c r="Q1689" t="s">
        <v>113</v>
      </c>
    </row>
    <row r="1690" spans="1:17" x14ac:dyDescent="0.3">
      <c r="A1690" t="s">
        <v>17</v>
      </c>
      <c r="B1690">
        <v>68</v>
      </c>
      <c r="C1690" t="s">
        <v>34</v>
      </c>
      <c r="D1690" s="2">
        <v>45884</v>
      </c>
      <c r="E1690" s="3">
        <f t="shared" si="26"/>
        <v>45870</v>
      </c>
      <c r="F1690" t="s">
        <v>1672</v>
      </c>
      <c r="H1690" s="4">
        <v>-7.87</v>
      </c>
      <c r="I1690" t="s">
        <v>108</v>
      </c>
      <c r="J1690" t="s">
        <v>109</v>
      </c>
      <c r="K1690" t="s">
        <v>1673</v>
      </c>
      <c r="L1690" s="2">
        <v>45870</v>
      </c>
      <c r="M1690" t="s">
        <v>109</v>
      </c>
      <c r="N1690">
        <v>0</v>
      </c>
      <c r="O1690" t="s">
        <v>111</v>
      </c>
      <c r="P1690" t="s">
        <v>112</v>
      </c>
      <c r="Q1690" t="s">
        <v>113</v>
      </c>
    </row>
    <row r="1691" spans="1:17" x14ac:dyDescent="0.3">
      <c r="A1691" t="s">
        <v>17</v>
      </c>
      <c r="B1691">
        <v>68</v>
      </c>
      <c r="C1691" t="s">
        <v>34</v>
      </c>
      <c r="D1691" s="2">
        <v>45887</v>
      </c>
      <c r="E1691" s="3">
        <f t="shared" si="26"/>
        <v>45870</v>
      </c>
      <c r="F1691" t="s">
        <v>1674</v>
      </c>
      <c r="G1691" t="s">
        <v>122</v>
      </c>
      <c r="H1691" s="4">
        <v>5.4</v>
      </c>
      <c r="I1691" t="s">
        <v>108</v>
      </c>
      <c r="J1691" t="s">
        <v>109</v>
      </c>
      <c r="K1691" t="s">
        <v>1675</v>
      </c>
      <c r="L1691" s="2">
        <v>45870</v>
      </c>
      <c r="M1691" t="s">
        <v>109</v>
      </c>
      <c r="N1691">
        <v>0</v>
      </c>
      <c r="O1691" t="s">
        <v>111</v>
      </c>
      <c r="P1691" t="s">
        <v>112</v>
      </c>
      <c r="Q1691" t="s">
        <v>113</v>
      </c>
    </row>
    <row r="1692" spans="1:17" x14ac:dyDescent="0.3">
      <c r="A1692" t="s">
        <v>17</v>
      </c>
      <c r="B1692">
        <v>68</v>
      </c>
      <c r="C1692" t="s">
        <v>34</v>
      </c>
      <c r="D1692" s="2">
        <v>45887</v>
      </c>
      <c r="E1692" s="3">
        <f t="shared" si="26"/>
        <v>45870</v>
      </c>
      <c r="F1692" t="s">
        <v>1674</v>
      </c>
      <c r="G1692" t="s">
        <v>122</v>
      </c>
      <c r="H1692" s="4">
        <v>17</v>
      </c>
      <c r="I1692" t="s">
        <v>108</v>
      </c>
      <c r="J1692" t="s">
        <v>109</v>
      </c>
      <c r="K1692" t="s">
        <v>1675</v>
      </c>
      <c r="L1692" s="2">
        <v>45870</v>
      </c>
      <c r="M1692" t="s">
        <v>109</v>
      </c>
      <c r="N1692">
        <v>0</v>
      </c>
      <c r="O1692" t="s">
        <v>111</v>
      </c>
      <c r="P1692" t="s">
        <v>112</v>
      </c>
      <c r="Q1692" t="s">
        <v>113</v>
      </c>
    </row>
    <row r="1693" spans="1:17" x14ac:dyDescent="0.3">
      <c r="A1693" t="s">
        <v>17</v>
      </c>
      <c r="B1693">
        <v>68</v>
      </c>
      <c r="C1693" t="s">
        <v>34</v>
      </c>
      <c r="D1693" s="2">
        <v>45887</v>
      </c>
      <c r="E1693" s="3">
        <f t="shared" si="26"/>
        <v>45870</v>
      </c>
      <c r="F1693" t="s">
        <v>1674</v>
      </c>
      <c r="G1693" t="s">
        <v>122</v>
      </c>
      <c r="H1693" s="4">
        <v>1.31</v>
      </c>
      <c r="I1693" t="s">
        <v>108</v>
      </c>
      <c r="J1693" t="s">
        <v>109</v>
      </c>
      <c r="K1693" t="s">
        <v>1457</v>
      </c>
      <c r="L1693" s="2">
        <v>45870</v>
      </c>
      <c r="M1693" t="s">
        <v>109</v>
      </c>
      <c r="N1693">
        <v>0</v>
      </c>
      <c r="O1693" t="s">
        <v>111</v>
      </c>
      <c r="P1693" t="s">
        <v>112</v>
      </c>
      <c r="Q1693" t="s">
        <v>113</v>
      </c>
    </row>
    <row r="1694" spans="1:17" x14ac:dyDescent="0.3">
      <c r="A1694" t="s">
        <v>17</v>
      </c>
      <c r="B1694">
        <v>68</v>
      </c>
      <c r="C1694" t="s">
        <v>34</v>
      </c>
      <c r="D1694" s="2">
        <v>45887</v>
      </c>
      <c r="E1694" s="3">
        <f t="shared" si="26"/>
        <v>45870</v>
      </c>
      <c r="F1694" t="s">
        <v>1676</v>
      </c>
      <c r="G1694" t="s">
        <v>107</v>
      </c>
      <c r="H1694" s="4">
        <v>155.71</v>
      </c>
      <c r="I1694" t="s">
        <v>108</v>
      </c>
      <c r="J1694" t="s">
        <v>109</v>
      </c>
      <c r="K1694" t="s">
        <v>1677</v>
      </c>
      <c r="L1694" s="2">
        <v>45870</v>
      </c>
      <c r="M1694" t="s">
        <v>109</v>
      </c>
      <c r="N1694">
        <v>0</v>
      </c>
      <c r="O1694" t="s">
        <v>111</v>
      </c>
      <c r="P1694" t="s">
        <v>112</v>
      </c>
      <c r="Q1694" t="s">
        <v>113</v>
      </c>
    </row>
    <row r="1695" spans="1:17" x14ac:dyDescent="0.3">
      <c r="A1695" t="s">
        <v>17</v>
      </c>
      <c r="B1695">
        <v>68</v>
      </c>
      <c r="C1695" t="s">
        <v>34</v>
      </c>
      <c r="D1695" s="2">
        <v>45887</v>
      </c>
      <c r="E1695" s="3">
        <f t="shared" si="26"/>
        <v>45870</v>
      </c>
      <c r="F1695" t="s">
        <v>1678</v>
      </c>
      <c r="G1695" t="s">
        <v>122</v>
      </c>
      <c r="H1695" s="4">
        <v>8.93</v>
      </c>
      <c r="I1695" t="s">
        <v>108</v>
      </c>
      <c r="J1695" t="s">
        <v>109</v>
      </c>
      <c r="K1695" t="s">
        <v>1675</v>
      </c>
      <c r="L1695" s="2">
        <v>45870</v>
      </c>
      <c r="M1695" t="s">
        <v>109</v>
      </c>
      <c r="N1695">
        <v>0</v>
      </c>
      <c r="O1695" t="s">
        <v>111</v>
      </c>
      <c r="P1695" t="s">
        <v>112</v>
      </c>
      <c r="Q1695" t="s">
        <v>113</v>
      </c>
    </row>
    <row r="1696" spans="1:17" x14ac:dyDescent="0.3">
      <c r="A1696" t="s">
        <v>17</v>
      </c>
      <c r="B1696">
        <v>68</v>
      </c>
      <c r="C1696" t="s">
        <v>34</v>
      </c>
      <c r="D1696" s="2">
        <v>45887</v>
      </c>
      <c r="E1696" s="3">
        <f t="shared" si="26"/>
        <v>45870</v>
      </c>
      <c r="F1696" t="s">
        <v>1678</v>
      </c>
      <c r="G1696" t="s">
        <v>122</v>
      </c>
      <c r="H1696" s="4">
        <v>17</v>
      </c>
      <c r="I1696" t="s">
        <v>108</v>
      </c>
      <c r="J1696" t="s">
        <v>109</v>
      </c>
      <c r="K1696" t="s">
        <v>1675</v>
      </c>
      <c r="L1696" s="2">
        <v>45870</v>
      </c>
      <c r="M1696" t="s">
        <v>109</v>
      </c>
      <c r="N1696">
        <v>0</v>
      </c>
      <c r="O1696" t="s">
        <v>111</v>
      </c>
      <c r="P1696" t="s">
        <v>112</v>
      </c>
      <c r="Q1696" t="s">
        <v>113</v>
      </c>
    </row>
    <row r="1697" spans="1:17" x14ac:dyDescent="0.3">
      <c r="A1697" t="s">
        <v>17</v>
      </c>
      <c r="B1697">
        <v>68</v>
      </c>
      <c r="C1697" t="s">
        <v>34</v>
      </c>
      <c r="D1697" s="2">
        <v>45887</v>
      </c>
      <c r="E1697" s="3">
        <f t="shared" si="26"/>
        <v>45870</v>
      </c>
      <c r="F1697" t="s">
        <v>1678</v>
      </c>
      <c r="G1697" t="s">
        <v>122</v>
      </c>
      <c r="H1697" s="4">
        <v>1.31</v>
      </c>
      <c r="I1697" t="s">
        <v>108</v>
      </c>
      <c r="J1697" t="s">
        <v>109</v>
      </c>
      <c r="K1697" t="s">
        <v>1675</v>
      </c>
      <c r="L1697" s="2">
        <v>45870</v>
      </c>
      <c r="M1697" t="s">
        <v>109</v>
      </c>
      <c r="N1697">
        <v>0</v>
      </c>
      <c r="O1697" t="s">
        <v>111</v>
      </c>
      <c r="P1697" t="s">
        <v>112</v>
      </c>
      <c r="Q1697" t="s">
        <v>113</v>
      </c>
    </row>
    <row r="1698" spans="1:17" x14ac:dyDescent="0.3">
      <c r="A1698" t="s">
        <v>17</v>
      </c>
      <c r="B1698">
        <v>68</v>
      </c>
      <c r="C1698" t="s">
        <v>34</v>
      </c>
      <c r="D1698" s="2">
        <v>45887</v>
      </c>
      <c r="E1698" s="3">
        <f t="shared" si="26"/>
        <v>45870</v>
      </c>
      <c r="F1698" t="s">
        <v>1679</v>
      </c>
      <c r="G1698" t="s">
        <v>122</v>
      </c>
      <c r="H1698" s="4">
        <v>6.2</v>
      </c>
      <c r="I1698" t="s">
        <v>108</v>
      </c>
      <c r="J1698" t="s">
        <v>109</v>
      </c>
      <c r="K1698" t="s">
        <v>1675</v>
      </c>
      <c r="L1698" s="2">
        <v>45870</v>
      </c>
      <c r="M1698" t="s">
        <v>109</v>
      </c>
      <c r="N1698">
        <v>0</v>
      </c>
      <c r="O1698" t="s">
        <v>111</v>
      </c>
      <c r="P1698" t="s">
        <v>112</v>
      </c>
      <c r="Q1698" t="s">
        <v>113</v>
      </c>
    </row>
    <row r="1699" spans="1:17" x14ac:dyDescent="0.3">
      <c r="A1699" t="s">
        <v>17</v>
      </c>
      <c r="B1699">
        <v>68</v>
      </c>
      <c r="C1699" t="s">
        <v>34</v>
      </c>
      <c r="D1699" s="2">
        <v>45887</v>
      </c>
      <c r="E1699" s="3">
        <f t="shared" si="26"/>
        <v>45870</v>
      </c>
      <c r="F1699" t="s">
        <v>1679</v>
      </c>
      <c r="G1699" t="s">
        <v>122</v>
      </c>
      <c r="H1699" s="4">
        <v>17</v>
      </c>
      <c r="I1699" t="s">
        <v>108</v>
      </c>
      <c r="J1699" t="s">
        <v>109</v>
      </c>
      <c r="K1699" t="s">
        <v>1675</v>
      </c>
      <c r="L1699" s="2">
        <v>45870</v>
      </c>
      <c r="M1699" t="s">
        <v>109</v>
      </c>
      <c r="N1699">
        <v>0</v>
      </c>
      <c r="O1699" t="s">
        <v>111</v>
      </c>
      <c r="P1699" t="s">
        <v>112</v>
      </c>
      <c r="Q1699" t="s">
        <v>113</v>
      </c>
    </row>
    <row r="1700" spans="1:17" x14ac:dyDescent="0.3">
      <c r="A1700" t="s">
        <v>17</v>
      </c>
      <c r="B1700">
        <v>68</v>
      </c>
      <c r="C1700" t="s">
        <v>34</v>
      </c>
      <c r="D1700" s="2">
        <v>45887</v>
      </c>
      <c r="E1700" s="3">
        <f t="shared" si="26"/>
        <v>45870</v>
      </c>
      <c r="F1700" t="s">
        <v>1679</v>
      </c>
      <c r="G1700" t="s">
        <v>122</v>
      </c>
      <c r="H1700" s="4">
        <v>1.31</v>
      </c>
      <c r="I1700" t="s">
        <v>108</v>
      </c>
      <c r="J1700" t="s">
        <v>109</v>
      </c>
      <c r="K1700" t="s">
        <v>1675</v>
      </c>
      <c r="L1700" s="2">
        <v>45870</v>
      </c>
      <c r="M1700" t="s">
        <v>109</v>
      </c>
      <c r="N1700">
        <v>0</v>
      </c>
      <c r="O1700" t="s">
        <v>111</v>
      </c>
      <c r="P1700" t="s">
        <v>112</v>
      </c>
      <c r="Q1700" t="s">
        <v>113</v>
      </c>
    </row>
    <row r="1701" spans="1:17" x14ac:dyDescent="0.3">
      <c r="A1701" t="s">
        <v>17</v>
      </c>
      <c r="B1701">
        <v>68</v>
      </c>
      <c r="C1701" t="s">
        <v>34</v>
      </c>
      <c r="D1701" s="2">
        <v>45889</v>
      </c>
      <c r="E1701" s="3">
        <f t="shared" si="26"/>
        <v>45870</v>
      </c>
      <c r="F1701" t="s">
        <v>1680</v>
      </c>
      <c r="G1701" t="s">
        <v>122</v>
      </c>
      <c r="H1701" s="4">
        <v>12.91</v>
      </c>
      <c r="I1701" t="s">
        <v>108</v>
      </c>
      <c r="J1701" t="s">
        <v>109</v>
      </c>
      <c r="K1701" t="s">
        <v>1437</v>
      </c>
      <c r="L1701" s="2">
        <v>45870</v>
      </c>
      <c r="M1701" t="s">
        <v>109</v>
      </c>
      <c r="N1701">
        <v>0</v>
      </c>
      <c r="O1701" t="s">
        <v>111</v>
      </c>
      <c r="P1701" t="s">
        <v>112</v>
      </c>
      <c r="Q1701" t="s">
        <v>113</v>
      </c>
    </row>
    <row r="1702" spans="1:17" x14ac:dyDescent="0.3">
      <c r="A1702" t="s">
        <v>17</v>
      </c>
      <c r="B1702">
        <v>68</v>
      </c>
      <c r="C1702" t="s">
        <v>34</v>
      </c>
      <c r="D1702" s="2">
        <v>45889</v>
      </c>
      <c r="E1702" s="3">
        <f t="shared" si="26"/>
        <v>45870</v>
      </c>
      <c r="F1702" t="s">
        <v>1680</v>
      </c>
      <c r="G1702" t="s">
        <v>122</v>
      </c>
      <c r="H1702" s="4">
        <v>0.24</v>
      </c>
      <c r="I1702" t="s">
        <v>108</v>
      </c>
      <c r="J1702" t="s">
        <v>109</v>
      </c>
      <c r="K1702" t="s">
        <v>1436</v>
      </c>
      <c r="L1702" s="2">
        <v>45870</v>
      </c>
      <c r="M1702" t="s">
        <v>109</v>
      </c>
      <c r="N1702">
        <v>0</v>
      </c>
      <c r="O1702" t="s">
        <v>111</v>
      </c>
      <c r="P1702" t="s">
        <v>112</v>
      </c>
      <c r="Q1702" t="s">
        <v>113</v>
      </c>
    </row>
    <row r="1703" spans="1:17" x14ac:dyDescent="0.3">
      <c r="A1703" t="s">
        <v>17</v>
      </c>
      <c r="B1703">
        <v>68</v>
      </c>
      <c r="C1703" t="s">
        <v>34</v>
      </c>
      <c r="D1703" s="2">
        <v>45889</v>
      </c>
      <c r="E1703" s="3">
        <f t="shared" si="26"/>
        <v>45870</v>
      </c>
      <c r="F1703" t="s">
        <v>1680</v>
      </c>
      <c r="G1703" t="s">
        <v>122</v>
      </c>
      <c r="H1703" s="4">
        <v>4.4000000000000004</v>
      </c>
      <c r="I1703" t="s">
        <v>108</v>
      </c>
      <c r="J1703" t="s">
        <v>109</v>
      </c>
      <c r="K1703" t="s">
        <v>1438</v>
      </c>
      <c r="L1703" s="2">
        <v>45870</v>
      </c>
      <c r="M1703" t="s">
        <v>109</v>
      </c>
      <c r="N1703">
        <v>0</v>
      </c>
      <c r="O1703" t="s">
        <v>111</v>
      </c>
      <c r="P1703" t="s">
        <v>112</v>
      </c>
      <c r="Q1703" t="s">
        <v>113</v>
      </c>
    </row>
    <row r="1704" spans="1:17" x14ac:dyDescent="0.3">
      <c r="A1704" t="s">
        <v>17</v>
      </c>
      <c r="B1704">
        <v>68</v>
      </c>
      <c r="C1704" t="s">
        <v>34</v>
      </c>
      <c r="D1704" s="2">
        <v>45889</v>
      </c>
      <c r="E1704" s="3">
        <f t="shared" si="26"/>
        <v>45870</v>
      </c>
      <c r="F1704" t="s">
        <v>1680</v>
      </c>
      <c r="G1704" t="s">
        <v>122</v>
      </c>
      <c r="H1704" s="4">
        <v>6</v>
      </c>
      <c r="I1704" t="s">
        <v>108</v>
      </c>
      <c r="J1704" t="s">
        <v>109</v>
      </c>
      <c r="K1704" t="s">
        <v>1439</v>
      </c>
      <c r="L1704" s="2">
        <v>45870</v>
      </c>
      <c r="M1704" t="s">
        <v>109</v>
      </c>
      <c r="N1704">
        <v>0</v>
      </c>
      <c r="O1704" t="s">
        <v>111</v>
      </c>
      <c r="P1704" t="s">
        <v>112</v>
      </c>
      <c r="Q1704" t="s">
        <v>113</v>
      </c>
    </row>
    <row r="1705" spans="1:17" x14ac:dyDescent="0.3">
      <c r="A1705" t="s">
        <v>17</v>
      </c>
      <c r="B1705">
        <v>68</v>
      </c>
      <c r="C1705" t="s">
        <v>34</v>
      </c>
      <c r="D1705" s="2">
        <v>45889</v>
      </c>
      <c r="E1705" s="3">
        <f t="shared" si="26"/>
        <v>45870</v>
      </c>
      <c r="F1705" t="s">
        <v>1680</v>
      </c>
      <c r="G1705" t="s">
        <v>122</v>
      </c>
      <c r="H1705" s="4">
        <v>50.54</v>
      </c>
      <c r="I1705" t="s">
        <v>108</v>
      </c>
      <c r="J1705" t="s">
        <v>109</v>
      </c>
      <c r="K1705" t="s">
        <v>1681</v>
      </c>
      <c r="L1705" s="2">
        <v>45870</v>
      </c>
      <c r="M1705" t="s">
        <v>109</v>
      </c>
      <c r="N1705">
        <v>0</v>
      </c>
      <c r="O1705" t="s">
        <v>111</v>
      </c>
      <c r="P1705" t="s">
        <v>112</v>
      </c>
      <c r="Q1705" t="s">
        <v>113</v>
      </c>
    </row>
    <row r="1706" spans="1:17" x14ac:dyDescent="0.3">
      <c r="A1706" t="s">
        <v>17</v>
      </c>
      <c r="B1706">
        <v>68</v>
      </c>
      <c r="C1706" t="s">
        <v>34</v>
      </c>
      <c r="D1706" s="2">
        <v>45889</v>
      </c>
      <c r="E1706" s="3">
        <f t="shared" si="26"/>
        <v>45870</v>
      </c>
      <c r="F1706" t="s">
        <v>1682</v>
      </c>
      <c r="G1706" t="s">
        <v>122</v>
      </c>
      <c r="H1706" s="4">
        <v>176</v>
      </c>
      <c r="I1706" t="s">
        <v>108</v>
      </c>
      <c r="J1706" t="s">
        <v>109</v>
      </c>
      <c r="K1706" t="s">
        <v>1287</v>
      </c>
      <c r="L1706" s="2">
        <v>45870</v>
      </c>
      <c r="M1706" t="s">
        <v>109</v>
      </c>
      <c r="N1706">
        <v>0</v>
      </c>
      <c r="O1706" t="s">
        <v>111</v>
      </c>
      <c r="P1706" t="s">
        <v>112</v>
      </c>
      <c r="Q1706" t="s">
        <v>113</v>
      </c>
    </row>
    <row r="1707" spans="1:17" x14ac:dyDescent="0.3">
      <c r="A1707" t="s">
        <v>17</v>
      </c>
      <c r="B1707">
        <v>68</v>
      </c>
      <c r="C1707" t="s">
        <v>34</v>
      </c>
      <c r="D1707" s="2">
        <v>45890</v>
      </c>
      <c r="E1707" s="3">
        <f t="shared" si="26"/>
        <v>45870</v>
      </c>
      <c r="F1707" t="s">
        <v>1683</v>
      </c>
      <c r="G1707" t="s">
        <v>122</v>
      </c>
      <c r="H1707" s="4">
        <v>2.09</v>
      </c>
      <c r="I1707" t="s">
        <v>108</v>
      </c>
      <c r="J1707" t="s">
        <v>109</v>
      </c>
      <c r="K1707" t="s">
        <v>1684</v>
      </c>
      <c r="L1707" s="2">
        <v>45870</v>
      </c>
      <c r="M1707" t="s">
        <v>109</v>
      </c>
      <c r="N1707">
        <v>0</v>
      </c>
      <c r="O1707" t="s">
        <v>111</v>
      </c>
      <c r="P1707" t="s">
        <v>112</v>
      </c>
      <c r="Q1707" t="s">
        <v>113</v>
      </c>
    </row>
    <row r="1708" spans="1:17" x14ac:dyDescent="0.3">
      <c r="A1708" t="s">
        <v>17</v>
      </c>
      <c r="B1708">
        <v>68</v>
      </c>
      <c r="C1708" t="s">
        <v>34</v>
      </c>
      <c r="D1708" s="2">
        <v>45890</v>
      </c>
      <c r="E1708" s="3">
        <f t="shared" si="26"/>
        <v>45870</v>
      </c>
      <c r="F1708" t="s">
        <v>1683</v>
      </c>
      <c r="G1708" t="s">
        <v>122</v>
      </c>
      <c r="H1708" s="4">
        <v>17</v>
      </c>
      <c r="I1708" t="s">
        <v>108</v>
      </c>
      <c r="J1708" t="s">
        <v>109</v>
      </c>
      <c r="K1708" t="s">
        <v>1684</v>
      </c>
      <c r="L1708" s="2">
        <v>45870</v>
      </c>
      <c r="M1708" t="s">
        <v>109</v>
      </c>
      <c r="N1708">
        <v>0</v>
      </c>
      <c r="O1708" t="s">
        <v>111</v>
      </c>
      <c r="P1708" t="s">
        <v>112</v>
      </c>
      <c r="Q1708" t="s">
        <v>113</v>
      </c>
    </row>
    <row r="1709" spans="1:17" x14ac:dyDescent="0.3">
      <c r="A1709" t="s">
        <v>17</v>
      </c>
      <c r="B1709">
        <v>68</v>
      </c>
      <c r="C1709" t="s">
        <v>34</v>
      </c>
      <c r="D1709" s="2">
        <v>45890</v>
      </c>
      <c r="E1709" s="3">
        <f t="shared" si="26"/>
        <v>45870</v>
      </c>
      <c r="F1709" t="s">
        <v>1683</v>
      </c>
      <c r="G1709" t="s">
        <v>122</v>
      </c>
      <c r="H1709" s="4">
        <v>1.31</v>
      </c>
      <c r="I1709" t="s">
        <v>108</v>
      </c>
      <c r="J1709" t="s">
        <v>109</v>
      </c>
      <c r="K1709" t="s">
        <v>1684</v>
      </c>
      <c r="L1709" s="2">
        <v>45870</v>
      </c>
      <c r="M1709" t="s">
        <v>109</v>
      </c>
      <c r="N1709">
        <v>0</v>
      </c>
      <c r="O1709" t="s">
        <v>111</v>
      </c>
      <c r="P1709" t="s">
        <v>112</v>
      </c>
      <c r="Q1709" t="s">
        <v>113</v>
      </c>
    </row>
    <row r="1710" spans="1:17" x14ac:dyDescent="0.3">
      <c r="A1710" t="s">
        <v>17</v>
      </c>
      <c r="B1710">
        <v>68</v>
      </c>
      <c r="C1710" t="s">
        <v>34</v>
      </c>
      <c r="D1710" s="2">
        <v>45892</v>
      </c>
      <c r="E1710" s="3">
        <f t="shared" si="26"/>
        <v>45870</v>
      </c>
      <c r="F1710" t="s">
        <v>1685</v>
      </c>
      <c r="G1710" t="s">
        <v>122</v>
      </c>
      <c r="H1710" s="4">
        <v>2.09</v>
      </c>
      <c r="I1710" t="s">
        <v>108</v>
      </c>
      <c r="J1710" t="s">
        <v>109</v>
      </c>
      <c r="K1710" t="s">
        <v>1686</v>
      </c>
      <c r="L1710" s="2">
        <v>45870</v>
      </c>
      <c r="M1710" t="s">
        <v>109</v>
      </c>
      <c r="N1710">
        <v>0</v>
      </c>
      <c r="O1710" t="s">
        <v>111</v>
      </c>
      <c r="P1710" t="s">
        <v>112</v>
      </c>
      <c r="Q1710" t="s">
        <v>113</v>
      </c>
    </row>
    <row r="1711" spans="1:17" x14ac:dyDescent="0.3">
      <c r="A1711" t="s">
        <v>17</v>
      </c>
      <c r="B1711">
        <v>68</v>
      </c>
      <c r="C1711" t="s">
        <v>34</v>
      </c>
      <c r="D1711" s="2">
        <v>45892</v>
      </c>
      <c r="E1711" s="3">
        <f t="shared" si="26"/>
        <v>45870</v>
      </c>
      <c r="F1711" t="s">
        <v>1685</v>
      </c>
      <c r="G1711" t="s">
        <v>122</v>
      </c>
      <c r="H1711" s="4">
        <v>17</v>
      </c>
      <c r="I1711" t="s">
        <v>108</v>
      </c>
      <c r="J1711" t="s">
        <v>109</v>
      </c>
      <c r="K1711" t="s">
        <v>1687</v>
      </c>
      <c r="L1711" s="2">
        <v>45870</v>
      </c>
      <c r="M1711" t="s">
        <v>109</v>
      </c>
      <c r="N1711">
        <v>0</v>
      </c>
      <c r="O1711" t="s">
        <v>111</v>
      </c>
      <c r="P1711" t="s">
        <v>112</v>
      </c>
      <c r="Q1711" t="s">
        <v>113</v>
      </c>
    </row>
    <row r="1712" spans="1:17" x14ac:dyDescent="0.3">
      <c r="A1712" t="s">
        <v>17</v>
      </c>
      <c r="B1712">
        <v>68</v>
      </c>
      <c r="C1712" t="s">
        <v>34</v>
      </c>
      <c r="D1712" s="2">
        <v>45892</v>
      </c>
      <c r="E1712" s="3">
        <f t="shared" si="26"/>
        <v>45870</v>
      </c>
      <c r="F1712" t="s">
        <v>1685</v>
      </c>
      <c r="G1712" t="s">
        <v>122</v>
      </c>
      <c r="H1712" s="4">
        <v>1.31</v>
      </c>
      <c r="I1712" t="s">
        <v>108</v>
      </c>
      <c r="J1712" t="s">
        <v>109</v>
      </c>
      <c r="K1712" t="s">
        <v>1687</v>
      </c>
      <c r="L1712" s="2">
        <v>45870</v>
      </c>
      <c r="M1712" t="s">
        <v>109</v>
      </c>
      <c r="N1712">
        <v>0</v>
      </c>
      <c r="O1712" t="s">
        <v>111</v>
      </c>
      <c r="P1712" t="s">
        <v>112</v>
      </c>
      <c r="Q1712" t="s">
        <v>113</v>
      </c>
    </row>
    <row r="1713" spans="1:17" x14ac:dyDescent="0.3">
      <c r="A1713" t="s">
        <v>17</v>
      </c>
      <c r="B1713">
        <v>68</v>
      </c>
      <c r="C1713" t="s">
        <v>34</v>
      </c>
      <c r="D1713" s="2">
        <v>45894</v>
      </c>
      <c r="E1713" s="3">
        <f t="shared" si="26"/>
        <v>45870</v>
      </c>
      <c r="F1713" t="s">
        <v>1688</v>
      </c>
      <c r="G1713" t="s">
        <v>122</v>
      </c>
      <c r="H1713" s="4">
        <v>8.9600000000000009</v>
      </c>
      <c r="I1713" t="s">
        <v>108</v>
      </c>
      <c r="J1713" t="s">
        <v>109</v>
      </c>
      <c r="L1713" s="2">
        <v>45870</v>
      </c>
      <c r="M1713" t="s">
        <v>109</v>
      </c>
      <c r="N1713">
        <v>0</v>
      </c>
      <c r="O1713" t="s">
        <v>111</v>
      </c>
      <c r="P1713" t="s">
        <v>112</v>
      </c>
      <c r="Q1713" t="s">
        <v>113</v>
      </c>
    </row>
    <row r="1714" spans="1:17" x14ac:dyDescent="0.3">
      <c r="A1714" t="s">
        <v>17</v>
      </c>
      <c r="B1714">
        <v>68</v>
      </c>
      <c r="C1714" t="s">
        <v>34</v>
      </c>
      <c r="D1714" s="2">
        <v>45894</v>
      </c>
      <c r="E1714" s="3">
        <f t="shared" si="26"/>
        <v>45870</v>
      </c>
      <c r="F1714" t="s">
        <v>1688</v>
      </c>
      <c r="G1714" t="s">
        <v>122</v>
      </c>
      <c r="H1714" s="4">
        <v>17</v>
      </c>
      <c r="I1714" t="s">
        <v>108</v>
      </c>
      <c r="J1714" t="s">
        <v>109</v>
      </c>
      <c r="K1714" t="s">
        <v>1455</v>
      </c>
      <c r="L1714" s="2">
        <v>45870</v>
      </c>
      <c r="M1714" t="s">
        <v>109</v>
      </c>
      <c r="N1714">
        <v>0</v>
      </c>
      <c r="O1714" t="s">
        <v>111</v>
      </c>
      <c r="P1714" t="s">
        <v>112</v>
      </c>
      <c r="Q1714" t="s">
        <v>113</v>
      </c>
    </row>
    <row r="1715" spans="1:17" x14ac:dyDescent="0.3">
      <c r="A1715" t="s">
        <v>17</v>
      </c>
      <c r="B1715">
        <v>68</v>
      </c>
      <c r="C1715" t="s">
        <v>34</v>
      </c>
      <c r="D1715" s="2">
        <v>45894</v>
      </c>
      <c r="E1715" s="3">
        <f t="shared" si="26"/>
        <v>45870</v>
      </c>
      <c r="F1715" t="s">
        <v>1688</v>
      </c>
      <c r="G1715" t="s">
        <v>122</v>
      </c>
      <c r="H1715" s="4">
        <v>1.31</v>
      </c>
      <c r="I1715" t="s">
        <v>108</v>
      </c>
      <c r="J1715" t="s">
        <v>109</v>
      </c>
      <c r="K1715" t="s">
        <v>1457</v>
      </c>
      <c r="L1715" s="2">
        <v>45870</v>
      </c>
      <c r="M1715" t="s">
        <v>109</v>
      </c>
      <c r="N1715">
        <v>0</v>
      </c>
      <c r="O1715" t="s">
        <v>111</v>
      </c>
      <c r="P1715" t="s">
        <v>112</v>
      </c>
      <c r="Q1715" t="s">
        <v>113</v>
      </c>
    </row>
    <row r="1716" spans="1:17" x14ac:dyDescent="0.3">
      <c r="A1716" t="s">
        <v>17</v>
      </c>
      <c r="B1716">
        <v>68</v>
      </c>
      <c r="C1716" t="s">
        <v>34</v>
      </c>
      <c r="D1716" s="2">
        <v>45895</v>
      </c>
      <c r="E1716" s="3">
        <f t="shared" si="26"/>
        <v>45870</v>
      </c>
      <c r="F1716" t="s">
        <v>1689</v>
      </c>
      <c r="G1716" t="s">
        <v>107</v>
      </c>
      <c r="H1716" s="4">
        <v>51.6</v>
      </c>
      <c r="I1716" t="s">
        <v>108</v>
      </c>
      <c r="J1716" t="s">
        <v>109</v>
      </c>
      <c r="L1716" s="2">
        <v>45870</v>
      </c>
      <c r="M1716" t="s">
        <v>109</v>
      </c>
      <c r="N1716">
        <v>0</v>
      </c>
      <c r="O1716" t="s">
        <v>111</v>
      </c>
      <c r="P1716" t="s">
        <v>112</v>
      </c>
      <c r="Q1716" t="s">
        <v>113</v>
      </c>
    </row>
    <row r="1717" spans="1:17" x14ac:dyDescent="0.3">
      <c r="A1717" t="s">
        <v>17</v>
      </c>
      <c r="B1717">
        <v>68</v>
      </c>
      <c r="C1717" t="s">
        <v>34</v>
      </c>
      <c r="D1717" s="2">
        <v>45896</v>
      </c>
      <c r="E1717" s="3">
        <f t="shared" si="26"/>
        <v>45870</v>
      </c>
      <c r="F1717" t="s">
        <v>1690</v>
      </c>
      <c r="G1717" t="s">
        <v>122</v>
      </c>
      <c r="H1717" s="4">
        <v>907.63</v>
      </c>
      <c r="I1717" t="s">
        <v>108</v>
      </c>
      <c r="J1717" t="s">
        <v>109</v>
      </c>
      <c r="K1717" t="s">
        <v>1287</v>
      </c>
      <c r="L1717" s="2">
        <v>45870</v>
      </c>
      <c r="M1717" t="s">
        <v>109</v>
      </c>
      <c r="N1717">
        <v>0</v>
      </c>
      <c r="O1717" t="s">
        <v>111</v>
      </c>
      <c r="P1717" t="s">
        <v>112</v>
      </c>
      <c r="Q1717" t="s">
        <v>113</v>
      </c>
    </row>
    <row r="1718" spans="1:17" x14ac:dyDescent="0.3">
      <c r="A1718" t="s">
        <v>17</v>
      </c>
      <c r="B1718">
        <v>68</v>
      </c>
      <c r="C1718" t="s">
        <v>34</v>
      </c>
      <c r="D1718" s="2">
        <v>45896</v>
      </c>
      <c r="E1718" s="3">
        <f t="shared" si="26"/>
        <v>45870</v>
      </c>
      <c r="F1718" t="s">
        <v>1691</v>
      </c>
      <c r="G1718" t="s">
        <v>122</v>
      </c>
      <c r="H1718" s="4">
        <v>3.48</v>
      </c>
      <c r="I1718" t="s">
        <v>108</v>
      </c>
      <c r="J1718" t="s">
        <v>109</v>
      </c>
      <c r="L1718" s="2">
        <v>45870</v>
      </c>
      <c r="M1718" t="s">
        <v>109</v>
      </c>
      <c r="N1718">
        <v>0</v>
      </c>
      <c r="O1718" t="s">
        <v>111</v>
      </c>
      <c r="P1718" t="s">
        <v>112</v>
      </c>
      <c r="Q1718" t="s">
        <v>113</v>
      </c>
    </row>
    <row r="1719" spans="1:17" x14ac:dyDescent="0.3">
      <c r="A1719" t="s">
        <v>17</v>
      </c>
      <c r="B1719">
        <v>68</v>
      </c>
      <c r="C1719" t="s">
        <v>34</v>
      </c>
      <c r="D1719" s="2">
        <v>45896</v>
      </c>
      <c r="E1719" s="3">
        <f t="shared" si="26"/>
        <v>45870</v>
      </c>
      <c r="F1719" t="s">
        <v>1691</v>
      </c>
      <c r="G1719" t="s">
        <v>122</v>
      </c>
      <c r="H1719" s="4">
        <v>17</v>
      </c>
      <c r="I1719" t="s">
        <v>108</v>
      </c>
      <c r="J1719" t="s">
        <v>109</v>
      </c>
      <c r="L1719" s="2">
        <v>45870</v>
      </c>
      <c r="M1719" t="s">
        <v>109</v>
      </c>
      <c r="N1719">
        <v>0</v>
      </c>
      <c r="O1719" t="s">
        <v>111</v>
      </c>
      <c r="P1719" t="s">
        <v>112</v>
      </c>
      <c r="Q1719" t="s">
        <v>113</v>
      </c>
    </row>
    <row r="1720" spans="1:17" x14ac:dyDescent="0.3">
      <c r="A1720" t="s">
        <v>17</v>
      </c>
      <c r="B1720">
        <v>68</v>
      </c>
      <c r="C1720" t="s">
        <v>34</v>
      </c>
      <c r="D1720" s="2">
        <v>45896</v>
      </c>
      <c r="E1720" s="3">
        <f t="shared" si="26"/>
        <v>45870</v>
      </c>
      <c r="F1720" t="s">
        <v>1691</v>
      </c>
      <c r="G1720" t="s">
        <v>122</v>
      </c>
      <c r="H1720" s="4">
        <v>1.31</v>
      </c>
      <c r="I1720" t="s">
        <v>108</v>
      </c>
      <c r="J1720" t="s">
        <v>109</v>
      </c>
      <c r="L1720" s="2">
        <v>45870</v>
      </c>
      <c r="M1720" t="s">
        <v>109</v>
      </c>
      <c r="N1720">
        <v>0</v>
      </c>
      <c r="O1720" t="s">
        <v>111</v>
      </c>
      <c r="P1720" t="s">
        <v>112</v>
      </c>
      <c r="Q1720" t="s">
        <v>113</v>
      </c>
    </row>
    <row r="1721" spans="1:17" x14ac:dyDescent="0.3">
      <c r="A1721" t="s">
        <v>17</v>
      </c>
      <c r="B1721">
        <v>68</v>
      </c>
      <c r="C1721" t="s">
        <v>34</v>
      </c>
      <c r="D1721" s="2">
        <v>45898</v>
      </c>
      <c r="E1721" s="3">
        <f t="shared" si="26"/>
        <v>45870</v>
      </c>
      <c r="F1721" t="s">
        <v>1692</v>
      </c>
      <c r="G1721" t="s">
        <v>122</v>
      </c>
      <c r="H1721" s="4">
        <v>10.8</v>
      </c>
      <c r="I1721" t="s">
        <v>108</v>
      </c>
      <c r="J1721" t="s">
        <v>109</v>
      </c>
      <c r="L1721" s="2">
        <v>45870</v>
      </c>
      <c r="M1721" t="s">
        <v>109</v>
      </c>
      <c r="N1721">
        <v>0</v>
      </c>
      <c r="O1721" t="s">
        <v>111</v>
      </c>
      <c r="P1721" t="s">
        <v>112</v>
      </c>
      <c r="Q1721" t="s">
        <v>113</v>
      </c>
    </row>
    <row r="1722" spans="1:17" x14ac:dyDescent="0.3">
      <c r="A1722" t="s">
        <v>17</v>
      </c>
      <c r="B1722">
        <v>68</v>
      </c>
      <c r="C1722" t="s">
        <v>34</v>
      </c>
      <c r="D1722" s="2">
        <v>45898</v>
      </c>
      <c r="E1722" s="3">
        <f t="shared" si="26"/>
        <v>45870</v>
      </c>
      <c r="F1722" t="s">
        <v>1692</v>
      </c>
      <c r="G1722" t="s">
        <v>122</v>
      </c>
      <c r="H1722" s="4">
        <v>17</v>
      </c>
      <c r="I1722" t="s">
        <v>108</v>
      </c>
      <c r="J1722" t="s">
        <v>109</v>
      </c>
      <c r="K1722" t="s">
        <v>1455</v>
      </c>
      <c r="L1722" s="2">
        <v>45870</v>
      </c>
      <c r="M1722" t="s">
        <v>109</v>
      </c>
      <c r="N1722">
        <v>0</v>
      </c>
      <c r="O1722" t="s">
        <v>111</v>
      </c>
      <c r="P1722" t="s">
        <v>112</v>
      </c>
      <c r="Q1722" t="s">
        <v>113</v>
      </c>
    </row>
    <row r="1723" spans="1:17" x14ac:dyDescent="0.3">
      <c r="A1723" t="s">
        <v>17</v>
      </c>
      <c r="B1723">
        <v>68</v>
      </c>
      <c r="C1723" t="s">
        <v>34</v>
      </c>
      <c r="D1723" s="2">
        <v>45898</v>
      </c>
      <c r="E1723" s="3">
        <f t="shared" si="26"/>
        <v>45870</v>
      </c>
      <c r="F1723" t="s">
        <v>1692</v>
      </c>
      <c r="G1723" t="s">
        <v>122</v>
      </c>
      <c r="H1723" s="4">
        <v>1.31</v>
      </c>
      <c r="I1723" t="s">
        <v>108</v>
      </c>
      <c r="J1723" t="s">
        <v>109</v>
      </c>
      <c r="K1723" t="s">
        <v>1457</v>
      </c>
      <c r="L1723" s="2">
        <v>45870</v>
      </c>
      <c r="M1723" t="s">
        <v>109</v>
      </c>
      <c r="N1723">
        <v>0</v>
      </c>
      <c r="O1723" t="s">
        <v>111</v>
      </c>
      <c r="P1723" t="s">
        <v>112</v>
      </c>
      <c r="Q1723" t="s">
        <v>113</v>
      </c>
    </row>
    <row r="1724" spans="1:17" x14ac:dyDescent="0.3">
      <c r="A1724" t="s">
        <v>17</v>
      </c>
      <c r="B1724">
        <v>68</v>
      </c>
      <c r="C1724" t="s">
        <v>34</v>
      </c>
      <c r="D1724" s="2">
        <v>45900</v>
      </c>
      <c r="E1724" s="3">
        <f t="shared" si="26"/>
        <v>45870</v>
      </c>
      <c r="F1724" t="s">
        <v>1693</v>
      </c>
      <c r="G1724" t="s">
        <v>122</v>
      </c>
      <c r="H1724" s="4">
        <v>161.58000000000001</v>
      </c>
      <c r="I1724" t="s">
        <v>108</v>
      </c>
      <c r="J1724" t="s">
        <v>109</v>
      </c>
      <c r="K1724" t="s">
        <v>1287</v>
      </c>
      <c r="L1724" s="2">
        <v>45870</v>
      </c>
      <c r="M1724" t="s">
        <v>109</v>
      </c>
      <c r="N1724">
        <v>0</v>
      </c>
      <c r="O1724" t="s">
        <v>111</v>
      </c>
      <c r="P1724" t="s">
        <v>112</v>
      </c>
      <c r="Q1724" t="s">
        <v>113</v>
      </c>
    </row>
    <row r="1725" spans="1:17" x14ac:dyDescent="0.3">
      <c r="A1725" t="s">
        <v>17</v>
      </c>
      <c r="B1725">
        <v>68</v>
      </c>
      <c r="C1725" t="s">
        <v>34</v>
      </c>
      <c r="D1725" s="2">
        <v>45900</v>
      </c>
      <c r="E1725" s="3">
        <f t="shared" si="26"/>
        <v>45870</v>
      </c>
      <c r="F1725" t="s">
        <v>1694</v>
      </c>
      <c r="G1725" t="s">
        <v>122</v>
      </c>
      <c r="H1725" s="4">
        <v>392.07</v>
      </c>
      <c r="I1725" t="s">
        <v>108</v>
      </c>
      <c r="J1725" t="s">
        <v>109</v>
      </c>
      <c r="K1725" t="s">
        <v>1287</v>
      </c>
      <c r="L1725" s="2">
        <v>45870</v>
      </c>
      <c r="M1725" t="s">
        <v>109</v>
      </c>
      <c r="N1725">
        <v>0</v>
      </c>
      <c r="O1725" t="s">
        <v>111</v>
      </c>
      <c r="P1725" t="s">
        <v>112</v>
      </c>
      <c r="Q1725" t="s">
        <v>113</v>
      </c>
    </row>
    <row r="1726" spans="1:17" x14ac:dyDescent="0.3">
      <c r="A1726" t="s">
        <v>17</v>
      </c>
      <c r="B1726">
        <v>68</v>
      </c>
      <c r="C1726" t="s">
        <v>34</v>
      </c>
      <c r="D1726" s="2">
        <v>45900</v>
      </c>
      <c r="E1726" s="3">
        <f t="shared" si="26"/>
        <v>45870</v>
      </c>
      <c r="F1726" t="s">
        <v>1695</v>
      </c>
      <c r="G1726" t="s">
        <v>291</v>
      </c>
      <c r="H1726" s="4">
        <v>86.64</v>
      </c>
      <c r="I1726" t="s">
        <v>47</v>
      </c>
      <c r="J1726" t="s">
        <v>109</v>
      </c>
      <c r="L1726" s="2">
        <v>45870</v>
      </c>
      <c r="M1726" t="s">
        <v>109</v>
      </c>
      <c r="N1726">
        <v>0</v>
      </c>
      <c r="O1726" t="s">
        <v>26</v>
      </c>
      <c r="P1726" t="s">
        <v>112</v>
      </c>
      <c r="Q1726" t="s">
        <v>113</v>
      </c>
    </row>
    <row r="1727" spans="1:17" x14ac:dyDescent="0.3">
      <c r="A1727" t="s">
        <v>17</v>
      </c>
      <c r="B1727">
        <v>68</v>
      </c>
      <c r="C1727" t="s">
        <v>34</v>
      </c>
      <c r="D1727" s="2">
        <v>45900</v>
      </c>
      <c r="E1727" s="3">
        <f t="shared" si="26"/>
        <v>45870</v>
      </c>
      <c r="F1727" t="s">
        <v>1695</v>
      </c>
      <c r="G1727" t="s">
        <v>291</v>
      </c>
      <c r="H1727" s="4">
        <v>131.63999999999999</v>
      </c>
      <c r="I1727" t="s">
        <v>47</v>
      </c>
      <c r="J1727" t="s">
        <v>109</v>
      </c>
      <c r="L1727" s="2">
        <v>45870</v>
      </c>
      <c r="M1727" t="s">
        <v>109</v>
      </c>
      <c r="N1727">
        <v>0</v>
      </c>
      <c r="O1727" t="s">
        <v>26</v>
      </c>
      <c r="P1727" t="s">
        <v>112</v>
      </c>
      <c r="Q1727" t="s">
        <v>113</v>
      </c>
    </row>
    <row r="1728" spans="1:17" x14ac:dyDescent="0.3">
      <c r="A1728" t="s">
        <v>17</v>
      </c>
      <c r="B1728">
        <v>68</v>
      </c>
      <c r="C1728" t="s">
        <v>34</v>
      </c>
      <c r="D1728" s="2">
        <v>45900</v>
      </c>
      <c r="E1728" s="3">
        <f t="shared" si="26"/>
        <v>45870</v>
      </c>
      <c r="F1728" t="s">
        <v>1695</v>
      </c>
      <c r="G1728" t="s">
        <v>291</v>
      </c>
      <c r="H1728" s="4">
        <v>115.03</v>
      </c>
      <c r="I1728" t="s">
        <v>47</v>
      </c>
      <c r="J1728" t="s">
        <v>109</v>
      </c>
      <c r="K1728" t="s">
        <v>1696</v>
      </c>
      <c r="L1728" s="2">
        <v>45870</v>
      </c>
      <c r="M1728" t="s">
        <v>109</v>
      </c>
      <c r="N1728">
        <v>0</v>
      </c>
      <c r="O1728" t="s">
        <v>26</v>
      </c>
      <c r="P1728" t="s">
        <v>112</v>
      </c>
      <c r="Q1728" t="s">
        <v>113</v>
      </c>
    </row>
    <row r="1729" spans="1:17" x14ac:dyDescent="0.3">
      <c r="A1729" t="s">
        <v>17</v>
      </c>
      <c r="B1729">
        <v>68</v>
      </c>
      <c r="C1729" t="s">
        <v>34</v>
      </c>
      <c r="D1729" s="2">
        <v>45900</v>
      </c>
      <c r="E1729" s="3">
        <f t="shared" si="26"/>
        <v>45870</v>
      </c>
      <c r="F1729" t="s">
        <v>1695</v>
      </c>
      <c r="G1729" t="s">
        <v>291</v>
      </c>
      <c r="H1729" s="4">
        <v>166.64</v>
      </c>
      <c r="I1729" t="s">
        <v>47</v>
      </c>
      <c r="J1729" t="s">
        <v>109</v>
      </c>
      <c r="K1729" t="s">
        <v>1697</v>
      </c>
      <c r="L1729" s="2">
        <v>45870</v>
      </c>
      <c r="M1729" t="s">
        <v>109</v>
      </c>
      <c r="N1729">
        <v>0</v>
      </c>
      <c r="O1729" t="s">
        <v>26</v>
      </c>
      <c r="P1729" t="s">
        <v>112</v>
      </c>
      <c r="Q1729" t="s">
        <v>113</v>
      </c>
    </row>
    <row r="1730" spans="1:17" x14ac:dyDescent="0.3">
      <c r="A1730" t="s">
        <v>17</v>
      </c>
      <c r="B1730">
        <v>68</v>
      </c>
      <c r="C1730" t="s">
        <v>34</v>
      </c>
      <c r="D1730" s="2">
        <v>45900</v>
      </c>
      <c r="E1730" s="3">
        <f t="shared" si="26"/>
        <v>45870</v>
      </c>
      <c r="F1730" t="s">
        <v>1695</v>
      </c>
      <c r="G1730" t="s">
        <v>291</v>
      </c>
      <c r="H1730" s="4">
        <v>51.64</v>
      </c>
      <c r="I1730" t="s">
        <v>47</v>
      </c>
      <c r="J1730" t="s">
        <v>109</v>
      </c>
      <c r="K1730" t="s">
        <v>1698</v>
      </c>
      <c r="L1730" s="2">
        <v>45870</v>
      </c>
      <c r="M1730" t="s">
        <v>109</v>
      </c>
      <c r="N1730">
        <v>0</v>
      </c>
      <c r="O1730" t="s">
        <v>26</v>
      </c>
      <c r="P1730" t="s">
        <v>112</v>
      </c>
      <c r="Q1730" t="s">
        <v>113</v>
      </c>
    </row>
    <row r="1731" spans="1:17" x14ac:dyDescent="0.3">
      <c r="A1731" t="s">
        <v>17</v>
      </c>
      <c r="B1731">
        <v>68</v>
      </c>
      <c r="C1731" t="s">
        <v>34</v>
      </c>
      <c r="D1731" s="2">
        <v>45900</v>
      </c>
      <c r="E1731" s="3">
        <f t="shared" ref="E1731:E1794" si="27">IF($D1731="","",DATE(YEAR($D1731),MONTH($D1731),1))</f>
        <v>45870</v>
      </c>
      <c r="F1731" t="s">
        <v>1695</v>
      </c>
      <c r="G1731" t="s">
        <v>291</v>
      </c>
      <c r="H1731" s="4">
        <v>191.64</v>
      </c>
      <c r="I1731" t="s">
        <v>47</v>
      </c>
      <c r="J1731" t="s">
        <v>109</v>
      </c>
      <c r="K1731" t="s">
        <v>1699</v>
      </c>
      <c r="L1731" s="2">
        <v>45870</v>
      </c>
      <c r="M1731" t="s">
        <v>109</v>
      </c>
      <c r="N1731">
        <v>0</v>
      </c>
      <c r="O1731" t="s">
        <v>26</v>
      </c>
      <c r="P1731" t="s">
        <v>112</v>
      </c>
      <c r="Q1731" t="s">
        <v>113</v>
      </c>
    </row>
    <row r="1732" spans="1:17" x14ac:dyDescent="0.3">
      <c r="A1732" t="s">
        <v>17</v>
      </c>
      <c r="B1732">
        <v>68</v>
      </c>
      <c r="C1732" t="s">
        <v>34</v>
      </c>
      <c r="D1732" s="2">
        <v>45900</v>
      </c>
      <c r="E1732" s="3">
        <f t="shared" si="27"/>
        <v>45870</v>
      </c>
      <c r="F1732" t="s">
        <v>1695</v>
      </c>
      <c r="G1732" t="s">
        <v>291</v>
      </c>
      <c r="H1732" s="4">
        <v>141.63999999999999</v>
      </c>
      <c r="I1732" t="s">
        <v>47</v>
      </c>
      <c r="J1732" t="s">
        <v>109</v>
      </c>
      <c r="K1732" t="s">
        <v>1700</v>
      </c>
      <c r="L1732" s="2">
        <v>45870</v>
      </c>
      <c r="M1732" t="s">
        <v>109</v>
      </c>
      <c r="N1732">
        <v>0</v>
      </c>
      <c r="O1732" t="s">
        <v>26</v>
      </c>
      <c r="P1732" t="s">
        <v>112</v>
      </c>
      <c r="Q1732" t="s">
        <v>113</v>
      </c>
    </row>
    <row r="1733" spans="1:17" x14ac:dyDescent="0.3">
      <c r="A1733" t="s">
        <v>17</v>
      </c>
      <c r="B1733">
        <v>68</v>
      </c>
      <c r="C1733" t="s">
        <v>34</v>
      </c>
      <c r="D1733" s="2">
        <v>45900</v>
      </c>
      <c r="E1733" s="3">
        <f t="shared" si="27"/>
        <v>45870</v>
      </c>
      <c r="F1733" t="s">
        <v>1695</v>
      </c>
      <c r="G1733" t="s">
        <v>291</v>
      </c>
      <c r="H1733" s="4">
        <v>151.63999999999999</v>
      </c>
      <c r="I1733" t="s">
        <v>47</v>
      </c>
      <c r="J1733" t="s">
        <v>109</v>
      </c>
      <c r="K1733" t="s">
        <v>1701</v>
      </c>
      <c r="L1733" s="2">
        <v>45870</v>
      </c>
      <c r="M1733" t="s">
        <v>109</v>
      </c>
      <c r="N1733">
        <v>0</v>
      </c>
      <c r="O1733" t="s">
        <v>26</v>
      </c>
      <c r="P1733" t="s">
        <v>112</v>
      </c>
      <c r="Q1733" t="s">
        <v>113</v>
      </c>
    </row>
    <row r="1734" spans="1:17" x14ac:dyDescent="0.3">
      <c r="A1734" t="s">
        <v>17</v>
      </c>
      <c r="B1734">
        <v>67</v>
      </c>
      <c r="C1734" t="s">
        <v>28</v>
      </c>
      <c r="D1734" s="2">
        <v>45894</v>
      </c>
      <c r="E1734" s="3">
        <f t="shared" si="27"/>
        <v>45870</v>
      </c>
      <c r="F1734" t="s">
        <v>1525</v>
      </c>
      <c r="H1734" s="4">
        <v>500</v>
      </c>
      <c r="I1734" t="s">
        <v>159</v>
      </c>
      <c r="J1734" t="s">
        <v>32</v>
      </c>
      <c r="K1734" t="s">
        <v>1702</v>
      </c>
      <c r="L1734" s="2">
        <v>45870</v>
      </c>
      <c r="M1734" t="s">
        <v>32</v>
      </c>
      <c r="N1734">
        <v>0</v>
      </c>
      <c r="O1734" t="s">
        <v>159</v>
      </c>
      <c r="P1734" t="s">
        <v>28</v>
      </c>
      <c r="Q1734">
        <v>0</v>
      </c>
    </row>
    <row r="1735" spans="1:17" x14ac:dyDescent="0.3">
      <c r="A1735" t="s">
        <v>17</v>
      </c>
      <c r="B1735">
        <v>67</v>
      </c>
      <c r="C1735" t="s">
        <v>28</v>
      </c>
      <c r="D1735" s="2">
        <v>45894</v>
      </c>
      <c r="E1735" s="3">
        <f t="shared" si="27"/>
        <v>45870</v>
      </c>
      <c r="F1735" t="s">
        <v>1525</v>
      </c>
      <c r="H1735" s="4">
        <v>500</v>
      </c>
      <c r="I1735" t="s">
        <v>159</v>
      </c>
      <c r="J1735" t="s">
        <v>32</v>
      </c>
      <c r="K1735" t="s">
        <v>1702</v>
      </c>
      <c r="L1735" s="2">
        <v>45870</v>
      </c>
      <c r="M1735" t="s">
        <v>32</v>
      </c>
      <c r="N1735">
        <v>0</v>
      </c>
      <c r="O1735" t="s">
        <v>159</v>
      </c>
      <c r="P1735" t="s">
        <v>28</v>
      </c>
      <c r="Q1735">
        <v>0</v>
      </c>
    </row>
    <row r="1736" spans="1:17" x14ac:dyDescent="0.3">
      <c r="A1736" t="s">
        <v>17</v>
      </c>
      <c r="B1736">
        <v>67</v>
      </c>
      <c r="C1736" t="s">
        <v>28</v>
      </c>
      <c r="D1736" s="2">
        <v>45894</v>
      </c>
      <c r="E1736" s="3">
        <f t="shared" si="27"/>
        <v>45870</v>
      </c>
      <c r="F1736" t="s">
        <v>1703</v>
      </c>
      <c r="G1736" t="s">
        <v>259</v>
      </c>
      <c r="H1736" s="4">
        <v>10363.42</v>
      </c>
      <c r="I1736" t="s">
        <v>31</v>
      </c>
      <c r="J1736" t="s">
        <v>32</v>
      </c>
      <c r="K1736" t="s">
        <v>1704</v>
      </c>
      <c r="L1736" s="2">
        <v>45870</v>
      </c>
      <c r="M1736" t="s">
        <v>32</v>
      </c>
      <c r="N1736">
        <v>0</v>
      </c>
      <c r="O1736" t="s">
        <v>31</v>
      </c>
      <c r="P1736" t="s">
        <v>28</v>
      </c>
      <c r="Q1736">
        <v>0</v>
      </c>
    </row>
    <row r="1737" spans="1:17" x14ac:dyDescent="0.3">
      <c r="A1737" t="s">
        <v>17</v>
      </c>
      <c r="B1737">
        <v>67</v>
      </c>
      <c r="C1737" t="s">
        <v>28</v>
      </c>
      <c r="D1737" s="2">
        <v>45894</v>
      </c>
      <c r="E1737" s="3">
        <f t="shared" si="27"/>
        <v>45870</v>
      </c>
      <c r="F1737" t="s">
        <v>1705</v>
      </c>
      <c r="G1737" t="s">
        <v>205</v>
      </c>
      <c r="H1737" s="4">
        <v>1000</v>
      </c>
      <c r="I1737" t="s">
        <v>31</v>
      </c>
      <c r="J1737" t="s">
        <v>32</v>
      </c>
      <c r="K1737" t="s">
        <v>1706</v>
      </c>
      <c r="L1737" s="2">
        <v>45870</v>
      </c>
      <c r="M1737" t="s">
        <v>32</v>
      </c>
      <c r="N1737">
        <v>0</v>
      </c>
      <c r="O1737" t="s">
        <v>31</v>
      </c>
      <c r="P1737" t="s">
        <v>28</v>
      </c>
      <c r="Q1737">
        <v>0</v>
      </c>
    </row>
    <row r="1738" spans="1:17" x14ac:dyDescent="0.3">
      <c r="A1738" t="s">
        <v>17</v>
      </c>
      <c r="B1738">
        <v>67</v>
      </c>
      <c r="C1738" t="s">
        <v>28</v>
      </c>
      <c r="D1738" s="2">
        <v>45894</v>
      </c>
      <c r="E1738" s="3">
        <f t="shared" si="27"/>
        <v>45870</v>
      </c>
      <c r="F1738" t="s">
        <v>1707</v>
      </c>
      <c r="G1738" t="s">
        <v>208</v>
      </c>
      <c r="H1738" s="4">
        <v>500</v>
      </c>
      <c r="I1738" t="s">
        <v>31</v>
      </c>
      <c r="J1738" t="s">
        <v>32</v>
      </c>
      <c r="K1738" t="s">
        <v>1706</v>
      </c>
      <c r="L1738" s="2">
        <v>45870</v>
      </c>
      <c r="M1738" t="s">
        <v>32</v>
      </c>
      <c r="N1738">
        <v>0</v>
      </c>
      <c r="O1738" t="s">
        <v>31</v>
      </c>
      <c r="P1738" t="s">
        <v>28</v>
      </c>
      <c r="Q1738">
        <v>0</v>
      </c>
    </row>
    <row r="1739" spans="1:17" x14ac:dyDescent="0.3">
      <c r="A1739" t="s">
        <v>17</v>
      </c>
      <c r="B1739">
        <v>67</v>
      </c>
      <c r="C1739" t="s">
        <v>28</v>
      </c>
      <c r="D1739" s="2">
        <v>45870</v>
      </c>
      <c r="E1739" s="3">
        <f t="shared" si="27"/>
        <v>45870</v>
      </c>
      <c r="F1739" t="s">
        <v>1708</v>
      </c>
      <c r="G1739" t="s">
        <v>578</v>
      </c>
      <c r="H1739" s="4">
        <v>5</v>
      </c>
      <c r="I1739" t="s">
        <v>31</v>
      </c>
      <c r="J1739" t="s">
        <v>60</v>
      </c>
      <c r="K1739" t="s">
        <v>1709</v>
      </c>
      <c r="L1739" s="2">
        <v>45870</v>
      </c>
      <c r="M1739" t="s">
        <v>60</v>
      </c>
      <c r="N1739">
        <v>0</v>
      </c>
      <c r="O1739" t="s">
        <v>31</v>
      </c>
      <c r="P1739" t="s">
        <v>28</v>
      </c>
      <c r="Q1739">
        <v>0</v>
      </c>
    </row>
    <row r="1740" spans="1:17" x14ac:dyDescent="0.3">
      <c r="A1740" t="s">
        <v>17</v>
      </c>
      <c r="B1740">
        <v>67</v>
      </c>
      <c r="C1740" t="s">
        <v>28</v>
      </c>
      <c r="D1740" s="2">
        <v>45870</v>
      </c>
      <c r="E1740" s="3">
        <f t="shared" si="27"/>
        <v>45870</v>
      </c>
      <c r="F1740" t="s">
        <v>1708</v>
      </c>
      <c r="G1740" t="s">
        <v>578</v>
      </c>
      <c r="H1740" s="4">
        <v>1996.3</v>
      </c>
      <c r="I1740" t="s">
        <v>31</v>
      </c>
      <c r="J1740" t="s">
        <v>60</v>
      </c>
      <c r="K1740" t="s">
        <v>1710</v>
      </c>
      <c r="L1740" s="2">
        <v>45870</v>
      </c>
      <c r="M1740" t="s">
        <v>60</v>
      </c>
      <c r="N1740">
        <v>0</v>
      </c>
      <c r="O1740" t="s">
        <v>31</v>
      </c>
      <c r="P1740" t="s">
        <v>28</v>
      </c>
      <c r="Q1740">
        <v>0</v>
      </c>
    </row>
    <row r="1741" spans="1:17" x14ac:dyDescent="0.3">
      <c r="A1741" t="s">
        <v>17</v>
      </c>
      <c r="B1741">
        <v>67</v>
      </c>
      <c r="C1741" t="s">
        <v>28</v>
      </c>
      <c r="D1741" s="2">
        <v>45870</v>
      </c>
      <c r="E1741" s="3">
        <f t="shared" si="27"/>
        <v>45870</v>
      </c>
      <c r="F1741" t="s">
        <v>1711</v>
      </c>
      <c r="H1741" s="4">
        <v>1.08</v>
      </c>
      <c r="I1741" t="s">
        <v>31</v>
      </c>
      <c r="J1741" t="s">
        <v>60</v>
      </c>
      <c r="L1741" s="2">
        <v>45870</v>
      </c>
      <c r="M1741" t="s">
        <v>60</v>
      </c>
      <c r="N1741">
        <v>0</v>
      </c>
      <c r="O1741" t="s">
        <v>31</v>
      </c>
      <c r="P1741" t="s">
        <v>28</v>
      </c>
      <c r="Q1741">
        <v>0</v>
      </c>
    </row>
    <row r="1742" spans="1:17" x14ac:dyDescent="0.3">
      <c r="A1742" t="s">
        <v>17</v>
      </c>
      <c r="B1742">
        <v>67</v>
      </c>
      <c r="C1742" t="s">
        <v>28</v>
      </c>
      <c r="D1742" s="2">
        <v>45870</v>
      </c>
      <c r="E1742" s="3">
        <f t="shared" si="27"/>
        <v>45870</v>
      </c>
      <c r="F1742" t="s">
        <v>1711</v>
      </c>
      <c r="H1742" s="4">
        <v>11.15</v>
      </c>
      <c r="I1742" t="s">
        <v>31</v>
      </c>
      <c r="J1742" t="s">
        <v>60</v>
      </c>
      <c r="L1742" s="2">
        <v>45870</v>
      </c>
      <c r="M1742" t="s">
        <v>60</v>
      </c>
      <c r="N1742">
        <v>0</v>
      </c>
      <c r="O1742" t="s">
        <v>31</v>
      </c>
      <c r="P1742" t="s">
        <v>28</v>
      </c>
      <c r="Q1742">
        <v>0</v>
      </c>
    </row>
    <row r="1743" spans="1:17" x14ac:dyDescent="0.3">
      <c r="A1743" t="s">
        <v>17</v>
      </c>
      <c r="B1743">
        <v>67</v>
      </c>
      <c r="C1743" t="s">
        <v>28</v>
      </c>
      <c r="D1743" s="2">
        <v>45870</v>
      </c>
      <c r="E1743" s="3">
        <f t="shared" si="27"/>
        <v>45870</v>
      </c>
      <c r="F1743" t="s">
        <v>1711</v>
      </c>
      <c r="H1743" s="4">
        <v>56.13</v>
      </c>
      <c r="I1743" t="s">
        <v>31</v>
      </c>
      <c r="J1743" t="s">
        <v>60</v>
      </c>
      <c r="L1743" s="2">
        <v>45870</v>
      </c>
      <c r="M1743" t="s">
        <v>60</v>
      </c>
      <c r="N1743">
        <v>0</v>
      </c>
      <c r="O1743" t="s">
        <v>31</v>
      </c>
      <c r="P1743" t="s">
        <v>28</v>
      </c>
      <c r="Q1743">
        <v>0</v>
      </c>
    </row>
    <row r="1744" spans="1:17" x14ac:dyDescent="0.3">
      <c r="A1744" t="s">
        <v>17</v>
      </c>
      <c r="B1744">
        <v>67</v>
      </c>
      <c r="C1744" t="s">
        <v>28</v>
      </c>
      <c r="D1744" s="2">
        <v>45870</v>
      </c>
      <c r="E1744" s="3">
        <f t="shared" si="27"/>
        <v>45870</v>
      </c>
      <c r="F1744" t="s">
        <v>1711</v>
      </c>
      <c r="H1744" s="4">
        <v>12.76</v>
      </c>
      <c r="I1744" t="s">
        <v>31</v>
      </c>
      <c r="J1744" t="s">
        <v>60</v>
      </c>
      <c r="L1744" s="2">
        <v>45870</v>
      </c>
      <c r="M1744" t="s">
        <v>60</v>
      </c>
      <c r="N1744">
        <v>0</v>
      </c>
      <c r="O1744" t="s">
        <v>31</v>
      </c>
      <c r="P1744" t="s">
        <v>28</v>
      </c>
      <c r="Q1744">
        <v>0</v>
      </c>
    </row>
    <row r="1745" spans="1:17" x14ac:dyDescent="0.3">
      <c r="A1745" t="s">
        <v>17</v>
      </c>
      <c r="B1745">
        <v>67</v>
      </c>
      <c r="C1745" t="s">
        <v>28</v>
      </c>
      <c r="D1745" s="2">
        <v>45870</v>
      </c>
      <c r="E1745" s="3">
        <f t="shared" si="27"/>
        <v>45870</v>
      </c>
      <c r="F1745" t="s">
        <v>1711</v>
      </c>
      <c r="H1745" s="4">
        <v>14.51</v>
      </c>
      <c r="I1745" t="s">
        <v>31</v>
      </c>
      <c r="J1745" t="s">
        <v>60</v>
      </c>
      <c r="L1745" s="2">
        <v>45870</v>
      </c>
      <c r="M1745" t="s">
        <v>60</v>
      </c>
      <c r="N1745">
        <v>0</v>
      </c>
      <c r="O1745" t="s">
        <v>31</v>
      </c>
      <c r="P1745" t="s">
        <v>28</v>
      </c>
      <c r="Q1745">
        <v>0</v>
      </c>
    </row>
    <row r="1746" spans="1:17" x14ac:dyDescent="0.3">
      <c r="A1746" t="s">
        <v>17</v>
      </c>
      <c r="B1746">
        <v>67</v>
      </c>
      <c r="C1746" t="s">
        <v>28</v>
      </c>
      <c r="D1746" s="2">
        <v>45870</v>
      </c>
      <c r="E1746" s="3">
        <f t="shared" si="27"/>
        <v>45870</v>
      </c>
      <c r="F1746" t="s">
        <v>1711</v>
      </c>
      <c r="H1746" s="4">
        <v>48.04</v>
      </c>
      <c r="I1746" t="s">
        <v>31</v>
      </c>
      <c r="J1746" t="s">
        <v>60</v>
      </c>
      <c r="L1746" s="2">
        <v>45870</v>
      </c>
      <c r="M1746" t="s">
        <v>60</v>
      </c>
      <c r="N1746">
        <v>0</v>
      </c>
      <c r="O1746" t="s">
        <v>31</v>
      </c>
      <c r="P1746" t="s">
        <v>28</v>
      </c>
      <c r="Q1746">
        <v>0</v>
      </c>
    </row>
    <row r="1747" spans="1:17" x14ac:dyDescent="0.3">
      <c r="A1747" t="s">
        <v>17</v>
      </c>
      <c r="B1747">
        <v>67</v>
      </c>
      <c r="C1747" t="s">
        <v>28</v>
      </c>
      <c r="D1747" s="2">
        <v>45870</v>
      </c>
      <c r="E1747" s="3">
        <f t="shared" si="27"/>
        <v>45870</v>
      </c>
      <c r="F1747" t="s">
        <v>1711</v>
      </c>
      <c r="H1747" s="4">
        <v>59.2</v>
      </c>
      <c r="I1747" t="s">
        <v>31</v>
      </c>
      <c r="J1747" t="s">
        <v>60</v>
      </c>
      <c r="L1747" s="2">
        <v>45870</v>
      </c>
      <c r="M1747" t="s">
        <v>60</v>
      </c>
      <c r="N1747">
        <v>0</v>
      </c>
      <c r="O1747" t="s">
        <v>31</v>
      </c>
      <c r="P1747" t="s">
        <v>28</v>
      </c>
      <c r="Q1747">
        <v>0</v>
      </c>
    </row>
    <row r="1748" spans="1:17" x14ac:dyDescent="0.3">
      <c r="A1748" t="s">
        <v>17</v>
      </c>
      <c r="B1748">
        <v>67</v>
      </c>
      <c r="C1748" t="s">
        <v>28</v>
      </c>
      <c r="D1748" s="2">
        <v>45870</v>
      </c>
      <c r="E1748" s="3">
        <f t="shared" si="27"/>
        <v>45870</v>
      </c>
      <c r="F1748" t="s">
        <v>1711</v>
      </c>
      <c r="H1748" s="4">
        <v>76.63</v>
      </c>
      <c r="I1748" t="s">
        <v>31</v>
      </c>
      <c r="J1748" t="s">
        <v>60</v>
      </c>
      <c r="L1748" s="2">
        <v>45870</v>
      </c>
      <c r="M1748" t="s">
        <v>60</v>
      </c>
      <c r="N1748">
        <v>0</v>
      </c>
      <c r="O1748" t="s">
        <v>31</v>
      </c>
      <c r="P1748" t="s">
        <v>28</v>
      </c>
      <c r="Q1748">
        <v>0</v>
      </c>
    </row>
    <row r="1749" spans="1:17" x14ac:dyDescent="0.3">
      <c r="A1749" t="s">
        <v>17</v>
      </c>
      <c r="B1749">
        <v>67</v>
      </c>
      <c r="C1749" t="s">
        <v>28</v>
      </c>
      <c r="D1749" s="2">
        <v>45877</v>
      </c>
      <c r="E1749" s="3">
        <f t="shared" si="27"/>
        <v>45870</v>
      </c>
      <c r="F1749" t="s">
        <v>1712</v>
      </c>
      <c r="G1749" t="s">
        <v>578</v>
      </c>
      <c r="H1749" s="4">
        <v>424.25</v>
      </c>
      <c r="I1749" t="s">
        <v>31</v>
      </c>
      <c r="J1749" t="s">
        <v>60</v>
      </c>
      <c r="K1749" t="s">
        <v>1713</v>
      </c>
      <c r="L1749" s="2">
        <v>45870</v>
      </c>
      <c r="M1749" t="s">
        <v>60</v>
      </c>
      <c r="N1749">
        <v>0</v>
      </c>
      <c r="O1749" t="s">
        <v>31</v>
      </c>
      <c r="P1749" t="s">
        <v>28</v>
      </c>
      <c r="Q1749">
        <v>0</v>
      </c>
    </row>
    <row r="1750" spans="1:17" x14ac:dyDescent="0.3">
      <c r="A1750" t="s">
        <v>17</v>
      </c>
      <c r="B1750">
        <v>67</v>
      </c>
      <c r="C1750" t="s">
        <v>28</v>
      </c>
      <c r="D1750" s="2">
        <v>45877</v>
      </c>
      <c r="E1750" s="3">
        <f t="shared" si="27"/>
        <v>45870</v>
      </c>
      <c r="F1750" t="s">
        <v>1714</v>
      </c>
      <c r="H1750" s="4">
        <v>-53.38</v>
      </c>
      <c r="I1750" t="s">
        <v>31</v>
      </c>
      <c r="J1750" t="s">
        <v>60</v>
      </c>
      <c r="L1750" s="2">
        <v>45870</v>
      </c>
      <c r="M1750" t="s">
        <v>60</v>
      </c>
      <c r="N1750">
        <v>0</v>
      </c>
      <c r="O1750" t="s">
        <v>31</v>
      </c>
      <c r="P1750" t="s">
        <v>28</v>
      </c>
      <c r="Q1750">
        <v>0</v>
      </c>
    </row>
    <row r="1751" spans="1:17" x14ac:dyDescent="0.3">
      <c r="A1751" t="s">
        <v>17</v>
      </c>
      <c r="B1751">
        <v>67</v>
      </c>
      <c r="C1751" t="s">
        <v>28</v>
      </c>
      <c r="D1751" s="2">
        <v>45877</v>
      </c>
      <c r="E1751" s="3">
        <f t="shared" si="27"/>
        <v>45870</v>
      </c>
      <c r="F1751" t="s">
        <v>1714</v>
      </c>
      <c r="H1751" s="4">
        <v>-65.78</v>
      </c>
      <c r="I1751" t="s">
        <v>31</v>
      </c>
      <c r="J1751" t="s">
        <v>60</v>
      </c>
      <c r="L1751" s="2">
        <v>45870</v>
      </c>
      <c r="M1751" t="s">
        <v>60</v>
      </c>
      <c r="N1751">
        <v>0</v>
      </c>
      <c r="O1751" t="s">
        <v>31</v>
      </c>
      <c r="P1751" t="s">
        <v>28</v>
      </c>
      <c r="Q1751">
        <v>0</v>
      </c>
    </row>
    <row r="1752" spans="1:17" x14ac:dyDescent="0.3">
      <c r="A1752" t="s">
        <v>17</v>
      </c>
      <c r="B1752">
        <v>67</v>
      </c>
      <c r="C1752" t="s">
        <v>28</v>
      </c>
      <c r="D1752" s="2">
        <v>45877</v>
      </c>
      <c r="E1752" s="3">
        <f t="shared" si="27"/>
        <v>45870</v>
      </c>
      <c r="F1752" t="s">
        <v>1714</v>
      </c>
      <c r="H1752" s="4">
        <v>-85.14</v>
      </c>
      <c r="I1752" t="s">
        <v>31</v>
      </c>
      <c r="J1752" t="s">
        <v>60</v>
      </c>
      <c r="L1752" s="2">
        <v>45870</v>
      </c>
      <c r="M1752" t="s">
        <v>60</v>
      </c>
      <c r="N1752">
        <v>0</v>
      </c>
      <c r="O1752" t="s">
        <v>31</v>
      </c>
      <c r="P1752" t="s">
        <v>28</v>
      </c>
      <c r="Q1752">
        <v>0</v>
      </c>
    </row>
    <row r="1753" spans="1:17" x14ac:dyDescent="0.3">
      <c r="A1753" t="s">
        <v>17</v>
      </c>
      <c r="B1753">
        <v>67</v>
      </c>
      <c r="C1753" t="s">
        <v>28</v>
      </c>
      <c r="D1753" s="2">
        <v>45877</v>
      </c>
      <c r="E1753" s="3">
        <f t="shared" si="27"/>
        <v>45870</v>
      </c>
      <c r="F1753" t="s">
        <v>1714</v>
      </c>
      <c r="H1753" s="4">
        <v>-1.2</v>
      </c>
      <c r="I1753" t="s">
        <v>31</v>
      </c>
      <c r="J1753" t="s">
        <v>60</v>
      </c>
      <c r="L1753" s="2">
        <v>45870</v>
      </c>
      <c r="M1753" t="s">
        <v>60</v>
      </c>
      <c r="N1753">
        <v>0</v>
      </c>
      <c r="O1753" t="s">
        <v>31</v>
      </c>
      <c r="P1753" t="s">
        <v>28</v>
      </c>
      <c r="Q1753">
        <v>0</v>
      </c>
    </row>
    <row r="1754" spans="1:17" x14ac:dyDescent="0.3">
      <c r="A1754" t="s">
        <v>17</v>
      </c>
      <c r="B1754">
        <v>67</v>
      </c>
      <c r="C1754" t="s">
        <v>28</v>
      </c>
      <c r="D1754" s="2">
        <v>45877</v>
      </c>
      <c r="E1754" s="3">
        <f t="shared" si="27"/>
        <v>45870</v>
      </c>
      <c r="F1754" t="s">
        <v>1714</v>
      </c>
      <c r="H1754" s="4">
        <v>-12.39</v>
      </c>
      <c r="I1754" t="s">
        <v>31</v>
      </c>
      <c r="J1754" t="s">
        <v>60</v>
      </c>
      <c r="L1754" s="2">
        <v>45870</v>
      </c>
      <c r="M1754" t="s">
        <v>60</v>
      </c>
      <c r="N1754">
        <v>0</v>
      </c>
      <c r="O1754" t="s">
        <v>31</v>
      </c>
      <c r="P1754" t="s">
        <v>28</v>
      </c>
      <c r="Q1754">
        <v>0</v>
      </c>
    </row>
    <row r="1755" spans="1:17" x14ac:dyDescent="0.3">
      <c r="A1755" t="s">
        <v>17</v>
      </c>
      <c r="B1755">
        <v>67</v>
      </c>
      <c r="C1755" t="s">
        <v>28</v>
      </c>
      <c r="D1755" s="2">
        <v>45877</v>
      </c>
      <c r="E1755" s="3">
        <f t="shared" si="27"/>
        <v>45870</v>
      </c>
      <c r="F1755" t="s">
        <v>1714</v>
      </c>
      <c r="H1755" s="4">
        <v>-62.37</v>
      </c>
      <c r="I1755" t="s">
        <v>31</v>
      </c>
      <c r="J1755" t="s">
        <v>60</v>
      </c>
      <c r="L1755" s="2">
        <v>45870</v>
      </c>
      <c r="M1755" t="s">
        <v>60</v>
      </c>
      <c r="N1755">
        <v>0</v>
      </c>
      <c r="O1755" t="s">
        <v>31</v>
      </c>
      <c r="P1755" t="s">
        <v>28</v>
      </c>
      <c r="Q1755">
        <v>0</v>
      </c>
    </row>
    <row r="1756" spans="1:17" x14ac:dyDescent="0.3">
      <c r="A1756" t="s">
        <v>17</v>
      </c>
      <c r="B1756">
        <v>67</v>
      </c>
      <c r="C1756" t="s">
        <v>28</v>
      </c>
      <c r="D1756" s="2">
        <v>45877</v>
      </c>
      <c r="E1756" s="3">
        <f t="shared" si="27"/>
        <v>45870</v>
      </c>
      <c r="F1756" t="s">
        <v>1714</v>
      </c>
      <c r="H1756" s="4">
        <v>-14.18</v>
      </c>
      <c r="I1756" t="s">
        <v>31</v>
      </c>
      <c r="J1756" t="s">
        <v>60</v>
      </c>
      <c r="L1756" s="2">
        <v>45870</v>
      </c>
      <c r="M1756" t="s">
        <v>60</v>
      </c>
      <c r="N1756">
        <v>0</v>
      </c>
      <c r="O1756" t="s">
        <v>31</v>
      </c>
      <c r="P1756" t="s">
        <v>28</v>
      </c>
      <c r="Q1756">
        <v>0</v>
      </c>
    </row>
    <row r="1757" spans="1:17" x14ac:dyDescent="0.3">
      <c r="A1757" t="s">
        <v>17</v>
      </c>
      <c r="B1757">
        <v>67</v>
      </c>
      <c r="C1757" t="s">
        <v>28</v>
      </c>
      <c r="D1757" s="2">
        <v>45877</v>
      </c>
      <c r="E1757" s="3">
        <f t="shared" si="27"/>
        <v>45870</v>
      </c>
      <c r="F1757" t="s">
        <v>1714</v>
      </c>
      <c r="H1757" s="4">
        <v>-16.12</v>
      </c>
      <c r="I1757" t="s">
        <v>31</v>
      </c>
      <c r="J1757" t="s">
        <v>60</v>
      </c>
      <c r="L1757" s="2">
        <v>45870</v>
      </c>
      <c r="M1757" t="s">
        <v>60</v>
      </c>
      <c r="N1757">
        <v>0</v>
      </c>
      <c r="O1757" t="s">
        <v>31</v>
      </c>
      <c r="P1757" t="s">
        <v>28</v>
      </c>
      <c r="Q1757">
        <v>0</v>
      </c>
    </row>
    <row r="1758" spans="1:17" x14ac:dyDescent="0.3">
      <c r="A1758" t="s">
        <v>17</v>
      </c>
      <c r="B1758">
        <v>67</v>
      </c>
      <c r="C1758" t="s">
        <v>28</v>
      </c>
      <c r="D1758" s="2">
        <v>45891</v>
      </c>
      <c r="E1758" s="3">
        <f t="shared" si="27"/>
        <v>45870</v>
      </c>
      <c r="F1758" t="s">
        <v>1715</v>
      </c>
      <c r="H1758" s="4">
        <v>-62.37</v>
      </c>
      <c r="I1758" t="s">
        <v>31</v>
      </c>
      <c r="J1758" t="s">
        <v>60</v>
      </c>
      <c r="L1758" s="2">
        <v>45870</v>
      </c>
      <c r="M1758" t="s">
        <v>60</v>
      </c>
      <c r="N1758">
        <v>0</v>
      </c>
      <c r="O1758" t="s">
        <v>31</v>
      </c>
      <c r="P1758" t="s">
        <v>28</v>
      </c>
      <c r="Q1758">
        <v>0</v>
      </c>
    </row>
    <row r="1759" spans="1:17" x14ac:dyDescent="0.3">
      <c r="A1759" t="s">
        <v>17</v>
      </c>
      <c r="B1759">
        <v>67</v>
      </c>
      <c r="C1759" t="s">
        <v>28</v>
      </c>
      <c r="D1759" s="2">
        <v>45891</v>
      </c>
      <c r="E1759" s="3">
        <f t="shared" si="27"/>
        <v>45870</v>
      </c>
      <c r="F1759" t="s">
        <v>1715</v>
      </c>
      <c r="H1759" s="4">
        <v>-14.18</v>
      </c>
      <c r="I1759" t="s">
        <v>31</v>
      </c>
      <c r="J1759" t="s">
        <v>60</v>
      </c>
      <c r="L1759" s="2">
        <v>45870</v>
      </c>
      <c r="M1759" t="s">
        <v>60</v>
      </c>
      <c r="N1759">
        <v>0</v>
      </c>
      <c r="O1759" t="s">
        <v>31</v>
      </c>
      <c r="P1759" t="s">
        <v>28</v>
      </c>
      <c r="Q1759">
        <v>0</v>
      </c>
    </row>
    <row r="1760" spans="1:17" x14ac:dyDescent="0.3">
      <c r="A1760" t="s">
        <v>17</v>
      </c>
      <c r="B1760">
        <v>67</v>
      </c>
      <c r="C1760" t="s">
        <v>28</v>
      </c>
      <c r="D1760" s="2">
        <v>45891</v>
      </c>
      <c r="E1760" s="3">
        <f t="shared" si="27"/>
        <v>45870</v>
      </c>
      <c r="F1760" t="s">
        <v>1715</v>
      </c>
      <c r="H1760" s="4">
        <v>-16.12</v>
      </c>
      <c r="I1760" t="s">
        <v>31</v>
      </c>
      <c r="J1760" t="s">
        <v>60</v>
      </c>
      <c r="L1760" s="2">
        <v>45870</v>
      </c>
      <c r="M1760" t="s">
        <v>60</v>
      </c>
      <c r="N1760">
        <v>0</v>
      </c>
      <c r="O1760" t="s">
        <v>31</v>
      </c>
      <c r="P1760" t="s">
        <v>28</v>
      </c>
      <c r="Q1760">
        <v>0</v>
      </c>
    </row>
    <row r="1761" spans="1:17" x14ac:dyDescent="0.3">
      <c r="A1761" t="s">
        <v>17</v>
      </c>
      <c r="B1761">
        <v>67</v>
      </c>
      <c r="C1761" t="s">
        <v>28</v>
      </c>
      <c r="D1761" s="2">
        <v>45891</v>
      </c>
      <c r="E1761" s="3">
        <f t="shared" si="27"/>
        <v>45870</v>
      </c>
      <c r="F1761" t="s">
        <v>1715</v>
      </c>
      <c r="H1761" s="4">
        <v>-53.38</v>
      </c>
      <c r="I1761" t="s">
        <v>31</v>
      </c>
      <c r="J1761" t="s">
        <v>60</v>
      </c>
      <c r="L1761" s="2">
        <v>45870</v>
      </c>
      <c r="M1761" t="s">
        <v>60</v>
      </c>
      <c r="N1761">
        <v>0</v>
      </c>
      <c r="O1761" t="s">
        <v>31</v>
      </c>
      <c r="P1761" t="s">
        <v>28</v>
      </c>
      <c r="Q1761">
        <v>0</v>
      </c>
    </row>
    <row r="1762" spans="1:17" x14ac:dyDescent="0.3">
      <c r="A1762" t="s">
        <v>17</v>
      </c>
      <c r="B1762">
        <v>67</v>
      </c>
      <c r="C1762" t="s">
        <v>28</v>
      </c>
      <c r="D1762" s="2">
        <v>45891</v>
      </c>
      <c r="E1762" s="3">
        <f t="shared" si="27"/>
        <v>45870</v>
      </c>
      <c r="F1762" t="s">
        <v>1715</v>
      </c>
      <c r="H1762" s="4">
        <v>-45.22</v>
      </c>
      <c r="I1762" t="s">
        <v>31</v>
      </c>
      <c r="J1762" t="s">
        <v>60</v>
      </c>
      <c r="L1762" s="2">
        <v>45870</v>
      </c>
      <c r="M1762" t="s">
        <v>60</v>
      </c>
      <c r="N1762">
        <v>0</v>
      </c>
      <c r="O1762" t="s">
        <v>31</v>
      </c>
      <c r="P1762" t="s">
        <v>28</v>
      </c>
      <c r="Q1762">
        <v>0</v>
      </c>
    </row>
    <row r="1763" spans="1:17" x14ac:dyDescent="0.3">
      <c r="A1763" t="s">
        <v>17</v>
      </c>
      <c r="B1763">
        <v>67</v>
      </c>
      <c r="C1763" t="s">
        <v>28</v>
      </c>
      <c r="D1763" s="2">
        <v>45891</v>
      </c>
      <c r="E1763" s="3">
        <f t="shared" si="27"/>
        <v>45870</v>
      </c>
      <c r="F1763" t="s">
        <v>1715</v>
      </c>
      <c r="H1763" s="4">
        <v>-85.14</v>
      </c>
      <c r="I1763" t="s">
        <v>31</v>
      </c>
      <c r="J1763" t="s">
        <v>60</v>
      </c>
      <c r="L1763" s="2">
        <v>45870</v>
      </c>
      <c r="M1763" t="s">
        <v>60</v>
      </c>
      <c r="N1763">
        <v>0</v>
      </c>
      <c r="O1763" t="s">
        <v>31</v>
      </c>
      <c r="P1763" t="s">
        <v>28</v>
      </c>
      <c r="Q1763">
        <v>0</v>
      </c>
    </row>
    <row r="1764" spans="1:17" x14ac:dyDescent="0.3">
      <c r="A1764" t="s">
        <v>17</v>
      </c>
      <c r="B1764">
        <v>67</v>
      </c>
      <c r="C1764" t="s">
        <v>28</v>
      </c>
      <c r="D1764" s="2">
        <v>45891</v>
      </c>
      <c r="E1764" s="3">
        <f t="shared" si="27"/>
        <v>45870</v>
      </c>
      <c r="F1764" t="s">
        <v>1715</v>
      </c>
      <c r="H1764" s="4">
        <v>-1.2</v>
      </c>
      <c r="I1764" t="s">
        <v>31</v>
      </c>
      <c r="J1764" t="s">
        <v>60</v>
      </c>
      <c r="L1764" s="2">
        <v>45870</v>
      </c>
      <c r="M1764" t="s">
        <v>60</v>
      </c>
      <c r="N1764">
        <v>0</v>
      </c>
      <c r="O1764" t="s">
        <v>31</v>
      </c>
      <c r="P1764" t="s">
        <v>28</v>
      </c>
      <c r="Q1764">
        <v>0</v>
      </c>
    </row>
    <row r="1765" spans="1:17" x14ac:dyDescent="0.3">
      <c r="A1765" t="s">
        <v>17</v>
      </c>
      <c r="B1765">
        <v>67</v>
      </c>
      <c r="C1765" t="s">
        <v>28</v>
      </c>
      <c r="D1765" s="2">
        <v>45891</v>
      </c>
      <c r="E1765" s="3">
        <f t="shared" si="27"/>
        <v>45870</v>
      </c>
      <c r="F1765" t="s">
        <v>1715</v>
      </c>
      <c r="H1765" s="4">
        <v>-26.65</v>
      </c>
      <c r="I1765" t="s">
        <v>31</v>
      </c>
      <c r="J1765" t="s">
        <v>60</v>
      </c>
      <c r="L1765" s="2">
        <v>45870</v>
      </c>
      <c r="M1765" t="s">
        <v>60</v>
      </c>
      <c r="N1765">
        <v>0</v>
      </c>
      <c r="O1765" t="s">
        <v>31</v>
      </c>
      <c r="P1765" t="s">
        <v>28</v>
      </c>
      <c r="Q1765">
        <v>0</v>
      </c>
    </row>
    <row r="1766" spans="1:17" x14ac:dyDescent="0.3">
      <c r="A1766" t="s">
        <v>17</v>
      </c>
      <c r="B1766">
        <v>67</v>
      </c>
      <c r="C1766" t="s">
        <v>28</v>
      </c>
      <c r="D1766" s="2">
        <v>45900</v>
      </c>
      <c r="E1766" s="3">
        <f t="shared" si="27"/>
        <v>45870</v>
      </c>
      <c r="F1766" t="s">
        <v>1716</v>
      </c>
      <c r="H1766" s="4">
        <v>1062.5</v>
      </c>
      <c r="I1766" t="s">
        <v>31</v>
      </c>
      <c r="J1766" t="s">
        <v>60</v>
      </c>
      <c r="K1766" t="s">
        <v>339</v>
      </c>
      <c r="L1766" s="2">
        <v>45870</v>
      </c>
      <c r="M1766" t="s">
        <v>60</v>
      </c>
      <c r="N1766">
        <v>0</v>
      </c>
      <c r="O1766" t="s">
        <v>31</v>
      </c>
      <c r="P1766" t="s">
        <v>28</v>
      </c>
      <c r="Q1766">
        <v>0</v>
      </c>
    </row>
    <row r="1767" spans="1:17" x14ac:dyDescent="0.3">
      <c r="A1767" t="s">
        <v>17</v>
      </c>
      <c r="B1767">
        <v>67</v>
      </c>
      <c r="C1767" t="s">
        <v>28</v>
      </c>
      <c r="D1767" s="2">
        <v>45900</v>
      </c>
      <c r="E1767" s="3">
        <f t="shared" si="27"/>
        <v>45870</v>
      </c>
      <c r="F1767" t="s">
        <v>1717</v>
      </c>
      <c r="H1767" s="4">
        <v>428.3</v>
      </c>
      <c r="I1767" t="s">
        <v>31</v>
      </c>
      <c r="J1767" t="s">
        <v>60</v>
      </c>
      <c r="K1767" t="s">
        <v>1123</v>
      </c>
      <c r="L1767" s="2">
        <v>45870</v>
      </c>
      <c r="M1767" t="s">
        <v>60</v>
      </c>
      <c r="N1767">
        <v>0</v>
      </c>
      <c r="O1767" t="s">
        <v>31</v>
      </c>
      <c r="P1767" t="s">
        <v>28</v>
      </c>
      <c r="Q1767">
        <v>0</v>
      </c>
    </row>
    <row r="1768" spans="1:17" x14ac:dyDescent="0.3">
      <c r="A1768" t="s">
        <v>17</v>
      </c>
      <c r="B1768">
        <v>67</v>
      </c>
      <c r="C1768" t="s">
        <v>28</v>
      </c>
      <c r="D1768" s="2">
        <v>45900</v>
      </c>
      <c r="E1768" s="3">
        <f t="shared" si="27"/>
        <v>45870</v>
      </c>
      <c r="F1768" t="s">
        <v>1718</v>
      </c>
      <c r="H1768" s="4">
        <v>-53.38</v>
      </c>
      <c r="I1768" t="s">
        <v>31</v>
      </c>
      <c r="J1768" t="s">
        <v>60</v>
      </c>
      <c r="L1768" s="2">
        <v>45870</v>
      </c>
      <c r="M1768" t="s">
        <v>60</v>
      </c>
      <c r="N1768">
        <v>0</v>
      </c>
      <c r="O1768" t="s">
        <v>31</v>
      </c>
      <c r="P1768" t="s">
        <v>28</v>
      </c>
      <c r="Q1768">
        <v>0</v>
      </c>
    </row>
    <row r="1769" spans="1:17" x14ac:dyDescent="0.3">
      <c r="A1769" t="s">
        <v>17</v>
      </c>
      <c r="B1769">
        <v>67</v>
      </c>
      <c r="C1769" t="s">
        <v>28</v>
      </c>
      <c r="D1769" s="2">
        <v>45900</v>
      </c>
      <c r="E1769" s="3">
        <f t="shared" si="27"/>
        <v>45870</v>
      </c>
      <c r="F1769" t="s">
        <v>1718</v>
      </c>
      <c r="H1769" s="4">
        <v>-45.22</v>
      </c>
      <c r="I1769" t="s">
        <v>31</v>
      </c>
      <c r="J1769" t="s">
        <v>60</v>
      </c>
      <c r="L1769" s="2">
        <v>45870</v>
      </c>
      <c r="M1769" t="s">
        <v>60</v>
      </c>
      <c r="N1769">
        <v>0</v>
      </c>
      <c r="O1769" t="s">
        <v>31</v>
      </c>
      <c r="P1769" t="s">
        <v>28</v>
      </c>
      <c r="Q1769">
        <v>0</v>
      </c>
    </row>
    <row r="1770" spans="1:17" x14ac:dyDescent="0.3">
      <c r="A1770" t="s">
        <v>17</v>
      </c>
      <c r="B1770">
        <v>67</v>
      </c>
      <c r="C1770" t="s">
        <v>28</v>
      </c>
      <c r="D1770" s="2">
        <v>45900</v>
      </c>
      <c r="E1770" s="3">
        <f t="shared" si="27"/>
        <v>45870</v>
      </c>
      <c r="F1770" t="s">
        <v>1718</v>
      </c>
      <c r="H1770" s="4">
        <v>-85.14</v>
      </c>
      <c r="I1770" t="s">
        <v>31</v>
      </c>
      <c r="J1770" t="s">
        <v>60</v>
      </c>
      <c r="L1770" s="2">
        <v>45870</v>
      </c>
      <c r="M1770" t="s">
        <v>60</v>
      </c>
      <c r="N1770">
        <v>0</v>
      </c>
      <c r="O1770" t="s">
        <v>31</v>
      </c>
      <c r="P1770" t="s">
        <v>28</v>
      </c>
      <c r="Q1770">
        <v>0</v>
      </c>
    </row>
    <row r="1771" spans="1:17" x14ac:dyDescent="0.3">
      <c r="A1771" t="s">
        <v>17</v>
      </c>
      <c r="B1771">
        <v>67</v>
      </c>
      <c r="C1771" t="s">
        <v>28</v>
      </c>
      <c r="D1771" s="2">
        <v>45900</v>
      </c>
      <c r="E1771" s="3">
        <f t="shared" si="27"/>
        <v>45870</v>
      </c>
      <c r="F1771" t="s">
        <v>1718</v>
      </c>
      <c r="H1771" s="4">
        <v>-1.2</v>
      </c>
      <c r="I1771" t="s">
        <v>31</v>
      </c>
      <c r="J1771" t="s">
        <v>60</v>
      </c>
      <c r="L1771" s="2">
        <v>45870</v>
      </c>
      <c r="M1771" t="s">
        <v>60</v>
      </c>
      <c r="N1771">
        <v>0</v>
      </c>
      <c r="O1771" t="s">
        <v>31</v>
      </c>
      <c r="P1771" t="s">
        <v>28</v>
      </c>
      <c r="Q1771">
        <v>0</v>
      </c>
    </row>
    <row r="1772" spans="1:17" x14ac:dyDescent="0.3">
      <c r="A1772" t="s">
        <v>17</v>
      </c>
      <c r="B1772">
        <v>67</v>
      </c>
      <c r="C1772" t="s">
        <v>28</v>
      </c>
      <c r="D1772" s="2">
        <v>45900</v>
      </c>
      <c r="E1772" s="3">
        <f t="shared" si="27"/>
        <v>45870</v>
      </c>
      <c r="F1772" t="s">
        <v>1718</v>
      </c>
      <c r="H1772" s="4">
        <v>-39.71</v>
      </c>
      <c r="I1772" t="s">
        <v>31</v>
      </c>
      <c r="J1772" t="s">
        <v>60</v>
      </c>
      <c r="L1772" s="2">
        <v>45870</v>
      </c>
      <c r="M1772" t="s">
        <v>60</v>
      </c>
      <c r="N1772">
        <v>0</v>
      </c>
      <c r="O1772" t="s">
        <v>31</v>
      </c>
      <c r="P1772" t="s">
        <v>28</v>
      </c>
      <c r="Q1772">
        <v>0</v>
      </c>
    </row>
    <row r="1773" spans="1:17" x14ac:dyDescent="0.3">
      <c r="A1773" t="s">
        <v>17</v>
      </c>
      <c r="B1773">
        <v>67</v>
      </c>
      <c r="C1773" t="s">
        <v>28</v>
      </c>
      <c r="D1773" s="2">
        <v>45900</v>
      </c>
      <c r="E1773" s="3">
        <f t="shared" si="27"/>
        <v>45870</v>
      </c>
      <c r="F1773" t="s">
        <v>1718</v>
      </c>
      <c r="H1773" s="4">
        <v>-42.51</v>
      </c>
      <c r="I1773" t="s">
        <v>31</v>
      </c>
      <c r="J1773" t="s">
        <v>60</v>
      </c>
      <c r="L1773" s="2">
        <v>45870</v>
      </c>
      <c r="M1773" t="s">
        <v>60</v>
      </c>
      <c r="N1773">
        <v>0</v>
      </c>
      <c r="O1773" t="s">
        <v>31</v>
      </c>
      <c r="P1773" t="s">
        <v>28</v>
      </c>
      <c r="Q1773">
        <v>0</v>
      </c>
    </row>
    <row r="1774" spans="1:17" x14ac:dyDescent="0.3">
      <c r="A1774" t="s">
        <v>17</v>
      </c>
      <c r="B1774">
        <v>67</v>
      </c>
      <c r="C1774" t="s">
        <v>28</v>
      </c>
      <c r="D1774" s="2">
        <v>45900</v>
      </c>
      <c r="E1774" s="3">
        <f t="shared" si="27"/>
        <v>45870</v>
      </c>
      <c r="F1774" t="s">
        <v>1718</v>
      </c>
      <c r="H1774" s="4">
        <v>-14.18</v>
      </c>
      <c r="I1774" t="s">
        <v>31</v>
      </c>
      <c r="J1774" t="s">
        <v>60</v>
      </c>
      <c r="L1774" s="2">
        <v>45870</v>
      </c>
      <c r="M1774" t="s">
        <v>60</v>
      </c>
      <c r="N1774">
        <v>0</v>
      </c>
      <c r="O1774" t="s">
        <v>31</v>
      </c>
      <c r="P1774" t="s">
        <v>28</v>
      </c>
      <c r="Q1774">
        <v>0</v>
      </c>
    </row>
    <row r="1775" spans="1:17" x14ac:dyDescent="0.3">
      <c r="A1775" t="s">
        <v>17</v>
      </c>
      <c r="B1775">
        <v>67</v>
      </c>
      <c r="C1775" t="s">
        <v>28</v>
      </c>
      <c r="D1775" s="2">
        <v>45900</v>
      </c>
      <c r="E1775" s="3">
        <f t="shared" si="27"/>
        <v>45870</v>
      </c>
      <c r="F1775" t="s">
        <v>1718</v>
      </c>
      <c r="H1775" s="4">
        <v>-16.12</v>
      </c>
      <c r="I1775" t="s">
        <v>31</v>
      </c>
      <c r="J1775" t="s">
        <v>60</v>
      </c>
      <c r="L1775" s="2">
        <v>45870</v>
      </c>
      <c r="M1775" t="s">
        <v>60</v>
      </c>
      <c r="N1775">
        <v>0</v>
      </c>
      <c r="O1775" t="s">
        <v>31</v>
      </c>
      <c r="P1775" t="s">
        <v>28</v>
      </c>
      <c r="Q1775">
        <v>0</v>
      </c>
    </row>
    <row r="1776" spans="1:17" x14ac:dyDescent="0.3">
      <c r="A1776" t="s">
        <v>17</v>
      </c>
      <c r="B1776">
        <v>67</v>
      </c>
      <c r="C1776" t="s">
        <v>28</v>
      </c>
      <c r="D1776" s="2">
        <v>45870</v>
      </c>
      <c r="E1776" s="3">
        <f t="shared" si="27"/>
        <v>45870</v>
      </c>
      <c r="F1776">
        <v>5035254737</v>
      </c>
      <c r="G1776" t="s">
        <v>1023</v>
      </c>
      <c r="H1776" s="4">
        <v>12444.77</v>
      </c>
      <c r="I1776" t="s">
        <v>31</v>
      </c>
      <c r="J1776" t="s">
        <v>74</v>
      </c>
      <c r="K1776" t="s">
        <v>1719</v>
      </c>
      <c r="L1776" s="2">
        <v>45870</v>
      </c>
      <c r="M1776" t="s">
        <v>76</v>
      </c>
      <c r="N1776">
        <v>0</v>
      </c>
      <c r="O1776" t="s">
        <v>31</v>
      </c>
      <c r="P1776" t="s">
        <v>28</v>
      </c>
      <c r="Q1776">
        <v>0</v>
      </c>
    </row>
    <row r="1777" spans="1:17" x14ac:dyDescent="0.3">
      <c r="A1777" t="s">
        <v>17</v>
      </c>
      <c r="B1777">
        <v>67</v>
      </c>
      <c r="C1777" t="s">
        <v>28</v>
      </c>
      <c r="D1777" s="2">
        <v>45870</v>
      </c>
      <c r="E1777" s="3">
        <f t="shared" si="27"/>
        <v>45870</v>
      </c>
      <c r="F1777" t="s">
        <v>1720</v>
      </c>
      <c r="H1777" s="4">
        <v>-4100</v>
      </c>
      <c r="I1777" t="s">
        <v>31</v>
      </c>
      <c r="J1777" t="s">
        <v>74</v>
      </c>
      <c r="K1777" t="s">
        <v>1499</v>
      </c>
      <c r="L1777" s="2">
        <v>45870</v>
      </c>
      <c r="M1777" t="s">
        <v>76</v>
      </c>
      <c r="N1777">
        <v>0</v>
      </c>
      <c r="O1777" t="s">
        <v>31</v>
      </c>
      <c r="P1777" t="s">
        <v>28</v>
      </c>
      <c r="Q1777">
        <v>0</v>
      </c>
    </row>
    <row r="1778" spans="1:17" x14ac:dyDescent="0.3">
      <c r="A1778" t="s">
        <v>17</v>
      </c>
      <c r="B1778">
        <v>67</v>
      </c>
      <c r="C1778" t="s">
        <v>28</v>
      </c>
      <c r="D1778" s="2">
        <v>45870</v>
      </c>
      <c r="E1778" s="3">
        <f t="shared" si="27"/>
        <v>45870</v>
      </c>
      <c r="F1778" t="s">
        <v>1721</v>
      </c>
      <c r="H1778" s="4">
        <v>-4100</v>
      </c>
      <c r="I1778" t="s">
        <v>31</v>
      </c>
      <c r="J1778" t="s">
        <v>74</v>
      </c>
      <c r="K1778" t="s">
        <v>1303</v>
      </c>
      <c r="L1778" s="2">
        <v>45870</v>
      </c>
      <c r="M1778" t="s">
        <v>76</v>
      </c>
      <c r="N1778">
        <v>0</v>
      </c>
      <c r="O1778" t="s">
        <v>31</v>
      </c>
      <c r="P1778" t="s">
        <v>28</v>
      </c>
      <c r="Q1778">
        <v>0</v>
      </c>
    </row>
    <row r="1779" spans="1:17" x14ac:dyDescent="0.3">
      <c r="A1779" t="s">
        <v>17</v>
      </c>
      <c r="B1779">
        <v>67</v>
      </c>
      <c r="C1779" t="s">
        <v>28</v>
      </c>
      <c r="D1779" s="2">
        <v>45875</v>
      </c>
      <c r="E1779" s="3">
        <f t="shared" si="27"/>
        <v>45870</v>
      </c>
      <c r="F1779" t="s">
        <v>1588</v>
      </c>
      <c r="G1779" t="s">
        <v>101</v>
      </c>
      <c r="H1779" s="4">
        <v>1494</v>
      </c>
      <c r="I1779" t="s">
        <v>104</v>
      </c>
      <c r="J1779" t="s">
        <v>74</v>
      </c>
      <c r="K1779" t="s">
        <v>1489</v>
      </c>
      <c r="L1779" s="2">
        <v>45870</v>
      </c>
      <c r="M1779" t="s">
        <v>76</v>
      </c>
      <c r="N1779">
        <v>0</v>
      </c>
      <c r="O1779" t="s">
        <v>104</v>
      </c>
      <c r="P1779" t="s">
        <v>28</v>
      </c>
      <c r="Q1779">
        <v>0</v>
      </c>
    </row>
    <row r="1780" spans="1:17" x14ac:dyDescent="0.3">
      <c r="A1780" t="s">
        <v>17</v>
      </c>
      <c r="B1780">
        <v>67</v>
      </c>
      <c r="C1780" t="s">
        <v>28</v>
      </c>
      <c r="D1780" s="2">
        <v>45875</v>
      </c>
      <c r="E1780" s="3">
        <f t="shared" si="27"/>
        <v>45870</v>
      </c>
      <c r="F1780" t="s">
        <v>1588</v>
      </c>
      <c r="G1780" t="s">
        <v>101</v>
      </c>
      <c r="H1780" s="4">
        <v>543.66999999999996</v>
      </c>
      <c r="I1780" t="s">
        <v>31</v>
      </c>
      <c r="J1780" t="s">
        <v>74</v>
      </c>
      <c r="K1780" t="s">
        <v>1722</v>
      </c>
      <c r="L1780" s="2">
        <v>45870</v>
      </c>
      <c r="M1780" t="s">
        <v>76</v>
      </c>
      <c r="N1780">
        <v>0</v>
      </c>
      <c r="O1780" t="s">
        <v>31</v>
      </c>
      <c r="P1780" t="s">
        <v>28</v>
      </c>
      <c r="Q1780">
        <v>0</v>
      </c>
    </row>
    <row r="1781" spans="1:17" x14ac:dyDescent="0.3">
      <c r="A1781" t="s">
        <v>17</v>
      </c>
      <c r="B1781">
        <v>67</v>
      </c>
      <c r="C1781" t="s">
        <v>28</v>
      </c>
      <c r="D1781" s="2">
        <v>45875</v>
      </c>
      <c r="E1781" s="3">
        <f t="shared" si="27"/>
        <v>45870</v>
      </c>
      <c r="F1781" t="s">
        <v>1588</v>
      </c>
      <c r="G1781" t="s">
        <v>101</v>
      </c>
      <c r="H1781" s="4">
        <v>1779.84</v>
      </c>
      <c r="I1781" t="s">
        <v>31</v>
      </c>
      <c r="J1781" t="s">
        <v>74</v>
      </c>
      <c r="K1781" t="s">
        <v>1491</v>
      </c>
      <c r="L1781" s="2">
        <v>45870</v>
      </c>
      <c r="M1781" t="s">
        <v>76</v>
      </c>
      <c r="N1781">
        <v>0</v>
      </c>
      <c r="O1781" t="s">
        <v>31</v>
      </c>
      <c r="P1781" t="s">
        <v>28</v>
      </c>
      <c r="Q1781">
        <v>0</v>
      </c>
    </row>
    <row r="1782" spans="1:17" x14ac:dyDescent="0.3">
      <c r="A1782" t="s">
        <v>17</v>
      </c>
      <c r="B1782">
        <v>67</v>
      </c>
      <c r="C1782" t="s">
        <v>28</v>
      </c>
      <c r="D1782" s="2">
        <v>45875</v>
      </c>
      <c r="E1782" s="3">
        <f t="shared" si="27"/>
        <v>45870</v>
      </c>
      <c r="F1782" t="s">
        <v>1521</v>
      </c>
      <c r="H1782" s="4">
        <v>21.78</v>
      </c>
      <c r="I1782" t="s">
        <v>31</v>
      </c>
      <c r="J1782" t="s">
        <v>74</v>
      </c>
      <c r="K1782" t="s">
        <v>1492</v>
      </c>
      <c r="L1782" s="2">
        <v>45870</v>
      </c>
      <c r="M1782" t="s">
        <v>76</v>
      </c>
      <c r="N1782">
        <v>0</v>
      </c>
      <c r="O1782" t="s">
        <v>31</v>
      </c>
      <c r="P1782" t="s">
        <v>28</v>
      </c>
      <c r="Q1782">
        <v>0</v>
      </c>
    </row>
    <row r="1783" spans="1:17" x14ac:dyDescent="0.3">
      <c r="A1783" t="s">
        <v>17</v>
      </c>
      <c r="B1783">
        <v>67</v>
      </c>
      <c r="C1783" t="s">
        <v>28</v>
      </c>
      <c r="D1783" s="2">
        <v>45876</v>
      </c>
      <c r="E1783" s="3">
        <f t="shared" si="27"/>
        <v>45870</v>
      </c>
      <c r="F1783" t="s">
        <v>1522</v>
      </c>
      <c r="G1783" t="s">
        <v>1227</v>
      </c>
      <c r="H1783" s="4">
        <v>25</v>
      </c>
      <c r="I1783" t="s">
        <v>47</v>
      </c>
      <c r="J1783" t="s">
        <v>74</v>
      </c>
      <c r="K1783" t="s">
        <v>1723</v>
      </c>
      <c r="L1783" s="2">
        <v>45870</v>
      </c>
      <c r="M1783" t="s">
        <v>76</v>
      </c>
      <c r="N1783">
        <v>0</v>
      </c>
      <c r="O1783" t="s">
        <v>26</v>
      </c>
      <c r="P1783" t="s">
        <v>28</v>
      </c>
      <c r="Q1783">
        <v>0</v>
      </c>
    </row>
    <row r="1784" spans="1:17" x14ac:dyDescent="0.3">
      <c r="A1784" t="s">
        <v>17</v>
      </c>
      <c r="B1784">
        <v>67</v>
      </c>
      <c r="C1784" t="s">
        <v>28</v>
      </c>
      <c r="D1784" s="2">
        <v>45894</v>
      </c>
      <c r="E1784" s="3">
        <f t="shared" si="27"/>
        <v>45870</v>
      </c>
      <c r="F1784" t="s">
        <v>1525</v>
      </c>
      <c r="G1784" t="s">
        <v>158</v>
      </c>
      <c r="H1784" s="4">
        <v>21.78</v>
      </c>
      <c r="I1784" t="s">
        <v>159</v>
      </c>
      <c r="J1784" t="s">
        <v>74</v>
      </c>
      <c r="K1784" t="s">
        <v>1724</v>
      </c>
      <c r="L1784" s="2">
        <v>45870</v>
      </c>
      <c r="M1784" t="s">
        <v>76</v>
      </c>
      <c r="N1784">
        <v>0</v>
      </c>
      <c r="O1784" t="s">
        <v>159</v>
      </c>
      <c r="P1784" t="s">
        <v>28</v>
      </c>
      <c r="Q1784">
        <v>0</v>
      </c>
    </row>
    <row r="1785" spans="1:17" x14ac:dyDescent="0.3">
      <c r="A1785" t="s">
        <v>17</v>
      </c>
      <c r="B1785">
        <v>67</v>
      </c>
      <c r="C1785" t="s">
        <v>28</v>
      </c>
      <c r="D1785" s="2">
        <v>45898</v>
      </c>
      <c r="E1785" s="3">
        <f t="shared" si="27"/>
        <v>45870</v>
      </c>
      <c r="F1785" t="s">
        <v>1725</v>
      </c>
      <c r="G1785" t="s">
        <v>1726</v>
      </c>
      <c r="H1785" s="4">
        <v>10000</v>
      </c>
      <c r="I1785" t="s">
        <v>21</v>
      </c>
      <c r="J1785" t="s">
        <v>74</v>
      </c>
      <c r="K1785" t="s">
        <v>1727</v>
      </c>
      <c r="L1785" s="2">
        <v>45870</v>
      </c>
      <c r="M1785" t="s">
        <v>76</v>
      </c>
      <c r="N1785" t="s">
        <v>25</v>
      </c>
      <c r="O1785" t="s">
        <v>81</v>
      </c>
      <c r="P1785" t="s">
        <v>28</v>
      </c>
      <c r="Q1785">
        <v>0</v>
      </c>
    </row>
    <row r="1786" spans="1:17" x14ac:dyDescent="0.3">
      <c r="A1786" t="s">
        <v>17</v>
      </c>
      <c r="B1786">
        <v>67</v>
      </c>
      <c r="C1786" t="s">
        <v>28</v>
      </c>
      <c r="D1786" s="2">
        <v>45900</v>
      </c>
      <c r="E1786" s="3">
        <f t="shared" si="27"/>
        <v>45870</v>
      </c>
      <c r="F1786" t="s">
        <v>1728</v>
      </c>
      <c r="H1786" s="4">
        <v>226.82</v>
      </c>
      <c r="I1786" t="s">
        <v>31</v>
      </c>
      <c r="J1786" t="s">
        <v>74</v>
      </c>
      <c r="K1786" t="s">
        <v>355</v>
      </c>
      <c r="L1786" s="2">
        <v>45870</v>
      </c>
      <c r="M1786" t="s">
        <v>76</v>
      </c>
      <c r="N1786">
        <v>0</v>
      </c>
      <c r="O1786" t="s">
        <v>31</v>
      </c>
      <c r="P1786" t="s">
        <v>28</v>
      </c>
      <c r="Q1786">
        <v>0</v>
      </c>
    </row>
    <row r="1787" spans="1:17" x14ac:dyDescent="0.3">
      <c r="A1787" t="s">
        <v>17</v>
      </c>
      <c r="B1787">
        <v>67</v>
      </c>
      <c r="C1787" t="s">
        <v>28</v>
      </c>
      <c r="D1787" s="2">
        <v>45900</v>
      </c>
      <c r="E1787" s="3">
        <f t="shared" si="27"/>
        <v>45870</v>
      </c>
      <c r="F1787" t="s">
        <v>1729</v>
      </c>
      <c r="H1787" s="4">
        <v>3179.22</v>
      </c>
      <c r="I1787" t="s">
        <v>31</v>
      </c>
      <c r="J1787" t="s">
        <v>74</v>
      </c>
      <c r="K1787" t="s">
        <v>1098</v>
      </c>
      <c r="L1787" s="2">
        <v>45870</v>
      </c>
      <c r="M1787" t="s">
        <v>76</v>
      </c>
      <c r="N1787">
        <v>0</v>
      </c>
      <c r="O1787" t="s">
        <v>31</v>
      </c>
      <c r="P1787" t="s">
        <v>28</v>
      </c>
      <c r="Q1787">
        <v>0</v>
      </c>
    </row>
    <row r="1788" spans="1:17" x14ac:dyDescent="0.3">
      <c r="A1788" t="s">
        <v>17</v>
      </c>
      <c r="B1788">
        <v>67</v>
      </c>
      <c r="C1788" t="s">
        <v>28</v>
      </c>
      <c r="D1788" s="2">
        <v>45900</v>
      </c>
      <c r="E1788" s="3">
        <f t="shared" si="27"/>
        <v>45870</v>
      </c>
      <c r="F1788" t="s">
        <v>1730</v>
      </c>
      <c r="H1788" s="4">
        <v>2582.46</v>
      </c>
      <c r="I1788" t="s">
        <v>31</v>
      </c>
      <c r="J1788" t="s">
        <v>74</v>
      </c>
      <c r="K1788" t="s">
        <v>1100</v>
      </c>
      <c r="L1788" s="2">
        <v>45870</v>
      </c>
      <c r="M1788" t="s">
        <v>76</v>
      </c>
      <c r="N1788">
        <v>0</v>
      </c>
      <c r="O1788" t="s">
        <v>31</v>
      </c>
      <c r="P1788" t="s">
        <v>28</v>
      </c>
      <c r="Q1788">
        <v>0</v>
      </c>
    </row>
    <row r="1789" spans="1:17" x14ac:dyDescent="0.3">
      <c r="A1789" t="s">
        <v>17</v>
      </c>
      <c r="B1789">
        <v>67</v>
      </c>
      <c r="C1789" t="s">
        <v>28</v>
      </c>
      <c r="D1789" s="2">
        <v>45900</v>
      </c>
      <c r="E1789" s="3">
        <f t="shared" si="27"/>
        <v>45870</v>
      </c>
      <c r="F1789" t="s">
        <v>1731</v>
      </c>
      <c r="H1789" s="4">
        <v>9.99</v>
      </c>
      <c r="I1789" t="s">
        <v>31</v>
      </c>
      <c r="J1789" t="s">
        <v>74</v>
      </c>
      <c r="K1789" t="s">
        <v>1494</v>
      </c>
      <c r="L1789" s="2">
        <v>45870</v>
      </c>
      <c r="M1789" t="s">
        <v>76</v>
      </c>
      <c r="N1789">
        <v>0</v>
      </c>
      <c r="O1789" t="s">
        <v>31</v>
      </c>
      <c r="P1789" t="s">
        <v>28</v>
      </c>
      <c r="Q1789">
        <v>0</v>
      </c>
    </row>
    <row r="1790" spans="1:17" x14ac:dyDescent="0.3">
      <c r="A1790" t="s">
        <v>17</v>
      </c>
      <c r="B1790">
        <v>67</v>
      </c>
      <c r="C1790" t="s">
        <v>28</v>
      </c>
      <c r="D1790" s="2">
        <v>45900</v>
      </c>
      <c r="E1790" s="3">
        <f t="shared" si="27"/>
        <v>45870</v>
      </c>
      <c r="F1790" t="s">
        <v>1732</v>
      </c>
      <c r="H1790" s="4">
        <v>411.58</v>
      </c>
      <c r="I1790" t="s">
        <v>31</v>
      </c>
      <c r="J1790" t="s">
        <v>74</v>
      </c>
      <c r="K1790" t="s">
        <v>1501</v>
      </c>
      <c r="L1790" s="2">
        <v>45870</v>
      </c>
      <c r="M1790" t="s">
        <v>76</v>
      </c>
      <c r="N1790">
        <v>0</v>
      </c>
      <c r="O1790" t="s">
        <v>31</v>
      </c>
      <c r="P1790" t="s">
        <v>28</v>
      </c>
      <c r="Q1790">
        <v>0</v>
      </c>
    </row>
    <row r="1791" spans="1:17" x14ac:dyDescent="0.3">
      <c r="A1791" t="s">
        <v>17</v>
      </c>
      <c r="B1791">
        <v>67</v>
      </c>
      <c r="C1791" t="s">
        <v>28</v>
      </c>
      <c r="D1791" s="2">
        <v>45900</v>
      </c>
      <c r="E1791" s="3">
        <f t="shared" si="27"/>
        <v>45870</v>
      </c>
      <c r="F1791" t="s">
        <v>1733</v>
      </c>
      <c r="H1791" s="4">
        <v>2268.23</v>
      </c>
      <c r="I1791" t="s">
        <v>47</v>
      </c>
      <c r="J1791" t="s">
        <v>74</v>
      </c>
      <c r="K1791" t="s">
        <v>1108</v>
      </c>
      <c r="L1791" s="2">
        <v>45870</v>
      </c>
      <c r="M1791" t="s">
        <v>76</v>
      </c>
      <c r="N1791">
        <v>0</v>
      </c>
      <c r="O1791" t="s">
        <v>26</v>
      </c>
      <c r="P1791" t="s">
        <v>28</v>
      </c>
      <c r="Q1791">
        <v>0</v>
      </c>
    </row>
    <row r="1792" spans="1:17" x14ac:dyDescent="0.3">
      <c r="A1792" t="s">
        <v>17</v>
      </c>
      <c r="B1792">
        <v>68</v>
      </c>
      <c r="C1792" t="s">
        <v>34</v>
      </c>
      <c r="D1792" s="2">
        <v>45870</v>
      </c>
      <c r="E1792" s="3">
        <f t="shared" si="27"/>
        <v>45870</v>
      </c>
      <c r="F1792" s="5">
        <v>45870</v>
      </c>
      <c r="G1792" t="s">
        <v>43</v>
      </c>
      <c r="H1792" s="4">
        <v>269.89</v>
      </c>
      <c r="I1792" t="s">
        <v>31</v>
      </c>
      <c r="J1792" t="s">
        <v>37</v>
      </c>
      <c r="K1792" t="s">
        <v>1734</v>
      </c>
      <c r="L1792" s="2">
        <v>45870</v>
      </c>
      <c r="M1792" t="s">
        <v>37</v>
      </c>
      <c r="N1792">
        <v>0</v>
      </c>
      <c r="O1792" t="s">
        <v>31</v>
      </c>
      <c r="P1792" t="s">
        <v>34</v>
      </c>
      <c r="Q1792">
        <v>0</v>
      </c>
    </row>
    <row r="1793" spans="1:17" x14ac:dyDescent="0.3">
      <c r="A1793" t="s">
        <v>17</v>
      </c>
      <c r="B1793">
        <v>68</v>
      </c>
      <c r="C1793" t="s">
        <v>34</v>
      </c>
      <c r="D1793" s="2">
        <v>45870</v>
      </c>
      <c r="E1793" s="3">
        <f t="shared" si="27"/>
        <v>45870</v>
      </c>
      <c r="F1793" t="s">
        <v>1735</v>
      </c>
      <c r="G1793" t="s">
        <v>36</v>
      </c>
      <c r="H1793" s="4">
        <v>65.33</v>
      </c>
      <c r="I1793" t="s">
        <v>31</v>
      </c>
      <c r="J1793" t="s">
        <v>37</v>
      </c>
      <c r="K1793" t="s">
        <v>38</v>
      </c>
      <c r="L1793" s="2">
        <v>45870</v>
      </c>
      <c r="M1793" t="s">
        <v>37</v>
      </c>
      <c r="N1793">
        <v>0</v>
      </c>
      <c r="O1793" t="s">
        <v>31</v>
      </c>
      <c r="P1793" t="s">
        <v>34</v>
      </c>
      <c r="Q1793">
        <v>0</v>
      </c>
    </row>
    <row r="1794" spans="1:17" x14ac:dyDescent="0.3">
      <c r="A1794" t="s">
        <v>17</v>
      </c>
      <c r="B1794">
        <v>68</v>
      </c>
      <c r="C1794" t="s">
        <v>34</v>
      </c>
      <c r="D1794" s="2">
        <v>45870</v>
      </c>
      <c r="E1794" s="3">
        <f t="shared" si="27"/>
        <v>45870</v>
      </c>
      <c r="F1794" t="s">
        <v>1581</v>
      </c>
      <c r="G1794" t="s">
        <v>40</v>
      </c>
      <c r="H1794" s="4">
        <v>728.58</v>
      </c>
      <c r="I1794" t="s">
        <v>31</v>
      </c>
      <c r="J1794" t="s">
        <v>37</v>
      </c>
      <c r="K1794" t="s">
        <v>1736</v>
      </c>
      <c r="L1794" s="2">
        <v>45870</v>
      </c>
      <c r="M1794" t="s">
        <v>37</v>
      </c>
      <c r="N1794">
        <v>0</v>
      </c>
      <c r="O1794" t="s">
        <v>31</v>
      </c>
      <c r="P1794" t="s">
        <v>34</v>
      </c>
      <c r="Q1794">
        <v>0</v>
      </c>
    </row>
    <row r="1795" spans="1:17" x14ac:dyDescent="0.3">
      <c r="A1795" t="s">
        <v>17</v>
      </c>
      <c r="B1795">
        <v>68</v>
      </c>
      <c r="C1795" t="s">
        <v>34</v>
      </c>
      <c r="D1795" s="2">
        <v>45870</v>
      </c>
      <c r="E1795" s="3">
        <f t="shared" ref="E1795:E1858" si="28">IF($D1795="","",DATE(YEAR($D1795),MONTH($D1795),1))</f>
        <v>45870</v>
      </c>
      <c r="F1795" t="s">
        <v>1737</v>
      </c>
      <c r="H1795" s="4">
        <v>-728.58</v>
      </c>
      <c r="I1795" t="s">
        <v>31</v>
      </c>
      <c r="J1795" t="s">
        <v>37</v>
      </c>
      <c r="K1795" t="s">
        <v>1508</v>
      </c>
      <c r="L1795" s="2">
        <v>45870</v>
      </c>
      <c r="M1795" t="s">
        <v>37</v>
      </c>
      <c r="N1795">
        <v>0</v>
      </c>
      <c r="O1795" t="s">
        <v>31</v>
      </c>
      <c r="P1795" t="s">
        <v>34</v>
      </c>
      <c r="Q1795">
        <v>0</v>
      </c>
    </row>
    <row r="1796" spans="1:17" x14ac:dyDescent="0.3">
      <c r="A1796" t="s">
        <v>17</v>
      </c>
      <c r="B1796">
        <v>68</v>
      </c>
      <c r="C1796" t="s">
        <v>34</v>
      </c>
      <c r="D1796" s="2">
        <v>45896</v>
      </c>
      <c r="E1796" s="3">
        <f t="shared" si="28"/>
        <v>45870</v>
      </c>
      <c r="F1796" s="5">
        <v>45901</v>
      </c>
      <c r="G1796" t="s">
        <v>43</v>
      </c>
      <c r="H1796" s="4">
        <v>270.10000000000002</v>
      </c>
      <c r="I1796" t="s">
        <v>31</v>
      </c>
      <c r="J1796" t="s">
        <v>37</v>
      </c>
      <c r="K1796" t="s">
        <v>1738</v>
      </c>
      <c r="L1796" s="2">
        <v>45870</v>
      </c>
      <c r="M1796" t="s">
        <v>37</v>
      </c>
      <c r="N1796">
        <v>0</v>
      </c>
      <c r="O1796" t="s">
        <v>31</v>
      </c>
      <c r="P1796" t="s">
        <v>34</v>
      </c>
      <c r="Q1796">
        <v>0</v>
      </c>
    </row>
    <row r="1797" spans="1:17" x14ac:dyDescent="0.3">
      <c r="A1797" t="s">
        <v>17</v>
      </c>
      <c r="B1797">
        <v>68</v>
      </c>
      <c r="C1797" t="s">
        <v>34</v>
      </c>
      <c r="D1797" s="2">
        <v>45900</v>
      </c>
      <c r="E1797" s="3">
        <f t="shared" si="28"/>
        <v>45870</v>
      </c>
      <c r="F1797" t="s">
        <v>1739</v>
      </c>
      <c r="H1797" s="4">
        <v>699.63</v>
      </c>
      <c r="I1797" t="s">
        <v>31</v>
      </c>
      <c r="J1797" t="s">
        <v>37</v>
      </c>
      <c r="K1797" t="s">
        <v>1740</v>
      </c>
      <c r="L1797" s="2">
        <v>45870</v>
      </c>
      <c r="M1797" t="s">
        <v>37</v>
      </c>
      <c r="N1797">
        <v>0</v>
      </c>
      <c r="O1797" t="s">
        <v>31</v>
      </c>
      <c r="P1797" t="s">
        <v>34</v>
      </c>
      <c r="Q1797">
        <v>0</v>
      </c>
    </row>
    <row r="1798" spans="1:17" x14ac:dyDescent="0.3">
      <c r="A1798" t="s">
        <v>17</v>
      </c>
      <c r="B1798">
        <v>65</v>
      </c>
      <c r="C1798" t="s">
        <v>54</v>
      </c>
      <c r="D1798" s="2">
        <v>45883</v>
      </c>
      <c r="E1798" s="3">
        <f t="shared" si="28"/>
        <v>45870</v>
      </c>
      <c r="F1798">
        <v>41684375</v>
      </c>
      <c r="G1798" t="s">
        <v>154</v>
      </c>
      <c r="H1798" s="4">
        <v>699.25</v>
      </c>
      <c r="I1798" t="s">
        <v>31</v>
      </c>
      <c r="J1798" t="s">
        <v>155</v>
      </c>
      <c r="K1798" t="s">
        <v>1741</v>
      </c>
      <c r="L1798" s="2">
        <v>45870</v>
      </c>
      <c r="M1798" t="s">
        <v>155</v>
      </c>
      <c r="N1798">
        <v>0</v>
      </c>
      <c r="O1798" t="s">
        <v>31</v>
      </c>
      <c r="P1798" t="s">
        <v>54</v>
      </c>
      <c r="Q1798">
        <v>0</v>
      </c>
    </row>
    <row r="1799" spans="1:17" x14ac:dyDescent="0.3">
      <c r="A1799" t="s">
        <v>17</v>
      </c>
      <c r="B1799">
        <v>65</v>
      </c>
      <c r="C1799" t="s">
        <v>54</v>
      </c>
      <c r="D1799" s="2">
        <v>45883</v>
      </c>
      <c r="E1799" s="3">
        <f t="shared" si="28"/>
        <v>45870</v>
      </c>
      <c r="F1799">
        <v>41684375</v>
      </c>
      <c r="G1799" t="s">
        <v>154</v>
      </c>
      <c r="H1799" s="4">
        <v>10.62</v>
      </c>
      <c r="I1799" t="s">
        <v>31</v>
      </c>
      <c r="J1799" t="s">
        <v>155</v>
      </c>
      <c r="K1799" t="s">
        <v>1742</v>
      </c>
      <c r="L1799" s="2">
        <v>45870</v>
      </c>
      <c r="M1799" t="s">
        <v>155</v>
      </c>
      <c r="N1799">
        <v>0</v>
      </c>
      <c r="O1799" t="s">
        <v>31</v>
      </c>
      <c r="P1799" t="s">
        <v>54</v>
      </c>
      <c r="Q1799">
        <v>0</v>
      </c>
    </row>
    <row r="1800" spans="1:17" x14ac:dyDescent="0.3">
      <c r="A1800" t="s">
        <v>17</v>
      </c>
      <c r="B1800">
        <v>65</v>
      </c>
      <c r="C1800" t="s">
        <v>54</v>
      </c>
      <c r="D1800" s="2">
        <v>45883</v>
      </c>
      <c r="E1800" s="3">
        <f t="shared" si="28"/>
        <v>45870</v>
      </c>
      <c r="F1800">
        <v>41684375</v>
      </c>
      <c r="G1800" t="s">
        <v>154</v>
      </c>
      <c r="H1800" s="4">
        <v>30.61</v>
      </c>
      <c r="I1800" t="s">
        <v>31</v>
      </c>
      <c r="J1800" t="s">
        <v>155</v>
      </c>
      <c r="K1800" t="s">
        <v>1743</v>
      </c>
      <c r="L1800" s="2">
        <v>45870</v>
      </c>
      <c r="M1800" t="s">
        <v>155</v>
      </c>
      <c r="N1800">
        <v>0</v>
      </c>
      <c r="O1800" t="s">
        <v>31</v>
      </c>
      <c r="P1800" t="s">
        <v>54</v>
      </c>
      <c r="Q1800">
        <v>0</v>
      </c>
    </row>
    <row r="1801" spans="1:17" x14ac:dyDescent="0.3">
      <c r="A1801" t="s">
        <v>17</v>
      </c>
      <c r="B1801">
        <v>65</v>
      </c>
      <c r="C1801" t="s">
        <v>54</v>
      </c>
      <c r="D1801" s="2">
        <v>45900</v>
      </c>
      <c r="E1801" s="3">
        <f t="shared" si="28"/>
        <v>45870</v>
      </c>
      <c r="F1801" t="s">
        <v>1583</v>
      </c>
      <c r="H1801" s="4">
        <v>-606</v>
      </c>
      <c r="I1801" t="s">
        <v>31</v>
      </c>
      <c r="J1801" t="s">
        <v>155</v>
      </c>
      <c r="L1801" s="2">
        <v>45870</v>
      </c>
      <c r="M1801" t="s">
        <v>155</v>
      </c>
      <c r="N1801">
        <v>0</v>
      </c>
      <c r="O1801" t="s">
        <v>31</v>
      </c>
      <c r="P1801" t="s">
        <v>54</v>
      </c>
      <c r="Q1801">
        <v>0</v>
      </c>
    </row>
    <row r="1802" spans="1:17" x14ac:dyDescent="0.3">
      <c r="A1802" t="s">
        <v>17</v>
      </c>
      <c r="B1802">
        <v>67</v>
      </c>
      <c r="C1802" t="s">
        <v>28</v>
      </c>
      <c r="D1802" s="2">
        <v>45900</v>
      </c>
      <c r="E1802" s="3">
        <f t="shared" si="28"/>
        <v>45870</v>
      </c>
      <c r="F1802" t="s">
        <v>1744</v>
      </c>
      <c r="H1802" s="4">
        <v>175</v>
      </c>
      <c r="I1802" t="s">
        <v>108</v>
      </c>
      <c r="J1802" t="s">
        <v>352</v>
      </c>
      <c r="K1802" t="s">
        <v>1745</v>
      </c>
      <c r="L1802" s="2">
        <v>45870</v>
      </c>
      <c r="M1802" t="s">
        <v>352</v>
      </c>
      <c r="N1802">
        <v>0</v>
      </c>
      <c r="O1802" t="s">
        <v>111</v>
      </c>
      <c r="P1802" t="s">
        <v>28</v>
      </c>
      <c r="Q1802">
        <v>0</v>
      </c>
    </row>
    <row r="1803" spans="1:17" x14ac:dyDescent="0.3">
      <c r="A1803" t="s">
        <v>17</v>
      </c>
      <c r="B1803">
        <v>68</v>
      </c>
      <c r="C1803" t="s">
        <v>34</v>
      </c>
      <c r="D1803" s="2">
        <v>45900</v>
      </c>
      <c r="E1803" s="3">
        <f t="shared" si="28"/>
        <v>45870</v>
      </c>
      <c r="F1803" t="s">
        <v>1746</v>
      </c>
      <c r="H1803" s="4">
        <v>5000</v>
      </c>
      <c r="I1803" t="s">
        <v>21</v>
      </c>
      <c r="J1803" t="s">
        <v>726</v>
      </c>
      <c r="K1803" t="s">
        <v>1747</v>
      </c>
      <c r="L1803" s="2">
        <v>45870</v>
      </c>
      <c r="M1803" t="s">
        <v>726</v>
      </c>
      <c r="N1803" t="s">
        <v>25</v>
      </c>
      <c r="O1803" t="s">
        <v>81</v>
      </c>
      <c r="P1803" t="s">
        <v>34</v>
      </c>
      <c r="Q1803">
        <v>0</v>
      </c>
    </row>
    <row r="1804" spans="1:17" x14ac:dyDescent="0.3">
      <c r="A1804" t="s">
        <v>17</v>
      </c>
      <c r="B1804">
        <v>67</v>
      </c>
      <c r="C1804" t="s">
        <v>28</v>
      </c>
      <c r="D1804" s="2">
        <v>45875</v>
      </c>
      <c r="E1804" s="3">
        <f t="shared" si="28"/>
        <v>45870</v>
      </c>
      <c r="F1804" t="s">
        <v>1588</v>
      </c>
      <c r="G1804" t="s">
        <v>101</v>
      </c>
      <c r="H1804" s="4">
        <v>1.06</v>
      </c>
      <c r="I1804" t="s">
        <v>31</v>
      </c>
      <c r="J1804" t="s">
        <v>64</v>
      </c>
      <c r="K1804" t="s">
        <v>1166</v>
      </c>
      <c r="L1804" s="2">
        <v>45870</v>
      </c>
      <c r="M1804" t="s">
        <v>64</v>
      </c>
      <c r="N1804">
        <v>0</v>
      </c>
      <c r="O1804" t="s">
        <v>31</v>
      </c>
      <c r="P1804" t="s">
        <v>28</v>
      </c>
      <c r="Q1804">
        <v>0</v>
      </c>
    </row>
    <row r="1805" spans="1:17" x14ac:dyDescent="0.3">
      <c r="A1805" t="s">
        <v>17</v>
      </c>
      <c r="B1805">
        <v>67</v>
      </c>
      <c r="C1805" t="s">
        <v>28</v>
      </c>
      <c r="D1805" s="2">
        <v>45884</v>
      </c>
      <c r="E1805" s="3">
        <f t="shared" si="28"/>
        <v>45870</v>
      </c>
      <c r="F1805" t="s">
        <v>1748</v>
      </c>
      <c r="H1805" s="4">
        <v>419.84</v>
      </c>
      <c r="I1805" t="s">
        <v>31</v>
      </c>
      <c r="J1805" t="s">
        <v>64</v>
      </c>
      <c r="K1805" t="s">
        <v>168</v>
      </c>
      <c r="L1805" s="2">
        <v>45870</v>
      </c>
      <c r="M1805" t="s">
        <v>64</v>
      </c>
      <c r="N1805">
        <v>0</v>
      </c>
      <c r="O1805" t="s">
        <v>31</v>
      </c>
      <c r="P1805" t="s">
        <v>28</v>
      </c>
      <c r="Q1805">
        <v>0</v>
      </c>
    </row>
    <row r="1806" spans="1:17" x14ac:dyDescent="0.3">
      <c r="A1806" t="s">
        <v>17</v>
      </c>
      <c r="B1806">
        <v>68</v>
      </c>
      <c r="C1806" t="s">
        <v>34</v>
      </c>
      <c r="D1806" s="2">
        <v>45873</v>
      </c>
      <c r="E1806" s="3">
        <f t="shared" si="28"/>
        <v>45870</v>
      </c>
      <c r="F1806" t="s">
        <v>1749</v>
      </c>
      <c r="H1806" s="4">
        <v>-36.94</v>
      </c>
      <c r="I1806" t="s">
        <v>31</v>
      </c>
      <c r="J1806" t="s">
        <v>613</v>
      </c>
      <c r="K1806" t="s">
        <v>802</v>
      </c>
      <c r="L1806" s="2">
        <v>45870</v>
      </c>
      <c r="M1806" t="s">
        <v>613</v>
      </c>
      <c r="N1806">
        <v>0</v>
      </c>
      <c r="O1806" t="s">
        <v>31</v>
      </c>
      <c r="P1806" t="s">
        <v>34</v>
      </c>
      <c r="Q1806">
        <v>0</v>
      </c>
    </row>
    <row r="1807" spans="1:17" x14ac:dyDescent="0.3">
      <c r="A1807" t="s">
        <v>17</v>
      </c>
      <c r="B1807">
        <v>68</v>
      </c>
      <c r="C1807" t="s">
        <v>34</v>
      </c>
      <c r="D1807" s="2">
        <v>45884</v>
      </c>
      <c r="E1807" s="3">
        <f t="shared" si="28"/>
        <v>45870</v>
      </c>
      <c r="F1807" t="s">
        <v>1750</v>
      </c>
      <c r="H1807" s="4">
        <v>14</v>
      </c>
      <c r="I1807" t="s">
        <v>31</v>
      </c>
      <c r="J1807" t="s">
        <v>613</v>
      </c>
      <c r="K1807" t="s">
        <v>1751</v>
      </c>
      <c r="L1807" s="2">
        <v>45870</v>
      </c>
      <c r="M1807" t="s">
        <v>613</v>
      </c>
      <c r="N1807">
        <v>0</v>
      </c>
      <c r="O1807" t="s">
        <v>31</v>
      </c>
      <c r="P1807" t="s">
        <v>34</v>
      </c>
      <c r="Q1807">
        <v>0</v>
      </c>
    </row>
    <row r="1808" spans="1:17" x14ac:dyDescent="0.3">
      <c r="A1808" t="s">
        <v>17</v>
      </c>
      <c r="B1808">
        <v>69</v>
      </c>
      <c r="C1808" t="s">
        <v>297</v>
      </c>
      <c r="D1808" s="2">
        <v>45900</v>
      </c>
      <c r="E1808" s="3">
        <f t="shared" si="28"/>
        <v>45870</v>
      </c>
      <c r="F1808" t="s">
        <v>1752</v>
      </c>
      <c r="H1808" s="4">
        <v>24.41</v>
      </c>
      <c r="I1808" t="s">
        <v>31</v>
      </c>
      <c r="J1808" t="s">
        <v>360</v>
      </c>
      <c r="L1808" s="2">
        <v>45870</v>
      </c>
      <c r="M1808" t="s">
        <v>361</v>
      </c>
      <c r="N1808">
        <v>0</v>
      </c>
      <c r="O1808" t="s">
        <v>31</v>
      </c>
      <c r="P1808" t="s">
        <v>297</v>
      </c>
      <c r="Q1808">
        <v>0</v>
      </c>
    </row>
    <row r="1809" spans="1:17" x14ac:dyDescent="0.3">
      <c r="A1809" t="s">
        <v>17</v>
      </c>
      <c r="B1809">
        <v>69</v>
      </c>
      <c r="C1809" t="s">
        <v>297</v>
      </c>
      <c r="D1809" s="2">
        <v>45900</v>
      </c>
      <c r="E1809" s="3">
        <f t="shared" si="28"/>
        <v>45870</v>
      </c>
      <c r="F1809" t="s">
        <v>1752</v>
      </c>
      <c r="H1809" s="4">
        <v>15.83</v>
      </c>
      <c r="I1809" t="s">
        <v>108</v>
      </c>
      <c r="J1809" t="s">
        <v>360</v>
      </c>
      <c r="L1809" s="2">
        <v>45870</v>
      </c>
      <c r="M1809" t="s">
        <v>361</v>
      </c>
      <c r="N1809">
        <v>0</v>
      </c>
      <c r="O1809" t="s">
        <v>111</v>
      </c>
      <c r="P1809" t="s">
        <v>297</v>
      </c>
      <c r="Q1809">
        <v>0</v>
      </c>
    </row>
    <row r="1810" spans="1:17" x14ac:dyDescent="0.3">
      <c r="A1810" t="s">
        <v>17</v>
      </c>
      <c r="B1810">
        <v>69</v>
      </c>
      <c r="C1810" t="s">
        <v>297</v>
      </c>
      <c r="D1810" s="2">
        <v>45900</v>
      </c>
      <c r="E1810" s="3">
        <f t="shared" si="28"/>
        <v>45870</v>
      </c>
      <c r="F1810" t="s">
        <v>1752</v>
      </c>
      <c r="H1810" s="4">
        <v>141.36000000000001</v>
      </c>
      <c r="I1810" t="s">
        <v>31</v>
      </c>
      <c r="J1810" t="s">
        <v>349</v>
      </c>
      <c r="L1810" s="2">
        <v>45870</v>
      </c>
      <c r="M1810" t="s">
        <v>350</v>
      </c>
      <c r="N1810">
        <v>0</v>
      </c>
      <c r="O1810" t="s">
        <v>31</v>
      </c>
      <c r="P1810" t="s">
        <v>297</v>
      </c>
      <c r="Q1810">
        <v>0</v>
      </c>
    </row>
    <row r="1811" spans="1:17" x14ac:dyDescent="0.3">
      <c r="A1811" t="s">
        <v>17</v>
      </c>
      <c r="B1811">
        <v>69</v>
      </c>
      <c r="C1811" t="s">
        <v>297</v>
      </c>
      <c r="D1811" s="2">
        <v>45900</v>
      </c>
      <c r="E1811" s="3">
        <f t="shared" si="28"/>
        <v>45870</v>
      </c>
      <c r="F1811" t="s">
        <v>1752</v>
      </c>
      <c r="H1811" s="4">
        <v>259.97000000000003</v>
      </c>
      <c r="I1811" t="s">
        <v>137</v>
      </c>
      <c r="J1811" t="s">
        <v>349</v>
      </c>
      <c r="L1811" s="2">
        <v>45870</v>
      </c>
      <c r="M1811" t="s">
        <v>350</v>
      </c>
      <c r="N1811" t="s">
        <v>141</v>
      </c>
      <c r="O1811" t="s">
        <v>141</v>
      </c>
      <c r="P1811" t="s">
        <v>297</v>
      </c>
      <c r="Q1811">
        <v>0</v>
      </c>
    </row>
    <row r="1812" spans="1:17" x14ac:dyDescent="0.3">
      <c r="A1812" t="s">
        <v>17</v>
      </c>
      <c r="B1812">
        <v>69</v>
      </c>
      <c r="C1812" t="s">
        <v>297</v>
      </c>
      <c r="D1812" s="2">
        <v>45900</v>
      </c>
      <c r="E1812" s="3">
        <f t="shared" si="28"/>
        <v>45870</v>
      </c>
      <c r="F1812" t="s">
        <v>1752</v>
      </c>
      <c r="H1812" s="4">
        <v>589.29999999999995</v>
      </c>
      <c r="I1812" t="s">
        <v>31</v>
      </c>
      <c r="J1812" t="s">
        <v>346</v>
      </c>
      <c r="L1812" s="2">
        <v>45870</v>
      </c>
      <c r="M1812" t="s">
        <v>347</v>
      </c>
      <c r="N1812">
        <v>0</v>
      </c>
      <c r="O1812" t="s">
        <v>31</v>
      </c>
      <c r="P1812" t="s">
        <v>297</v>
      </c>
      <c r="Q1812">
        <v>0</v>
      </c>
    </row>
    <row r="1813" spans="1:17" x14ac:dyDescent="0.3">
      <c r="A1813" t="s">
        <v>17</v>
      </c>
      <c r="B1813">
        <v>69</v>
      </c>
      <c r="C1813" t="s">
        <v>297</v>
      </c>
      <c r="D1813" s="2">
        <v>45900</v>
      </c>
      <c r="E1813" s="3">
        <f t="shared" si="28"/>
        <v>45870</v>
      </c>
      <c r="F1813" t="s">
        <v>1752</v>
      </c>
      <c r="H1813" s="4">
        <v>216.66</v>
      </c>
      <c r="I1813" t="s">
        <v>104</v>
      </c>
      <c r="J1813" t="s">
        <v>346</v>
      </c>
      <c r="L1813" s="2">
        <v>45870</v>
      </c>
      <c r="M1813" t="s">
        <v>347</v>
      </c>
      <c r="N1813">
        <v>0</v>
      </c>
      <c r="O1813" t="s">
        <v>104</v>
      </c>
      <c r="P1813" t="s">
        <v>297</v>
      </c>
      <c r="Q1813">
        <v>0</v>
      </c>
    </row>
    <row r="1814" spans="1:17" x14ac:dyDescent="0.3">
      <c r="A1814" t="s">
        <v>17</v>
      </c>
      <c r="B1814">
        <v>69</v>
      </c>
      <c r="C1814" t="s">
        <v>297</v>
      </c>
      <c r="D1814" s="2">
        <v>45900</v>
      </c>
      <c r="E1814" s="3">
        <f t="shared" si="28"/>
        <v>45870</v>
      </c>
      <c r="F1814" t="s">
        <v>1752</v>
      </c>
      <c r="H1814" s="4">
        <v>228.04</v>
      </c>
      <c r="I1814" t="s">
        <v>21</v>
      </c>
      <c r="J1814" t="s">
        <v>346</v>
      </c>
      <c r="L1814" s="2">
        <v>45870</v>
      </c>
      <c r="M1814" t="s">
        <v>347</v>
      </c>
      <c r="N1814" t="s">
        <v>25</v>
      </c>
      <c r="O1814" t="s">
        <v>81</v>
      </c>
      <c r="P1814" t="s">
        <v>297</v>
      </c>
      <c r="Q1814">
        <v>0</v>
      </c>
    </row>
    <row r="1815" spans="1:17" x14ac:dyDescent="0.3">
      <c r="A1815" t="s">
        <v>17</v>
      </c>
      <c r="B1815">
        <v>69</v>
      </c>
      <c r="C1815" t="s">
        <v>297</v>
      </c>
      <c r="D1815" s="2">
        <v>45900</v>
      </c>
      <c r="E1815" s="3">
        <f t="shared" si="28"/>
        <v>45870</v>
      </c>
      <c r="F1815" t="s">
        <v>1752</v>
      </c>
      <c r="H1815" s="4">
        <v>66.72</v>
      </c>
      <c r="I1815" t="s">
        <v>159</v>
      </c>
      <c r="J1815" t="s">
        <v>346</v>
      </c>
      <c r="L1815" s="2">
        <v>45870</v>
      </c>
      <c r="M1815" t="s">
        <v>347</v>
      </c>
      <c r="N1815">
        <v>0</v>
      </c>
      <c r="O1815" t="s">
        <v>159</v>
      </c>
      <c r="P1815" t="s">
        <v>297</v>
      </c>
      <c r="Q1815">
        <v>0</v>
      </c>
    </row>
    <row r="1816" spans="1:17" x14ac:dyDescent="0.3">
      <c r="A1816" t="s">
        <v>17</v>
      </c>
      <c r="B1816">
        <v>69</v>
      </c>
      <c r="C1816" t="s">
        <v>297</v>
      </c>
      <c r="D1816" s="2">
        <v>45900</v>
      </c>
      <c r="E1816" s="3">
        <f t="shared" si="28"/>
        <v>45870</v>
      </c>
      <c r="F1816" t="s">
        <v>1752</v>
      </c>
      <c r="H1816" s="4">
        <v>189.1</v>
      </c>
      <c r="I1816" t="s">
        <v>47</v>
      </c>
      <c r="J1816" t="s">
        <v>346</v>
      </c>
      <c r="L1816" s="2">
        <v>45870</v>
      </c>
      <c r="M1816" t="s">
        <v>347</v>
      </c>
      <c r="N1816">
        <v>0</v>
      </c>
      <c r="O1816" t="s">
        <v>26</v>
      </c>
      <c r="P1816" t="s">
        <v>297</v>
      </c>
      <c r="Q1816">
        <v>0</v>
      </c>
    </row>
    <row r="1817" spans="1:17" x14ac:dyDescent="0.3">
      <c r="A1817" t="s">
        <v>17</v>
      </c>
      <c r="B1817">
        <v>69</v>
      </c>
      <c r="C1817" t="s">
        <v>297</v>
      </c>
      <c r="D1817" s="2">
        <v>45900</v>
      </c>
      <c r="E1817" s="3">
        <f t="shared" si="28"/>
        <v>45870</v>
      </c>
      <c r="F1817" t="s">
        <v>1752</v>
      </c>
      <c r="H1817" s="4">
        <v>65.48</v>
      </c>
      <c r="I1817" t="s">
        <v>348</v>
      </c>
      <c r="J1817" t="s">
        <v>346</v>
      </c>
      <c r="L1817" s="2">
        <v>45870</v>
      </c>
      <c r="M1817" t="s">
        <v>347</v>
      </c>
      <c r="N1817">
        <v>0</v>
      </c>
      <c r="O1817" t="s">
        <v>348</v>
      </c>
      <c r="P1817" t="s">
        <v>297</v>
      </c>
      <c r="Q1817">
        <v>0</v>
      </c>
    </row>
    <row r="1818" spans="1:17" x14ac:dyDescent="0.3">
      <c r="A1818" t="s">
        <v>17</v>
      </c>
      <c r="B1818">
        <v>69</v>
      </c>
      <c r="C1818" t="s">
        <v>297</v>
      </c>
      <c r="D1818" s="2">
        <v>45900</v>
      </c>
      <c r="E1818" s="3">
        <f t="shared" si="28"/>
        <v>45870</v>
      </c>
      <c r="F1818" t="s">
        <v>1752</v>
      </c>
      <c r="H1818" s="4">
        <v>156.94</v>
      </c>
      <c r="I1818" t="s">
        <v>108</v>
      </c>
      <c r="J1818" t="s">
        <v>346</v>
      </c>
      <c r="L1818" s="2">
        <v>45870</v>
      </c>
      <c r="M1818" t="s">
        <v>347</v>
      </c>
      <c r="N1818">
        <v>0</v>
      </c>
      <c r="O1818" t="s">
        <v>111</v>
      </c>
      <c r="P1818" t="s">
        <v>297</v>
      </c>
      <c r="Q1818">
        <v>0</v>
      </c>
    </row>
    <row r="1819" spans="1:17" x14ac:dyDescent="0.3">
      <c r="A1819" t="s">
        <v>17</v>
      </c>
      <c r="B1819">
        <v>69</v>
      </c>
      <c r="C1819" t="s">
        <v>297</v>
      </c>
      <c r="D1819" s="2">
        <v>45900</v>
      </c>
      <c r="E1819" s="3">
        <f t="shared" si="28"/>
        <v>45870</v>
      </c>
      <c r="F1819" t="s">
        <v>1752</v>
      </c>
      <c r="H1819" s="4">
        <v>113.67</v>
      </c>
      <c r="I1819" t="s">
        <v>137</v>
      </c>
      <c r="J1819" t="s">
        <v>346</v>
      </c>
      <c r="L1819" s="2">
        <v>45870</v>
      </c>
      <c r="M1819" t="s">
        <v>347</v>
      </c>
      <c r="N1819" t="s">
        <v>141</v>
      </c>
      <c r="O1819" t="s">
        <v>141</v>
      </c>
      <c r="P1819" t="s">
        <v>297</v>
      </c>
      <c r="Q1819">
        <v>0</v>
      </c>
    </row>
    <row r="1820" spans="1:17" x14ac:dyDescent="0.3">
      <c r="A1820" t="s">
        <v>17</v>
      </c>
      <c r="B1820">
        <v>69</v>
      </c>
      <c r="C1820" t="s">
        <v>297</v>
      </c>
      <c r="D1820" s="2">
        <v>45899</v>
      </c>
      <c r="E1820" s="3">
        <f t="shared" si="28"/>
        <v>45870</v>
      </c>
      <c r="F1820" t="s">
        <v>1753</v>
      </c>
      <c r="H1820" s="4">
        <v>1954.72</v>
      </c>
      <c r="I1820" t="s">
        <v>31</v>
      </c>
      <c r="J1820" t="s">
        <v>299</v>
      </c>
      <c r="K1820" t="s">
        <v>300</v>
      </c>
      <c r="L1820" s="2">
        <v>45870</v>
      </c>
      <c r="M1820" t="s">
        <v>301</v>
      </c>
      <c r="N1820">
        <v>0</v>
      </c>
      <c r="O1820" t="s">
        <v>31</v>
      </c>
      <c r="P1820" t="s">
        <v>297</v>
      </c>
      <c r="Q1820">
        <v>0</v>
      </c>
    </row>
    <row r="1821" spans="1:17" x14ac:dyDescent="0.3">
      <c r="A1821" t="s">
        <v>17</v>
      </c>
      <c r="B1821">
        <v>65</v>
      </c>
      <c r="C1821" t="s">
        <v>54</v>
      </c>
      <c r="D1821" s="2">
        <v>45900</v>
      </c>
      <c r="E1821" s="3">
        <f t="shared" si="28"/>
        <v>45870</v>
      </c>
      <c r="F1821" t="s">
        <v>1583</v>
      </c>
      <c r="H1821" s="4">
        <v>23940.66</v>
      </c>
      <c r="I1821" t="s">
        <v>31</v>
      </c>
      <c r="J1821" t="s">
        <v>296</v>
      </c>
      <c r="L1821" s="2">
        <v>45870</v>
      </c>
      <c r="M1821" t="s">
        <v>296</v>
      </c>
      <c r="N1821">
        <v>0</v>
      </c>
      <c r="O1821" t="s">
        <v>31</v>
      </c>
      <c r="P1821" t="s">
        <v>54</v>
      </c>
      <c r="Q1821">
        <v>0</v>
      </c>
    </row>
    <row r="1822" spans="1:17" x14ac:dyDescent="0.3">
      <c r="A1822" t="s">
        <v>17</v>
      </c>
      <c r="B1822">
        <v>65</v>
      </c>
      <c r="C1822" t="s">
        <v>54</v>
      </c>
      <c r="D1822" s="2">
        <v>45900</v>
      </c>
      <c r="E1822" s="3">
        <f t="shared" si="28"/>
        <v>45870</v>
      </c>
      <c r="F1822" t="s">
        <v>1583</v>
      </c>
      <c r="H1822" s="4">
        <v>589.99</v>
      </c>
      <c r="I1822" t="s">
        <v>31</v>
      </c>
      <c r="J1822" t="s">
        <v>296</v>
      </c>
      <c r="L1822" s="2">
        <v>45870</v>
      </c>
      <c r="M1822" t="s">
        <v>296</v>
      </c>
      <c r="N1822">
        <v>0</v>
      </c>
      <c r="O1822" t="s">
        <v>31</v>
      </c>
      <c r="P1822" t="s">
        <v>54</v>
      </c>
      <c r="Q1822">
        <v>0</v>
      </c>
    </row>
    <row r="1823" spans="1:17" x14ac:dyDescent="0.3">
      <c r="A1823" t="s">
        <v>17</v>
      </c>
      <c r="B1823">
        <v>64</v>
      </c>
      <c r="C1823" t="s">
        <v>83</v>
      </c>
      <c r="D1823" s="2">
        <v>45901</v>
      </c>
      <c r="E1823" s="3">
        <f t="shared" si="28"/>
        <v>45901</v>
      </c>
      <c r="F1823" t="s">
        <v>1754</v>
      </c>
      <c r="G1823" t="s">
        <v>824</v>
      </c>
      <c r="H1823" s="4">
        <v>101.14</v>
      </c>
      <c r="I1823" t="s">
        <v>108</v>
      </c>
      <c r="J1823" t="s">
        <v>91</v>
      </c>
      <c r="K1823" t="s">
        <v>1755</v>
      </c>
      <c r="L1823" s="2">
        <v>45901</v>
      </c>
      <c r="M1823" t="s">
        <v>93</v>
      </c>
      <c r="N1823">
        <v>0</v>
      </c>
      <c r="O1823" t="s">
        <v>111</v>
      </c>
      <c r="P1823" t="s">
        <v>83</v>
      </c>
      <c r="Q1823">
        <v>0</v>
      </c>
    </row>
    <row r="1824" spans="1:17" x14ac:dyDescent="0.3">
      <c r="A1824" t="s">
        <v>17</v>
      </c>
      <c r="B1824">
        <v>64</v>
      </c>
      <c r="C1824" t="s">
        <v>83</v>
      </c>
      <c r="D1824" s="2">
        <v>45903</v>
      </c>
      <c r="E1824" s="3">
        <f t="shared" si="28"/>
        <v>45901</v>
      </c>
      <c r="F1824" t="s">
        <v>1756</v>
      </c>
      <c r="G1824" t="s">
        <v>1227</v>
      </c>
      <c r="H1824" s="4">
        <v>350.96</v>
      </c>
      <c r="I1824" t="s">
        <v>31</v>
      </c>
      <c r="J1824" t="s">
        <v>91</v>
      </c>
      <c r="K1824" t="s">
        <v>1757</v>
      </c>
      <c r="L1824" s="2">
        <v>45901</v>
      </c>
      <c r="M1824" t="s">
        <v>93</v>
      </c>
      <c r="N1824">
        <v>0</v>
      </c>
      <c r="O1824" t="s">
        <v>31</v>
      </c>
      <c r="P1824" t="s">
        <v>83</v>
      </c>
      <c r="Q1824">
        <v>0</v>
      </c>
    </row>
    <row r="1825" spans="1:17" x14ac:dyDescent="0.3">
      <c r="A1825" t="s">
        <v>17</v>
      </c>
      <c r="B1825">
        <v>64</v>
      </c>
      <c r="C1825" t="s">
        <v>83</v>
      </c>
      <c r="D1825" s="2">
        <v>45906</v>
      </c>
      <c r="E1825" s="3">
        <f t="shared" si="28"/>
        <v>45901</v>
      </c>
      <c r="F1825" t="s">
        <v>1758</v>
      </c>
      <c r="G1825" t="s">
        <v>174</v>
      </c>
      <c r="H1825" s="4">
        <v>58.94</v>
      </c>
      <c r="I1825" t="s">
        <v>31</v>
      </c>
      <c r="J1825" t="s">
        <v>91</v>
      </c>
      <c r="K1825" t="s">
        <v>1201</v>
      </c>
      <c r="L1825" s="2">
        <v>45901</v>
      </c>
      <c r="M1825" t="s">
        <v>93</v>
      </c>
      <c r="N1825">
        <v>0</v>
      </c>
      <c r="O1825" t="s">
        <v>31</v>
      </c>
      <c r="P1825" t="s">
        <v>83</v>
      </c>
      <c r="Q1825">
        <v>0</v>
      </c>
    </row>
    <row r="1826" spans="1:17" x14ac:dyDescent="0.3">
      <c r="A1826" t="s">
        <v>17</v>
      </c>
      <c r="B1826">
        <v>64</v>
      </c>
      <c r="C1826" t="s">
        <v>83</v>
      </c>
      <c r="D1826" s="2">
        <v>45906</v>
      </c>
      <c r="E1826" s="3">
        <f t="shared" si="28"/>
        <v>45901</v>
      </c>
      <c r="F1826" t="s">
        <v>1758</v>
      </c>
      <c r="G1826" t="s">
        <v>174</v>
      </c>
      <c r="H1826" s="4">
        <v>49.98</v>
      </c>
      <c r="I1826" t="s">
        <v>31</v>
      </c>
      <c r="J1826" t="s">
        <v>91</v>
      </c>
      <c r="K1826" t="s">
        <v>1759</v>
      </c>
      <c r="L1826" s="2">
        <v>45901</v>
      </c>
      <c r="M1826" t="s">
        <v>93</v>
      </c>
      <c r="N1826">
        <v>0</v>
      </c>
      <c r="O1826" t="s">
        <v>31</v>
      </c>
      <c r="P1826" t="s">
        <v>83</v>
      </c>
      <c r="Q1826">
        <v>0</v>
      </c>
    </row>
    <row r="1827" spans="1:17" x14ac:dyDescent="0.3">
      <c r="A1827" t="s">
        <v>17</v>
      </c>
      <c r="B1827">
        <v>64</v>
      </c>
      <c r="C1827" t="s">
        <v>83</v>
      </c>
      <c r="D1827" s="2">
        <v>45912</v>
      </c>
      <c r="E1827" s="3">
        <f t="shared" si="28"/>
        <v>45901</v>
      </c>
      <c r="F1827" t="s">
        <v>1760</v>
      </c>
      <c r="H1827" s="4">
        <v>49.92</v>
      </c>
      <c r="I1827" t="s">
        <v>47</v>
      </c>
      <c r="J1827" t="s">
        <v>91</v>
      </c>
      <c r="K1827" t="s">
        <v>1761</v>
      </c>
      <c r="L1827" s="2">
        <v>45901</v>
      </c>
      <c r="M1827" t="s">
        <v>93</v>
      </c>
      <c r="N1827">
        <v>0</v>
      </c>
      <c r="O1827" t="s">
        <v>26</v>
      </c>
      <c r="P1827" t="s">
        <v>83</v>
      </c>
      <c r="Q1827">
        <v>0</v>
      </c>
    </row>
    <row r="1828" spans="1:17" x14ac:dyDescent="0.3">
      <c r="A1828" t="s">
        <v>17</v>
      </c>
      <c r="B1828">
        <v>64</v>
      </c>
      <c r="C1828" t="s">
        <v>83</v>
      </c>
      <c r="D1828" s="2">
        <v>45921</v>
      </c>
      <c r="E1828" s="3">
        <f t="shared" si="28"/>
        <v>45901</v>
      </c>
      <c r="F1828" t="s">
        <v>1762</v>
      </c>
      <c r="G1828" t="s">
        <v>824</v>
      </c>
      <c r="H1828" s="4">
        <v>40.5</v>
      </c>
      <c r="I1828" t="s">
        <v>108</v>
      </c>
      <c r="J1828" t="s">
        <v>91</v>
      </c>
      <c r="K1828" t="s">
        <v>1763</v>
      </c>
      <c r="L1828" s="2">
        <v>45901</v>
      </c>
      <c r="M1828" t="s">
        <v>93</v>
      </c>
      <c r="N1828">
        <v>0</v>
      </c>
      <c r="O1828" t="s">
        <v>111</v>
      </c>
      <c r="P1828" t="s">
        <v>83</v>
      </c>
      <c r="Q1828">
        <v>0</v>
      </c>
    </row>
    <row r="1829" spans="1:17" x14ac:dyDescent="0.3">
      <c r="A1829" t="s">
        <v>17</v>
      </c>
      <c r="B1829">
        <v>64</v>
      </c>
      <c r="C1829" t="s">
        <v>83</v>
      </c>
      <c r="D1829" s="2">
        <v>45922</v>
      </c>
      <c r="E1829" s="3">
        <f t="shared" si="28"/>
        <v>45901</v>
      </c>
      <c r="F1829" t="s">
        <v>1764</v>
      </c>
      <c r="H1829" s="4">
        <v>11.94</v>
      </c>
      <c r="I1829" t="s">
        <v>159</v>
      </c>
      <c r="J1829" t="s">
        <v>91</v>
      </c>
      <c r="K1829" t="s">
        <v>1765</v>
      </c>
      <c r="L1829" s="2">
        <v>45901</v>
      </c>
      <c r="M1829" t="s">
        <v>93</v>
      </c>
      <c r="N1829">
        <v>0</v>
      </c>
      <c r="O1829" t="s">
        <v>159</v>
      </c>
      <c r="P1829" t="s">
        <v>83</v>
      </c>
      <c r="Q1829">
        <v>0</v>
      </c>
    </row>
    <row r="1830" spans="1:17" x14ac:dyDescent="0.3">
      <c r="A1830" t="s">
        <v>17</v>
      </c>
      <c r="B1830">
        <v>64</v>
      </c>
      <c r="C1830" t="s">
        <v>83</v>
      </c>
      <c r="D1830" s="2">
        <v>45922</v>
      </c>
      <c r="E1830" s="3">
        <f t="shared" si="28"/>
        <v>45901</v>
      </c>
      <c r="F1830" t="s">
        <v>1764</v>
      </c>
      <c r="G1830" t="s">
        <v>158</v>
      </c>
      <c r="H1830" s="4">
        <v>32.69</v>
      </c>
      <c r="I1830" t="s">
        <v>159</v>
      </c>
      <c r="J1830" t="s">
        <v>91</v>
      </c>
      <c r="K1830" t="s">
        <v>1766</v>
      </c>
      <c r="L1830" s="2">
        <v>45901</v>
      </c>
      <c r="M1830" t="s">
        <v>93</v>
      </c>
      <c r="N1830">
        <v>0</v>
      </c>
      <c r="O1830" t="s">
        <v>159</v>
      </c>
      <c r="P1830" t="s">
        <v>83</v>
      </c>
      <c r="Q1830">
        <v>0</v>
      </c>
    </row>
    <row r="1831" spans="1:17" x14ac:dyDescent="0.3">
      <c r="A1831" t="s">
        <v>17</v>
      </c>
      <c r="B1831">
        <v>64</v>
      </c>
      <c r="C1831" t="s">
        <v>83</v>
      </c>
      <c r="D1831" s="2">
        <v>45922</v>
      </c>
      <c r="E1831" s="3">
        <f t="shared" si="28"/>
        <v>45901</v>
      </c>
      <c r="F1831" t="s">
        <v>1764</v>
      </c>
      <c r="H1831" s="4">
        <v>46.02</v>
      </c>
      <c r="I1831" t="s">
        <v>159</v>
      </c>
      <c r="J1831" t="s">
        <v>91</v>
      </c>
      <c r="K1831" t="s">
        <v>1767</v>
      </c>
      <c r="L1831" s="2">
        <v>45901</v>
      </c>
      <c r="M1831" t="s">
        <v>93</v>
      </c>
      <c r="N1831">
        <v>0</v>
      </c>
      <c r="O1831" t="s">
        <v>159</v>
      </c>
      <c r="P1831" t="s">
        <v>83</v>
      </c>
      <c r="Q1831">
        <v>0</v>
      </c>
    </row>
    <row r="1832" spans="1:17" x14ac:dyDescent="0.3">
      <c r="A1832" t="s">
        <v>17</v>
      </c>
      <c r="B1832">
        <v>64</v>
      </c>
      <c r="C1832" t="s">
        <v>83</v>
      </c>
      <c r="D1832" s="2">
        <v>45912</v>
      </c>
      <c r="E1832" s="3">
        <f t="shared" si="28"/>
        <v>45901</v>
      </c>
      <c r="F1832" t="s">
        <v>1760</v>
      </c>
      <c r="H1832" s="4">
        <v>20.84</v>
      </c>
      <c r="I1832" t="s">
        <v>47</v>
      </c>
      <c r="J1832" t="s">
        <v>87</v>
      </c>
      <c r="K1832" t="s">
        <v>1761</v>
      </c>
      <c r="L1832" s="2">
        <v>45901</v>
      </c>
      <c r="M1832" t="s">
        <v>89</v>
      </c>
      <c r="N1832">
        <v>0</v>
      </c>
      <c r="O1832" t="s">
        <v>26</v>
      </c>
      <c r="P1832" t="s">
        <v>83</v>
      </c>
      <c r="Q1832">
        <v>0</v>
      </c>
    </row>
    <row r="1833" spans="1:17" x14ac:dyDescent="0.3">
      <c r="A1833" t="s">
        <v>17</v>
      </c>
      <c r="B1833">
        <v>64</v>
      </c>
      <c r="C1833" t="s">
        <v>83</v>
      </c>
      <c r="D1833" s="2">
        <v>45912</v>
      </c>
      <c r="E1833" s="3">
        <f t="shared" si="28"/>
        <v>45901</v>
      </c>
      <c r="F1833" t="s">
        <v>1760</v>
      </c>
      <c r="H1833" s="4">
        <v>29.62</v>
      </c>
      <c r="I1833" t="s">
        <v>47</v>
      </c>
      <c r="J1833" t="s">
        <v>87</v>
      </c>
      <c r="K1833" t="s">
        <v>1761</v>
      </c>
      <c r="L1833" s="2">
        <v>45901</v>
      </c>
      <c r="M1833" t="s">
        <v>89</v>
      </c>
      <c r="N1833">
        <v>0</v>
      </c>
      <c r="O1833" t="s">
        <v>26</v>
      </c>
      <c r="P1833" t="s">
        <v>83</v>
      </c>
      <c r="Q1833">
        <v>0</v>
      </c>
    </row>
    <row r="1834" spans="1:17" x14ac:dyDescent="0.3">
      <c r="A1834" t="s">
        <v>17</v>
      </c>
      <c r="B1834">
        <v>64</v>
      </c>
      <c r="C1834" t="s">
        <v>83</v>
      </c>
      <c r="D1834" s="2">
        <v>45922</v>
      </c>
      <c r="E1834" s="3">
        <f t="shared" si="28"/>
        <v>45901</v>
      </c>
      <c r="F1834" t="s">
        <v>1764</v>
      </c>
      <c r="H1834" s="4">
        <v>63.7</v>
      </c>
      <c r="I1834" t="s">
        <v>159</v>
      </c>
      <c r="J1834" t="s">
        <v>87</v>
      </c>
      <c r="K1834" t="s">
        <v>1768</v>
      </c>
      <c r="L1834" s="2">
        <v>45901</v>
      </c>
      <c r="M1834" t="s">
        <v>89</v>
      </c>
      <c r="N1834">
        <v>0</v>
      </c>
      <c r="O1834" t="s">
        <v>159</v>
      </c>
      <c r="P1834" t="s">
        <v>83</v>
      </c>
      <c r="Q1834">
        <v>0</v>
      </c>
    </row>
    <row r="1835" spans="1:17" x14ac:dyDescent="0.3">
      <c r="A1835" t="s">
        <v>17</v>
      </c>
      <c r="B1835">
        <v>67</v>
      </c>
      <c r="C1835" t="s">
        <v>28</v>
      </c>
      <c r="D1835" s="2">
        <v>45930</v>
      </c>
      <c r="E1835" s="3">
        <f t="shared" si="28"/>
        <v>45901</v>
      </c>
      <c r="F1835" t="s">
        <v>1769</v>
      </c>
      <c r="H1835" s="4">
        <v>43.54</v>
      </c>
      <c r="I1835" t="s">
        <v>31</v>
      </c>
      <c r="J1835" t="s">
        <v>399</v>
      </c>
      <c r="K1835" t="s">
        <v>1770</v>
      </c>
      <c r="L1835" s="2">
        <v>45901</v>
      </c>
      <c r="M1835" t="s">
        <v>401</v>
      </c>
      <c r="N1835">
        <v>0</v>
      </c>
      <c r="O1835" t="s">
        <v>31</v>
      </c>
      <c r="P1835" t="s">
        <v>28</v>
      </c>
      <c r="Q1835">
        <v>0</v>
      </c>
    </row>
    <row r="1836" spans="1:17" x14ac:dyDescent="0.3">
      <c r="A1836" t="s">
        <v>17</v>
      </c>
      <c r="B1836">
        <v>67</v>
      </c>
      <c r="C1836" t="s">
        <v>28</v>
      </c>
      <c r="D1836" s="2">
        <v>45901</v>
      </c>
      <c r="E1836" s="3">
        <f t="shared" si="28"/>
        <v>45901</v>
      </c>
      <c r="F1836">
        <v>20758</v>
      </c>
      <c r="G1836" t="s">
        <v>52</v>
      </c>
      <c r="H1836" s="4">
        <v>18.899999999999999</v>
      </c>
      <c r="I1836" t="s">
        <v>31</v>
      </c>
      <c r="J1836" t="s">
        <v>48</v>
      </c>
      <c r="K1836" t="s">
        <v>1339</v>
      </c>
      <c r="L1836" s="2">
        <v>45901</v>
      </c>
      <c r="M1836" t="s">
        <v>50</v>
      </c>
      <c r="N1836">
        <v>0</v>
      </c>
      <c r="O1836" t="s">
        <v>31</v>
      </c>
      <c r="P1836" t="s">
        <v>28</v>
      </c>
      <c r="Q1836">
        <v>0</v>
      </c>
    </row>
    <row r="1837" spans="1:17" x14ac:dyDescent="0.3">
      <c r="A1837" t="s">
        <v>17</v>
      </c>
      <c r="B1837">
        <v>67</v>
      </c>
      <c r="C1837" t="s">
        <v>28</v>
      </c>
      <c r="D1837" s="2">
        <v>45901</v>
      </c>
      <c r="E1837" s="3">
        <f t="shared" si="28"/>
        <v>45901</v>
      </c>
      <c r="F1837">
        <v>20758</v>
      </c>
      <c r="G1837" t="s">
        <v>52</v>
      </c>
      <c r="H1837" s="4">
        <v>640</v>
      </c>
      <c r="I1837" t="s">
        <v>31</v>
      </c>
      <c r="J1837" t="s">
        <v>48</v>
      </c>
      <c r="K1837" t="s">
        <v>1340</v>
      </c>
      <c r="L1837" s="2">
        <v>45901</v>
      </c>
      <c r="M1837" t="s">
        <v>50</v>
      </c>
      <c r="N1837">
        <v>0</v>
      </c>
      <c r="O1837" t="s">
        <v>31</v>
      </c>
      <c r="P1837" t="s">
        <v>28</v>
      </c>
      <c r="Q1837">
        <v>0</v>
      </c>
    </row>
    <row r="1838" spans="1:17" x14ac:dyDescent="0.3">
      <c r="A1838" t="s">
        <v>17</v>
      </c>
      <c r="B1838">
        <v>67</v>
      </c>
      <c r="C1838" t="s">
        <v>28</v>
      </c>
      <c r="D1838" s="2">
        <v>45901</v>
      </c>
      <c r="E1838" s="3">
        <f t="shared" si="28"/>
        <v>45901</v>
      </c>
      <c r="F1838">
        <v>20758</v>
      </c>
      <c r="G1838" t="s">
        <v>52</v>
      </c>
      <c r="H1838" s="4">
        <v>9</v>
      </c>
      <c r="I1838" t="s">
        <v>31</v>
      </c>
      <c r="J1838" t="s">
        <v>48</v>
      </c>
      <c r="K1838" t="s">
        <v>1341</v>
      </c>
      <c r="L1838" s="2">
        <v>45901</v>
      </c>
      <c r="M1838" t="s">
        <v>50</v>
      </c>
      <c r="N1838">
        <v>0</v>
      </c>
      <c r="O1838" t="s">
        <v>31</v>
      </c>
      <c r="P1838" t="s">
        <v>28</v>
      </c>
      <c r="Q1838">
        <v>0</v>
      </c>
    </row>
    <row r="1839" spans="1:17" x14ac:dyDescent="0.3">
      <c r="A1839" t="s">
        <v>17</v>
      </c>
      <c r="B1839">
        <v>67</v>
      </c>
      <c r="C1839" t="s">
        <v>28</v>
      </c>
      <c r="D1839" s="2">
        <v>45901</v>
      </c>
      <c r="E1839" s="3">
        <f t="shared" si="28"/>
        <v>45901</v>
      </c>
      <c r="F1839">
        <v>20758</v>
      </c>
      <c r="G1839" t="s">
        <v>52</v>
      </c>
      <c r="H1839" s="4">
        <v>125</v>
      </c>
      <c r="I1839" t="s">
        <v>31</v>
      </c>
      <c r="J1839" t="s">
        <v>48</v>
      </c>
      <c r="K1839" t="s">
        <v>1342</v>
      </c>
      <c r="L1839" s="2">
        <v>45901</v>
      </c>
      <c r="M1839" t="s">
        <v>50</v>
      </c>
      <c r="N1839">
        <v>0</v>
      </c>
      <c r="O1839" t="s">
        <v>31</v>
      </c>
      <c r="P1839" t="s">
        <v>28</v>
      </c>
      <c r="Q1839">
        <v>0</v>
      </c>
    </row>
    <row r="1840" spans="1:17" x14ac:dyDescent="0.3">
      <c r="A1840" t="s">
        <v>17</v>
      </c>
      <c r="B1840">
        <v>67</v>
      </c>
      <c r="C1840" t="s">
        <v>28</v>
      </c>
      <c r="D1840" s="2">
        <v>45901</v>
      </c>
      <c r="E1840" s="3">
        <f t="shared" si="28"/>
        <v>45901</v>
      </c>
      <c r="F1840">
        <v>20758</v>
      </c>
      <c r="G1840" t="s">
        <v>52</v>
      </c>
      <c r="H1840" s="4">
        <v>2500</v>
      </c>
      <c r="I1840" t="s">
        <v>31</v>
      </c>
      <c r="J1840" t="s">
        <v>48</v>
      </c>
      <c r="K1840" t="s">
        <v>1343</v>
      </c>
      <c r="L1840" s="2">
        <v>45901</v>
      </c>
      <c r="M1840" t="s">
        <v>50</v>
      </c>
      <c r="N1840">
        <v>0</v>
      </c>
      <c r="O1840" t="s">
        <v>31</v>
      </c>
      <c r="P1840" t="s">
        <v>28</v>
      </c>
      <c r="Q1840">
        <v>0</v>
      </c>
    </row>
    <row r="1841" spans="1:17" x14ac:dyDescent="0.3">
      <c r="A1841" t="s">
        <v>17</v>
      </c>
      <c r="B1841">
        <v>67</v>
      </c>
      <c r="C1841" t="s">
        <v>28</v>
      </c>
      <c r="D1841" s="2">
        <v>45904</v>
      </c>
      <c r="E1841" s="3">
        <f t="shared" si="28"/>
        <v>45901</v>
      </c>
      <c r="F1841">
        <v>26752</v>
      </c>
      <c r="G1841" t="s">
        <v>673</v>
      </c>
      <c r="H1841" s="4">
        <v>2100</v>
      </c>
      <c r="I1841" t="s">
        <v>47</v>
      </c>
      <c r="J1841" t="s">
        <v>48</v>
      </c>
      <c r="K1841" t="s">
        <v>1771</v>
      </c>
      <c r="L1841" s="2">
        <v>45901</v>
      </c>
      <c r="M1841" t="s">
        <v>50</v>
      </c>
      <c r="N1841">
        <v>0</v>
      </c>
      <c r="O1841" t="s">
        <v>26</v>
      </c>
      <c r="P1841" t="s">
        <v>28</v>
      </c>
      <c r="Q1841">
        <v>0</v>
      </c>
    </row>
    <row r="1842" spans="1:17" x14ac:dyDescent="0.3">
      <c r="A1842" t="s">
        <v>17</v>
      </c>
      <c r="B1842">
        <v>67</v>
      </c>
      <c r="C1842" t="s">
        <v>28</v>
      </c>
      <c r="D1842" s="2">
        <v>45904</v>
      </c>
      <c r="E1842" s="3">
        <f t="shared" si="28"/>
        <v>45901</v>
      </c>
      <c r="F1842">
        <v>26752</v>
      </c>
      <c r="G1842" t="s">
        <v>673</v>
      </c>
      <c r="H1842" s="4">
        <v>29.36</v>
      </c>
      <c r="I1842" t="s">
        <v>47</v>
      </c>
      <c r="J1842" t="s">
        <v>48</v>
      </c>
      <c r="K1842" t="s">
        <v>1772</v>
      </c>
      <c r="L1842" s="2">
        <v>45901</v>
      </c>
      <c r="M1842" t="s">
        <v>50</v>
      </c>
      <c r="N1842">
        <v>0</v>
      </c>
      <c r="O1842" t="s">
        <v>26</v>
      </c>
      <c r="P1842" t="s">
        <v>28</v>
      </c>
      <c r="Q1842">
        <v>0</v>
      </c>
    </row>
    <row r="1843" spans="1:17" x14ac:dyDescent="0.3">
      <c r="A1843" t="s">
        <v>17</v>
      </c>
      <c r="B1843">
        <v>67</v>
      </c>
      <c r="C1843" t="s">
        <v>28</v>
      </c>
      <c r="D1843" s="2">
        <v>45904</v>
      </c>
      <c r="E1843" s="3">
        <f t="shared" si="28"/>
        <v>45901</v>
      </c>
      <c r="F1843">
        <v>26752</v>
      </c>
      <c r="G1843" t="s">
        <v>673</v>
      </c>
      <c r="H1843" s="4">
        <v>32.200000000000003</v>
      </c>
      <c r="I1843" t="s">
        <v>47</v>
      </c>
      <c r="J1843" t="s">
        <v>48</v>
      </c>
      <c r="K1843" t="s">
        <v>1773</v>
      </c>
      <c r="L1843" s="2">
        <v>45901</v>
      </c>
      <c r="M1843" t="s">
        <v>50</v>
      </c>
      <c r="N1843">
        <v>0</v>
      </c>
      <c r="O1843" t="s">
        <v>26</v>
      </c>
      <c r="P1843" t="s">
        <v>28</v>
      </c>
      <c r="Q1843">
        <v>0</v>
      </c>
    </row>
    <row r="1844" spans="1:17" x14ac:dyDescent="0.3">
      <c r="A1844" t="s">
        <v>17</v>
      </c>
      <c r="B1844">
        <v>67</v>
      </c>
      <c r="C1844" t="s">
        <v>28</v>
      </c>
      <c r="D1844" s="2">
        <v>45904</v>
      </c>
      <c r="E1844" s="3">
        <f t="shared" si="28"/>
        <v>45901</v>
      </c>
      <c r="F1844">
        <v>26752</v>
      </c>
      <c r="G1844" t="s">
        <v>673</v>
      </c>
      <c r="H1844" s="4">
        <v>300</v>
      </c>
      <c r="I1844" t="s">
        <v>47</v>
      </c>
      <c r="J1844" t="s">
        <v>48</v>
      </c>
      <c r="K1844" t="s">
        <v>1350</v>
      </c>
      <c r="L1844" s="2">
        <v>45901</v>
      </c>
      <c r="M1844" t="s">
        <v>50</v>
      </c>
      <c r="N1844">
        <v>0</v>
      </c>
      <c r="O1844" t="s">
        <v>26</v>
      </c>
      <c r="P1844" t="s">
        <v>28</v>
      </c>
      <c r="Q1844">
        <v>0</v>
      </c>
    </row>
    <row r="1845" spans="1:17" x14ac:dyDescent="0.3">
      <c r="A1845" t="s">
        <v>17</v>
      </c>
      <c r="B1845">
        <v>67</v>
      </c>
      <c r="C1845" t="s">
        <v>28</v>
      </c>
      <c r="D1845" s="2">
        <v>45904</v>
      </c>
      <c r="E1845" s="3">
        <f t="shared" si="28"/>
        <v>45901</v>
      </c>
      <c r="F1845">
        <v>26752</v>
      </c>
      <c r="G1845" t="s">
        <v>673</v>
      </c>
      <c r="H1845" s="4">
        <v>300</v>
      </c>
      <c r="I1845" t="s">
        <v>47</v>
      </c>
      <c r="J1845" t="s">
        <v>48</v>
      </c>
      <c r="K1845" t="s">
        <v>1351</v>
      </c>
      <c r="L1845" s="2">
        <v>45901</v>
      </c>
      <c r="M1845" t="s">
        <v>50</v>
      </c>
      <c r="N1845">
        <v>0</v>
      </c>
      <c r="O1845" t="s">
        <v>26</v>
      </c>
      <c r="P1845" t="s">
        <v>28</v>
      </c>
      <c r="Q1845">
        <v>0</v>
      </c>
    </row>
    <row r="1846" spans="1:17" x14ac:dyDescent="0.3">
      <c r="A1846" t="s">
        <v>17</v>
      </c>
      <c r="B1846">
        <v>67</v>
      </c>
      <c r="C1846" t="s">
        <v>28</v>
      </c>
      <c r="D1846" s="2">
        <v>45904</v>
      </c>
      <c r="E1846" s="3">
        <f t="shared" si="28"/>
        <v>45901</v>
      </c>
      <c r="F1846">
        <v>26752</v>
      </c>
      <c r="G1846" t="s">
        <v>673</v>
      </c>
      <c r="H1846" s="4">
        <v>150</v>
      </c>
      <c r="I1846" t="s">
        <v>47</v>
      </c>
      <c r="J1846" t="s">
        <v>48</v>
      </c>
      <c r="K1846" t="s">
        <v>1352</v>
      </c>
      <c r="L1846" s="2">
        <v>45901</v>
      </c>
      <c r="M1846" t="s">
        <v>50</v>
      </c>
      <c r="N1846">
        <v>0</v>
      </c>
      <c r="O1846" t="s">
        <v>26</v>
      </c>
      <c r="P1846" t="s">
        <v>28</v>
      </c>
      <c r="Q1846">
        <v>0</v>
      </c>
    </row>
    <row r="1847" spans="1:17" x14ac:dyDescent="0.3">
      <c r="A1847" t="s">
        <v>17</v>
      </c>
      <c r="B1847">
        <v>67</v>
      </c>
      <c r="C1847" t="s">
        <v>28</v>
      </c>
      <c r="D1847" s="2">
        <v>45904</v>
      </c>
      <c r="E1847" s="3">
        <f t="shared" si="28"/>
        <v>45901</v>
      </c>
      <c r="F1847">
        <v>26752</v>
      </c>
      <c r="G1847" t="s">
        <v>673</v>
      </c>
      <c r="H1847" s="4">
        <v>500</v>
      </c>
      <c r="I1847" t="s">
        <v>47</v>
      </c>
      <c r="J1847" t="s">
        <v>48</v>
      </c>
      <c r="K1847" t="s">
        <v>1353</v>
      </c>
      <c r="L1847" s="2">
        <v>45901</v>
      </c>
      <c r="M1847" t="s">
        <v>50</v>
      </c>
      <c r="N1847">
        <v>0</v>
      </c>
      <c r="O1847" t="s">
        <v>26</v>
      </c>
      <c r="P1847" t="s">
        <v>28</v>
      </c>
      <c r="Q1847">
        <v>0</v>
      </c>
    </row>
    <row r="1848" spans="1:17" x14ac:dyDescent="0.3">
      <c r="A1848" t="s">
        <v>17</v>
      </c>
      <c r="B1848">
        <v>67</v>
      </c>
      <c r="C1848" t="s">
        <v>28</v>
      </c>
      <c r="D1848" s="2">
        <v>45904</v>
      </c>
      <c r="E1848" s="3">
        <f t="shared" si="28"/>
        <v>45901</v>
      </c>
      <c r="F1848">
        <v>26752</v>
      </c>
      <c r="G1848" t="s">
        <v>673</v>
      </c>
      <c r="H1848" s="4">
        <v>10000</v>
      </c>
      <c r="I1848" t="s">
        <v>47</v>
      </c>
      <c r="J1848" t="s">
        <v>48</v>
      </c>
      <c r="K1848" t="s">
        <v>1774</v>
      </c>
      <c r="L1848" s="2">
        <v>45901</v>
      </c>
      <c r="M1848" t="s">
        <v>50</v>
      </c>
      <c r="N1848">
        <v>0</v>
      </c>
      <c r="O1848" t="s">
        <v>26</v>
      </c>
      <c r="P1848" t="s">
        <v>28</v>
      </c>
      <c r="Q1848">
        <v>0</v>
      </c>
    </row>
    <row r="1849" spans="1:17" x14ac:dyDescent="0.3">
      <c r="A1849" t="s">
        <v>17</v>
      </c>
      <c r="B1849">
        <v>67</v>
      </c>
      <c r="C1849" t="s">
        <v>28</v>
      </c>
      <c r="D1849" s="2">
        <v>45909</v>
      </c>
      <c r="E1849" s="3">
        <f t="shared" si="28"/>
        <v>45901</v>
      </c>
      <c r="F1849" t="s">
        <v>1775</v>
      </c>
      <c r="G1849" t="s">
        <v>280</v>
      </c>
      <c r="H1849" s="4">
        <v>11000</v>
      </c>
      <c r="I1849" t="s">
        <v>47</v>
      </c>
      <c r="J1849" t="s">
        <v>48</v>
      </c>
      <c r="K1849" t="s">
        <v>1776</v>
      </c>
      <c r="L1849" s="2">
        <v>45901</v>
      </c>
      <c r="M1849" t="s">
        <v>50</v>
      </c>
      <c r="N1849">
        <v>0</v>
      </c>
      <c r="O1849" t="s">
        <v>26</v>
      </c>
      <c r="P1849" t="s">
        <v>28</v>
      </c>
      <c r="Q1849">
        <v>0</v>
      </c>
    </row>
    <row r="1850" spans="1:17" x14ac:dyDescent="0.3">
      <c r="A1850" t="s">
        <v>17</v>
      </c>
      <c r="B1850">
        <v>67</v>
      </c>
      <c r="C1850" t="s">
        <v>28</v>
      </c>
      <c r="D1850" s="2">
        <v>45930</v>
      </c>
      <c r="E1850" s="3">
        <f t="shared" si="28"/>
        <v>45901</v>
      </c>
      <c r="F1850">
        <v>1115555</v>
      </c>
      <c r="G1850" t="s">
        <v>283</v>
      </c>
      <c r="H1850" s="4">
        <v>134.25</v>
      </c>
      <c r="I1850" t="s">
        <v>31</v>
      </c>
      <c r="J1850" t="s">
        <v>48</v>
      </c>
      <c r="K1850" t="s">
        <v>1777</v>
      </c>
      <c r="L1850" s="2">
        <v>45901</v>
      </c>
      <c r="M1850" t="s">
        <v>50</v>
      </c>
      <c r="N1850">
        <v>0</v>
      </c>
      <c r="O1850" t="s">
        <v>31</v>
      </c>
      <c r="P1850" t="s">
        <v>28</v>
      </c>
      <c r="Q1850">
        <v>0</v>
      </c>
    </row>
    <row r="1851" spans="1:17" x14ac:dyDescent="0.3">
      <c r="A1851" t="s">
        <v>17</v>
      </c>
      <c r="B1851">
        <v>67</v>
      </c>
      <c r="C1851" t="s">
        <v>28</v>
      </c>
      <c r="D1851" s="2">
        <v>45930</v>
      </c>
      <c r="E1851" s="3">
        <f t="shared" si="28"/>
        <v>45901</v>
      </c>
      <c r="F1851">
        <v>1115555</v>
      </c>
      <c r="G1851" t="s">
        <v>283</v>
      </c>
      <c r="H1851" s="4">
        <v>13.75</v>
      </c>
      <c r="I1851" t="s">
        <v>31</v>
      </c>
      <c r="J1851" t="s">
        <v>48</v>
      </c>
      <c r="K1851" t="s">
        <v>1778</v>
      </c>
      <c r="L1851" s="2">
        <v>45901</v>
      </c>
      <c r="M1851" t="s">
        <v>50</v>
      </c>
      <c r="N1851">
        <v>0</v>
      </c>
      <c r="O1851" t="s">
        <v>31</v>
      </c>
      <c r="P1851" t="s">
        <v>28</v>
      </c>
      <c r="Q1851">
        <v>0</v>
      </c>
    </row>
    <row r="1852" spans="1:17" x14ac:dyDescent="0.3">
      <c r="A1852" t="s">
        <v>17</v>
      </c>
      <c r="B1852">
        <v>67</v>
      </c>
      <c r="C1852" t="s">
        <v>28</v>
      </c>
      <c r="D1852" s="2">
        <v>45930</v>
      </c>
      <c r="E1852" s="3">
        <f t="shared" si="28"/>
        <v>45901</v>
      </c>
      <c r="F1852">
        <v>1115555</v>
      </c>
      <c r="G1852" t="s">
        <v>283</v>
      </c>
      <c r="H1852" s="4">
        <v>27</v>
      </c>
      <c r="I1852" t="s">
        <v>31</v>
      </c>
      <c r="J1852" t="s">
        <v>48</v>
      </c>
      <c r="K1852" t="s">
        <v>1779</v>
      </c>
      <c r="L1852" s="2">
        <v>45901</v>
      </c>
      <c r="M1852" t="s">
        <v>50</v>
      </c>
      <c r="N1852">
        <v>0</v>
      </c>
      <c r="O1852" t="s">
        <v>31</v>
      </c>
      <c r="P1852" t="s">
        <v>28</v>
      </c>
      <c r="Q1852">
        <v>0</v>
      </c>
    </row>
    <row r="1853" spans="1:17" x14ac:dyDescent="0.3">
      <c r="A1853" t="s">
        <v>17</v>
      </c>
      <c r="B1853">
        <v>67</v>
      </c>
      <c r="C1853" t="s">
        <v>28</v>
      </c>
      <c r="D1853" s="2">
        <v>45930</v>
      </c>
      <c r="E1853" s="3">
        <f t="shared" si="28"/>
        <v>45901</v>
      </c>
      <c r="F1853" t="s">
        <v>1780</v>
      </c>
      <c r="H1853" s="4">
        <v>833.33</v>
      </c>
      <c r="I1853" t="s">
        <v>31</v>
      </c>
      <c r="J1853" t="s">
        <v>48</v>
      </c>
      <c r="K1853" t="s">
        <v>937</v>
      </c>
      <c r="L1853" s="2">
        <v>45901</v>
      </c>
      <c r="M1853" t="s">
        <v>50</v>
      </c>
      <c r="N1853">
        <v>0</v>
      </c>
      <c r="O1853" t="s">
        <v>31</v>
      </c>
      <c r="P1853" t="s">
        <v>28</v>
      </c>
      <c r="Q1853">
        <v>0</v>
      </c>
    </row>
    <row r="1854" spans="1:17" x14ac:dyDescent="0.3">
      <c r="A1854" t="s">
        <v>17</v>
      </c>
      <c r="B1854">
        <v>63</v>
      </c>
      <c r="C1854" t="s">
        <v>18</v>
      </c>
      <c r="D1854" s="2">
        <v>45930</v>
      </c>
      <c r="E1854" s="3">
        <f t="shared" si="28"/>
        <v>45901</v>
      </c>
      <c r="F1854" t="s">
        <v>1781</v>
      </c>
      <c r="H1854" s="4">
        <v>28833.33</v>
      </c>
      <c r="I1854" t="s">
        <v>47</v>
      </c>
      <c r="J1854" t="s">
        <v>272</v>
      </c>
      <c r="K1854" t="s">
        <v>1782</v>
      </c>
      <c r="L1854" s="2">
        <v>45901</v>
      </c>
      <c r="M1854" t="s">
        <v>272</v>
      </c>
      <c r="N1854">
        <v>0</v>
      </c>
      <c r="O1854" t="s">
        <v>26</v>
      </c>
      <c r="P1854" t="s">
        <v>18</v>
      </c>
      <c r="Q1854" t="s">
        <v>274</v>
      </c>
    </row>
    <row r="1855" spans="1:17" x14ac:dyDescent="0.3">
      <c r="A1855" t="s">
        <v>17</v>
      </c>
      <c r="B1855">
        <v>63</v>
      </c>
      <c r="C1855" t="s">
        <v>18</v>
      </c>
      <c r="D1855" s="2">
        <v>45930</v>
      </c>
      <c r="E1855" s="3">
        <f t="shared" si="28"/>
        <v>45901</v>
      </c>
      <c r="F1855" t="s">
        <v>1783</v>
      </c>
      <c r="H1855" s="4">
        <v>3333.34</v>
      </c>
      <c r="I1855" t="s">
        <v>47</v>
      </c>
      <c r="J1855" t="s">
        <v>331</v>
      </c>
      <c r="K1855" t="s">
        <v>1369</v>
      </c>
      <c r="L1855" s="2">
        <v>45901</v>
      </c>
      <c r="M1855" t="s">
        <v>333</v>
      </c>
      <c r="N1855">
        <v>0</v>
      </c>
      <c r="O1855" t="s">
        <v>26</v>
      </c>
      <c r="P1855" t="s">
        <v>18</v>
      </c>
      <c r="Q1855" t="s">
        <v>18</v>
      </c>
    </row>
    <row r="1856" spans="1:17" x14ac:dyDescent="0.3">
      <c r="A1856" t="s">
        <v>17</v>
      </c>
      <c r="B1856">
        <v>63</v>
      </c>
      <c r="C1856" t="s">
        <v>18</v>
      </c>
      <c r="D1856" s="2">
        <v>45930</v>
      </c>
      <c r="E1856" s="3">
        <f t="shared" si="28"/>
        <v>45901</v>
      </c>
      <c r="F1856" t="s">
        <v>1784</v>
      </c>
      <c r="H1856" s="4">
        <v>33579.69</v>
      </c>
      <c r="I1856" t="s">
        <v>47</v>
      </c>
      <c r="J1856" t="s">
        <v>1785</v>
      </c>
      <c r="K1856" t="s">
        <v>1786</v>
      </c>
      <c r="L1856" s="2">
        <v>45901</v>
      </c>
      <c r="M1856" t="s">
        <v>1787</v>
      </c>
      <c r="N1856">
        <v>0</v>
      </c>
      <c r="O1856" t="s">
        <v>26</v>
      </c>
      <c r="P1856" t="s">
        <v>18</v>
      </c>
      <c r="Q1856" t="s">
        <v>1788</v>
      </c>
    </row>
    <row r="1857" spans="1:17" x14ac:dyDescent="0.3">
      <c r="A1857" t="s">
        <v>17</v>
      </c>
      <c r="B1857">
        <v>63</v>
      </c>
      <c r="C1857" t="s">
        <v>18</v>
      </c>
      <c r="D1857" s="2">
        <v>45909</v>
      </c>
      <c r="E1857" s="3">
        <f t="shared" si="28"/>
        <v>45901</v>
      </c>
      <c r="F1857">
        <v>833066</v>
      </c>
      <c r="G1857" t="s">
        <v>125</v>
      </c>
      <c r="H1857" s="4">
        <v>82.5</v>
      </c>
      <c r="I1857" t="s">
        <v>47</v>
      </c>
      <c r="J1857" t="s">
        <v>22</v>
      </c>
      <c r="K1857" t="s">
        <v>1789</v>
      </c>
      <c r="L1857" s="2">
        <v>45901</v>
      </c>
      <c r="M1857" t="s">
        <v>24</v>
      </c>
      <c r="N1857">
        <v>0</v>
      </c>
      <c r="O1857" t="s">
        <v>26</v>
      </c>
      <c r="P1857" t="s">
        <v>18</v>
      </c>
      <c r="Q1857" t="s">
        <v>27</v>
      </c>
    </row>
    <row r="1858" spans="1:17" x14ac:dyDescent="0.3">
      <c r="A1858" t="s">
        <v>17</v>
      </c>
      <c r="B1858">
        <v>63</v>
      </c>
      <c r="C1858" t="s">
        <v>18</v>
      </c>
      <c r="D1858" s="2">
        <v>45909</v>
      </c>
      <c r="E1858" s="3">
        <f t="shared" si="28"/>
        <v>45901</v>
      </c>
      <c r="F1858">
        <v>833066</v>
      </c>
      <c r="G1858" t="s">
        <v>125</v>
      </c>
      <c r="H1858" s="4">
        <v>412.5</v>
      </c>
      <c r="I1858" t="s">
        <v>47</v>
      </c>
      <c r="J1858" t="s">
        <v>22</v>
      </c>
      <c r="K1858" t="s">
        <v>1790</v>
      </c>
      <c r="L1858" s="2">
        <v>45901</v>
      </c>
      <c r="M1858" t="s">
        <v>24</v>
      </c>
      <c r="N1858">
        <v>0</v>
      </c>
      <c r="O1858" t="s">
        <v>26</v>
      </c>
      <c r="P1858" t="s">
        <v>18</v>
      </c>
      <c r="Q1858" t="s">
        <v>27</v>
      </c>
    </row>
    <row r="1859" spans="1:17" x14ac:dyDescent="0.3">
      <c r="A1859" t="s">
        <v>17</v>
      </c>
      <c r="B1859">
        <v>63</v>
      </c>
      <c r="C1859" t="s">
        <v>18</v>
      </c>
      <c r="D1859" s="2">
        <v>45919</v>
      </c>
      <c r="E1859" s="3">
        <f t="shared" ref="E1859:E1922" si="29">IF($D1859="","",DATE(YEAR($D1859),MONTH($D1859),1))</f>
        <v>45901</v>
      </c>
      <c r="F1859">
        <v>834186</v>
      </c>
      <c r="G1859" t="s">
        <v>125</v>
      </c>
      <c r="H1859" s="4">
        <v>55</v>
      </c>
      <c r="I1859" t="s">
        <v>47</v>
      </c>
      <c r="J1859" t="s">
        <v>22</v>
      </c>
      <c r="K1859" t="s">
        <v>1791</v>
      </c>
      <c r="L1859" s="2">
        <v>45901</v>
      </c>
      <c r="M1859" t="s">
        <v>24</v>
      </c>
      <c r="N1859">
        <v>0</v>
      </c>
      <c r="O1859" t="s">
        <v>26</v>
      </c>
      <c r="P1859" t="s">
        <v>18</v>
      </c>
      <c r="Q1859" t="s">
        <v>27</v>
      </c>
    </row>
    <row r="1860" spans="1:17" x14ac:dyDescent="0.3">
      <c r="A1860" t="s">
        <v>17</v>
      </c>
      <c r="B1860">
        <v>63</v>
      </c>
      <c r="C1860" t="s">
        <v>18</v>
      </c>
      <c r="D1860" s="2">
        <v>45919</v>
      </c>
      <c r="E1860" s="3">
        <f t="shared" si="29"/>
        <v>45901</v>
      </c>
      <c r="F1860">
        <v>834186</v>
      </c>
      <c r="G1860" t="s">
        <v>125</v>
      </c>
      <c r="H1860" s="4">
        <v>275</v>
      </c>
      <c r="I1860" t="s">
        <v>47</v>
      </c>
      <c r="J1860" t="s">
        <v>22</v>
      </c>
      <c r="K1860" t="s">
        <v>1792</v>
      </c>
      <c r="L1860" s="2">
        <v>45901</v>
      </c>
      <c r="M1860" t="s">
        <v>24</v>
      </c>
      <c r="N1860">
        <v>0</v>
      </c>
      <c r="O1860" t="s">
        <v>26</v>
      </c>
      <c r="P1860" t="s">
        <v>18</v>
      </c>
      <c r="Q1860" t="s">
        <v>27</v>
      </c>
    </row>
    <row r="1861" spans="1:17" x14ac:dyDescent="0.3">
      <c r="A1861" t="s">
        <v>17</v>
      </c>
      <c r="B1861">
        <v>63</v>
      </c>
      <c r="C1861" t="s">
        <v>18</v>
      </c>
      <c r="D1861" s="2">
        <v>45929</v>
      </c>
      <c r="E1861" s="3">
        <f t="shared" si="29"/>
        <v>45901</v>
      </c>
      <c r="F1861">
        <v>834947</v>
      </c>
      <c r="G1861" t="s">
        <v>125</v>
      </c>
      <c r="H1861" s="4">
        <v>55</v>
      </c>
      <c r="I1861" t="s">
        <v>47</v>
      </c>
      <c r="J1861" t="s">
        <v>22</v>
      </c>
      <c r="K1861" t="s">
        <v>1791</v>
      </c>
      <c r="L1861" s="2">
        <v>45901</v>
      </c>
      <c r="M1861" t="s">
        <v>24</v>
      </c>
      <c r="N1861">
        <v>0</v>
      </c>
      <c r="O1861" t="s">
        <v>26</v>
      </c>
      <c r="P1861" t="s">
        <v>18</v>
      </c>
      <c r="Q1861" t="s">
        <v>27</v>
      </c>
    </row>
    <row r="1862" spans="1:17" x14ac:dyDescent="0.3">
      <c r="A1862" t="s">
        <v>17</v>
      </c>
      <c r="B1862">
        <v>63</v>
      </c>
      <c r="C1862" t="s">
        <v>18</v>
      </c>
      <c r="D1862" s="2">
        <v>45929</v>
      </c>
      <c r="E1862" s="3">
        <f t="shared" si="29"/>
        <v>45901</v>
      </c>
      <c r="F1862">
        <v>834947</v>
      </c>
      <c r="G1862" t="s">
        <v>125</v>
      </c>
      <c r="H1862" s="4">
        <v>275</v>
      </c>
      <c r="I1862" t="s">
        <v>47</v>
      </c>
      <c r="J1862" t="s">
        <v>22</v>
      </c>
      <c r="K1862" t="s">
        <v>1793</v>
      </c>
      <c r="L1862" s="2">
        <v>45901</v>
      </c>
      <c r="M1862" t="s">
        <v>24</v>
      </c>
      <c r="N1862">
        <v>0</v>
      </c>
      <c r="O1862" t="s">
        <v>26</v>
      </c>
      <c r="P1862" t="s">
        <v>18</v>
      </c>
      <c r="Q1862" t="s">
        <v>27</v>
      </c>
    </row>
    <row r="1863" spans="1:17" x14ac:dyDescent="0.3">
      <c r="A1863" t="s">
        <v>17</v>
      </c>
      <c r="B1863">
        <v>63</v>
      </c>
      <c r="C1863" t="s">
        <v>18</v>
      </c>
      <c r="D1863" s="2">
        <v>45930</v>
      </c>
      <c r="E1863" s="3">
        <f t="shared" si="29"/>
        <v>45901</v>
      </c>
      <c r="F1863" t="s">
        <v>1794</v>
      </c>
      <c r="H1863" s="4">
        <v>1080.7</v>
      </c>
      <c r="I1863" t="s">
        <v>47</v>
      </c>
      <c r="J1863" t="s">
        <v>326</v>
      </c>
      <c r="K1863" t="s">
        <v>1795</v>
      </c>
      <c r="L1863" s="2">
        <v>45901</v>
      </c>
      <c r="M1863" t="s">
        <v>328</v>
      </c>
      <c r="N1863">
        <v>0</v>
      </c>
      <c r="O1863" t="s">
        <v>26</v>
      </c>
      <c r="P1863" t="s">
        <v>18</v>
      </c>
      <c r="Q1863" t="s">
        <v>329</v>
      </c>
    </row>
    <row r="1864" spans="1:17" x14ac:dyDescent="0.3">
      <c r="A1864" t="s">
        <v>17</v>
      </c>
      <c r="B1864">
        <v>63</v>
      </c>
      <c r="C1864" t="s">
        <v>18</v>
      </c>
      <c r="D1864" s="2">
        <v>45930</v>
      </c>
      <c r="E1864" s="3">
        <f t="shared" si="29"/>
        <v>45901</v>
      </c>
      <c r="F1864" t="s">
        <v>1794</v>
      </c>
      <c r="H1864" s="4">
        <v>9032.94</v>
      </c>
      <c r="I1864" t="s">
        <v>47</v>
      </c>
      <c r="J1864" t="s">
        <v>326</v>
      </c>
      <c r="K1864" t="s">
        <v>1796</v>
      </c>
      <c r="L1864" s="2">
        <v>45901</v>
      </c>
      <c r="M1864" t="s">
        <v>328</v>
      </c>
      <c r="N1864">
        <v>0</v>
      </c>
      <c r="O1864" t="s">
        <v>26</v>
      </c>
      <c r="P1864" t="s">
        <v>18</v>
      </c>
      <c r="Q1864" t="s">
        <v>329</v>
      </c>
    </row>
    <row r="1865" spans="1:17" x14ac:dyDescent="0.3">
      <c r="A1865" t="s">
        <v>17</v>
      </c>
      <c r="B1865">
        <v>67</v>
      </c>
      <c r="C1865" t="s">
        <v>28</v>
      </c>
      <c r="D1865" s="2">
        <v>45903</v>
      </c>
      <c r="E1865" s="3">
        <f t="shared" si="29"/>
        <v>45901</v>
      </c>
      <c r="F1865" t="s">
        <v>1797</v>
      </c>
      <c r="G1865" t="s">
        <v>119</v>
      </c>
      <c r="H1865" s="4">
        <v>1538.75</v>
      </c>
      <c r="I1865" t="s">
        <v>31</v>
      </c>
      <c r="J1865" t="s">
        <v>68</v>
      </c>
      <c r="K1865" t="s">
        <v>1798</v>
      </c>
      <c r="L1865" s="2">
        <v>45901</v>
      </c>
      <c r="M1865" t="s">
        <v>68</v>
      </c>
      <c r="N1865">
        <v>0</v>
      </c>
      <c r="O1865" t="s">
        <v>31</v>
      </c>
      <c r="P1865" t="s">
        <v>28</v>
      </c>
      <c r="Q1865">
        <v>0</v>
      </c>
    </row>
    <row r="1866" spans="1:17" x14ac:dyDescent="0.3">
      <c r="A1866" t="s">
        <v>17</v>
      </c>
      <c r="B1866">
        <v>67</v>
      </c>
      <c r="C1866" t="s">
        <v>28</v>
      </c>
      <c r="D1866" s="2">
        <v>45905</v>
      </c>
      <c r="E1866" s="3">
        <f t="shared" si="29"/>
        <v>45901</v>
      </c>
      <c r="F1866" t="s">
        <v>1799</v>
      </c>
      <c r="G1866" t="s">
        <v>67</v>
      </c>
      <c r="H1866" s="4">
        <v>543.04999999999995</v>
      </c>
      <c r="I1866" t="s">
        <v>31</v>
      </c>
      <c r="J1866" t="s">
        <v>68</v>
      </c>
      <c r="K1866" t="s">
        <v>1800</v>
      </c>
      <c r="L1866" s="2">
        <v>45901</v>
      </c>
      <c r="M1866" t="s">
        <v>68</v>
      </c>
      <c r="N1866">
        <v>0</v>
      </c>
      <c r="O1866" t="s">
        <v>31</v>
      </c>
      <c r="P1866" t="s">
        <v>28</v>
      </c>
      <c r="Q1866">
        <v>0</v>
      </c>
    </row>
    <row r="1867" spans="1:17" x14ac:dyDescent="0.3">
      <c r="A1867" t="s">
        <v>17</v>
      </c>
      <c r="B1867">
        <v>67</v>
      </c>
      <c r="C1867" t="s">
        <v>28</v>
      </c>
      <c r="D1867" s="2">
        <v>45910</v>
      </c>
      <c r="E1867" s="3">
        <f t="shared" si="29"/>
        <v>45901</v>
      </c>
      <c r="F1867" t="s">
        <v>1801</v>
      </c>
      <c r="G1867" t="s">
        <v>119</v>
      </c>
      <c r="H1867" s="4">
        <v>1598.75</v>
      </c>
      <c r="I1867" t="s">
        <v>31</v>
      </c>
      <c r="J1867" t="s">
        <v>68</v>
      </c>
      <c r="K1867" t="s">
        <v>1567</v>
      </c>
      <c r="L1867" s="2">
        <v>45901</v>
      </c>
      <c r="M1867" t="s">
        <v>68</v>
      </c>
      <c r="N1867">
        <v>0</v>
      </c>
      <c r="O1867" t="s">
        <v>31</v>
      </c>
      <c r="P1867" t="s">
        <v>28</v>
      </c>
      <c r="Q1867">
        <v>0</v>
      </c>
    </row>
    <row r="1868" spans="1:17" x14ac:dyDescent="0.3">
      <c r="A1868" t="s">
        <v>17</v>
      </c>
      <c r="B1868">
        <v>67</v>
      </c>
      <c r="C1868" t="s">
        <v>28</v>
      </c>
      <c r="D1868" s="2">
        <v>45912</v>
      </c>
      <c r="E1868" s="3">
        <f t="shared" si="29"/>
        <v>45901</v>
      </c>
      <c r="F1868" t="s">
        <v>1802</v>
      </c>
      <c r="G1868" t="s">
        <v>67</v>
      </c>
      <c r="H1868" s="4">
        <v>339.28</v>
      </c>
      <c r="I1868" t="s">
        <v>31</v>
      </c>
      <c r="J1868" t="s">
        <v>68</v>
      </c>
      <c r="K1868" t="s">
        <v>1803</v>
      </c>
      <c r="L1868" s="2">
        <v>45901</v>
      </c>
      <c r="M1868" t="s">
        <v>68</v>
      </c>
      <c r="N1868">
        <v>0</v>
      </c>
      <c r="O1868" t="s">
        <v>31</v>
      </c>
      <c r="P1868" t="s">
        <v>28</v>
      </c>
      <c r="Q1868">
        <v>0</v>
      </c>
    </row>
    <row r="1869" spans="1:17" x14ac:dyDescent="0.3">
      <c r="A1869" t="s">
        <v>17</v>
      </c>
      <c r="B1869">
        <v>67</v>
      </c>
      <c r="C1869" t="s">
        <v>28</v>
      </c>
      <c r="D1869" s="2">
        <v>45917</v>
      </c>
      <c r="E1869" s="3">
        <f t="shared" si="29"/>
        <v>45901</v>
      </c>
      <c r="F1869" t="s">
        <v>1804</v>
      </c>
      <c r="G1869" t="s">
        <v>119</v>
      </c>
      <c r="H1869" s="4">
        <v>1502.5</v>
      </c>
      <c r="I1869" t="s">
        <v>31</v>
      </c>
      <c r="J1869" t="s">
        <v>68</v>
      </c>
      <c r="K1869" t="s">
        <v>1567</v>
      </c>
      <c r="L1869" s="2">
        <v>45901</v>
      </c>
      <c r="M1869" t="s">
        <v>68</v>
      </c>
      <c r="N1869">
        <v>0</v>
      </c>
      <c r="O1869" t="s">
        <v>31</v>
      </c>
      <c r="P1869" t="s">
        <v>28</v>
      </c>
      <c r="Q1869">
        <v>0</v>
      </c>
    </row>
    <row r="1870" spans="1:17" x14ac:dyDescent="0.3">
      <c r="A1870" t="s">
        <v>17</v>
      </c>
      <c r="B1870">
        <v>67</v>
      </c>
      <c r="C1870" t="s">
        <v>28</v>
      </c>
      <c r="D1870" s="2">
        <v>45924</v>
      </c>
      <c r="E1870" s="3">
        <f t="shared" si="29"/>
        <v>45901</v>
      </c>
      <c r="F1870" t="s">
        <v>1805</v>
      </c>
      <c r="G1870" t="s">
        <v>119</v>
      </c>
      <c r="H1870" s="4">
        <v>540</v>
      </c>
      <c r="I1870" t="s">
        <v>31</v>
      </c>
      <c r="J1870" t="s">
        <v>68</v>
      </c>
      <c r="K1870" t="s">
        <v>1387</v>
      </c>
      <c r="L1870" s="2">
        <v>45901</v>
      </c>
      <c r="M1870" t="s">
        <v>68</v>
      </c>
      <c r="N1870">
        <v>0</v>
      </c>
      <c r="O1870" t="s">
        <v>31</v>
      </c>
      <c r="P1870" t="s">
        <v>28</v>
      </c>
      <c r="Q1870">
        <v>0</v>
      </c>
    </row>
    <row r="1871" spans="1:17" x14ac:dyDescent="0.3">
      <c r="A1871" t="s">
        <v>17</v>
      </c>
      <c r="B1871">
        <v>67</v>
      </c>
      <c r="C1871" t="s">
        <v>28</v>
      </c>
      <c r="D1871" s="2">
        <v>45924</v>
      </c>
      <c r="E1871" s="3">
        <f t="shared" si="29"/>
        <v>45901</v>
      </c>
      <c r="F1871" t="s">
        <v>1805</v>
      </c>
      <c r="G1871" t="s">
        <v>119</v>
      </c>
      <c r="H1871" s="4">
        <v>465</v>
      </c>
      <c r="I1871" t="s">
        <v>31</v>
      </c>
      <c r="J1871" t="s">
        <v>68</v>
      </c>
      <c r="K1871" t="s">
        <v>1567</v>
      </c>
      <c r="L1871" s="2">
        <v>45901</v>
      </c>
      <c r="M1871" t="s">
        <v>68</v>
      </c>
      <c r="N1871">
        <v>0</v>
      </c>
      <c r="O1871" t="s">
        <v>31</v>
      </c>
      <c r="P1871" t="s">
        <v>28</v>
      </c>
      <c r="Q1871">
        <v>0</v>
      </c>
    </row>
    <row r="1872" spans="1:17" x14ac:dyDescent="0.3">
      <c r="A1872" t="s">
        <v>17</v>
      </c>
      <c r="B1872">
        <v>67</v>
      </c>
      <c r="C1872" t="s">
        <v>28</v>
      </c>
      <c r="D1872" s="2">
        <v>45926</v>
      </c>
      <c r="E1872" s="3">
        <f t="shared" si="29"/>
        <v>45901</v>
      </c>
      <c r="F1872" t="s">
        <v>1806</v>
      </c>
      <c r="G1872" t="s">
        <v>67</v>
      </c>
      <c r="H1872" s="4">
        <v>477.4</v>
      </c>
      <c r="I1872" t="s">
        <v>31</v>
      </c>
      <c r="J1872" t="s">
        <v>68</v>
      </c>
      <c r="K1872" t="s">
        <v>1807</v>
      </c>
      <c r="L1872" s="2">
        <v>45901</v>
      </c>
      <c r="M1872" t="s">
        <v>68</v>
      </c>
      <c r="N1872">
        <v>0</v>
      </c>
      <c r="O1872" t="s">
        <v>31</v>
      </c>
      <c r="P1872" t="s">
        <v>28</v>
      </c>
      <c r="Q1872">
        <v>0</v>
      </c>
    </row>
    <row r="1873" spans="1:17" x14ac:dyDescent="0.3">
      <c r="A1873" t="s">
        <v>17</v>
      </c>
      <c r="B1873">
        <v>65</v>
      </c>
      <c r="C1873" t="s">
        <v>54</v>
      </c>
      <c r="D1873" s="2">
        <v>45901</v>
      </c>
      <c r="E1873" s="3">
        <f t="shared" si="29"/>
        <v>45901</v>
      </c>
      <c r="F1873" t="s">
        <v>1808</v>
      </c>
      <c r="G1873" t="s">
        <v>40</v>
      </c>
      <c r="H1873" s="4">
        <v>30113.77</v>
      </c>
      <c r="I1873" t="s">
        <v>31</v>
      </c>
      <c r="J1873" t="s">
        <v>55</v>
      </c>
      <c r="K1873" t="s">
        <v>1809</v>
      </c>
      <c r="L1873" s="2">
        <v>45901</v>
      </c>
      <c r="M1873" t="s">
        <v>55</v>
      </c>
      <c r="N1873">
        <v>0</v>
      </c>
      <c r="O1873" t="s">
        <v>31</v>
      </c>
      <c r="P1873" t="s">
        <v>54</v>
      </c>
      <c r="Q1873">
        <v>0</v>
      </c>
    </row>
    <row r="1874" spans="1:17" x14ac:dyDescent="0.3">
      <c r="A1874" t="s">
        <v>17</v>
      </c>
      <c r="B1874">
        <v>65</v>
      </c>
      <c r="C1874" t="s">
        <v>54</v>
      </c>
      <c r="D1874" s="2">
        <v>45930</v>
      </c>
      <c r="E1874" s="3">
        <f t="shared" si="29"/>
        <v>45901</v>
      </c>
      <c r="F1874" t="s">
        <v>1810</v>
      </c>
      <c r="H1874" s="4">
        <v>-30113.77</v>
      </c>
      <c r="I1874" t="s">
        <v>31</v>
      </c>
      <c r="J1874" t="s">
        <v>55</v>
      </c>
      <c r="L1874" s="2">
        <v>45901</v>
      </c>
      <c r="M1874" t="s">
        <v>55</v>
      </c>
      <c r="N1874">
        <v>0</v>
      </c>
      <c r="O1874" t="s">
        <v>31</v>
      </c>
      <c r="P1874" t="s">
        <v>54</v>
      </c>
      <c r="Q1874">
        <v>0</v>
      </c>
    </row>
    <row r="1875" spans="1:17" x14ac:dyDescent="0.3">
      <c r="A1875" t="s">
        <v>17</v>
      </c>
      <c r="B1875">
        <v>68</v>
      </c>
      <c r="C1875" t="s">
        <v>34</v>
      </c>
      <c r="D1875" s="2">
        <v>45903</v>
      </c>
      <c r="E1875" s="3">
        <f t="shared" si="29"/>
        <v>45901</v>
      </c>
      <c r="F1875" t="s">
        <v>1756</v>
      </c>
      <c r="G1875" t="s">
        <v>1227</v>
      </c>
      <c r="H1875" s="4">
        <v>59.81</v>
      </c>
      <c r="I1875" t="s">
        <v>47</v>
      </c>
      <c r="J1875" t="s">
        <v>79</v>
      </c>
      <c r="K1875" t="s">
        <v>1811</v>
      </c>
      <c r="L1875" s="2">
        <v>45901</v>
      </c>
      <c r="M1875" t="s">
        <v>79</v>
      </c>
      <c r="N1875">
        <v>0</v>
      </c>
      <c r="O1875" t="s">
        <v>26</v>
      </c>
      <c r="P1875" t="s">
        <v>34</v>
      </c>
      <c r="Q1875">
        <v>0</v>
      </c>
    </row>
    <row r="1876" spans="1:17" x14ac:dyDescent="0.3">
      <c r="A1876" t="s">
        <v>17</v>
      </c>
      <c r="B1876">
        <v>68</v>
      </c>
      <c r="C1876" t="s">
        <v>34</v>
      </c>
      <c r="D1876" s="2">
        <v>45910</v>
      </c>
      <c r="E1876" s="3">
        <f t="shared" si="29"/>
        <v>45901</v>
      </c>
      <c r="F1876">
        <v>14743</v>
      </c>
      <c r="G1876" t="s">
        <v>131</v>
      </c>
      <c r="H1876" s="4">
        <v>84.31</v>
      </c>
      <c r="I1876" t="s">
        <v>31</v>
      </c>
      <c r="J1876" t="s">
        <v>79</v>
      </c>
      <c r="K1876" t="s">
        <v>1276</v>
      </c>
      <c r="L1876" s="2">
        <v>45901</v>
      </c>
      <c r="M1876" t="s">
        <v>79</v>
      </c>
      <c r="N1876">
        <v>0</v>
      </c>
      <c r="O1876" t="s">
        <v>31</v>
      </c>
      <c r="P1876" t="s">
        <v>34</v>
      </c>
      <c r="Q1876">
        <v>0</v>
      </c>
    </row>
    <row r="1877" spans="1:17" x14ac:dyDescent="0.3">
      <c r="A1877" t="s">
        <v>17</v>
      </c>
      <c r="B1877">
        <v>68</v>
      </c>
      <c r="C1877" t="s">
        <v>34</v>
      </c>
      <c r="D1877" s="2">
        <v>45910</v>
      </c>
      <c r="E1877" s="3">
        <f t="shared" si="29"/>
        <v>45901</v>
      </c>
      <c r="F1877">
        <v>14743</v>
      </c>
      <c r="G1877" t="s">
        <v>131</v>
      </c>
      <c r="H1877" s="4">
        <v>950</v>
      </c>
      <c r="I1877" t="s">
        <v>31</v>
      </c>
      <c r="J1877" t="s">
        <v>79</v>
      </c>
      <c r="K1877" t="s">
        <v>1406</v>
      </c>
      <c r="L1877" s="2">
        <v>45901</v>
      </c>
      <c r="M1877" t="s">
        <v>79</v>
      </c>
      <c r="N1877">
        <v>0</v>
      </c>
      <c r="O1877" t="s">
        <v>31</v>
      </c>
      <c r="P1877" t="s">
        <v>34</v>
      </c>
      <c r="Q1877">
        <v>0</v>
      </c>
    </row>
    <row r="1878" spans="1:17" x14ac:dyDescent="0.3">
      <c r="A1878" t="s">
        <v>17</v>
      </c>
      <c r="B1878">
        <v>68</v>
      </c>
      <c r="C1878" t="s">
        <v>34</v>
      </c>
      <c r="D1878" s="2">
        <v>45922</v>
      </c>
      <c r="E1878" s="3">
        <f t="shared" si="29"/>
        <v>45901</v>
      </c>
      <c r="F1878" t="s">
        <v>1764</v>
      </c>
      <c r="G1878" t="s">
        <v>158</v>
      </c>
      <c r="H1878" s="4">
        <v>18.14</v>
      </c>
      <c r="I1878" t="s">
        <v>159</v>
      </c>
      <c r="J1878" t="s">
        <v>79</v>
      </c>
      <c r="K1878" t="s">
        <v>161</v>
      </c>
      <c r="L1878" s="2">
        <v>45901</v>
      </c>
      <c r="M1878" t="s">
        <v>79</v>
      </c>
      <c r="N1878">
        <v>0</v>
      </c>
      <c r="O1878" t="s">
        <v>159</v>
      </c>
      <c r="P1878" t="s">
        <v>34</v>
      </c>
      <c r="Q1878">
        <v>0</v>
      </c>
    </row>
    <row r="1879" spans="1:17" x14ac:dyDescent="0.3">
      <c r="A1879" t="s">
        <v>17</v>
      </c>
      <c r="B1879">
        <v>68</v>
      </c>
      <c r="C1879" t="s">
        <v>34</v>
      </c>
      <c r="D1879" s="2">
        <v>45930</v>
      </c>
      <c r="E1879" s="3">
        <f t="shared" si="29"/>
        <v>45901</v>
      </c>
      <c r="F1879" t="s">
        <v>1812</v>
      </c>
      <c r="H1879" s="4">
        <v>467.64</v>
      </c>
      <c r="I1879" t="s">
        <v>104</v>
      </c>
      <c r="J1879" t="s">
        <v>79</v>
      </c>
      <c r="K1879" t="s">
        <v>1813</v>
      </c>
      <c r="L1879" s="2">
        <v>45901</v>
      </c>
      <c r="M1879" t="s">
        <v>79</v>
      </c>
      <c r="N1879">
        <v>0</v>
      </c>
      <c r="O1879" t="s">
        <v>104</v>
      </c>
      <c r="P1879" t="s">
        <v>34</v>
      </c>
      <c r="Q1879">
        <v>0</v>
      </c>
    </row>
    <row r="1880" spans="1:17" x14ac:dyDescent="0.3">
      <c r="A1880" t="s">
        <v>17</v>
      </c>
      <c r="B1880">
        <v>68</v>
      </c>
      <c r="C1880" t="s">
        <v>34</v>
      </c>
      <c r="D1880" s="2">
        <v>45930</v>
      </c>
      <c r="E1880" s="3">
        <f t="shared" si="29"/>
        <v>45901</v>
      </c>
      <c r="F1880" t="s">
        <v>1814</v>
      </c>
      <c r="G1880" t="s">
        <v>266</v>
      </c>
      <c r="H1880" s="4">
        <v>488.24</v>
      </c>
      <c r="I1880" t="s">
        <v>31</v>
      </c>
      <c r="J1880" t="s">
        <v>79</v>
      </c>
      <c r="K1880" t="s">
        <v>1815</v>
      </c>
      <c r="L1880" s="2">
        <v>45901</v>
      </c>
      <c r="M1880" t="s">
        <v>79</v>
      </c>
      <c r="N1880">
        <v>0</v>
      </c>
      <c r="O1880" t="s">
        <v>31</v>
      </c>
      <c r="P1880" t="s">
        <v>34</v>
      </c>
      <c r="Q1880">
        <v>0</v>
      </c>
    </row>
    <row r="1881" spans="1:17" x14ac:dyDescent="0.3">
      <c r="A1881" t="s">
        <v>17</v>
      </c>
      <c r="B1881">
        <v>68</v>
      </c>
      <c r="C1881" t="s">
        <v>34</v>
      </c>
      <c r="D1881" s="2">
        <v>45930</v>
      </c>
      <c r="E1881" s="3">
        <f t="shared" si="29"/>
        <v>45901</v>
      </c>
      <c r="F1881" t="s">
        <v>1816</v>
      </c>
      <c r="H1881" s="4">
        <v>91.1</v>
      </c>
      <c r="I1881" t="s">
        <v>21</v>
      </c>
      <c r="J1881" t="s">
        <v>79</v>
      </c>
      <c r="K1881" t="s">
        <v>320</v>
      </c>
      <c r="L1881" s="2">
        <v>45901</v>
      </c>
      <c r="M1881" t="s">
        <v>79</v>
      </c>
      <c r="N1881" t="s">
        <v>25</v>
      </c>
      <c r="O1881" t="s">
        <v>81</v>
      </c>
      <c r="P1881" t="s">
        <v>34</v>
      </c>
      <c r="Q1881">
        <v>0</v>
      </c>
    </row>
    <row r="1882" spans="1:17" x14ac:dyDescent="0.3">
      <c r="A1882" t="s">
        <v>17</v>
      </c>
      <c r="B1882">
        <v>66</v>
      </c>
      <c r="C1882" t="s">
        <v>134</v>
      </c>
      <c r="D1882" s="2">
        <v>45911</v>
      </c>
      <c r="E1882" s="3">
        <f t="shared" si="29"/>
        <v>45901</v>
      </c>
      <c r="F1882" t="s">
        <v>1817</v>
      </c>
      <c r="G1882" t="s">
        <v>863</v>
      </c>
      <c r="H1882" s="4">
        <v>459.25</v>
      </c>
      <c r="I1882" t="s">
        <v>21</v>
      </c>
      <c r="J1882" t="s">
        <v>218</v>
      </c>
      <c r="K1882" t="s">
        <v>1818</v>
      </c>
      <c r="L1882" s="2">
        <v>45901</v>
      </c>
      <c r="M1882" t="s">
        <v>220</v>
      </c>
      <c r="N1882" t="s">
        <v>25</v>
      </c>
      <c r="O1882" t="s">
        <v>111</v>
      </c>
      <c r="P1882" t="s">
        <v>134</v>
      </c>
      <c r="Q1882">
        <v>0</v>
      </c>
    </row>
    <row r="1883" spans="1:17" x14ac:dyDescent="0.3">
      <c r="A1883" t="s">
        <v>17</v>
      </c>
      <c r="B1883">
        <v>66</v>
      </c>
      <c r="C1883" t="s">
        <v>134</v>
      </c>
      <c r="D1883" s="2">
        <v>45924</v>
      </c>
      <c r="E1883" s="3">
        <f t="shared" si="29"/>
        <v>45901</v>
      </c>
      <c r="F1883" t="s">
        <v>1819</v>
      </c>
      <c r="G1883" t="s">
        <v>1820</v>
      </c>
      <c r="H1883" s="4">
        <v>6450.84</v>
      </c>
      <c r="I1883" t="s">
        <v>108</v>
      </c>
      <c r="J1883" t="s">
        <v>255</v>
      </c>
      <c r="K1883" t="s">
        <v>1276</v>
      </c>
      <c r="L1883" s="2">
        <v>45901</v>
      </c>
      <c r="M1883" t="s">
        <v>257</v>
      </c>
      <c r="N1883">
        <v>0</v>
      </c>
      <c r="O1883" t="s">
        <v>111</v>
      </c>
      <c r="P1883" t="s">
        <v>134</v>
      </c>
      <c r="Q1883">
        <v>0</v>
      </c>
    </row>
    <row r="1884" spans="1:17" x14ac:dyDescent="0.3">
      <c r="A1884" t="s">
        <v>17</v>
      </c>
      <c r="B1884">
        <v>66</v>
      </c>
      <c r="C1884" t="s">
        <v>134</v>
      </c>
      <c r="D1884" s="2">
        <v>45930</v>
      </c>
      <c r="E1884" s="3">
        <f t="shared" si="29"/>
        <v>45901</v>
      </c>
      <c r="F1884" t="s">
        <v>1821</v>
      </c>
      <c r="G1884" t="s">
        <v>254</v>
      </c>
      <c r="H1884" s="4">
        <v>250</v>
      </c>
      <c r="I1884" t="s">
        <v>108</v>
      </c>
      <c r="J1884" t="s">
        <v>255</v>
      </c>
      <c r="K1884" t="s">
        <v>1822</v>
      </c>
      <c r="L1884" s="2">
        <v>45901</v>
      </c>
      <c r="M1884" t="s">
        <v>257</v>
      </c>
      <c r="N1884">
        <v>0</v>
      </c>
      <c r="O1884" t="s">
        <v>111</v>
      </c>
      <c r="P1884" t="s">
        <v>134</v>
      </c>
      <c r="Q1884">
        <v>0</v>
      </c>
    </row>
    <row r="1885" spans="1:17" x14ac:dyDescent="0.3">
      <c r="A1885" t="s">
        <v>17</v>
      </c>
      <c r="B1885">
        <v>66</v>
      </c>
      <c r="C1885" t="s">
        <v>134</v>
      </c>
      <c r="D1885" s="2">
        <v>45930</v>
      </c>
      <c r="E1885" s="3">
        <f t="shared" si="29"/>
        <v>45901</v>
      </c>
      <c r="F1885" t="s">
        <v>1821</v>
      </c>
      <c r="G1885" t="s">
        <v>254</v>
      </c>
      <c r="H1885" s="4">
        <v>650</v>
      </c>
      <c r="I1885" t="s">
        <v>108</v>
      </c>
      <c r="J1885" t="s">
        <v>255</v>
      </c>
      <c r="K1885" t="s">
        <v>1823</v>
      </c>
      <c r="L1885" s="2">
        <v>45901</v>
      </c>
      <c r="M1885" t="s">
        <v>257</v>
      </c>
      <c r="N1885">
        <v>0</v>
      </c>
      <c r="O1885" t="s">
        <v>111</v>
      </c>
      <c r="P1885" t="s">
        <v>134</v>
      </c>
      <c r="Q1885">
        <v>0</v>
      </c>
    </row>
    <row r="1886" spans="1:17" x14ac:dyDescent="0.3">
      <c r="A1886" t="s">
        <v>17</v>
      </c>
      <c r="B1886">
        <v>66</v>
      </c>
      <c r="C1886" t="s">
        <v>134</v>
      </c>
      <c r="D1886" s="2">
        <v>45911</v>
      </c>
      <c r="E1886" s="3">
        <f t="shared" si="29"/>
        <v>45901</v>
      </c>
      <c r="F1886" t="s">
        <v>1817</v>
      </c>
      <c r="G1886" t="s">
        <v>863</v>
      </c>
      <c r="H1886" s="4">
        <v>918.5</v>
      </c>
      <c r="I1886" t="s">
        <v>21</v>
      </c>
      <c r="J1886" t="s">
        <v>223</v>
      </c>
      <c r="K1886" t="s">
        <v>878</v>
      </c>
      <c r="L1886" s="2">
        <v>45901</v>
      </c>
      <c r="M1886" t="s">
        <v>223</v>
      </c>
      <c r="N1886" t="s">
        <v>25</v>
      </c>
      <c r="O1886" t="s">
        <v>111</v>
      </c>
      <c r="P1886" t="s">
        <v>134</v>
      </c>
      <c r="Q1886">
        <v>0</v>
      </c>
    </row>
    <row r="1887" spans="1:17" x14ac:dyDescent="0.3">
      <c r="A1887" t="s">
        <v>17</v>
      </c>
      <c r="B1887">
        <v>66</v>
      </c>
      <c r="C1887" t="s">
        <v>134</v>
      </c>
      <c r="D1887" s="2">
        <v>45917</v>
      </c>
      <c r="E1887" s="3">
        <f t="shared" si="29"/>
        <v>45901</v>
      </c>
      <c r="F1887">
        <v>166983</v>
      </c>
      <c r="G1887" t="s">
        <v>1824</v>
      </c>
      <c r="H1887" s="4">
        <v>702.8</v>
      </c>
      <c r="I1887" t="s">
        <v>108</v>
      </c>
      <c r="J1887" t="s">
        <v>223</v>
      </c>
      <c r="K1887" t="s">
        <v>842</v>
      </c>
      <c r="L1887" s="2">
        <v>45901</v>
      </c>
      <c r="M1887" t="s">
        <v>223</v>
      </c>
      <c r="N1887">
        <v>0</v>
      </c>
      <c r="O1887" t="s">
        <v>111</v>
      </c>
      <c r="P1887" t="s">
        <v>134</v>
      </c>
      <c r="Q1887">
        <v>0</v>
      </c>
    </row>
    <row r="1888" spans="1:17" x14ac:dyDescent="0.3">
      <c r="A1888" t="s">
        <v>17</v>
      </c>
      <c r="B1888">
        <v>66</v>
      </c>
      <c r="C1888" t="s">
        <v>134</v>
      </c>
      <c r="D1888" s="2">
        <v>45930</v>
      </c>
      <c r="E1888" s="3">
        <f t="shared" si="29"/>
        <v>45901</v>
      </c>
      <c r="F1888" t="s">
        <v>1825</v>
      </c>
      <c r="H1888" s="4">
        <v>83.08</v>
      </c>
      <c r="I1888" t="s">
        <v>47</v>
      </c>
      <c r="J1888" t="s">
        <v>223</v>
      </c>
      <c r="K1888" t="s">
        <v>1826</v>
      </c>
      <c r="L1888" s="2">
        <v>45901</v>
      </c>
      <c r="M1888" t="s">
        <v>223</v>
      </c>
      <c r="N1888">
        <v>0</v>
      </c>
      <c r="O1888" t="s">
        <v>111</v>
      </c>
      <c r="P1888" t="s">
        <v>134</v>
      </c>
      <c r="Q1888">
        <v>0</v>
      </c>
    </row>
    <row r="1889" spans="1:17" x14ac:dyDescent="0.3">
      <c r="A1889" t="s">
        <v>17</v>
      </c>
      <c r="B1889">
        <v>66</v>
      </c>
      <c r="C1889" t="s">
        <v>134</v>
      </c>
      <c r="D1889" s="2">
        <v>45930</v>
      </c>
      <c r="E1889" s="3">
        <f t="shared" si="29"/>
        <v>45901</v>
      </c>
      <c r="F1889" t="s">
        <v>1825</v>
      </c>
      <c r="H1889" s="4">
        <v>452.06</v>
      </c>
      <c r="I1889" t="s">
        <v>47</v>
      </c>
      <c r="J1889" t="s">
        <v>223</v>
      </c>
      <c r="K1889" t="s">
        <v>1827</v>
      </c>
      <c r="L1889" s="2">
        <v>45901</v>
      </c>
      <c r="M1889" t="s">
        <v>223</v>
      </c>
      <c r="N1889">
        <v>0</v>
      </c>
      <c r="O1889" t="s">
        <v>111</v>
      </c>
      <c r="P1889" t="s">
        <v>134</v>
      </c>
      <c r="Q1889">
        <v>0</v>
      </c>
    </row>
    <row r="1890" spans="1:17" x14ac:dyDescent="0.3">
      <c r="A1890" t="s">
        <v>17</v>
      </c>
      <c r="B1890">
        <v>68</v>
      </c>
      <c r="C1890" t="s">
        <v>34</v>
      </c>
      <c r="D1890" s="2">
        <v>45901</v>
      </c>
      <c r="E1890" s="3">
        <f t="shared" si="29"/>
        <v>45901</v>
      </c>
      <c r="F1890" t="s">
        <v>1828</v>
      </c>
      <c r="G1890" t="s">
        <v>122</v>
      </c>
      <c r="H1890" s="4">
        <v>10.8</v>
      </c>
      <c r="I1890" t="s">
        <v>108</v>
      </c>
      <c r="J1890" t="s">
        <v>109</v>
      </c>
      <c r="L1890" s="2">
        <v>45901</v>
      </c>
      <c r="M1890" t="s">
        <v>109</v>
      </c>
      <c r="N1890">
        <v>0</v>
      </c>
      <c r="O1890" t="s">
        <v>111</v>
      </c>
      <c r="P1890" t="s">
        <v>112</v>
      </c>
      <c r="Q1890" t="s">
        <v>113</v>
      </c>
    </row>
    <row r="1891" spans="1:17" x14ac:dyDescent="0.3">
      <c r="A1891" t="s">
        <v>17</v>
      </c>
      <c r="B1891">
        <v>68</v>
      </c>
      <c r="C1891" t="s">
        <v>34</v>
      </c>
      <c r="D1891" s="2">
        <v>45901</v>
      </c>
      <c r="E1891" s="3">
        <f t="shared" si="29"/>
        <v>45901</v>
      </c>
      <c r="F1891" t="s">
        <v>1828</v>
      </c>
      <c r="G1891" t="s">
        <v>122</v>
      </c>
      <c r="H1891" s="4">
        <v>17</v>
      </c>
      <c r="I1891" t="s">
        <v>108</v>
      </c>
      <c r="J1891" t="s">
        <v>109</v>
      </c>
      <c r="L1891" s="2">
        <v>45901</v>
      </c>
      <c r="M1891" t="s">
        <v>109</v>
      </c>
      <c r="N1891">
        <v>0</v>
      </c>
      <c r="O1891" t="s">
        <v>111</v>
      </c>
      <c r="P1891" t="s">
        <v>112</v>
      </c>
      <c r="Q1891" t="s">
        <v>113</v>
      </c>
    </row>
    <row r="1892" spans="1:17" x14ac:dyDescent="0.3">
      <c r="A1892" t="s">
        <v>17</v>
      </c>
      <c r="B1892">
        <v>68</v>
      </c>
      <c r="C1892" t="s">
        <v>34</v>
      </c>
      <c r="D1892" s="2">
        <v>45901</v>
      </c>
      <c r="E1892" s="3">
        <f t="shared" si="29"/>
        <v>45901</v>
      </c>
      <c r="F1892" t="s">
        <v>1828</v>
      </c>
      <c r="G1892" t="s">
        <v>122</v>
      </c>
      <c r="H1892" s="4">
        <v>1.31</v>
      </c>
      <c r="I1892" t="s">
        <v>108</v>
      </c>
      <c r="J1892" t="s">
        <v>109</v>
      </c>
      <c r="K1892" t="s">
        <v>1457</v>
      </c>
      <c r="L1892" s="2">
        <v>45901</v>
      </c>
      <c r="M1892" t="s">
        <v>109</v>
      </c>
      <c r="N1892">
        <v>0</v>
      </c>
      <c r="O1892" t="s">
        <v>111</v>
      </c>
      <c r="P1892" t="s">
        <v>112</v>
      </c>
      <c r="Q1892" t="s">
        <v>113</v>
      </c>
    </row>
    <row r="1893" spans="1:17" x14ac:dyDescent="0.3">
      <c r="A1893" t="s">
        <v>17</v>
      </c>
      <c r="B1893">
        <v>68</v>
      </c>
      <c r="C1893" t="s">
        <v>34</v>
      </c>
      <c r="D1893" s="2">
        <v>45901</v>
      </c>
      <c r="E1893" s="3">
        <f t="shared" si="29"/>
        <v>45901</v>
      </c>
      <c r="F1893" t="s">
        <v>1829</v>
      </c>
      <c r="G1893" t="s">
        <v>122</v>
      </c>
      <c r="H1893" s="4">
        <v>4.17</v>
      </c>
      <c r="I1893" t="s">
        <v>108</v>
      </c>
      <c r="J1893" t="s">
        <v>109</v>
      </c>
      <c r="L1893" s="2">
        <v>45901</v>
      </c>
      <c r="M1893" t="s">
        <v>109</v>
      </c>
      <c r="N1893">
        <v>0</v>
      </c>
      <c r="O1893" t="s">
        <v>111</v>
      </c>
      <c r="P1893" t="s">
        <v>112</v>
      </c>
      <c r="Q1893" t="s">
        <v>113</v>
      </c>
    </row>
    <row r="1894" spans="1:17" x14ac:dyDescent="0.3">
      <c r="A1894" t="s">
        <v>17</v>
      </c>
      <c r="B1894">
        <v>68</v>
      </c>
      <c r="C1894" t="s">
        <v>34</v>
      </c>
      <c r="D1894" s="2">
        <v>45901</v>
      </c>
      <c r="E1894" s="3">
        <f t="shared" si="29"/>
        <v>45901</v>
      </c>
      <c r="F1894" t="s">
        <v>1829</v>
      </c>
      <c r="G1894" t="s">
        <v>122</v>
      </c>
      <c r="H1894" s="4">
        <v>17</v>
      </c>
      <c r="I1894" t="s">
        <v>108</v>
      </c>
      <c r="J1894" t="s">
        <v>109</v>
      </c>
      <c r="L1894" s="2">
        <v>45901</v>
      </c>
      <c r="M1894" t="s">
        <v>109</v>
      </c>
      <c r="N1894">
        <v>0</v>
      </c>
      <c r="O1894" t="s">
        <v>111</v>
      </c>
      <c r="P1894" t="s">
        <v>112</v>
      </c>
      <c r="Q1894" t="s">
        <v>113</v>
      </c>
    </row>
    <row r="1895" spans="1:17" x14ac:dyDescent="0.3">
      <c r="A1895" t="s">
        <v>17</v>
      </c>
      <c r="B1895">
        <v>68</v>
      </c>
      <c r="C1895" t="s">
        <v>34</v>
      </c>
      <c r="D1895" s="2">
        <v>45901</v>
      </c>
      <c r="E1895" s="3">
        <f t="shared" si="29"/>
        <v>45901</v>
      </c>
      <c r="F1895" t="s">
        <v>1829</v>
      </c>
      <c r="G1895" t="s">
        <v>122</v>
      </c>
      <c r="H1895" s="4">
        <v>1.31</v>
      </c>
      <c r="I1895" t="s">
        <v>108</v>
      </c>
      <c r="J1895" t="s">
        <v>109</v>
      </c>
      <c r="K1895" t="s">
        <v>1665</v>
      </c>
      <c r="L1895" s="2">
        <v>45901</v>
      </c>
      <c r="M1895" t="s">
        <v>109</v>
      </c>
      <c r="N1895">
        <v>0</v>
      </c>
      <c r="O1895" t="s">
        <v>111</v>
      </c>
      <c r="P1895" t="s">
        <v>112</v>
      </c>
      <c r="Q1895" t="s">
        <v>113</v>
      </c>
    </row>
    <row r="1896" spans="1:17" x14ac:dyDescent="0.3">
      <c r="A1896" t="s">
        <v>17</v>
      </c>
      <c r="B1896">
        <v>68</v>
      </c>
      <c r="C1896" t="s">
        <v>34</v>
      </c>
      <c r="D1896" s="2">
        <v>45902</v>
      </c>
      <c r="E1896" s="3">
        <f t="shared" si="29"/>
        <v>45901</v>
      </c>
      <c r="F1896" t="s">
        <v>1830</v>
      </c>
      <c r="G1896" t="s">
        <v>122</v>
      </c>
      <c r="H1896" s="4">
        <v>5.4</v>
      </c>
      <c r="I1896" t="s">
        <v>108</v>
      </c>
      <c r="J1896" t="s">
        <v>109</v>
      </c>
      <c r="L1896" s="2">
        <v>45901</v>
      </c>
      <c r="M1896" t="s">
        <v>109</v>
      </c>
      <c r="N1896">
        <v>0</v>
      </c>
      <c r="O1896" t="s">
        <v>111</v>
      </c>
      <c r="P1896" t="s">
        <v>112</v>
      </c>
      <c r="Q1896" t="s">
        <v>113</v>
      </c>
    </row>
    <row r="1897" spans="1:17" x14ac:dyDescent="0.3">
      <c r="A1897" t="s">
        <v>17</v>
      </c>
      <c r="B1897">
        <v>68</v>
      </c>
      <c r="C1897" t="s">
        <v>34</v>
      </c>
      <c r="D1897" s="2">
        <v>45902</v>
      </c>
      <c r="E1897" s="3">
        <f t="shared" si="29"/>
        <v>45901</v>
      </c>
      <c r="F1897" t="s">
        <v>1830</v>
      </c>
      <c r="G1897" t="s">
        <v>122</v>
      </c>
      <c r="H1897" s="4">
        <v>17</v>
      </c>
      <c r="I1897" t="s">
        <v>108</v>
      </c>
      <c r="J1897" t="s">
        <v>109</v>
      </c>
      <c r="K1897" t="s">
        <v>1455</v>
      </c>
      <c r="L1897" s="2">
        <v>45901</v>
      </c>
      <c r="M1897" t="s">
        <v>109</v>
      </c>
      <c r="N1897">
        <v>0</v>
      </c>
      <c r="O1897" t="s">
        <v>111</v>
      </c>
      <c r="P1897" t="s">
        <v>112</v>
      </c>
      <c r="Q1897" t="s">
        <v>113</v>
      </c>
    </row>
    <row r="1898" spans="1:17" x14ac:dyDescent="0.3">
      <c r="A1898" t="s">
        <v>17</v>
      </c>
      <c r="B1898">
        <v>68</v>
      </c>
      <c r="C1898" t="s">
        <v>34</v>
      </c>
      <c r="D1898" s="2">
        <v>45902</v>
      </c>
      <c r="E1898" s="3">
        <f t="shared" si="29"/>
        <v>45901</v>
      </c>
      <c r="F1898" t="s">
        <v>1830</v>
      </c>
      <c r="G1898" t="s">
        <v>122</v>
      </c>
      <c r="H1898" s="4">
        <v>1.31</v>
      </c>
      <c r="I1898" t="s">
        <v>108</v>
      </c>
      <c r="J1898" t="s">
        <v>109</v>
      </c>
      <c r="K1898" t="s">
        <v>1457</v>
      </c>
      <c r="L1898" s="2">
        <v>45901</v>
      </c>
      <c r="M1898" t="s">
        <v>109</v>
      </c>
      <c r="N1898">
        <v>0</v>
      </c>
      <c r="O1898" t="s">
        <v>111</v>
      </c>
      <c r="P1898" t="s">
        <v>112</v>
      </c>
      <c r="Q1898" t="s">
        <v>113</v>
      </c>
    </row>
    <row r="1899" spans="1:17" x14ac:dyDescent="0.3">
      <c r="A1899" t="s">
        <v>17</v>
      </c>
      <c r="B1899">
        <v>68</v>
      </c>
      <c r="C1899" t="s">
        <v>34</v>
      </c>
      <c r="D1899" s="2">
        <v>45910</v>
      </c>
      <c r="E1899" s="3">
        <f t="shared" si="29"/>
        <v>45901</v>
      </c>
      <c r="F1899" t="s">
        <v>1831</v>
      </c>
      <c r="G1899" t="s">
        <v>122</v>
      </c>
      <c r="H1899" s="4">
        <v>12.5</v>
      </c>
      <c r="I1899" t="s">
        <v>108</v>
      </c>
      <c r="J1899" t="s">
        <v>109</v>
      </c>
      <c r="K1899" t="s">
        <v>1437</v>
      </c>
      <c r="L1899" s="2">
        <v>45901</v>
      </c>
      <c r="M1899" t="s">
        <v>109</v>
      </c>
      <c r="N1899">
        <v>0</v>
      </c>
      <c r="O1899" t="s">
        <v>111</v>
      </c>
      <c r="P1899" t="s">
        <v>112</v>
      </c>
      <c r="Q1899" t="s">
        <v>113</v>
      </c>
    </row>
    <row r="1900" spans="1:17" x14ac:dyDescent="0.3">
      <c r="A1900" t="s">
        <v>17</v>
      </c>
      <c r="B1900">
        <v>68</v>
      </c>
      <c r="C1900" t="s">
        <v>34</v>
      </c>
      <c r="D1900" s="2">
        <v>45910</v>
      </c>
      <c r="E1900" s="3">
        <f t="shared" si="29"/>
        <v>45901</v>
      </c>
      <c r="F1900" t="s">
        <v>1831</v>
      </c>
      <c r="G1900" t="s">
        <v>122</v>
      </c>
      <c r="H1900" s="4">
        <v>0.24</v>
      </c>
      <c r="I1900" t="s">
        <v>108</v>
      </c>
      <c r="J1900" t="s">
        <v>109</v>
      </c>
      <c r="K1900" t="s">
        <v>1832</v>
      </c>
      <c r="L1900" s="2">
        <v>45901</v>
      </c>
      <c r="M1900" t="s">
        <v>109</v>
      </c>
      <c r="N1900">
        <v>0</v>
      </c>
      <c r="O1900" t="s">
        <v>111</v>
      </c>
      <c r="P1900" t="s">
        <v>112</v>
      </c>
      <c r="Q1900" t="s">
        <v>113</v>
      </c>
    </row>
    <row r="1901" spans="1:17" x14ac:dyDescent="0.3">
      <c r="A1901" t="s">
        <v>17</v>
      </c>
      <c r="B1901">
        <v>68</v>
      </c>
      <c r="C1901" t="s">
        <v>34</v>
      </c>
      <c r="D1901" s="2">
        <v>45910</v>
      </c>
      <c r="E1901" s="3">
        <f t="shared" si="29"/>
        <v>45901</v>
      </c>
      <c r="F1901" t="s">
        <v>1831</v>
      </c>
      <c r="G1901" t="s">
        <v>122</v>
      </c>
      <c r="H1901" s="4">
        <v>4.4000000000000004</v>
      </c>
      <c r="I1901" t="s">
        <v>108</v>
      </c>
      <c r="J1901" t="s">
        <v>109</v>
      </c>
      <c r="K1901" t="s">
        <v>1438</v>
      </c>
      <c r="L1901" s="2">
        <v>45901</v>
      </c>
      <c r="M1901" t="s">
        <v>109</v>
      </c>
      <c r="N1901">
        <v>0</v>
      </c>
      <c r="O1901" t="s">
        <v>111</v>
      </c>
      <c r="P1901" t="s">
        <v>112</v>
      </c>
      <c r="Q1901" t="s">
        <v>113</v>
      </c>
    </row>
    <row r="1902" spans="1:17" x14ac:dyDescent="0.3">
      <c r="A1902" t="s">
        <v>17</v>
      </c>
      <c r="B1902">
        <v>68</v>
      </c>
      <c r="C1902" t="s">
        <v>34</v>
      </c>
      <c r="D1902" s="2">
        <v>45910</v>
      </c>
      <c r="E1902" s="3">
        <f t="shared" si="29"/>
        <v>45901</v>
      </c>
      <c r="F1902" t="s">
        <v>1831</v>
      </c>
      <c r="G1902" t="s">
        <v>122</v>
      </c>
      <c r="H1902" s="4">
        <v>50.54</v>
      </c>
      <c r="I1902" t="s">
        <v>108</v>
      </c>
      <c r="J1902" t="s">
        <v>109</v>
      </c>
      <c r="K1902" t="s">
        <v>1833</v>
      </c>
      <c r="L1902" s="2">
        <v>45901</v>
      </c>
      <c r="M1902" t="s">
        <v>109</v>
      </c>
      <c r="N1902">
        <v>0</v>
      </c>
      <c r="O1902" t="s">
        <v>111</v>
      </c>
      <c r="P1902" t="s">
        <v>112</v>
      </c>
      <c r="Q1902" t="s">
        <v>113</v>
      </c>
    </row>
    <row r="1903" spans="1:17" x14ac:dyDescent="0.3">
      <c r="A1903" t="s">
        <v>17</v>
      </c>
      <c r="B1903">
        <v>68</v>
      </c>
      <c r="C1903" t="s">
        <v>34</v>
      </c>
      <c r="D1903" s="2">
        <v>45910</v>
      </c>
      <c r="E1903" s="3">
        <f t="shared" si="29"/>
        <v>45901</v>
      </c>
      <c r="F1903" t="s">
        <v>1834</v>
      </c>
      <c r="G1903" t="s">
        <v>122</v>
      </c>
      <c r="H1903" s="4">
        <v>1268.48</v>
      </c>
      <c r="I1903" t="s">
        <v>108</v>
      </c>
      <c r="J1903" t="s">
        <v>109</v>
      </c>
      <c r="K1903" t="s">
        <v>388</v>
      </c>
      <c r="L1903" s="2">
        <v>45901</v>
      </c>
      <c r="M1903" t="s">
        <v>109</v>
      </c>
      <c r="N1903">
        <v>0</v>
      </c>
      <c r="O1903" t="s">
        <v>111</v>
      </c>
      <c r="P1903" t="s">
        <v>112</v>
      </c>
      <c r="Q1903" t="s">
        <v>113</v>
      </c>
    </row>
    <row r="1904" spans="1:17" x14ac:dyDescent="0.3">
      <c r="A1904" t="s">
        <v>17</v>
      </c>
      <c r="B1904">
        <v>68</v>
      </c>
      <c r="C1904" t="s">
        <v>34</v>
      </c>
      <c r="D1904" s="2">
        <v>45911</v>
      </c>
      <c r="E1904" s="3">
        <f t="shared" si="29"/>
        <v>45901</v>
      </c>
      <c r="F1904" t="s">
        <v>1835</v>
      </c>
      <c r="G1904" t="s">
        <v>122</v>
      </c>
      <c r="H1904" s="4">
        <v>618.78</v>
      </c>
      <c r="I1904" t="s">
        <v>108</v>
      </c>
      <c r="J1904" t="s">
        <v>109</v>
      </c>
      <c r="K1904" t="s">
        <v>1836</v>
      </c>
      <c r="L1904" s="2">
        <v>45901</v>
      </c>
      <c r="M1904" t="s">
        <v>109</v>
      </c>
      <c r="N1904">
        <v>0</v>
      </c>
      <c r="O1904" t="s">
        <v>111</v>
      </c>
      <c r="P1904" t="s">
        <v>112</v>
      </c>
      <c r="Q1904" t="s">
        <v>113</v>
      </c>
    </row>
    <row r="1905" spans="1:17" x14ac:dyDescent="0.3">
      <c r="A1905" t="s">
        <v>17</v>
      </c>
      <c r="B1905">
        <v>68</v>
      </c>
      <c r="C1905" t="s">
        <v>34</v>
      </c>
      <c r="D1905" s="2">
        <v>45911</v>
      </c>
      <c r="E1905" s="3">
        <f t="shared" si="29"/>
        <v>45901</v>
      </c>
      <c r="F1905" t="s">
        <v>1835</v>
      </c>
      <c r="G1905" t="s">
        <v>122</v>
      </c>
      <c r="H1905" s="4">
        <v>17</v>
      </c>
      <c r="I1905" t="s">
        <v>108</v>
      </c>
      <c r="J1905" t="s">
        <v>109</v>
      </c>
      <c r="K1905" t="s">
        <v>1836</v>
      </c>
      <c r="L1905" s="2">
        <v>45901</v>
      </c>
      <c r="M1905" t="s">
        <v>109</v>
      </c>
      <c r="N1905">
        <v>0</v>
      </c>
      <c r="O1905" t="s">
        <v>111</v>
      </c>
      <c r="P1905" t="s">
        <v>112</v>
      </c>
      <c r="Q1905" t="s">
        <v>113</v>
      </c>
    </row>
    <row r="1906" spans="1:17" x14ac:dyDescent="0.3">
      <c r="A1906" t="s">
        <v>17</v>
      </c>
      <c r="B1906">
        <v>68</v>
      </c>
      <c r="C1906" t="s">
        <v>34</v>
      </c>
      <c r="D1906" s="2">
        <v>45911</v>
      </c>
      <c r="E1906" s="3">
        <f t="shared" si="29"/>
        <v>45901</v>
      </c>
      <c r="F1906" t="s">
        <v>1835</v>
      </c>
      <c r="G1906" t="s">
        <v>122</v>
      </c>
      <c r="H1906" s="4">
        <v>1.31</v>
      </c>
      <c r="I1906" t="s">
        <v>108</v>
      </c>
      <c r="J1906" t="s">
        <v>109</v>
      </c>
      <c r="K1906" t="s">
        <v>1836</v>
      </c>
      <c r="L1906" s="2">
        <v>45901</v>
      </c>
      <c r="M1906" t="s">
        <v>109</v>
      </c>
      <c r="N1906">
        <v>0</v>
      </c>
      <c r="O1906" t="s">
        <v>111</v>
      </c>
      <c r="P1906" t="s">
        <v>112</v>
      </c>
      <c r="Q1906" t="s">
        <v>113</v>
      </c>
    </row>
    <row r="1907" spans="1:17" x14ac:dyDescent="0.3">
      <c r="A1907" t="s">
        <v>17</v>
      </c>
      <c r="B1907">
        <v>68</v>
      </c>
      <c r="C1907" t="s">
        <v>34</v>
      </c>
      <c r="D1907" s="2">
        <v>45912</v>
      </c>
      <c r="E1907" s="3">
        <f t="shared" si="29"/>
        <v>45901</v>
      </c>
      <c r="F1907" t="s">
        <v>1837</v>
      </c>
      <c r="G1907" t="s">
        <v>122</v>
      </c>
      <c r="H1907" s="4">
        <v>4.17</v>
      </c>
      <c r="I1907" t="s">
        <v>108</v>
      </c>
      <c r="J1907" t="s">
        <v>109</v>
      </c>
      <c r="K1907" t="s">
        <v>1838</v>
      </c>
      <c r="L1907" s="2">
        <v>45901</v>
      </c>
      <c r="M1907" t="s">
        <v>109</v>
      </c>
      <c r="N1907">
        <v>0</v>
      </c>
      <c r="O1907" t="s">
        <v>111</v>
      </c>
      <c r="P1907" t="s">
        <v>112</v>
      </c>
      <c r="Q1907" t="s">
        <v>113</v>
      </c>
    </row>
    <row r="1908" spans="1:17" x14ac:dyDescent="0.3">
      <c r="A1908" t="s">
        <v>17</v>
      </c>
      <c r="B1908">
        <v>68</v>
      </c>
      <c r="C1908" t="s">
        <v>34</v>
      </c>
      <c r="D1908" s="2">
        <v>45912</v>
      </c>
      <c r="E1908" s="3">
        <f t="shared" si="29"/>
        <v>45901</v>
      </c>
      <c r="F1908" t="s">
        <v>1837</v>
      </c>
      <c r="G1908" t="s">
        <v>122</v>
      </c>
      <c r="H1908" s="4">
        <v>17</v>
      </c>
      <c r="I1908" t="s">
        <v>108</v>
      </c>
      <c r="J1908" t="s">
        <v>109</v>
      </c>
      <c r="K1908" t="s">
        <v>1839</v>
      </c>
      <c r="L1908" s="2">
        <v>45901</v>
      </c>
      <c r="M1908" t="s">
        <v>109</v>
      </c>
      <c r="N1908">
        <v>0</v>
      </c>
      <c r="O1908" t="s">
        <v>111</v>
      </c>
      <c r="P1908" t="s">
        <v>112</v>
      </c>
      <c r="Q1908" t="s">
        <v>113</v>
      </c>
    </row>
    <row r="1909" spans="1:17" x14ac:dyDescent="0.3">
      <c r="A1909" t="s">
        <v>17</v>
      </c>
      <c r="B1909">
        <v>68</v>
      </c>
      <c r="C1909" t="s">
        <v>34</v>
      </c>
      <c r="D1909" s="2">
        <v>45912</v>
      </c>
      <c r="E1909" s="3">
        <f t="shared" si="29"/>
        <v>45901</v>
      </c>
      <c r="F1909" t="s">
        <v>1837</v>
      </c>
      <c r="G1909" t="s">
        <v>122</v>
      </c>
      <c r="H1909" s="4">
        <v>1.31</v>
      </c>
      <c r="I1909" t="s">
        <v>108</v>
      </c>
      <c r="J1909" t="s">
        <v>109</v>
      </c>
      <c r="K1909" t="s">
        <v>1839</v>
      </c>
      <c r="L1909" s="2">
        <v>45901</v>
      </c>
      <c r="M1909" t="s">
        <v>109</v>
      </c>
      <c r="N1909">
        <v>0</v>
      </c>
      <c r="O1909" t="s">
        <v>111</v>
      </c>
      <c r="P1909" t="s">
        <v>112</v>
      </c>
      <c r="Q1909" t="s">
        <v>113</v>
      </c>
    </row>
    <row r="1910" spans="1:17" x14ac:dyDescent="0.3">
      <c r="A1910" t="s">
        <v>17</v>
      </c>
      <c r="B1910">
        <v>68</v>
      </c>
      <c r="C1910" t="s">
        <v>34</v>
      </c>
      <c r="D1910" s="2">
        <v>45912</v>
      </c>
      <c r="E1910" s="3">
        <f t="shared" si="29"/>
        <v>45901</v>
      </c>
      <c r="F1910" t="s">
        <v>1840</v>
      </c>
      <c r="G1910" t="s">
        <v>122</v>
      </c>
      <c r="H1910" s="4">
        <v>0.7</v>
      </c>
      <c r="I1910" t="s">
        <v>108</v>
      </c>
      <c r="J1910" t="s">
        <v>109</v>
      </c>
      <c r="K1910" t="s">
        <v>1841</v>
      </c>
      <c r="L1910" s="2">
        <v>45901</v>
      </c>
      <c r="M1910" t="s">
        <v>109</v>
      </c>
      <c r="N1910">
        <v>0</v>
      </c>
      <c r="O1910" t="s">
        <v>111</v>
      </c>
      <c r="P1910" t="s">
        <v>112</v>
      </c>
      <c r="Q1910" t="s">
        <v>113</v>
      </c>
    </row>
    <row r="1911" spans="1:17" x14ac:dyDescent="0.3">
      <c r="A1911" t="s">
        <v>17</v>
      </c>
      <c r="B1911">
        <v>68</v>
      </c>
      <c r="C1911" t="s">
        <v>34</v>
      </c>
      <c r="D1911" s="2">
        <v>45912</v>
      </c>
      <c r="E1911" s="3">
        <f t="shared" si="29"/>
        <v>45901</v>
      </c>
      <c r="F1911" t="s">
        <v>1840</v>
      </c>
      <c r="G1911" t="s">
        <v>122</v>
      </c>
      <c r="H1911" s="4">
        <v>17</v>
      </c>
      <c r="I1911" t="s">
        <v>108</v>
      </c>
      <c r="J1911" t="s">
        <v>109</v>
      </c>
      <c r="K1911" t="s">
        <v>1841</v>
      </c>
      <c r="L1911" s="2">
        <v>45901</v>
      </c>
      <c r="M1911" t="s">
        <v>109</v>
      </c>
      <c r="N1911">
        <v>0</v>
      </c>
      <c r="O1911" t="s">
        <v>111</v>
      </c>
      <c r="P1911" t="s">
        <v>112</v>
      </c>
      <c r="Q1911" t="s">
        <v>113</v>
      </c>
    </row>
    <row r="1912" spans="1:17" x14ac:dyDescent="0.3">
      <c r="A1912" t="s">
        <v>17</v>
      </c>
      <c r="B1912">
        <v>68</v>
      </c>
      <c r="C1912" t="s">
        <v>34</v>
      </c>
      <c r="D1912" s="2">
        <v>45912</v>
      </c>
      <c r="E1912" s="3">
        <f t="shared" si="29"/>
        <v>45901</v>
      </c>
      <c r="F1912" t="s">
        <v>1840</v>
      </c>
      <c r="G1912" t="s">
        <v>122</v>
      </c>
      <c r="H1912" s="4">
        <v>1.31</v>
      </c>
      <c r="I1912" t="s">
        <v>108</v>
      </c>
      <c r="J1912" t="s">
        <v>109</v>
      </c>
      <c r="K1912" t="s">
        <v>1841</v>
      </c>
      <c r="L1912" s="2">
        <v>45901</v>
      </c>
      <c r="M1912" t="s">
        <v>109</v>
      </c>
      <c r="N1912">
        <v>0</v>
      </c>
      <c r="O1912" t="s">
        <v>111</v>
      </c>
      <c r="P1912" t="s">
        <v>112</v>
      </c>
      <c r="Q1912" t="s">
        <v>113</v>
      </c>
    </row>
    <row r="1913" spans="1:17" x14ac:dyDescent="0.3">
      <c r="A1913" t="s">
        <v>17</v>
      </c>
      <c r="B1913">
        <v>68</v>
      </c>
      <c r="C1913" t="s">
        <v>34</v>
      </c>
      <c r="D1913" s="2">
        <v>45912</v>
      </c>
      <c r="E1913" s="3">
        <f t="shared" si="29"/>
        <v>45901</v>
      </c>
      <c r="F1913" t="s">
        <v>1842</v>
      </c>
      <c r="G1913" t="s">
        <v>122</v>
      </c>
      <c r="H1913" s="4">
        <v>33.36</v>
      </c>
      <c r="I1913" t="s">
        <v>108</v>
      </c>
      <c r="J1913" t="s">
        <v>109</v>
      </c>
      <c r="K1913" t="s">
        <v>1839</v>
      </c>
      <c r="L1913" s="2">
        <v>45901</v>
      </c>
      <c r="M1913" t="s">
        <v>109</v>
      </c>
      <c r="N1913">
        <v>0</v>
      </c>
      <c r="O1913" t="s">
        <v>111</v>
      </c>
      <c r="P1913" t="s">
        <v>112</v>
      </c>
      <c r="Q1913" t="s">
        <v>113</v>
      </c>
    </row>
    <row r="1914" spans="1:17" x14ac:dyDescent="0.3">
      <c r="A1914" t="s">
        <v>17</v>
      </c>
      <c r="B1914">
        <v>68</v>
      </c>
      <c r="C1914" t="s">
        <v>34</v>
      </c>
      <c r="D1914" s="2">
        <v>45912</v>
      </c>
      <c r="E1914" s="3">
        <f t="shared" si="29"/>
        <v>45901</v>
      </c>
      <c r="F1914" t="s">
        <v>1842</v>
      </c>
      <c r="G1914" t="s">
        <v>122</v>
      </c>
      <c r="H1914" s="4">
        <v>17</v>
      </c>
      <c r="I1914" t="s">
        <v>108</v>
      </c>
      <c r="J1914" t="s">
        <v>109</v>
      </c>
      <c r="K1914" t="s">
        <v>1839</v>
      </c>
      <c r="L1914" s="2">
        <v>45901</v>
      </c>
      <c r="M1914" t="s">
        <v>109</v>
      </c>
      <c r="N1914">
        <v>0</v>
      </c>
      <c r="O1914" t="s">
        <v>111</v>
      </c>
      <c r="P1914" t="s">
        <v>112</v>
      </c>
      <c r="Q1914" t="s">
        <v>113</v>
      </c>
    </row>
    <row r="1915" spans="1:17" x14ac:dyDescent="0.3">
      <c r="A1915" t="s">
        <v>17</v>
      </c>
      <c r="B1915">
        <v>68</v>
      </c>
      <c r="C1915" t="s">
        <v>34</v>
      </c>
      <c r="D1915" s="2">
        <v>45912</v>
      </c>
      <c r="E1915" s="3">
        <f t="shared" si="29"/>
        <v>45901</v>
      </c>
      <c r="F1915" t="s">
        <v>1842</v>
      </c>
      <c r="G1915" t="s">
        <v>122</v>
      </c>
      <c r="H1915" s="4">
        <v>1.31</v>
      </c>
      <c r="I1915" t="s">
        <v>108</v>
      </c>
      <c r="J1915" t="s">
        <v>109</v>
      </c>
      <c r="K1915" t="s">
        <v>1839</v>
      </c>
      <c r="L1915" s="2">
        <v>45901</v>
      </c>
      <c r="M1915" t="s">
        <v>109</v>
      </c>
      <c r="N1915">
        <v>0</v>
      </c>
      <c r="O1915" t="s">
        <v>111</v>
      </c>
      <c r="P1915" t="s">
        <v>112</v>
      </c>
      <c r="Q1915" t="s">
        <v>113</v>
      </c>
    </row>
    <row r="1916" spans="1:17" x14ac:dyDescent="0.3">
      <c r="A1916" t="s">
        <v>17</v>
      </c>
      <c r="B1916">
        <v>68</v>
      </c>
      <c r="C1916" t="s">
        <v>34</v>
      </c>
      <c r="D1916" s="2">
        <v>45915</v>
      </c>
      <c r="E1916" s="3">
        <f t="shared" si="29"/>
        <v>45901</v>
      </c>
      <c r="F1916" t="s">
        <v>1843</v>
      </c>
      <c r="G1916" t="s">
        <v>122</v>
      </c>
      <c r="H1916" s="4">
        <v>10.43</v>
      </c>
      <c r="I1916" t="s">
        <v>108</v>
      </c>
      <c r="J1916" t="s">
        <v>109</v>
      </c>
      <c r="K1916" t="s">
        <v>1839</v>
      </c>
      <c r="L1916" s="2">
        <v>45901</v>
      </c>
      <c r="M1916" t="s">
        <v>109</v>
      </c>
      <c r="N1916">
        <v>0</v>
      </c>
      <c r="O1916" t="s">
        <v>111</v>
      </c>
      <c r="P1916" t="s">
        <v>112</v>
      </c>
      <c r="Q1916" t="s">
        <v>113</v>
      </c>
    </row>
    <row r="1917" spans="1:17" x14ac:dyDescent="0.3">
      <c r="A1917" t="s">
        <v>17</v>
      </c>
      <c r="B1917">
        <v>68</v>
      </c>
      <c r="C1917" t="s">
        <v>34</v>
      </c>
      <c r="D1917" s="2">
        <v>45915</v>
      </c>
      <c r="E1917" s="3">
        <f t="shared" si="29"/>
        <v>45901</v>
      </c>
      <c r="F1917" t="s">
        <v>1843</v>
      </c>
      <c r="G1917" t="s">
        <v>122</v>
      </c>
      <c r="H1917" s="4">
        <v>17</v>
      </c>
      <c r="I1917" t="s">
        <v>108</v>
      </c>
      <c r="J1917" t="s">
        <v>109</v>
      </c>
      <c r="K1917" t="s">
        <v>1839</v>
      </c>
      <c r="L1917" s="2">
        <v>45901</v>
      </c>
      <c r="M1917" t="s">
        <v>109</v>
      </c>
      <c r="N1917">
        <v>0</v>
      </c>
      <c r="O1917" t="s">
        <v>111</v>
      </c>
      <c r="P1917" t="s">
        <v>112</v>
      </c>
      <c r="Q1917" t="s">
        <v>113</v>
      </c>
    </row>
    <row r="1918" spans="1:17" x14ac:dyDescent="0.3">
      <c r="A1918" t="s">
        <v>17</v>
      </c>
      <c r="B1918">
        <v>68</v>
      </c>
      <c r="C1918" t="s">
        <v>34</v>
      </c>
      <c r="D1918" s="2">
        <v>45915</v>
      </c>
      <c r="E1918" s="3">
        <f t="shared" si="29"/>
        <v>45901</v>
      </c>
      <c r="F1918" t="s">
        <v>1843</v>
      </c>
      <c r="G1918" t="s">
        <v>122</v>
      </c>
      <c r="H1918" s="4">
        <v>1.31</v>
      </c>
      <c r="I1918" t="s">
        <v>108</v>
      </c>
      <c r="J1918" t="s">
        <v>109</v>
      </c>
      <c r="K1918" t="s">
        <v>1839</v>
      </c>
      <c r="L1918" s="2">
        <v>45901</v>
      </c>
      <c r="M1918" t="s">
        <v>109</v>
      </c>
      <c r="N1918">
        <v>0</v>
      </c>
      <c r="O1918" t="s">
        <v>111</v>
      </c>
      <c r="P1918" t="s">
        <v>112</v>
      </c>
      <c r="Q1918" t="s">
        <v>113</v>
      </c>
    </row>
    <row r="1919" spans="1:17" x14ac:dyDescent="0.3">
      <c r="A1919" t="s">
        <v>17</v>
      </c>
      <c r="B1919">
        <v>68</v>
      </c>
      <c r="C1919" t="s">
        <v>34</v>
      </c>
      <c r="D1919" s="2">
        <v>45915</v>
      </c>
      <c r="E1919" s="3">
        <f t="shared" si="29"/>
        <v>45901</v>
      </c>
      <c r="F1919" t="s">
        <v>1844</v>
      </c>
      <c r="G1919" t="s">
        <v>122</v>
      </c>
      <c r="H1919" s="4">
        <v>5.4</v>
      </c>
      <c r="I1919" t="s">
        <v>108</v>
      </c>
      <c r="J1919" t="s">
        <v>109</v>
      </c>
      <c r="K1919" t="s">
        <v>1845</v>
      </c>
      <c r="L1919" s="2">
        <v>45901</v>
      </c>
      <c r="M1919" t="s">
        <v>109</v>
      </c>
      <c r="N1919">
        <v>0</v>
      </c>
      <c r="O1919" t="s">
        <v>111</v>
      </c>
      <c r="P1919" t="s">
        <v>112</v>
      </c>
      <c r="Q1919" t="s">
        <v>113</v>
      </c>
    </row>
    <row r="1920" spans="1:17" x14ac:dyDescent="0.3">
      <c r="A1920" t="s">
        <v>17</v>
      </c>
      <c r="B1920">
        <v>68</v>
      </c>
      <c r="C1920" t="s">
        <v>34</v>
      </c>
      <c r="D1920" s="2">
        <v>45915</v>
      </c>
      <c r="E1920" s="3">
        <f t="shared" si="29"/>
        <v>45901</v>
      </c>
      <c r="F1920" t="s">
        <v>1844</v>
      </c>
      <c r="G1920" t="s">
        <v>122</v>
      </c>
      <c r="H1920" s="4">
        <v>17</v>
      </c>
      <c r="I1920" t="s">
        <v>108</v>
      </c>
      <c r="J1920" t="s">
        <v>109</v>
      </c>
      <c r="K1920" t="s">
        <v>1455</v>
      </c>
      <c r="L1920" s="2">
        <v>45901</v>
      </c>
      <c r="M1920" t="s">
        <v>109</v>
      </c>
      <c r="N1920">
        <v>0</v>
      </c>
      <c r="O1920" t="s">
        <v>111</v>
      </c>
      <c r="P1920" t="s">
        <v>112</v>
      </c>
      <c r="Q1920" t="s">
        <v>113</v>
      </c>
    </row>
    <row r="1921" spans="1:17" x14ac:dyDescent="0.3">
      <c r="A1921" t="s">
        <v>17</v>
      </c>
      <c r="B1921">
        <v>68</v>
      </c>
      <c r="C1921" t="s">
        <v>34</v>
      </c>
      <c r="D1921" s="2">
        <v>45915</v>
      </c>
      <c r="E1921" s="3">
        <f t="shared" si="29"/>
        <v>45901</v>
      </c>
      <c r="F1921" t="s">
        <v>1844</v>
      </c>
      <c r="G1921" t="s">
        <v>122</v>
      </c>
      <c r="H1921" s="4">
        <v>1.31</v>
      </c>
      <c r="I1921" t="s">
        <v>108</v>
      </c>
      <c r="J1921" t="s">
        <v>109</v>
      </c>
      <c r="K1921" t="s">
        <v>1457</v>
      </c>
      <c r="L1921" s="2">
        <v>45901</v>
      </c>
      <c r="M1921" t="s">
        <v>109</v>
      </c>
      <c r="N1921">
        <v>0</v>
      </c>
      <c r="O1921" t="s">
        <v>111</v>
      </c>
      <c r="P1921" t="s">
        <v>112</v>
      </c>
      <c r="Q1921" t="s">
        <v>113</v>
      </c>
    </row>
    <row r="1922" spans="1:17" x14ac:dyDescent="0.3">
      <c r="A1922" t="s">
        <v>17</v>
      </c>
      <c r="B1922">
        <v>68</v>
      </c>
      <c r="C1922" t="s">
        <v>34</v>
      </c>
      <c r="D1922" s="2">
        <v>45915</v>
      </c>
      <c r="E1922" s="3">
        <f t="shared" si="29"/>
        <v>45901</v>
      </c>
      <c r="F1922" t="s">
        <v>1846</v>
      </c>
      <c r="G1922" t="s">
        <v>122</v>
      </c>
      <c r="H1922" s="4">
        <v>20.81</v>
      </c>
      <c r="I1922" t="s">
        <v>108</v>
      </c>
      <c r="J1922" t="s">
        <v>109</v>
      </c>
      <c r="K1922" t="s">
        <v>1847</v>
      </c>
      <c r="L1922" s="2">
        <v>45901</v>
      </c>
      <c r="M1922" t="s">
        <v>109</v>
      </c>
      <c r="N1922">
        <v>0</v>
      </c>
      <c r="O1922" t="s">
        <v>111</v>
      </c>
      <c r="P1922" t="s">
        <v>112</v>
      </c>
      <c r="Q1922" t="s">
        <v>113</v>
      </c>
    </row>
    <row r="1923" spans="1:17" x14ac:dyDescent="0.3">
      <c r="A1923" t="s">
        <v>17</v>
      </c>
      <c r="B1923">
        <v>68</v>
      </c>
      <c r="C1923" t="s">
        <v>34</v>
      </c>
      <c r="D1923" s="2">
        <v>45915</v>
      </c>
      <c r="E1923" s="3">
        <f t="shared" ref="E1923:E1986" si="30">IF($D1923="","",DATE(YEAR($D1923),MONTH($D1923),1))</f>
        <v>45901</v>
      </c>
      <c r="F1923" t="s">
        <v>1848</v>
      </c>
      <c r="G1923" t="s">
        <v>122</v>
      </c>
      <c r="H1923" s="4">
        <v>0.01</v>
      </c>
      <c r="I1923" t="s">
        <v>108</v>
      </c>
      <c r="J1923" t="s">
        <v>109</v>
      </c>
      <c r="K1923" t="s">
        <v>1849</v>
      </c>
      <c r="L1923" s="2">
        <v>45901</v>
      </c>
      <c r="M1923" t="s">
        <v>109</v>
      </c>
      <c r="N1923">
        <v>0</v>
      </c>
      <c r="O1923" t="s">
        <v>111</v>
      </c>
      <c r="P1923" t="s">
        <v>112</v>
      </c>
      <c r="Q1923" t="s">
        <v>113</v>
      </c>
    </row>
    <row r="1924" spans="1:17" x14ac:dyDescent="0.3">
      <c r="A1924" t="s">
        <v>17</v>
      </c>
      <c r="B1924">
        <v>68</v>
      </c>
      <c r="C1924" t="s">
        <v>34</v>
      </c>
      <c r="D1924" s="2">
        <v>45915</v>
      </c>
      <c r="E1924" s="3">
        <f t="shared" si="30"/>
        <v>45901</v>
      </c>
      <c r="F1924" t="s">
        <v>1848</v>
      </c>
      <c r="G1924" t="s">
        <v>122</v>
      </c>
      <c r="H1924" s="4">
        <v>17</v>
      </c>
      <c r="I1924" t="s">
        <v>108</v>
      </c>
      <c r="J1924" t="s">
        <v>109</v>
      </c>
      <c r="K1924" t="s">
        <v>1849</v>
      </c>
      <c r="L1924" s="2">
        <v>45901</v>
      </c>
      <c r="M1924" t="s">
        <v>109</v>
      </c>
      <c r="N1924">
        <v>0</v>
      </c>
      <c r="O1924" t="s">
        <v>111</v>
      </c>
      <c r="P1924" t="s">
        <v>112</v>
      </c>
      <c r="Q1924" t="s">
        <v>113</v>
      </c>
    </row>
    <row r="1925" spans="1:17" x14ac:dyDescent="0.3">
      <c r="A1925" t="s">
        <v>17</v>
      </c>
      <c r="B1925">
        <v>68</v>
      </c>
      <c r="C1925" t="s">
        <v>34</v>
      </c>
      <c r="D1925" s="2">
        <v>45915</v>
      </c>
      <c r="E1925" s="3">
        <f t="shared" si="30"/>
        <v>45901</v>
      </c>
      <c r="F1925" t="s">
        <v>1848</v>
      </c>
      <c r="G1925" t="s">
        <v>122</v>
      </c>
      <c r="H1925" s="4">
        <v>1.31</v>
      </c>
      <c r="I1925" t="s">
        <v>108</v>
      </c>
      <c r="J1925" t="s">
        <v>109</v>
      </c>
      <c r="K1925" t="s">
        <v>1849</v>
      </c>
      <c r="L1925" s="2">
        <v>45901</v>
      </c>
      <c r="M1925" t="s">
        <v>109</v>
      </c>
      <c r="N1925">
        <v>0</v>
      </c>
      <c r="O1925" t="s">
        <v>111</v>
      </c>
      <c r="P1925" t="s">
        <v>112</v>
      </c>
      <c r="Q1925" t="s">
        <v>113</v>
      </c>
    </row>
    <row r="1926" spans="1:17" x14ac:dyDescent="0.3">
      <c r="A1926" t="s">
        <v>17</v>
      </c>
      <c r="B1926">
        <v>68</v>
      </c>
      <c r="C1926" t="s">
        <v>34</v>
      </c>
      <c r="D1926" s="2">
        <v>45915</v>
      </c>
      <c r="E1926" s="3">
        <f t="shared" si="30"/>
        <v>45901</v>
      </c>
      <c r="F1926" t="s">
        <v>1850</v>
      </c>
      <c r="G1926" t="s">
        <v>122</v>
      </c>
      <c r="H1926" s="4">
        <v>2.42</v>
      </c>
      <c r="I1926" t="s">
        <v>108</v>
      </c>
      <c r="J1926" t="s">
        <v>109</v>
      </c>
      <c r="L1926" s="2">
        <v>45901</v>
      </c>
      <c r="M1926" t="s">
        <v>109</v>
      </c>
      <c r="N1926">
        <v>0</v>
      </c>
      <c r="O1926" t="s">
        <v>111</v>
      </c>
      <c r="P1926" t="s">
        <v>112</v>
      </c>
      <c r="Q1926" t="s">
        <v>113</v>
      </c>
    </row>
    <row r="1927" spans="1:17" x14ac:dyDescent="0.3">
      <c r="A1927" t="s">
        <v>17</v>
      </c>
      <c r="B1927">
        <v>68</v>
      </c>
      <c r="C1927" t="s">
        <v>34</v>
      </c>
      <c r="D1927" s="2">
        <v>45915</v>
      </c>
      <c r="E1927" s="3">
        <f t="shared" si="30"/>
        <v>45901</v>
      </c>
      <c r="F1927" t="s">
        <v>1850</v>
      </c>
      <c r="G1927" t="s">
        <v>122</v>
      </c>
      <c r="H1927" s="4">
        <v>17</v>
      </c>
      <c r="I1927" t="s">
        <v>108</v>
      </c>
      <c r="J1927" t="s">
        <v>109</v>
      </c>
      <c r="L1927" s="2">
        <v>45901</v>
      </c>
      <c r="M1927" t="s">
        <v>109</v>
      </c>
      <c r="N1927">
        <v>0</v>
      </c>
      <c r="O1927" t="s">
        <v>111</v>
      </c>
      <c r="P1927" t="s">
        <v>112</v>
      </c>
      <c r="Q1927" t="s">
        <v>113</v>
      </c>
    </row>
    <row r="1928" spans="1:17" x14ac:dyDescent="0.3">
      <c r="A1928" t="s">
        <v>17</v>
      </c>
      <c r="B1928">
        <v>68</v>
      </c>
      <c r="C1928" t="s">
        <v>34</v>
      </c>
      <c r="D1928" s="2">
        <v>45915</v>
      </c>
      <c r="E1928" s="3">
        <f t="shared" si="30"/>
        <v>45901</v>
      </c>
      <c r="F1928" t="s">
        <v>1850</v>
      </c>
      <c r="G1928" t="s">
        <v>122</v>
      </c>
      <c r="H1928" s="4">
        <v>1.31</v>
      </c>
      <c r="I1928" t="s">
        <v>108</v>
      </c>
      <c r="J1928" t="s">
        <v>109</v>
      </c>
      <c r="L1928" s="2">
        <v>45901</v>
      </c>
      <c r="M1928" t="s">
        <v>109</v>
      </c>
      <c r="N1928">
        <v>0</v>
      </c>
      <c r="O1928" t="s">
        <v>111</v>
      </c>
      <c r="P1928" t="s">
        <v>112</v>
      </c>
      <c r="Q1928" t="s">
        <v>113</v>
      </c>
    </row>
    <row r="1929" spans="1:17" x14ac:dyDescent="0.3">
      <c r="A1929" t="s">
        <v>17</v>
      </c>
      <c r="B1929">
        <v>68</v>
      </c>
      <c r="C1929" t="s">
        <v>34</v>
      </c>
      <c r="D1929" s="2">
        <v>45917</v>
      </c>
      <c r="E1929" s="3">
        <f t="shared" si="30"/>
        <v>45901</v>
      </c>
      <c r="F1929" t="s">
        <v>1851</v>
      </c>
      <c r="G1929" t="s">
        <v>122</v>
      </c>
      <c r="H1929" s="4">
        <v>739.22</v>
      </c>
      <c r="I1929" t="s">
        <v>108</v>
      </c>
      <c r="J1929" t="s">
        <v>109</v>
      </c>
      <c r="K1929" t="s">
        <v>1852</v>
      </c>
      <c r="L1929" s="2">
        <v>45901</v>
      </c>
      <c r="M1929" t="s">
        <v>109</v>
      </c>
      <c r="N1929">
        <v>0</v>
      </c>
      <c r="O1929" t="s">
        <v>111</v>
      </c>
      <c r="P1929" t="s">
        <v>112</v>
      </c>
      <c r="Q1929" t="s">
        <v>113</v>
      </c>
    </row>
    <row r="1930" spans="1:17" x14ac:dyDescent="0.3">
      <c r="A1930" t="s">
        <v>17</v>
      </c>
      <c r="B1930">
        <v>68</v>
      </c>
      <c r="C1930" t="s">
        <v>34</v>
      </c>
      <c r="D1930" s="2">
        <v>45917</v>
      </c>
      <c r="E1930" s="3">
        <f t="shared" si="30"/>
        <v>45901</v>
      </c>
      <c r="F1930" t="s">
        <v>1853</v>
      </c>
      <c r="G1930" t="s">
        <v>122</v>
      </c>
      <c r="H1930" s="4">
        <v>10.43</v>
      </c>
      <c r="I1930" t="s">
        <v>108</v>
      </c>
      <c r="J1930" t="s">
        <v>109</v>
      </c>
      <c r="K1930" t="s">
        <v>1839</v>
      </c>
      <c r="L1930" s="2">
        <v>45901</v>
      </c>
      <c r="M1930" t="s">
        <v>109</v>
      </c>
      <c r="N1930">
        <v>0</v>
      </c>
      <c r="O1930" t="s">
        <v>111</v>
      </c>
      <c r="P1930" t="s">
        <v>112</v>
      </c>
      <c r="Q1930" t="s">
        <v>113</v>
      </c>
    </row>
    <row r="1931" spans="1:17" x14ac:dyDescent="0.3">
      <c r="A1931" t="s">
        <v>17</v>
      </c>
      <c r="B1931">
        <v>68</v>
      </c>
      <c r="C1931" t="s">
        <v>34</v>
      </c>
      <c r="D1931" s="2">
        <v>45917</v>
      </c>
      <c r="E1931" s="3">
        <f t="shared" si="30"/>
        <v>45901</v>
      </c>
      <c r="F1931" t="s">
        <v>1853</v>
      </c>
      <c r="G1931" t="s">
        <v>122</v>
      </c>
      <c r="H1931" s="4">
        <v>17</v>
      </c>
      <c r="I1931" t="s">
        <v>108</v>
      </c>
      <c r="J1931" t="s">
        <v>109</v>
      </c>
      <c r="K1931" t="s">
        <v>1839</v>
      </c>
      <c r="L1931" s="2">
        <v>45901</v>
      </c>
      <c r="M1931" t="s">
        <v>109</v>
      </c>
      <c r="N1931">
        <v>0</v>
      </c>
      <c r="O1931" t="s">
        <v>111</v>
      </c>
      <c r="P1931" t="s">
        <v>112</v>
      </c>
      <c r="Q1931" t="s">
        <v>113</v>
      </c>
    </row>
    <row r="1932" spans="1:17" x14ac:dyDescent="0.3">
      <c r="A1932" t="s">
        <v>17</v>
      </c>
      <c r="B1932">
        <v>68</v>
      </c>
      <c r="C1932" t="s">
        <v>34</v>
      </c>
      <c r="D1932" s="2">
        <v>45917</v>
      </c>
      <c r="E1932" s="3">
        <f t="shared" si="30"/>
        <v>45901</v>
      </c>
      <c r="F1932" t="s">
        <v>1853</v>
      </c>
      <c r="G1932" t="s">
        <v>122</v>
      </c>
      <c r="H1932" s="4">
        <v>1.31</v>
      </c>
      <c r="I1932" t="s">
        <v>108</v>
      </c>
      <c r="J1932" t="s">
        <v>109</v>
      </c>
      <c r="K1932" t="s">
        <v>1839</v>
      </c>
      <c r="L1932" s="2">
        <v>45901</v>
      </c>
      <c r="M1932" t="s">
        <v>109</v>
      </c>
      <c r="N1932">
        <v>0</v>
      </c>
      <c r="O1932" t="s">
        <v>111</v>
      </c>
      <c r="P1932" t="s">
        <v>112</v>
      </c>
      <c r="Q1932" t="s">
        <v>113</v>
      </c>
    </row>
    <row r="1933" spans="1:17" x14ac:dyDescent="0.3">
      <c r="A1933" t="s">
        <v>17</v>
      </c>
      <c r="B1933">
        <v>68</v>
      </c>
      <c r="C1933" t="s">
        <v>34</v>
      </c>
      <c r="D1933" s="2">
        <v>45917</v>
      </c>
      <c r="E1933" s="3">
        <f t="shared" si="30"/>
        <v>45901</v>
      </c>
      <c r="F1933" t="s">
        <v>1854</v>
      </c>
      <c r="G1933" t="s">
        <v>122</v>
      </c>
      <c r="H1933" s="4">
        <v>2.42</v>
      </c>
      <c r="I1933" t="s">
        <v>108</v>
      </c>
      <c r="J1933" t="s">
        <v>109</v>
      </c>
      <c r="K1933" t="s">
        <v>1839</v>
      </c>
      <c r="L1933" s="2">
        <v>45901</v>
      </c>
      <c r="M1933" t="s">
        <v>109</v>
      </c>
      <c r="N1933">
        <v>0</v>
      </c>
      <c r="O1933" t="s">
        <v>111</v>
      </c>
      <c r="P1933" t="s">
        <v>112</v>
      </c>
      <c r="Q1933" t="s">
        <v>113</v>
      </c>
    </row>
    <row r="1934" spans="1:17" x14ac:dyDescent="0.3">
      <c r="A1934" t="s">
        <v>17</v>
      </c>
      <c r="B1934">
        <v>68</v>
      </c>
      <c r="C1934" t="s">
        <v>34</v>
      </c>
      <c r="D1934" s="2">
        <v>45917</v>
      </c>
      <c r="E1934" s="3">
        <f t="shared" si="30"/>
        <v>45901</v>
      </c>
      <c r="F1934" t="s">
        <v>1854</v>
      </c>
      <c r="G1934" t="s">
        <v>122</v>
      </c>
      <c r="H1934" s="4">
        <v>17</v>
      </c>
      <c r="I1934" t="s">
        <v>108</v>
      </c>
      <c r="J1934" t="s">
        <v>109</v>
      </c>
      <c r="K1934" t="s">
        <v>1839</v>
      </c>
      <c r="L1934" s="2">
        <v>45901</v>
      </c>
      <c r="M1934" t="s">
        <v>109</v>
      </c>
      <c r="N1934">
        <v>0</v>
      </c>
      <c r="O1934" t="s">
        <v>111</v>
      </c>
      <c r="P1934" t="s">
        <v>112</v>
      </c>
      <c r="Q1934" t="s">
        <v>113</v>
      </c>
    </row>
    <row r="1935" spans="1:17" x14ac:dyDescent="0.3">
      <c r="A1935" t="s">
        <v>17</v>
      </c>
      <c r="B1935">
        <v>68</v>
      </c>
      <c r="C1935" t="s">
        <v>34</v>
      </c>
      <c r="D1935" s="2">
        <v>45917</v>
      </c>
      <c r="E1935" s="3">
        <f t="shared" si="30"/>
        <v>45901</v>
      </c>
      <c r="F1935" t="s">
        <v>1854</v>
      </c>
      <c r="G1935" t="s">
        <v>122</v>
      </c>
      <c r="H1935" s="4">
        <v>1.31</v>
      </c>
      <c r="I1935" t="s">
        <v>108</v>
      </c>
      <c r="J1935" t="s">
        <v>109</v>
      </c>
      <c r="K1935" t="s">
        <v>1839</v>
      </c>
      <c r="L1935" s="2">
        <v>45901</v>
      </c>
      <c r="M1935" t="s">
        <v>109</v>
      </c>
      <c r="N1935">
        <v>0</v>
      </c>
      <c r="O1935" t="s">
        <v>111</v>
      </c>
      <c r="P1935" t="s">
        <v>112</v>
      </c>
      <c r="Q1935" t="s">
        <v>113</v>
      </c>
    </row>
    <row r="1936" spans="1:17" x14ac:dyDescent="0.3">
      <c r="A1936" t="s">
        <v>17</v>
      </c>
      <c r="B1936">
        <v>68</v>
      </c>
      <c r="C1936" t="s">
        <v>34</v>
      </c>
      <c r="D1936" s="2">
        <v>45918</v>
      </c>
      <c r="E1936" s="3">
        <f t="shared" si="30"/>
        <v>45901</v>
      </c>
      <c r="F1936" t="s">
        <v>1855</v>
      </c>
      <c r="G1936" t="s">
        <v>122</v>
      </c>
      <c r="H1936" s="4">
        <v>21.6</v>
      </c>
      <c r="I1936" t="s">
        <v>108</v>
      </c>
      <c r="J1936" t="s">
        <v>109</v>
      </c>
      <c r="L1936" s="2">
        <v>45901</v>
      </c>
      <c r="M1936" t="s">
        <v>109</v>
      </c>
      <c r="N1936">
        <v>0</v>
      </c>
      <c r="O1936" t="s">
        <v>111</v>
      </c>
      <c r="P1936" t="s">
        <v>112</v>
      </c>
      <c r="Q1936" t="s">
        <v>113</v>
      </c>
    </row>
    <row r="1937" spans="1:17" x14ac:dyDescent="0.3">
      <c r="A1937" t="s">
        <v>17</v>
      </c>
      <c r="B1937">
        <v>68</v>
      </c>
      <c r="C1937" t="s">
        <v>34</v>
      </c>
      <c r="D1937" s="2">
        <v>45918</v>
      </c>
      <c r="E1937" s="3">
        <f t="shared" si="30"/>
        <v>45901</v>
      </c>
      <c r="F1937" t="s">
        <v>1855</v>
      </c>
      <c r="G1937" t="s">
        <v>122</v>
      </c>
      <c r="H1937" s="4">
        <v>17</v>
      </c>
      <c r="I1937" t="s">
        <v>108</v>
      </c>
      <c r="J1937" t="s">
        <v>109</v>
      </c>
      <c r="K1937" t="s">
        <v>1455</v>
      </c>
      <c r="L1937" s="2">
        <v>45901</v>
      </c>
      <c r="M1937" t="s">
        <v>109</v>
      </c>
      <c r="N1937">
        <v>0</v>
      </c>
      <c r="O1937" t="s">
        <v>111</v>
      </c>
      <c r="P1937" t="s">
        <v>112</v>
      </c>
      <c r="Q1937" t="s">
        <v>113</v>
      </c>
    </row>
    <row r="1938" spans="1:17" x14ac:dyDescent="0.3">
      <c r="A1938" t="s">
        <v>17</v>
      </c>
      <c r="B1938">
        <v>68</v>
      </c>
      <c r="C1938" t="s">
        <v>34</v>
      </c>
      <c r="D1938" s="2">
        <v>45918</v>
      </c>
      <c r="E1938" s="3">
        <f t="shared" si="30"/>
        <v>45901</v>
      </c>
      <c r="F1938" t="s">
        <v>1855</v>
      </c>
      <c r="G1938" t="s">
        <v>122</v>
      </c>
      <c r="H1938" s="4">
        <v>1.31</v>
      </c>
      <c r="I1938" t="s">
        <v>108</v>
      </c>
      <c r="J1938" t="s">
        <v>109</v>
      </c>
      <c r="K1938" t="s">
        <v>1457</v>
      </c>
      <c r="L1938" s="2">
        <v>45901</v>
      </c>
      <c r="M1938" t="s">
        <v>109</v>
      </c>
      <c r="N1938">
        <v>0</v>
      </c>
      <c r="O1938" t="s">
        <v>111</v>
      </c>
      <c r="P1938" t="s">
        <v>112</v>
      </c>
      <c r="Q1938" t="s">
        <v>113</v>
      </c>
    </row>
    <row r="1939" spans="1:17" x14ac:dyDescent="0.3">
      <c r="A1939" t="s">
        <v>17</v>
      </c>
      <c r="B1939">
        <v>68</v>
      </c>
      <c r="C1939" t="s">
        <v>34</v>
      </c>
      <c r="D1939" s="2">
        <v>45918</v>
      </c>
      <c r="E1939" s="3">
        <f t="shared" si="30"/>
        <v>45901</v>
      </c>
      <c r="F1939" t="s">
        <v>1856</v>
      </c>
      <c r="G1939" t="s">
        <v>122</v>
      </c>
      <c r="H1939" s="4">
        <v>4.6500000000000004</v>
      </c>
      <c r="I1939" t="s">
        <v>108</v>
      </c>
      <c r="J1939" t="s">
        <v>109</v>
      </c>
      <c r="L1939" s="2">
        <v>45901</v>
      </c>
      <c r="M1939" t="s">
        <v>109</v>
      </c>
      <c r="N1939">
        <v>0</v>
      </c>
      <c r="O1939" t="s">
        <v>111</v>
      </c>
      <c r="P1939" t="s">
        <v>112</v>
      </c>
      <c r="Q1939" t="s">
        <v>113</v>
      </c>
    </row>
    <row r="1940" spans="1:17" x14ac:dyDescent="0.3">
      <c r="A1940" t="s">
        <v>17</v>
      </c>
      <c r="B1940">
        <v>68</v>
      </c>
      <c r="C1940" t="s">
        <v>34</v>
      </c>
      <c r="D1940" s="2">
        <v>45918</v>
      </c>
      <c r="E1940" s="3">
        <f t="shared" si="30"/>
        <v>45901</v>
      </c>
      <c r="F1940" t="s">
        <v>1856</v>
      </c>
      <c r="G1940" t="s">
        <v>122</v>
      </c>
      <c r="H1940" s="4">
        <v>17</v>
      </c>
      <c r="I1940" t="s">
        <v>108</v>
      </c>
      <c r="J1940" t="s">
        <v>109</v>
      </c>
      <c r="L1940" s="2">
        <v>45901</v>
      </c>
      <c r="M1940" t="s">
        <v>109</v>
      </c>
      <c r="N1940">
        <v>0</v>
      </c>
      <c r="O1940" t="s">
        <v>111</v>
      </c>
      <c r="P1940" t="s">
        <v>112</v>
      </c>
      <c r="Q1940" t="s">
        <v>113</v>
      </c>
    </row>
    <row r="1941" spans="1:17" x14ac:dyDescent="0.3">
      <c r="A1941" t="s">
        <v>17</v>
      </c>
      <c r="B1941">
        <v>68</v>
      </c>
      <c r="C1941" t="s">
        <v>34</v>
      </c>
      <c r="D1941" s="2">
        <v>45918</v>
      </c>
      <c r="E1941" s="3">
        <f t="shared" si="30"/>
        <v>45901</v>
      </c>
      <c r="F1941" t="s">
        <v>1856</v>
      </c>
      <c r="G1941" t="s">
        <v>122</v>
      </c>
      <c r="H1941" s="4">
        <v>1.31</v>
      </c>
      <c r="I1941" t="s">
        <v>108</v>
      </c>
      <c r="J1941" t="s">
        <v>109</v>
      </c>
      <c r="K1941" t="s">
        <v>1457</v>
      </c>
      <c r="L1941" s="2">
        <v>45901</v>
      </c>
      <c r="M1941" t="s">
        <v>109</v>
      </c>
      <c r="N1941">
        <v>0</v>
      </c>
      <c r="O1941" t="s">
        <v>111</v>
      </c>
      <c r="P1941" t="s">
        <v>112</v>
      </c>
      <c r="Q1941" t="s">
        <v>113</v>
      </c>
    </row>
    <row r="1942" spans="1:17" x14ac:dyDescent="0.3">
      <c r="A1942" t="s">
        <v>17</v>
      </c>
      <c r="B1942">
        <v>68</v>
      </c>
      <c r="C1942" t="s">
        <v>34</v>
      </c>
      <c r="D1942" s="2">
        <v>45918</v>
      </c>
      <c r="E1942" s="3">
        <f t="shared" si="30"/>
        <v>45901</v>
      </c>
      <c r="F1942" t="s">
        <v>1857</v>
      </c>
      <c r="G1942" t="s">
        <v>122</v>
      </c>
      <c r="H1942" s="4">
        <v>8.34</v>
      </c>
      <c r="I1942" t="s">
        <v>108</v>
      </c>
      <c r="J1942" t="s">
        <v>109</v>
      </c>
      <c r="L1942" s="2">
        <v>45901</v>
      </c>
      <c r="M1942" t="s">
        <v>109</v>
      </c>
      <c r="N1942">
        <v>0</v>
      </c>
      <c r="O1942" t="s">
        <v>111</v>
      </c>
      <c r="P1942" t="s">
        <v>112</v>
      </c>
      <c r="Q1942" t="s">
        <v>113</v>
      </c>
    </row>
    <row r="1943" spans="1:17" x14ac:dyDescent="0.3">
      <c r="A1943" t="s">
        <v>17</v>
      </c>
      <c r="B1943">
        <v>68</v>
      </c>
      <c r="C1943" t="s">
        <v>34</v>
      </c>
      <c r="D1943" s="2">
        <v>45918</v>
      </c>
      <c r="E1943" s="3">
        <f t="shared" si="30"/>
        <v>45901</v>
      </c>
      <c r="F1943" t="s">
        <v>1857</v>
      </c>
      <c r="G1943" t="s">
        <v>122</v>
      </c>
      <c r="H1943" s="4">
        <v>17</v>
      </c>
      <c r="I1943" t="s">
        <v>108</v>
      </c>
      <c r="J1943" t="s">
        <v>109</v>
      </c>
      <c r="L1943" s="2">
        <v>45901</v>
      </c>
      <c r="M1943" t="s">
        <v>109</v>
      </c>
      <c r="N1943">
        <v>0</v>
      </c>
      <c r="O1943" t="s">
        <v>111</v>
      </c>
      <c r="P1943" t="s">
        <v>112</v>
      </c>
      <c r="Q1943" t="s">
        <v>113</v>
      </c>
    </row>
    <row r="1944" spans="1:17" x14ac:dyDescent="0.3">
      <c r="A1944" t="s">
        <v>17</v>
      </c>
      <c r="B1944">
        <v>68</v>
      </c>
      <c r="C1944" t="s">
        <v>34</v>
      </c>
      <c r="D1944" s="2">
        <v>45918</v>
      </c>
      <c r="E1944" s="3">
        <f t="shared" si="30"/>
        <v>45901</v>
      </c>
      <c r="F1944" t="s">
        <v>1857</v>
      </c>
      <c r="G1944" t="s">
        <v>122</v>
      </c>
      <c r="H1944" s="4">
        <v>1.31</v>
      </c>
      <c r="I1944" t="s">
        <v>108</v>
      </c>
      <c r="J1944" t="s">
        <v>109</v>
      </c>
      <c r="K1944" t="s">
        <v>1457</v>
      </c>
      <c r="L1944" s="2">
        <v>45901</v>
      </c>
      <c r="M1944" t="s">
        <v>109</v>
      </c>
      <c r="N1944">
        <v>0</v>
      </c>
      <c r="O1944" t="s">
        <v>111</v>
      </c>
      <c r="P1944" t="s">
        <v>112</v>
      </c>
      <c r="Q1944" t="s">
        <v>113</v>
      </c>
    </row>
    <row r="1945" spans="1:17" x14ac:dyDescent="0.3">
      <c r="A1945" t="s">
        <v>17</v>
      </c>
      <c r="B1945">
        <v>68</v>
      </c>
      <c r="C1945" t="s">
        <v>34</v>
      </c>
      <c r="D1945" s="2">
        <v>45924</v>
      </c>
      <c r="E1945" s="3">
        <f t="shared" si="30"/>
        <v>45901</v>
      </c>
      <c r="F1945" t="s">
        <v>1858</v>
      </c>
      <c r="G1945" t="s">
        <v>122</v>
      </c>
      <c r="H1945" s="4">
        <v>2294.1999999999998</v>
      </c>
      <c r="I1945" t="s">
        <v>108</v>
      </c>
      <c r="J1945" t="s">
        <v>109</v>
      </c>
      <c r="K1945" t="s">
        <v>1442</v>
      </c>
      <c r="L1945" s="2">
        <v>45901</v>
      </c>
      <c r="M1945" t="s">
        <v>109</v>
      </c>
      <c r="N1945">
        <v>0</v>
      </c>
      <c r="O1945" t="s">
        <v>111</v>
      </c>
      <c r="P1945" t="s">
        <v>112</v>
      </c>
      <c r="Q1945" t="s">
        <v>113</v>
      </c>
    </row>
    <row r="1946" spans="1:17" x14ac:dyDescent="0.3">
      <c r="A1946" t="s">
        <v>17</v>
      </c>
      <c r="B1946">
        <v>68</v>
      </c>
      <c r="C1946" t="s">
        <v>34</v>
      </c>
      <c r="D1946" s="2">
        <v>45930</v>
      </c>
      <c r="E1946" s="3">
        <f t="shared" si="30"/>
        <v>45901</v>
      </c>
      <c r="F1946" t="s">
        <v>1859</v>
      </c>
      <c r="G1946" t="s">
        <v>122</v>
      </c>
      <c r="H1946" s="4">
        <v>6.26</v>
      </c>
      <c r="I1946" t="s">
        <v>108</v>
      </c>
      <c r="J1946" t="s">
        <v>109</v>
      </c>
      <c r="L1946" s="2">
        <v>45901</v>
      </c>
      <c r="M1946" t="s">
        <v>109</v>
      </c>
      <c r="N1946">
        <v>0</v>
      </c>
      <c r="O1946" t="s">
        <v>111</v>
      </c>
      <c r="P1946" t="s">
        <v>112</v>
      </c>
      <c r="Q1946" t="s">
        <v>113</v>
      </c>
    </row>
    <row r="1947" spans="1:17" x14ac:dyDescent="0.3">
      <c r="A1947" t="s">
        <v>17</v>
      </c>
      <c r="B1947">
        <v>68</v>
      </c>
      <c r="C1947" t="s">
        <v>34</v>
      </c>
      <c r="D1947" s="2">
        <v>45930</v>
      </c>
      <c r="E1947" s="3">
        <f t="shared" si="30"/>
        <v>45901</v>
      </c>
      <c r="F1947" t="s">
        <v>1859</v>
      </c>
      <c r="G1947" t="s">
        <v>122</v>
      </c>
      <c r="H1947" s="4">
        <v>17</v>
      </c>
      <c r="I1947" t="s">
        <v>108</v>
      </c>
      <c r="J1947" t="s">
        <v>109</v>
      </c>
      <c r="L1947" s="2">
        <v>45901</v>
      </c>
      <c r="M1947" t="s">
        <v>109</v>
      </c>
      <c r="N1947">
        <v>0</v>
      </c>
      <c r="O1947" t="s">
        <v>111</v>
      </c>
      <c r="P1947" t="s">
        <v>112</v>
      </c>
      <c r="Q1947" t="s">
        <v>113</v>
      </c>
    </row>
    <row r="1948" spans="1:17" x14ac:dyDescent="0.3">
      <c r="A1948" t="s">
        <v>17</v>
      </c>
      <c r="B1948">
        <v>68</v>
      </c>
      <c r="C1948" t="s">
        <v>34</v>
      </c>
      <c r="D1948" s="2">
        <v>45930</v>
      </c>
      <c r="E1948" s="3">
        <f t="shared" si="30"/>
        <v>45901</v>
      </c>
      <c r="F1948" t="s">
        <v>1859</v>
      </c>
      <c r="G1948" t="s">
        <v>122</v>
      </c>
      <c r="H1948" s="4">
        <v>1.31</v>
      </c>
      <c r="I1948" t="s">
        <v>108</v>
      </c>
      <c r="J1948" t="s">
        <v>109</v>
      </c>
      <c r="K1948" t="s">
        <v>1457</v>
      </c>
      <c r="L1948" s="2">
        <v>45901</v>
      </c>
      <c r="M1948" t="s">
        <v>109</v>
      </c>
      <c r="N1948">
        <v>0</v>
      </c>
      <c r="O1948" t="s">
        <v>111</v>
      </c>
      <c r="P1948" t="s">
        <v>112</v>
      </c>
      <c r="Q1948" t="s">
        <v>113</v>
      </c>
    </row>
    <row r="1949" spans="1:17" x14ac:dyDescent="0.3">
      <c r="A1949" t="s">
        <v>17</v>
      </c>
      <c r="B1949">
        <v>68</v>
      </c>
      <c r="C1949" t="s">
        <v>34</v>
      </c>
      <c r="D1949" s="2">
        <v>45930</v>
      </c>
      <c r="E1949" s="3">
        <f t="shared" si="30"/>
        <v>45901</v>
      </c>
      <c r="F1949" t="s">
        <v>1860</v>
      </c>
      <c r="G1949" t="s">
        <v>122</v>
      </c>
      <c r="H1949" s="4">
        <v>2.91</v>
      </c>
      <c r="I1949" t="s">
        <v>108</v>
      </c>
      <c r="J1949" t="s">
        <v>109</v>
      </c>
      <c r="L1949" s="2">
        <v>45901</v>
      </c>
      <c r="M1949" t="s">
        <v>109</v>
      </c>
      <c r="N1949">
        <v>0</v>
      </c>
      <c r="O1949" t="s">
        <v>111</v>
      </c>
      <c r="P1949" t="s">
        <v>112</v>
      </c>
      <c r="Q1949" t="s">
        <v>113</v>
      </c>
    </row>
    <row r="1950" spans="1:17" x14ac:dyDescent="0.3">
      <c r="A1950" t="s">
        <v>17</v>
      </c>
      <c r="B1950">
        <v>68</v>
      </c>
      <c r="C1950" t="s">
        <v>34</v>
      </c>
      <c r="D1950" s="2">
        <v>45930</v>
      </c>
      <c r="E1950" s="3">
        <f t="shared" si="30"/>
        <v>45901</v>
      </c>
      <c r="F1950" t="s">
        <v>1860</v>
      </c>
      <c r="G1950" t="s">
        <v>122</v>
      </c>
      <c r="H1950" s="4">
        <v>17</v>
      </c>
      <c r="I1950" t="s">
        <v>108</v>
      </c>
      <c r="J1950" t="s">
        <v>109</v>
      </c>
      <c r="L1950" s="2">
        <v>45901</v>
      </c>
      <c r="M1950" t="s">
        <v>109</v>
      </c>
      <c r="N1950">
        <v>0</v>
      </c>
      <c r="O1950" t="s">
        <v>111</v>
      </c>
      <c r="P1950" t="s">
        <v>112</v>
      </c>
      <c r="Q1950" t="s">
        <v>113</v>
      </c>
    </row>
    <row r="1951" spans="1:17" x14ac:dyDescent="0.3">
      <c r="A1951" t="s">
        <v>17</v>
      </c>
      <c r="B1951">
        <v>68</v>
      </c>
      <c r="C1951" t="s">
        <v>34</v>
      </c>
      <c r="D1951" s="2">
        <v>45930</v>
      </c>
      <c r="E1951" s="3">
        <f t="shared" si="30"/>
        <v>45901</v>
      </c>
      <c r="F1951" t="s">
        <v>1860</v>
      </c>
      <c r="G1951" t="s">
        <v>122</v>
      </c>
      <c r="H1951" s="4">
        <v>1.31</v>
      </c>
      <c r="I1951" t="s">
        <v>108</v>
      </c>
      <c r="J1951" t="s">
        <v>109</v>
      </c>
      <c r="L1951" s="2">
        <v>45901</v>
      </c>
      <c r="M1951" t="s">
        <v>109</v>
      </c>
      <c r="N1951">
        <v>0</v>
      </c>
      <c r="O1951" t="s">
        <v>111</v>
      </c>
      <c r="P1951" t="s">
        <v>112</v>
      </c>
      <c r="Q1951" t="s">
        <v>113</v>
      </c>
    </row>
    <row r="1952" spans="1:17" x14ac:dyDescent="0.3">
      <c r="A1952" t="s">
        <v>17</v>
      </c>
      <c r="B1952">
        <v>68</v>
      </c>
      <c r="C1952" t="s">
        <v>34</v>
      </c>
      <c r="D1952" s="2">
        <v>45930</v>
      </c>
      <c r="E1952" s="3">
        <f t="shared" si="30"/>
        <v>45901</v>
      </c>
      <c r="F1952" t="s">
        <v>1861</v>
      </c>
      <c r="G1952" t="s">
        <v>122</v>
      </c>
      <c r="H1952" s="4">
        <v>107.82</v>
      </c>
      <c r="I1952" t="s">
        <v>108</v>
      </c>
      <c r="J1952" t="s">
        <v>109</v>
      </c>
      <c r="L1952" s="2">
        <v>45901</v>
      </c>
      <c r="M1952" t="s">
        <v>109</v>
      </c>
      <c r="N1952">
        <v>0</v>
      </c>
      <c r="O1952" t="s">
        <v>111</v>
      </c>
      <c r="P1952" t="s">
        <v>112</v>
      </c>
      <c r="Q1952" t="s">
        <v>113</v>
      </c>
    </row>
    <row r="1953" spans="1:17" x14ac:dyDescent="0.3">
      <c r="A1953" t="s">
        <v>17</v>
      </c>
      <c r="B1953">
        <v>68</v>
      </c>
      <c r="C1953" t="s">
        <v>34</v>
      </c>
      <c r="D1953" s="2">
        <v>45930</v>
      </c>
      <c r="E1953" s="3">
        <f t="shared" si="30"/>
        <v>45901</v>
      </c>
      <c r="F1953" t="s">
        <v>1861</v>
      </c>
      <c r="G1953" t="s">
        <v>122</v>
      </c>
      <c r="H1953" s="4">
        <v>1631.38</v>
      </c>
      <c r="I1953" t="s">
        <v>108</v>
      </c>
      <c r="J1953" t="s">
        <v>109</v>
      </c>
      <c r="K1953" t="s">
        <v>1287</v>
      </c>
      <c r="L1953" s="2">
        <v>45901</v>
      </c>
      <c r="M1953" t="s">
        <v>109</v>
      </c>
      <c r="N1953">
        <v>0</v>
      </c>
      <c r="O1953" t="s">
        <v>111</v>
      </c>
      <c r="P1953" t="s">
        <v>112</v>
      </c>
      <c r="Q1953" t="s">
        <v>113</v>
      </c>
    </row>
    <row r="1954" spans="1:17" x14ac:dyDescent="0.3">
      <c r="A1954" t="s">
        <v>17</v>
      </c>
      <c r="B1954">
        <v>68</v>
      </c>
      <c r="C1954" t="s">
        <v>34</v>
      </c>
      <c r="D1954" s="2">
        <v>45930</v>
      </c>
      <c r="E1954" s="3">
        <f t="shared" si="30"/>
        <v>45901</v>
      </c>
      <c r="F1954" t="s">
        <v>1862</v>
      </c>
      <c r="G1954" t="s">
        <v>291</v>
      </c>
      <c r="H1954" s="4">
        <v>81.64</v>
      </c>
      <c r="I1954" t="s">
        <v>47</v>
      </c>
      <c r="J1954" t="s">
        <v>109</v>
      </c>
      <c r="L1954" s="2">
        <v>45901</v>
      </c>
      <c r="M1954" t="s">
        <v>109</v>
      </c>
      <c r="N1954">
        <v>0</v>
      </c>
      <c r="O1954" t="s">
        <v>26</v>
      </c>
      <c r="P1954" t="s">
        <v>112</v>
      </c>
      <c r="Q1954" t="s">
        <v>113</v>
      </c>
    </row>
    <row r="1955" spans="1:17" x14ac:dyDescent="0.3">
      <c r="A1955" t="s">
        <v>17</v>
      </c>
      <c r="B1955">
        <v>68</v>
      </c>
      <c r="C1955" t="s">
        <v>34</v>
      </c>
      <c r="D1955" s="2">
        <v>45930</v>
      </c>
      <c r="E1955" s="3">
        <f t="shared" si="30"/>
        <v>45901</v>
      </c>
      <c r="F1955" t="s">
        <v>1862</v>
      </c>
      <c r="G1955" t="s">
        <v>291</v>
      </c>
      <c r="H1955" s="4">
        <v>51.64</v>
      </c>
      <c r="I1955" t="s">
        <v>47</v>
      </c>
      <c r="J1955" t="s">
        <v>109</v>
      </c>
      <c r="K1955" t="s">
        <v>1863</v>
      </c>
      <c r="L1955" s="2">
        <v>45901</v>
      </c>
      <c r="M1955" t="s">
        <v>109</v>
      </c>
      <c r="N1955">
        <v>0</v>
      </c>
      <c r="O1955" t="s">
        <v>26</v>
      </c>
      <c r="P1955" t="s">
        <v>112</v>
      </c>
      <c r="Q1955" t="s">
        <v>113</v>
      </c>
    </row>
    <row r="1956" spans="1:17" x14ac:dyDescent="0.3">
      <c r="A1956" t="s">
        <v>17</v>
      </c>
      <c r="B1956">
        <v>68</v>
      </c>
      <c r="C1956" t="s">
        <v>34</v>
      </c>
      <c r="D1956" s="2">
        <v>45930</v>
      </c>
      <c r="E1956" s="3">
        <f t="shared" si="30"/>
        <v>45901</v>
      </c>
      <c r="F1956" t="s">
        <v>1862</v>
      </c>
      <c r="G1956" t="s">
        <v>291</v>
      </c>
      <c r="H1956" s="4">
        <v>51.64</v>
      </c>
      <c r="I1956" t="s">
        <v>47</v>
      </c>
      <c r="J1956" t="s">
        <v>109</v>
      </c>
      <c r="K1956" t="s">
        <v>1864</v>
      </c>
      <c r="L1956" s="2">
        <v>45901</v>
      </c>
      <c r="M1956" t="s">
        <v>109</v>
      </c>
      <c r="N1956">
        <v>0</v>
      </c>
      <c r="O1956" t="s">
        <v>26</v>
      </c>
      <c r="P1956" t="s">
        <v>112</v>
      </c>
      <c r="Q1956" t="s">
        <v>113</v>
      </c>
    </row>
    <row r="1957" spans="1:17" x14ac:dyDescent="0.3">
      <c r="A1957" t="s">
        <v>17</v>
      </c>
      <c r="B1957">
        <v>68</v>
      </c>
      <c r="C1957" t="s">
        <v>34</v>
      </c>
      <c r="D1957" s="2">
        <v>45930</v>
      </c>
      <c r="E1957" s="3">
        <f t="shared" si="30"/>
        <v>45901</v>
      </c>
      <c r="F1957" t="s">
        <v>1862</v>
      </c>
      <c r="G1957" t="s">
        <v>291</v>
      </c>
      <c r="H1957" s="4">
        <v>51.64</v>
      </c>
      <c r="I1957" t="s">
        <v>47</v>
      </c>
      <c r="J1957" t="s">
        <v>109</v>
      </c>
      <c r="K1957" t="s">
        <v>1865</v>
      </c>
      <c r="L1957" s="2">
        <v>45901</v>
      </c>
      <c r="M1957" t="s">
        <v>109</v>
      </c>
      <c r="N1957">
        <v>0</v>
      </c>
      <c r="O1957" t="s">
        <v>26</v>
      </c>
      <c r="P1957" t="s">
        <v>112</v>
      </c>
      <c r="Q1957" t="s">
        <v>113</v>
      </c>
    </row>
    <row r="1958" spans="1:17" x14ac:dyDescent="0.3">
      <c r="A1958" t="s">
        <v>17</v>
      </c>
      <c r="B1958">
        <v>68</v>
      </c>
      <c r="C1958" t="s">
        <v>34</v>
      </c>
      <c r="D1958" s="2">
        <v>45930</v>
      </c>
      <c r="E1958" s="3">
        <f t="shared" si="30"/>
        <v>45901</v>
      </c>
      <c r="F1958" t="s">
        <v>1862</v>
      </c>
      <c r="G1958" t="s">
        <v>291</v>
      </c>
      <c r="H1958" s="4">
        <v>51.64</v>
      </c>
      <c r="I1958" t="s">
        <v>47</v>
      </c>
      <c r="J1958" t="s">
        <v>109</v>
      </c>
      <c r="K1958" t="s">
        <v>1866</v>
      </c>
      <c r="L1958" s="2">
        <v>45901</v>
      </c>
      <c r="M1958" t="s">
        <v>109</v>
      </c>
      <c r="N1958">
        <v>0</v>
      </c>
      <c r="O1958" t="s">
        <v>26</v>
      </c>
      <c r="P1958" t="s">
        <v>112</v>
      </c>
      <c r="Q1958" t="s">
        <v>113</v>
      </c>
    </row>
    <row r="1959" spans="1:17" x14ac:dyDescent="0.3">
      <c r="A1959" t="s">
        <v>17</v>
      </c>
      <c r="B1959">
        <v>68</v>
      </c>
      <c r="C1959" t="s">
        <v>34</v>
      </c>
      <c r="D1959" s="2">
        <v>45930</v>
      </c>
      <c r="E1959" s="3">
        <f t="shared" si="30"/>
        <v>45901</v>
      </c>
      <c r="F1959" t="s">
        <v>1862</v>
      </c>
      <c r="G1959" t="s">
        <v>291</v>
      </c>
      <c r="H1959" s="4">
        <v>51.64</v>
      </c>
      <c r="I1959" t="s">
        <v>47</v>
      </c>
      <c r="J1959" t="s">
        <v>109</v>
      </c>
      <c r="K1959" t="s">
        <v>1867</v>
      </c>
      <c r="L1959" s="2">
        <v>45901</v>
      </c>
      <c r="M1959" t="s">
        <v>109</v>
      </c>
      <c r="N1959">
        <v>0</v>
      </c>
      <c r="O1959" t="s">
        <v>26</v>
      </c>
      <c r="P1959" t="s">
        <v>112</v>
      </c>
      <c r="Q1959" t="s">
        <v>113</v>
      </c>
    </row>
    <row r="1960" spans="1:17" x14ac:dyDescent="0.3">
      <c r="A1960" t="s">
        <v>17</v>
      </c>
      <c r="B1960">
        <v>68</v>
      </c>
      <c r="C1960" t="s">
        <v>34</v>
      </c>
      <c r="D1960" s="2">
        <v>45930</v>
      </c>
      <c r="E1960" s="3">
        <f t="shared" si="30"/>
        <v>45901</v>
      </c>
      <c r="F1960" t="s">
        <v>1862</v>
      </c>
      <c r="G1960" t="s">
        <v>291</v>
      </c>
      <c r="H1960" s="4">
        <v>131.63999999999999</v>
      </c>
      <c r="I1960" t="s">
        <v>47</v>
      </c>
      <c r="J1960" t="s">
        <v>109</v>
      </c>
      <c r="L1960" s="2">
        <v>45901</v>
      </c>
      <c r="M1960" t="s">
        <v>109</v>
      </c>
      <c r="N1960">
        <v>0</v>
      </c>
      <c r="O1960" t="s">
        <v>26</v>
      </c>
      <c r="P1960" t="s">
        <v>112</v>
      </c>
      <c r="Q1960" t="s">
        <v>113</v>
      </c>
    </row>
    <row r="1961" spans="1:17" x14ac:dyDescent="0.3">
      <c r="A1961" t="s">
        <v>17</v>
      </c>
      <c r="B1961">
        <v>68</v>
      </c>
      <c r="C1961" t="s">
        <v>34</v>
      </c>
      <c r="D1961" s="2">
        <v>45930</v>
      </c>
      <c r="E1961" s="3">
        <f t="shared" si="30"/>
        <v>45901</v>
      </c>
      <c r="F1961" t="s">
        <v>1862</v>
      </c>
      <c r="G1961" t="s">
        <v>291</v>
      </c>
      <c r="H1961" s="4">
        <v>71.64</v>
      </c>
      <c r="I1961" t="s">
        <v>47</v>
      </c>
      <c r="J1961" t="s">
        <v>109</v>
      </c>
      <c r="K1961" t="s">
        <v>1701</v>
      </c>
      <c r="L1961" s="2">
        <v>45901</v>
      </c>
      <c r="M1961" t="s">
        <v>109</v>
      </c>
      <c r="N1961">
        <v>0</v>
      </c>
      <c r="O1961" t="s">
        <v>26</v>
      </c>
      <c r="P1961" t="s">
        <v>112</v>
      </c>
      <c r="Q1961" t="s">
        <v>113</v>
      </c>
    </row>
    <row r="1962" spans="1:17" x14ac:dyDescent="0.3">
      <c r="A1962" t="s">
        <v>17</v>
      </c>
      <c r="B1962">
        <v>68</v>
      </c>
      <c r="C1962" t="s">
        <v>34</v>
      </c>
      <c r="D1962" s="2">
        <v>45930</v>
      </c>
      <c r="E1962" s="3">
        <f t="shared" si="30"/>
        <v>45901</v>
      </c>
      <c r="F1962" t="s">
        <v>1862</v>
      </c>
      <c r="G1962" t="s">
        <v>291</v>
      </c>
      <c r="H1962" s="4">
        <v>71.64</v>
      </c>
      <c r="I1962" t="s">
        <v>47</v>
      </c>
      <c r="J1962" t="s">
        <v>109</v>
      </c>
      <c r="K1962" t="s">
        <v>1700</v>
      </c>
      <c r="L1962" s="2">
        <v>45901</v>
      </c>
      <c r="M1962" t="s">
        <v>109</v>
      </c>
      <c r="N1962">
        <v>0</v>
      </c>
      <c r="O1962" t="s">
        <v>26</v>
      </c>
      <c r="P1962" t="s">
        <v>112</v>
      </c>
      <c r="Q1962" t="s">
        <v>113</v>
      </c>
    </row>
    <row r="1963" spans="1:17" x14ac:dyDescent="0.3">
      <c r="A1963" t="s">
        <v>17</v>
      </c>
      <c r="B1963">
        <v>67</v>
      </c>
      <c r="C1963" t="s">
        <v>28</v>
      </c>
      <c r="D1963" s="2">
        <v>45901</v>
      </c>
      <c r="E1963" s="3">
        <f t="shared" si="30"/>
        <v>45901</v>
      </c>
      <c r="F1963">
        <v>1002533564</v>
      </c>
      <c r="G1963" t="s">
        <v>774</v>
      </c>
      <c r="H1963" s="4">
        <v>11680</v>
      </c>
      <c r="I1963" t="s">
        <v>31</v>
      </c>
      <c r="J1963" t="s">
        <v>32</v>
      </c>
      <c r="K1963" t="s">
        <v>1868</v>
      </c>
      <c r="L1963" s="2">
        <v>45901</v>
      </c>
      <c r="M1963" t="s">
        <v>32</v>
      </c>
      <c r="N1963">
        <v>0</v>
      </c>
      <c r="O1963" t="s">
        <v>31</v>
      </c>
      <c r="P1963" t="s">
        <v>28</v>
      </c>
      <c r="Q1963">
        <v>0</v>
      </c>
    </row>
    <row r="1964" spans="1:17" x14ac:dyDescent="0.3">
      <c r="A1964" t="s">
        <v>17</v>
      </c>
      <c r="B1964">
        <v>67</v>
      </c>
      <c r="C1964" t="s">
        <v>28</v>
      </c>
      <c r="D1964" s="2">
        <v>45901</v>
      </c>
      <c r="E1964" s="3">
        <f t="shared" si="30"/>
        <v>45901</v>
      </c>
      <c r="F1964">
        <v>1002533561</v>
      </c>
      <c r="G1964" t="s">
        <v>774</v>
      </c>
      <c r="H1964" s="4">
        <v>10743.63</v>
      </c>
      <c r="I1964" t="s">
        <v>31</v>
      </c>
      <c r="J1964" t="s">
        <v>32</v>
      </c>
      <c r="K1964" t="s">
        <v>1869</v>
      </c>
      <c r="L1964" s="2">
        <v>45901</v>
      </c>
      <c r="M1964" t="s">
        <v>32</v>
      </c>
      <c r="N1964">
        <v>0</v>
      </c>
      <c r="O1964" t="s">
        <v>31</v>
      </c>
      <c r="P1964" t="s">
        <v>28</v>
      </c>
      <c r="Q1964">
        <v>0</v>
      </c>
    </row>
    <row r="1965" spans="1:17" x14ac:dyDescent="0.3">
      <c r="A1965" t="s">
        <v>17</v>
      </c>
      <c r="B1965">
        <v>67</v>
      </c>
      <c r="C1965" t="s">
        <v>28</v>
      </c>
      <c r="D1965" s="2">
        <v>45903</v>
      </c>
      <c r="E1965" s="3">
        <f t="shared" si="30"/>
        <v>45901</v>
      </c>
      <c r="F1965">
        <v>1002537497</v>
      </c>
      <c r="G1965" t="s">
        <v>774</v>
      </c>
      <c r="H1965" s="4">
        <v>721.66</v>
      </c>
      <c r="I1965" t="s">
        <v>31</v>
      </c>
      <c r="J1965" t="s">
        <v>32</v>
      </c>
      <c r="K1965" t="s">
        <v>1870</v>
      </c>
      <c r="L1965" s="2">
        <v>45901</v>
      </c>
      <c r="M1965" t="s">
        <v>32</v>
      </c>
      <c r="N1965">
        <v>0</v>
      </c>
      <c r="O1965" t="s">
        <v>31</v>
      </c>
      <c r="P1965" t="s">
        <v>28</v>
      </c>
      <c r="Q1965">
        <v>0</v>
      </c>
    </row>
    <row r="1966" spans="1:17" x14ac:dyDescent="0.3">
      <c r="A1966" t="s">
        <v>17</v>
      </c>
      <c r="B1966">
        <v>67</v>
      </c>
      <c r="C1966" t="s">
        <v>28</v>
      </c>
      <c r="D1966" s="2">
        <v>45923</v>
      </c>
      <c r="E1966" s="3">
        <f t="shared" si="30"/>
        <v>45901</v>
      </c>
      <c r="F1966" t="s">
        <v>1871</v>
      </c>
      <c r="G1966" t="s">
        <v>208</v>
      </c>
      <c r="H1966" s="4">
        <v>500</v>
      </c>
      <c r="I1966" t="s">
        <v>31</v>
      </c>
      <c r="J1966" t="s">
        <v>32</v>
      </c>
      <c r="K1966" t="s">
        <v>1872</v>
      </c>
      <c r="L1966" s="2">
        <v>45901</v>
      </c>
      <c r="M1966" t="s">
        <v>32</v>
      </c>
      <c r="N1966">
        <v>0</v>
      </c>
      <c r="O1966" t="s">
        <v>31</v>
      </c>
      <c r="P1966" t="s">
        <v>28</v>
      </c>
      <c r="Q1966">
        <v>0</v>
      </c>
    </row>
    <row r="1967" spans="1:17" x14ac:dyDescent="0.3">
      <c r="A1967" t="s">
        <v>17</v>
      </c>
      <c r="B1967">
        <v>67</v>
      </c>
      <c r="C1967" t="s">
        <v>28</v>
      </c>
      <c r="D1967" s="2">
        <v>45923</v>
      </c>
      <c r="E1967" s="3">
        <f t="shared" si="30"/>
        <v>45901</v>
      </c>
      <c r="F1967" t="s">
        <v>1873</v>
      </c>
      <c r="G1967" t="s">
        <v>205</v>
      </c>
      <c r="H1967" s="4">
        <v>1000</v>
      </c>
      <c r="I1967" t="s">
        <v>31</v>
      </c>
      <c r="J1967" t="s">
        <v>32</v>
      </c>
      <c r="K1967" t="s">
        <v>1874</v>
      </c>
      <c r="L1967" s="2">
        <v>45901</v>
      </c>
      <c r="M1967" t="s">
        <v>32</v>
      </c>
      <c r="N1967">
        <v>0</v>
      </c>
      <c r="O1967" t="s">
        <v>31</v>
      </c>
      <c r="P1967" t="s">
        <v>28</v>
      </c>
      <c r="Q1967">
        <v>0</v>
      </c>
    </row>
    <row r="1968" spans="1:17" x14ac:dyDescent="0.3">
      <c r="A1968" t="s">
        <v>17</v>
      </c>
      <c r="B1968">
        <v>67</v>
      </c>
      <c r="C1968" t="s">
        <v>28</v>
      </c>
      <c r="D1968" s="2">
        <v>45925</v>
      </c>
      <c r="E1968" s="3">
        <f t="shared" si="30"/>
        <v>45901</v>
      </c>
      <c r="F1968" t="s">
        <v>1875</v>
      </c>
      <c r="G1968" t="s">
        <v>259</v>
      </c>
      <c r="H1968" s="4">
        <v>10145</v>
      </c>
      <c r="I1968" t="s">
        <v>31</v>
      </c>
      <c r="J1968" t="s">
        <v>32</v>
      </c>
      <c r="K1968" t="s">
        <v>1704</v>
      </c>
      <c r="L1968" s="2">
        <v>45901</v>
      </c>
      <c r="M1968" t="s">
        <v>32</v>
      </c>
      <c r="N1968">
        <v>0</v>
      </c>
      <c r="O1968" t="s">
        <v>31</v>
      </c>
      <c r="P1968" t="s">
        <v>28</v>
      </c>
      <c r="Q1968">
        <v>0</v>
      </c>
    </row>
    <row r="1969" spans="1:17" x14ac:dyDescent="0.3">
      <c r="A1969" t="s">
        <v>17</v>
      </c>
      <c r="B1969">
        <v>67</v>
      </c>
      <c r="C1969" t="s">
        <v>28</v>
      </c>
      <c r="D1969" s="2">
        <v>45901</v>
      </c>
      <c r="E1969" s="3">
        <f t="shared" si="30"/>
        <v>45901</v>
      </c>
      <c r="F1969" t="s">
        <v>1876</v>
      </c>
      <c r="G1969" t="s">
        <v>578</v>
      </c>
      <c r="H1969" s="4">
        <v>424.25</v>
      </c>
      <c r="I1969" t="s">
        <v>31</v>
      </c>
      <c r="J1969" t="s">
        <v>60</v>
      </c>
      <c r="K1969" t="s">
        <v>1877</v>
      </c>
      <c r="L1969" s="2">
        <v>45901</v>
      </c>
      <c r="M1969" t="s">
        <v>60</v>
      </c>
      <c r="N1969">
        <v>0</v>
      </c>
      <c r="O1969" t="s">
        <v>31</v>
      </c>
      <c r="P1969" t="s">
        <v>28</v>
      </c>
      <c r="Q1969">
        <v>0</v>
      </c>
    </row>
    <row r="1970" spans="1:17" x14ac:dyDescent="0.3">
      <c r="A1970" t="s">
        <v>17</v>
      </c>
      <c r="B1970">
        <v>67</v>
      </c>
      <c r="C1970" t="s">
        <v>28</v>
      </c>
      <c r="D1970" s="2">
        <v>45901</v>
      </c>
      <c r="E1970" s="3">
        <f t="shared" si="30"/>
        <v>45901</v>
      </c>
      <c r="F1970" t="s">
        <v>1878</v>
      </c>
      <c r="H1970" s="4">
        <v>53.38</v>
      </c>
      <c r="I1970" t="s">
        <v>31</v>
      </c>
      <c r="J1970" t="s">
        <v>60</v>
      </c>
      <c r="L1970" s="2">
        <v>45901</v>
      </c>
      <c r="M1970" t="s">
        <v>60</v>
      </c>
      <c r="N1970">
        <v>0</v>
      </c>
      <c r="O1970" t="s">
        <v>31</v>
      </c>
      <c r="P1970" t="s">
        <v>28</v>
      </c>
      <c r="Q1970">
        <v>0</v>
      </c>
    </row>
    <row r="1971" spans="1:17" x14ac:dyDescent="0.3">
      <c r="A1971" t="s">
        <v>17</v>
      </c>
      <c r="B1971">
        <v>67</v>
      </c>
      <c r="C1971" t="s">
        <v>28</v>
      </c>
      <c r="D1971" s="2">
        <v>45901</v>
      </c>
      <c r="E1971" s="3">
        <f t="shared" si="30"/>
        <v>45901</v>
      </c>
      <c r="F1971" t="s">
        <v>1878</v>
      </c>
      <c r="H1971" s="4">
        <v>45.22</v>
      </c>
      <c r="I1971" t="s">
        <v>31</v>
      </c>
      <c r="J1971" t="s">
        <v>60</v>
      </c>
      <c r="L1971" s="2">
        <v>45901</v>
      </c>
      <c r="M1971" t="s">
        <v>60</v>
      </c>
      <c r="N1971">
        <v>0</v>
      </c>
      <c r="O1971" t="s">
        <v>31</v>
      </c>
      <c r="P1971" t="s">
        <v>28</v>
      </c>
      <c r="Q1971">
        <v>0</v>
      </c>
    </row>
    <row r="1972" spans="1:17" x14ac:dyDescent="0.3">
      <c r="A1972" t="s">
        <v>17</v>
      </c>
      <c r="B1972">
        <v>67</v>
      </c>
      <c r="C1972" t="s">
        <v>28</v>
      </c>
      <c r="D1972" s="2">
        <v>45901</v>
      </c>
      <c r="E1972" s="3">
        <f t="shared" si="30"/>
        <v>45901</v>
      </c>
      <c r="F1972" t="s">
        <v>1878</v>
      </c>
      <c r="H1972" s="4">
        <v>85.14</v>
      </c>
      <c r="I1972" t="s">
        <v>31</v>
      </c>
      <c r="J1972" t="s">
        <v>60</v>
      </c>
      <c r="L1972" s="2">
        <v>45901</v>
      </c>
      <c r="M1972" t="s">
        <v>60</v>
      </c>
      <c r="N1972">
        <v>0</v>
      </c>
      <c r="O1972" t="s">
        <v>31</v>
      </c>
      <c r="P1972" t="s">
        <v>28</v>
      </c>
      <c r="Q1972">
        <v>0</v>
      </c>
    </row>
    <row r="1973" spans="1:17" x14ac:dyDescent="0.3">
      <c r="A1973" t="s">
        <v>17</v>
      </c>
      <c r="B1973">
        <v>67</v>
      </c>
      <c r="C1973" t="s">
        <v>28</v>
      </c>
      <c r="D1973" s="2">
        <v>45901</v>
      </c>
      <c r="E1973" s="3">
        <f t="shared" si="30"/>
        <v>45901</v>
      </c>
      <c r="F1973" t="s">
        <v>1878</v>
      </c>
      <c r="H1973" s="4">
        <v>1.2</v>
      </c>
      <c r="I1973" t="s">
        <v>31</v>
      </c>
      <c r="J1973" t="s">
        <v>60</v>
      </c>
      <c r="L1973" s="2">
        <v>45901</v>
      </c>
      <c r="M1973" t="s">
        <v>60</v>
      </c>
      <c r="N1973">
        <v>0</v>
      </c>
      <c r="O1973" t="s">
        <v>31</v>
      </c>
      <c r="P1973" t="s">
        <v>28</v>
      </c>
      <c r="Q1973">
        <v>0</v>
      </c>
    </row>
    <row r="1974" spans="1:17" x14ac:dyDescent="0.3">
      <c r="A1974" t="s">
        <v>17</v>
      </c>
      <c r="B1974">
        <v>67</v>
      </c>
      <c r="C1974" t="s">
        <v>28</v>
      </c>
      <c r="D1974" s="2">
        <v>45901</v>
      </c>
      <c r="E1974" s="3">
        <f t="shared" si="30"/>
        <v>45901</v>
      </c>
      <c r="F1974" t="s">
        <v>1878</v>
      </c>
      <c r="H1974" s="4">
        <v>39.71</v>
      </c>
      <c r="I1974" t="s">
        <v>31</v>
      </c>
      <c r="J1974" t="s">
        <v>60</v>
      </c>
      <c r="L1974" s="2">
        <v>45901</v>
      </c>
      <c r="M1974" t="s">
        <v>60</v>
      </c>
      <c r="N1974">
        <v>0</v>
      </c>
      <c r="O1974" t="s">
        <v>31</v>
      </c>
      <c r="P1974" t="s">
        <v>28</v>
      </c>
      <c r="Q1974">
        <v>0</v>
      </c>
    </row>
    <row r="1975" spans="1:17" x14ac:dyDescent="0.3">
      <c r="A1975" t="s">
        <v>17</v>
      </c>
      <c r="B1975">
        <v>67</v>
      </c>
      <c r="C1975" t="s">
        <v>28</v>
      </c>
      <c r="D1975" s="2">
        <v>45901</v>
      </c>
      <c r="E1975" s="3">
        <f t="shared" si="30"/>
        <v>45901</v>
      </c>
      <c r="F1975" t="s">
        <v>1878</v>
      </c>
      <c r="H1975" s="4">
        <v>42.51</v>
      </c>
      <c r="I1975" t="s">
        <v>31</v>
      </c>
      <c r="J1975" t="s">
        <v>60</v>
      </c>
      <c r="L1975" s="2">
        <v>45901</v>
      </c>
      <c r="M1975" t="s">
        <v>60</v>
      </c>
      <c r="N1975">
        <v>0</v>
      </c>
      <c r="O1975" t="s">
        <v>31</v>
      </c>
      <c r="P1975" t="s">
        <v>28</v>
      </c>
      <c r="Q1975">
        <v>0</v>
      </c>
    </row>
    <row r="1976" spans="1:17" x14ac:dyDescent="0.3">
      <c r="A1976" t="s">
        <v>17</v>
      </c>
      <c r="B1976">
        <v>67</v>
      </c>
      <c r="C1976" t="s">
        <v>28</v>
      </c>
      <c r="D1976" s="2">
        <v>45901</v>
      </c>
      <c r="E1976" s="3">
        <f t="shared" si="30"/>
        <v>45901</v>
      </c>
      <c r="F1976" t="s">
        <v>1878</v>
      </c>
      <c r="H1976" s="4">
        <v>14.18</v>
      </c>
      <c r="I1976" t="s">
        <v>31</v>
      </c>
      <c r="J1976" t="s">
        <v>60</v>
      </c>
      <c r="L1976" s="2">
        <v>45901</v>
      </c>
      <c r="M1976" t="s">
        <v>60</v>
      </c>
      <c r="N1976">
        <v>0</v>
      </c>
      <c r="O1976" t="s">
        <v>31</v>
      </c>
      <c r="P1976" t="s">
        <v>28</v>
      </c>
      <c r="Q1976">
        <v>0</v>
      </c>
    </row>
    <row r="1977" spans="1:17" x14ac:dyDescent="0.3">
      <c r="A1977" t="s">
        <v>17</v>
      </c>
      <c r="B1977">
        <v>67</v>
      </c>
      <c r="C1977" t="s">
        <v>28</v>
      </c>
      <c r="D1977" s="2">
        <v>45901</v>
      </c>
      <c r="E1977" s="3">
        <f t="shared" si="30"/>
        <v>45901</v>
      </c>
      <c r="F1977" t="s">
        <v>1878</v>
      </c>
      <c r="H1977" s="4">
        <v>16.12</v>
      </c>
      <c r="I1977" t="s">
        <v>31</v>
      </c>
      <c r="J1977" t="s">
        <v>60</v>
      </c>
      <c r="L1977" s="2">
        <v>45901</v>
      </c>
      <c r="M1977" t="s">
        <v>60</v>
      </c>
      <c r="N1977">
        <v>0</v>
      </c>
      <c r="O1977" t="s">
        <v>31</v>
      </c>
      <c r="P1977" t="s">
        <v>28</v>
      </c>
      <c r="Q1977">
        <v>0</v>
      </c>
    </row>
    <row r="1978" spans="1:17" x14ac:dyDescent="0.3">
      <c r="A1978" t="s">
        <v>17</v>
      </c>
      <c r="B1978">
        <v>67</v>
      </c>
      <c r="C1978" t="s">
        <v>28</v>
      </c>
      <c r="D1978" s="2">
        <v>45902</v>
      </c>
      <c r="E1978" s="3">
        <f t="shared" si="30"/>
        <v>45901</v>
      </c>
      <c r="F1978" t="s">
        <v>1879</v>
      </c>
      <c r="G1978" t="s">
        <v>578</v>
      </c>
      <c r="H1978" s="4">
        <v>5</v>
      </c>
      <c r="I1978" t="s">
        <v>31</v>
      </c>
      <c r="J1978" t="s">
        <v>60</v>
      </c>
      <c r="K1978" t="s">
        <v>1709</v>
      </c>
      <c r="L1978" s="2">
        <v>45901</v>
      </c>
      <c r="M1978" t="s">
        <v>60</v>
      </c>
      <c r="N1978">
        <v>0</v>
      </c>
      <c r="O1978" t="s">
        <v>31</v>
      </c>
      <c r="P1978" t="s">
        <v>28</v>
      </c>
      <c r="Q1978">
        <v>0</v>
      </c>
    </row>
    <row r="1979" spans="1:17" x14ac:dyDescent="0.3">
      <c r="A1979" t="s">
        <v>17</v>
      </c>
      <c r="B1979">
        <v>67</v>
      </c>
      <c r="C1979" t="s">
        <v>28</v>
      </c>
      <c r="D1979" s="2">
        <v>45902</v>
      </c>
      <c r="E1979" s="3">
        <f t="shared" si="30"/>
        <v>45901</v>
      </c>
      <c r="F1979" t="s">
        <v>1879</v>
      </c>
      <c r="G1979" t="s">
        <v>578</v>
      </c>
      <c r="H1979" s="4">
        <v>1996.3</v>
      </c>
      <c r="I1979" t="s">
        <v>31</v>
      </c>
      <c r="J1979" t="s">
        <v>60</v>
      </c>
      <c r="K1979" t="s">
        <v>1710</v>
      </c>
      <c r="L1979" s="2">
        <v>45901</v>
      </c>
      <c r="M1979" t="s">
        <v>60</v>
      </c>
      <c r="N1979">
        <v>0</v>
      </c>
      <c r="O1979" t="s">
        <v>31</v>
      </c>
      <c r="P1979" t="s">
        <v>28</v>
      </c>
      <c r="Q1979">
        <v>0</v>
      </c>
    </row>
    <row r="1980" spans="1:17" x14ac:dyDescent="0.3">
      <c r="A1980" t="s">
        <v>17</v>
      </c>
      <c r="B1980">
        <v>67</v>
      </c>
      <c r="C1980" t="s">
        <v>28</v>
      </c>
      <c r="D1980" s="2">
        <v>45905</v>
      </c>
      <c r="E1980" s="3">
        <f t="shared" si="30"/>
        <v>45901</v>
      </c>
      <c r="F1980" t="s">
        <v>1880</v>
      </c>
      <c r="H1980" s="4">
        <v>-85.14</v>
      </c>
      <c r="I1980" t="s">
        <v>31</v>
      </c>
      <c r="J1980" t="s">
        <v>60</v>
      </c>
      <c r="L1980" s="2">
        <v>45901</v>
      </c>
      <c r="M1980" t="s">
        <v>60</v>
      </c>
      <c r="N1980">
        <v>0</v>
      </c>
      <c r="O1980" t="s">
        <v>31</v>
      </c>
      <c r="P1980" t="s">
        <v>28</v>
      </c>
      <c r="Q1980">
        <v>0</v>
      </c>
    </row>
    <row r="1981" spans="1:17" x14ac:dyDescent="0.3">
      <c r="A1981" t="s">
        <v>17</v>
      </c>
      <c r="B1981">
        <v>67</v>
      </c>
      <c r="C1981" t="s">
        <v>28</v>
      </c>
      <c r="D1981" s="2">
        <v>45905</v>
      </c>
      <c r="E1981" s="3">
        <f t="shared" si="30"/>
        <v>45901</v>
      </c>
      <c r="F1981" t="s">
        <v>1880</v>
      </c>
      <c r="H1981" s="4">
        <v>-1.2</v>
      </c>
      <c r="I1981" t="s">
        <v>31</v>
      </c>
      <c r="J1981" t="s">
        <v>60</v>
      </c>
      <c r="L1981" s="2">
        <v>45901</v>
      </c>
      <c r="M1981" t="s">
        <v>60</v>
      </c>
      <c r="N1981">
        <v>0</v>
      </c>
      <c r="O1981" t="s">
        <v>31</v>
      </c>
      <c r="P1981" t="s">
        <v>28</v>
      </c>
      <c r="Q1981">
        <v>0</v>
      </c>
    </row>
    <row r="1982" spans="1:17" x14ac:dyDescent="0.3">
      <c r="A1982" t="s">
        <v>17</v>
      </c>
      <c r="B1982">
        <v>67</v>
      </c>
      <c r="C1982" t="s">
        <v>28</v>
      </c>
      <c r="D1982" s="2">
        <v>45905</v>
      </c>
      <c r="E1982" s="3">
        <f t="shared" si="30"/>
        <v>45901</v>
      </c>
      <c r="F1982" t="s">
        <v>1880</v>
      </c>
      <c r="H1982" s="4">
        <v>-39.71</v>
      </c>
      <c r="I1982" t="s">
        <v>31</v>
      </c>
      <c r="J1982" t="s">
        <v>60</v>
      </c>
      <c r="L1982" s="2">
        <v>45901</v>
      </c>
      <c r="M1982" t="s">
        <v>60</v>
      </c>
      <c r="N1982">
        <v>0</v>
      </c>
      <c r="O1982" t="s">
        <v>31</v>
      </c>
      <c r="P1982" t="s">
        <v>28</v>
      </c>
      <c r="Q1982">
        <v>0</v>
      </c>
    </row>
    <row r="1983" spans="1:17" x14ac:dyDescent="0.3">
      <c r="A1983" t="s">
        <v>17</v>
      </c>
      <c r="B1983">
        <v>67</v>
      </c>
      <c r="C1983" t="s">
        <v>28</v>
      </c>
      <c r="D1983" s="2">
        <v>45905</v>
      </c>
      <c r="E1983" s="3">
        <f t="shared" si="30"/>
        <v>45901</v>
      </c>
      <c r="F1983" t="s">
        <v>1880</v>
      </c>
      <c r="H1983" s="4">
        <v>-42.51</v>
      </c>
      <c r="I1983" t="s">
        <v>31</v>
      </c>
      <c r="J1983" t="s">
        <v>60</v>
      </c>
      <c r="L1983" s="2">
        <v>45901</v>
      </c>
      <c r="M1983" t="s">
        <v>60</v>
      </c>
      <c r="N1983">
        <v>0</v>
      </c>
      <c r="O1983" t="s">
        <v>31</v>
      </c>
      <c r="P1983" t="s">
        <v>28</v>
      </c>
      <c r="Q1983">
        <v>0</v>
      </c>
    </row>
    <row r="1984" spans="1:17" x14ac:dyDescent="0.3">
      <c r="A1984" t="s">
        <v>17</v>
      </c>
      <c r="B1984">
        <v>67</v>
      </c>
      <c r="C1984" t="s">
        <v>28</v>
      </c>
      <c r="D1984" s="2">
        <v>45905</v>
      </c>
      <c r="E1984" s="3">
        <f t="shared" si="30"/>
        <v>45901</v>
      </c>
      <c r="F1984" t="s">
        <v>1880</v>
      </c>
      <c r="H1984" s="4">
        <v>-14.18</v>
      </c>
      <c r="I1984" t="s">
        <v>31</v>
      </c>
      <c r="J1984" t="s">
        <v>60</v>
      </c>
      <c r="L1984" s="2">
        <v>45901</v>
      </c>
      <c r="M1984" t="s">
        <v>60</v>
      </c>
      <c r="N1984">
        <v>0</v>
      </c>
      <c r="O1984" t="s">
        <v>31</v>
      </c>
      <c r="P1984" t="s">
        <v>28</v>
      </c>
      <c r="Q1984">
        <v>0</v>
      </c>
    </row>
    <row r="1985" spans="1:17" x14ac:dyDescent="0.3">
      <c r="A1985" t="s">
        <v>17</v>
      </c>
      <c r="B1985">
        <v>67</v>
      </c>
      <c r="C1985" t="s">
        <v>28</v>
      </c>
      <c r="D1985" s="2">
        <v>45905</v>
      </c>
      <c r="E1985" s="3">
        <f t="shared" si="30"/>
        <v>45901</v>
      </c>
      <c r="F1985" t="s">
        <v>1880</v>
      </c>
      <c r="H1985" s="4">
        <v>-16.12</v>
      </c>
      <c r="I1985" t="s">
        <v>31</v>
      </c>
      <c r="J1985" t="s">
        <v>60</v>
      </c>
      <c r="L1985" s="2">
        <v>45901</v>
      </c>
      <c r="M1985" t="s">
        <v>60</v>
      </c>
      <c r="N1985">
        <v>0</v>
      </c>
      <c r="O1985" t="s">
        <v>31</v>
      </c>
      <c r="P1985" t="s">
        <v>28</v>
      </c>
      <c r="Q1985">
        <v>0</v>
      </c>
    </row>
    <row r="1986" spans="1:17" x14ac:dyDescent="0.3">
      <c r="A1986" t="s">
        <v>17</v>
      </c>
      <c r="B1986">
        <v>67</v>
      </c>
      <c r="C1986" t="s">
        <v>28</v>
      </c>
      <c r="D1986" s="2">
        <v>45905</v>
      </c>
      <c r="E1986" s="3">
        <f t="shared" si="30"/>
        <v>45901</v>
      </c>
      <c r="F1986" t="s">
        <v>1880</v>
      </c>
      <c r="H1986" s="4">
        <v>-53.38</v>
      </c>
      <c r="I1986" t="s">
        <v>31</v>
      </c>
      <c r="J1986" t="s">
        <v>60</v>
      </c>
      <c r="L1986" s="2">
        <v>45901</v>
      </c>
      <c r="M1986" t="s">
        <v>60</v>
      </c>
      <c r="N1986">
        <v>0</v>
      </c>
      <c r="O1986" t="s">
        <v>31</v>
      </c>
      <c r="P1986" t="s">
        <v>28</v>
      </c>
      <c r="Q1986">
        <v>0</v>
      </c>
    </row>
    <row r="1987" spans="1:17" x14ac:dyDescent="0.3">
      <c r="A1987" t="s">
        <v>17</v>
      </c>
      <c r="B1987">
        <v>67</v>
      </c>
      <c r="C1987" t="s">
        <v>28</v>
      </c>
      <c r="D1987" s="2">
        <v>45905</v>
      </c>
      <c r="E1987" s="3">
        <f t="shared" ref="E1987:E2050" si="31">IF($D1987="","",DATE(YEAR($D1987),MONTH($D1987),1))</f>
        <v>45901</v>
      </c>
      <c r="F1987" t="s">
        <v>1880</v>
      </c>
      <c r="H1987" s="4">
        <v>-45.22</v>
      </c>
      <c r="I1987" t="s">
        <v>31</v>
      </c>
      <c r="J1987" t="s">
        <v>60</v>
      </c>
      <c r="L1987" s="2">
        <v>45901</v>
      </c>
      <c r="M1987" t="s">
        <v>60</v>
      </c>
      <c r="N1987">
        <v>0</v>
      </c>
      <c r="O1987" t="s">
        <v>31</v>
      </c>
      <c r="P1987" t="s">
        <v>28</v>
      </c>
      <c r="Q1987">
        <v>0</v>
      </c>
    </row>
    <row r="1988" spans="1:17" x14ac:dyDescent="0.3">
      <c r="A1988" t="s">
        <v>17</v>
      </c>
      <c r="B1988">
        <v>67</v>
      </c>
      <c r="C1988" t="s">
        <v>28</v>
      </c>
      <c r="D1988" s="2">
        <v>45919</v>
      </c>
      <c r="E1988" s="3">
        <f t="shared" si="31"/>
        <v>45901</v>
      </c>
      <c r="F1988" t="s">
        <v>1881</v>
      </c>
      <c r="H1988" s="4">
        <v>-53.38</v>
      </c>
      <c r="I1988" t="s">
        <v>31</v>
      </c>
      <c r="J1988" t="s">
        <v>60</v>
      </c>
      <c r="L1988" s="2">
        <v>45901</v>
      </c>
      <c r="M1988" t="s">
        <v>60</v>
      </c>
      <c r="N1988">
        <v>0</v>
      </c>
      <c r="O1988" t="s">
        <v>31</v>
      </c>
      <c r="P1988" t="s">
        <v>28</v>
      </c>
      <c r="Q1988">
        <v>0</v>
      </c>
    </row>
    <row r="1989" spans="1:17" x14ac:dyDescent="0.3">
      <c r="A1989" t="s">
        <v>17</v>
      </c>
      <c r="B1989">
        <v>67</v>
      </c>
      <c r="C1989" t="s">
        <v>28</v>
      </c>
      <c r="D1989" s="2">
        <v>45919</v>
      </c>
      <c r="E1989" s="3">
        <f t="shared" si="31"/>
        <v>45901</v>
      </c>
      <c r="F1989" t="s">
        <v>1881</v>
      </c>
      <c r="H1989" s="4">
        <v>-45.22</v>
      </c>
      <c r="I1989" t="s">
        <v>31</v>
      </c>
      <c r="J1989" t="s">
        <v>60</v>
      </c>
      <c r="L1989" s="2">
        <v>45901</v>
      </c>
      <c r="M1989" t="s">
        <v>60</v>
      </c>
      <c r="N1989">
        <v>0</v>
      </c>
      <c r="O1989" t="s">
        <v>31</v>
      </c>
      <c r="P1989" t="s">
        <v>28</v>
      </c>
      <c r="Q1989">
        <v>0</v>
      </c>
    </row>
    <row r="1990" spans="1:17" x14ac:dyDescent="0.3">
      <c r="A1990" t="s">
        <v>17</v>
      </c>
      <c r="B1990">
        <v>67</v>
      </c>
      <c r="C1990" t="s">
        <v>28</v>
      </c>
      <c r="D1990" s="2">
        <v>45919</v>
      </c>
      <c r="E1990" s="3">
        <f t="shared" si="31"/>
        <v>45901</v>
      </c>
      <c r="F1990" t="s">
        <v>1881</v>
      </c>
      <c r="H1990" s="4">
        <v>-76.53</v>
      </c>
      <c r="I1990" t="s">
        <v>31</v>
      </c>
      <c r="J1990" t="s">
        <v>60</v>
      </c>
      <c r="L1990" s="2">
        <v>45901</v>
      </c>
      <c r="M1990" t="s">
        <v>60</v>
      </c>
      <c r="N1990">
        <v>0</v>
      </c>
      <c r="O1990" t="s">
        <v>31</v>
      </c>
      <c r="P1990" t="s">
        <v>28</v>
      </c>
      <c r="Q1990">
        <v>0</v>
      </c>
    </row>
    <row r="1991" spans="1:17" x14ac:dyDescent="0.3">
      <c r="A1991" t="s">
        <v>17</v>
      </c>
      <c r="B1991">
        <v>67</v>
      </c>
      <c r="C1991" t="s">
        <v>28</v>
      </c>
      <c r="D1991" s="2">
        <v>45919</v>
      </c>
      <c r="E1991" s="3">
        <f t="shared" si="31"/>
        <v>45901</v>
      </c>
      <c r="F1991" t="s">
        <v>1881</v>
      </c>
      <c r="H1991" s="4">
        <v>-1.2</v>
      </c>
      <c r="I1991" t="s">
        <v>31</v>
      </c>
      <c r="J1991" t="s">
        <v>60</v>
      </c>
      <c r="L1991" s="2">
        <v>45901</v>
      </c>
      <c r="M1991" t="s">
        <v>60</v>
      </c>
      <c r="N1991">
        <v>0</v>
      </c>
      <c r="O1991" t="s">
        <v>31</v>
      </c>
      <c r="P1991" t="s">
        <v>28</v>
      </c>
      <c r="Q1991">
        <v>0</v>
      </c>
    </row>
    <row r="1992" spans="1:17" x14ac:dyDescent="0.3">
      <c r="A1992" t="s">
        <v>17</v>
      </c>
      <c r="B1992">
        <v>67</v>
      </c>
      <c r="C1992" t="s">
        <v>28</v>
      </c>
      <c r="D1992" s="2">
        <v>45919</v>
      </c>
      <c r="E1992" s="3">
        <f t="shared" si="31"/>
        <v>45901</v>
      </c>
      <c r="F1992" t="s">
        <v>1881</v>
      </c>
      <c r="H1992" s="4">
        <v>-14.18</v>
      </c>
      <c r="I1992" t="s">
        <v>31</v>
      </c>
      <c r="J1992" t="s">
        <v>60</v>
      </c>
      <c r="L1992" s="2">
        <v>45901</v>
      </c>
      <c r="M1992" t="s">
        <v>60</v>
      </c>
      <c r="N1992">
        <v>0</v>
      </c>
      <c r="O1992" t="s">
        <v>31</v>
      </c>
      <c r="P1992" t="s">
        <v>28</v>
      </c>
      <c r="Q1992">
        <v>0</v>
      </c>
    </row>
    <row r="1993" spans="1:17" x14ac:dyDescent="0.3">
      <c r="A1993" t="s">
        <v>17</v>
      </c>
      <c r="B1993">
        <v>67</v>
      </c>
      <c r="C1993" t="s">
        <v>28</v>
      </c>
      <c r="D1993" s="2">
        <v>45919</v>
      </c>
      <c r="E1993" s="3">
        <f t="shared" si="31"/>
        <v>45901</v>
      </c>
      <c r="F1993" t="s">
        <v>1881</v>
      </c>
      <c r="H1993" s="4">
        <v>-16.12</v>
      </c>
      <c r="I1993" t="s">
        <v>31</v>
      </c>
      <c r="J1993" t="s">
        <v>60</v>
      </c>
      <c r="L1993" s="2">
        <v>45901</v>
      </c>
      <c r="M1993" t="s">
        <v>60</v>
      </c>
      <c r="N1993">
        <v>0</v>
      </c>
      <c r="O1993" t="s">
        <v>31</v>
      </c>
      <c r="P1993" t="s">
        <v>28</v>
      </c>
      <c r="Q1993">
        <v>0</v>
      </c>
    </row>
    <row r="1994" spans="1:17" x14ac:dyDescent="0.3">
      <c r="A1994" t="s">
        <v>17</v>
      </c>
      <c r="B1994">
        <v>67</v>
      </c>
      <c r="C1994" t="s">
        <v>28</v>
      </c>
      <c r="D1994" s="2">
        <v>45919</v>
      </c>
      <c r="E1994" s="3">
        <f t="shared" si="31"/>
        <v>45901</v>
      </c>
      <c r="F1994" t="s">
        <v>1881</v>
      </c>
      <c r="H1994" s="4">
        <v>-39.71</v>
      </c>
      <c r="I1994" t="s">
        <v>31</v>
      </c>
      <c r="J1994" t="s">
        <v>60</v>
      </c>
      <c r="L1994" s="2">
        <v>45901</v>
      </c>
      <c r="M1994" t="s">
        <v>60</v>
      </c>
      <c r="N1994">
        <v>0</v>
      </c>
      <c r="O1994" t="s">
        <v>31</v>
      </c>
      <c r="P1994" t="s">
        <v>28</v>
      </c>
      <c r="Q1994">
        <v>0</v>
      </c>
    </row>
    <row r="1995" spans="1:17" x14ac:dyDescent="0.3">
      <c r="A1995" t="s">
        <v>17</v>
      </c>
      <c r="B1995">
        <v>67</v>
      </c>
      <c r="C1995" t="s">
        <v>28</v>
      </c>
      <c r="D1995" s="2">
        <v>45919</v>
      </c>
      <c r="E1995" s="3">
        <f t="shared" si="31"/>
        <v>45901</v>
      </c>
      <c r="F1995" t="s">
        <v>1881</v>
      </c>
      <c r="H1995" s="4">
        <v>-31.03</v>
      </c>
      <c r="I1995" t="s">
        <v>31</v>
      </c>
      <c r="J1995" t="s">
        <v>60</v>
      </c>
      <c r="L1995" s="2">
        <v>45901</v>
      </c>
      <c r="M1995" t="s">
        <v>60</v>
      </c>
      <c r="N1995">
        <v>0</v>
      </c>
      <c r="O1995" t="s">
        <v>31</v>
      </c>
      <c r="P1995" t="s">
        <v>28</v>
      </c>
      <c r="Q1995">
        <v>0</v>
      </c>
    </row>
    <row r="1996" spans="1:17" x14ac:dyDescent="0.3">
      <c r="A1996" t="s">
        <v>17</v>
      </c>
      <c r="B1996">
        <v>67</v>
      </c>
      <c r="C1996" t="s">
        <v>28</v>
      </c>
      <c r="D1996" s="2">
        <v>45930</v>
      </c>
      <c r="E1996" s="3">
        <f t="shared" si="31"/>
        <v>45901</v>
      </c>
      <c r="F1996" t="s">
        <v>1882</v>
      </c>
      <c r="H1996" s="4">
        <v>6994.37</v>
      </c>
      <c r="I1996" t="s">
        <v>31</v>
      </c>
      <c r="J1996" t="s">
        <v>60</v>
      </c>
      <c r="K1996" t="s">
        <v>1883</v>
      </c>
      <c r="L1996" s="2">
        <v>45901</v>
      </c>
      <c r="M1996" t="s">
        <v>60</v>
      </c>
      <c r="N1996">
        <v>0</v>
      </c>
      <c r="O1996" t="s">
        <v>31</v>
      </c>
      <c r="P1996" t="s">
        <v>28</v>
      </c>
      <c r="Q1996">
        <v>0</v>
      </c>
    </row>
    <row r="1997" spans="1:17" x14ac:dyDescent="0.3">
      <c r="A1997" t="s">
        <v>17</v>
      </c>
      <c r="B1997">
        <v>67</v>
      </c>
      <c r="C1997" t="s">
        <v>28</v>
      </c>
      <c r="D1997" s="2">
        <v>45930</v>
      </c>
      <c r="E1997" s="3">
        <f t="shared" si="31"/>
        <v>45901</v>
      </c>
      <c r="F1997" t="s">
        <v>1884</v>
      </c>
      <c r="H1997" s="4">
        <v>1062.5</v>
      </c>
      <c r="I1997" t="s">
        <v>31</v>
      </c>
      <c r="J1997" t="s">
        <v>60</v>
      </c>
      <c r="K1997" t="s">
        <v>339</v>
      </c>
      <c r="L1997" s="2">
        <v>45901</v>
      </c>
      <c r="M1997" t="s">
        <v>60</v>
      </c>
      <c r="N1997">
        <v>0</v>
      </c>
      <c r="O1997" t="s">
        <v>31</v>
      </c>
      <c r="P1997" t="s">
        <v>28</v>
      </c>
      <c r="Q1997">
        <v>0</v>
      </c>
    </row>
    <row r="1998" spans="1:17" x14ac:dyDescent="0.3">
      <c r="A1998" t="s">
        <v>17</v>
      </c>
      <c r="B1998">
        <v>67</v>
      </c>
      <c r="C1998" t="s">
        <v>28</v>
      </c>
      <c r="D1998" s="2">
        <v>45930</v>
      </c>
      <c r="E1998" s="3">
        <f t="shared" si="31"/>
        <v>45901</v>
      </c>
      <c r="F1998" t="s">
        <v>1885</v>
      </c>
      <c r="H1998" s="4">
        <v>428.3</v>
      </c>
      <c r="I1998" t="s">
        <v>31</v>
      </c>
      <c r="J1998" t="s">
        <v>60</v>
      </c>
      <c r="K1998" t="s">
        <v>1123</v>
      </c>
      <c r="L1998" s="2">
        <v>45901</v>
      </c>
      <c r="M1998" t="s">
        <v>60</v>
      </c>
      <c r="N1998">
        <v>0</v>
      </c>
      <c r="O1998" t="s">
        <v>31</v>
      </c>
      <c r="P1998" t="s">
        <v>28</v>
      </c>
      <c r="Q1998">
        <v>0</v>
      </c>
    </row>
    <row r="1999" spans="1:17" x14ac:dyDescent="0.3">
      <c r="A1999" t="s">
        <v>17</v>
      </c>
      <c r="B1999">
        <v>67</v>
      </c>
      <c r="C1999" t="s">
        <v>28</v>
      </c>
      <c r="D1999" s="2">
        <v>45930</v>
      </c>
      <c r="E1999" s="3">
        <f t="shared" si="31"/>
        <v>45901</v>
      </c>
      <c r="F1999" t="s">
        <v>1886</v>
      </c>
      <c r="H1999" s="4">
        <v>-47.65</v>
      </c>
      <c r="I1999" t="s">
        <v>31</v>
      </c>
      <c r="J1999" t="s">
        <v>60</v>
      </c>
      <c r="L1999" s="2">
        <v>45901</v>
      </c>
      <c r="M1999" t="s">
        <v>60</v>
      </c>
      <c r="N1999">
        <v>0</v>
      </c>
      <c r="O1999" t="s">
        <v>31</v>
      </c>
      <c r="P1999" t="s">
        <v>28</v>
      </c>
      <c r="Q1999">
        <v>0</v>
      </c>
    </row>
    <row r="2000" spans="1:17" x14ac:dyDescent="0.3">
      <c r="A2000" t="s">
        <v>17</v>
      </c>
      <c r="B2000">
        <v>67</v>
      </c>
      <c r="C2000" t="s">
        <v>28</v>
      </c>
      <c r="D2000" s="2">
        <v>45930</v>
      </c>
      <c r="E2000" s="3">
        <f t="shared" si="31"/>
        <v>45901</v>
      </c>
      <c r="F2000" t="s">
        <v>1886</v>
      </c>
      <c r="H2000" s="4">
        <v>-37.24</v>
      </c>
      <c r="I2000" t="s">
        <v>31</v>
      </c>
      <c r="J2000" t="s">
        <v>60</v>
      </c>
      <c r="L2000" s="2">
        <v>45901</v>
      </c>
      <c r="M2000" t="s">
        <v>60</v>
      </c>
      <c r="N2000">
        <v>0</v>
      </c>
      <c r="O2000" t="s">
        <v>31</v>
      </c>
      <c r="P2000" t="s">
        <v>28</v>
      </c>
      <c r="Q2000">
        <v>0</v>
      </c>
    </row>
    <row r="2001" spans="1:17" x14ac:dyDescent="0.3">
      <c r="A2001" t="s">
        <v>17</v>
      </c>
      <c r="B2001">
        <v>67</v>
      </c>
      <c r="C2001" t="s">
        <v>28</v>
      </c>
      <c r="D2001" s="2">
        <v>45930</v>
      </c>
      <c r="E2001" s="3">
        <f t="shared" si="31"/>
        <v>45901</v>
      </c>
      <c r="F2001" t="s">
        <v>1886</v>
      </c>
      <c r="H2001" s="4">
        <v>-17.010000000000002</v>
      </c>
      <c r="I2001" t="s">
        <v>31</v>
      </c>
      <c r="J2001" t="s">
        <v>60</v>
      </c>
      <c r="L2001" s="2">
        <v>45901</v>
      </c>
      <c r="M2001" t="s">
        <v>60</v>
      </c>
      <c r="N2001">
        <v>0</v>
      </c>
      <c r="O2001" t="s">
        <v>31</v>
      </c>
      <c r="P2001" t="s">
        <v>28</v>
      </c>
      <c r="Q2001">
        <v>0</v>
      </c>
    </row>
    <row r="2002" spans="1:17" x14ac:dyDescent="0.3">
      <c r="A2002" t="s">
        <v>17</v>
      </c>
      <c r="B2002">
        <v>67</v>
      </c>
      <c r="C2002" t="s">
        <v>28</v>
      </c>
      <c r="D2002" s="2">
        <v>45930</v>
      </c>
      <c r="E2002" s="3">
        <f t="shared" si="31"/>
        <v>45901</v>
      </c>
      <c r="F2002" t="s">
        <v>1886</v>
      </c>
      <c r="H2002" s="4">
        <v>-19.350000000000001</v>
      </c>
      <c r="I2002" t="s">
        <v>31</v>
      </c>
      <c r="J2002" t="s">
        <v>60</v>
      </c>
      <c r="L2002" s="2">
        <v>45901</v>
      </c>
      <c r="M2002" t="s">
        <v>60</v>
      </c>
      <c r="N2002">
        <v>0</v>
      </c>
      <c r="O2002" t="s">
        <v>31</v>
      </c>
      <c r="P2002" t="s">
        <v>28</v>
      </c>
      <c r="Q2002">
        <v>0</v>
      </c>
    </row>
    <row r="2003" spans="1:17" x14ac:dyDescent="0.3">
      <c r="A2003" t="s">
        <v>17</v>
      </c>
      <c r="B2003">
        <v>67</v>
      </c>
      <c r="C2003" t="s">
        <v>28</v>
      </c>
      <c r="D2003" s="2">
        <v>45930</v>
      </c>
      <c r="E2003" s="3">
        <f t="shared" si="31"/>
        <v>45901</v>
      </c>
      <c r="F2003" t="s">
        <v>1886</v>
      </c>
      <c r="H2003" s="4">
        <v>-32.58</v>
      </c>
      <c r="I2003" t="s">
        <v>31</v>
      </c>
      <c r="J2003" t="s">
        <v>60</v>
      </c>
      <c r="L2003" s="2">
        <v>45901</v>
      </c>
      <c r="M2003" t="s">
        <v>60</v>
      </c>
      <c r="N2003">
        <v>0</v>
      </c>
      <c r="O2003" t="s">
        <v>31</v>
      </c>
      <c r="P2003" t="s">
        <v>28</v>
      </c>
      <c r="Q2003">
        <v>0</v>
      </c>
    </row>
    <row r="2004" spans="1:17" x14ac:dyDescent="0.3">
      <c r="A2004" t="s">
        <v>17</v>
      </c>
      <c r="B2004">
        <v>67</v>
      </c>
      <c r="C2004" t="s">
        <v>28</v>
      </c>
      <c r="D2004" s="2">
        <v>45930</v>
      </c>
      <c r="E2004" s="3">
        <f t="shared" si="31"/>
        <v>45901</v>
      </c>
      <c r="F2004" t="s">
        <v>1886</v>
      </c>
      <c r="H2004" s="4">
        <v>-1.44</v>
      </c>
      <c r="I2004" t="s">
        <v>31</v>
      </c>
      <c r="J2004" t="s">
        <v>60</v>
      </c>
      <c r="L2004" s="2">
        <v>45901</v>
      </c>
      <c r="M2004" t="s">
        <v>60</v>
      </c>
      <c r="N2004">
        <v>0</v>
      </c>
      <c r="O2004" t="s">
        <v>31</v>
      </c>
      <c r="P2004" t="s">
        <v>28</v>
      </c>
      <c r="Q2004">
        <v>0</v>
      </c>
    </row>
    <row r="2005" spans="1:17" x14ac:dyDescent="0.3">
      <c r="A2005" t="s">
        <v>17</v>
      </c>
      <c r="B2005">
        <v>67</v>
      </c>
      <c r="C2005" t="s">
        <v>28</v>
      </c>
      <c r="D2005" s="2">
        <v>45930</v>
      </c>
      <c r="E2005" s="3">
        <f t="shared" si="31"/>
        <v>45901</v>
      </c>
      <c r="F2005" t="s">
        <v>1886</v>
      </c>
      <c r="H2005" s="4">
        <v>-64.05</v>
      </c>
      <c r="I2005" t="s">
        <v>31</v>
      </c>
      <c r="J2005" t="s">
        <v>60</v>
      </c>
      <c r="L2005" s="2">
        <v>45901</v>
      </c>
      <c r="M2005" t="s">
        <v>60</v>
      </c>
      <c r="N2005">
        <v>0</v>
      </c>
      <c r="O2005" t="s">
        <v>31</v>
      </c>
      <c r="P2005" t="s">
        <v>28</v>
      </c>
      <c r="Q2005">
        <v>0</v>
      </c>
    </row>
    <row r="2006" spans="1:17" x14ac:dyDescent="0.3">
      <c r="A2006" t="s">
        <v>17</v>
      </c>
      <c r="B2006">
        <v>67</v>
      </c>
      <c r="C2006" t="s">
        <v>28</v>
      </c>
      <c r="D2006" s="2">
        <v>45930</v>
      </c>
      <c r="E2006" s="3">
        <f t="shared" si="31"/>
        <v>45901</v>
      </c>
      <c r="F2006" t="s">
        <v>1886</v>
      </c>
      <c r="H2006" s="4">
        <v>-54.27</v>
      </c>
      <c r="I2006" t="s">
        <v>31</v>
      </c>
      <c r="J2006" t="s">
        <v>60</v>
      </c>
      <c r="L2006" s="2">
        <v>45901</v>
      </c>
      <c r="M2006" t="s">
        <v>60</v>
      </c>
      <c r="N2006">
        <v>0</v>
      </c>
      <c r="O2006" t="s">
        <v>31</v>
      </c>
      <c r="P2006" t="s">
        <v>28</v>
      </c>
      <c r="Q2006">
        <v>0</v>
      </c>
    </row>
    <row r="2007" spans="1:17" x14ac:dyDescent="0.3">
      <c r="A2007" t="s">
        <v>17</v>
      </c>
      <c r="B2007">
        <v>67</v>
      </c>
      <c r="C2007" t="s">
        <v>28</v>
      </c>
      <c r="D2007" s="2">
        <v>45901</v>
      </c>
      <c r="E2007" s="3">
        <f t="shared" si="31"/>
        <v>45901</v>
      </c>
      <c r="F2007" t="s">
        <v>1725</v>
      </c>
      <c r="G2007" t="s">
        <v>1726</v>
      </c>
      <c r="H2007" s="4">
        <v>10000</v>
      </c>
      <c r="I2007" t="s">
        <v>21</v>
      </c>
      <c r="J2007" t="s">
        <v>74</v>
      </c>
      <c r="K2007" t="s">
        <v>1887</v>
      </c>
      <c r="L2007" s="2">
        <v>45901</v>
      </c>
      <c r="M2007" t="s">
        <v>76</v>
      </c>
      <c r="N2007" t="s">
        <v>25</v>
      </c>
      <c r="O2007" t="s">
        <v>81</v>
      </c>
      <c r="P2007" t="s">
        <v>28</v>
      </c>
      <c r="Q2007">
        <v>0</v>
      </c>
    </row>
    <row r="2008" spans="1:17" x14ac:dyDescent="0.3">
      <c r="A2008" t="s">
        <v>17</v>
      </c>
      <c r="B2008">
        <v>67</v>
      </c>
      <c r="C2008" t="s">
        <v>28</v>
      </c>
      <c r="D2008" s="2">
        <v>45904</v>
      </c>
      <c r="E2008" s="3">
        <f t="shared" si="31"/>
        <v>45901</v>
      </c>
      <c r="F2008" t="s">
        <v>1888</v>
      </c>
      <c r="G2008" t="s">
        <v>101</v>
      </c>
      <c r="H2008" s="4">
        <v>76.27</v>
      </c>
      <c r="I2008" t="s">
        <v>31</v>
      </c>
      <c r="J2008" t="s">
        <v>74</v>
      </c>
      <c r="K2008" t="s">
        <v>1889</v>
      </c>
      <c r="L2008" s="2">
        <v>45901</v>
      </c>
      <c r="M2008" t="s">
        <v>76</v>
      </c>
      <c r="N2008">
        <v>0</v>
      </c>
      <c r="O2008" t="s">
        <v>31</v>
      </c>
      <c r="P2008" t="s">
        <v>28</v>
      </c>
      <c r="Q2008">
        <v>0</v>
      </c>
    </row>
    <row r="2009" spans="1:17" x14ac:dyDescent="0.3">
      <c r="A2009" t="s">
        <v>17</v>
      </c>
      <c r="B2009">
        <v>67</v>
      </c>
      <c r="C2009" t="s">
        <v>28</v>
      </c>
      <c r="D2009" s="2">
        <v>45904</v>
      </c>
      <c r="E2009" s="3">
        <f t="shared" si="31"/>
        <v>45901</v>
      </c>
      <c r="F2009" t="s">
        <v>1888</v>
      </c>
      <c r="G2009" t="s">
        <v>101</v>
      </c>
      <c r="H2009" s="4">
        <v>1494</v>
      </c>
      <c r="I2009" t="s">
        <v>104</v>
      </c>
      <c r="J2009" t="s">
        <v>74</v>
      </c>
      <c r="K2009" t="s">
        <v>1489</v>
      </c>
      <c r="L2009" s="2">
        <v>45901</v>
      </c>
      <c r="M2009" t="s">
        <v>76</v>
      </c>
      <c r="N2009">
        <v>0</v>
      </c>
      <c r="O2009" t="s">
        <v>104</v>
      </c>
      <c r="P2009" t="s">
        <v>28</v>
      </c>
      <c r="Q2009">
        <v>0</v>
      </c>
    </row>
    <row r="2010" spans="1:17" x14ac:dyDescent="0.3">
      <c r="A2010" t="s">
        <v>17</v>
      </c>
      <c r="B2010">
        <v>67</v>
      </c>
      <c r="C2010" t="s">
        <v>28</v>
      </c>
      <c r="D2010" s="2">
        <v>45904</v>
      </c>
      <c r="E2010" s="3">
        <f t="shared" si="31"/>
        <v>45901</v>
      </c>
      <c r="F2010" t="s">
        <v>1888</v>
      </c>
      <c r="G2010" t="s">
        <v>101</v>
      </c>
      <c r="H2010" s="4">
        <v>543.5</v>
      </c>
      <c r="I2010" t="s">
        <v>31</v>
      </c>
      <c r="J2010" t="s">
        <v>74</v>
      </c>
      <c r="K2010" t="s">
        <v>1722</v>
      </c>
      <c r="L2010" s="2">
        <v>45901</v>
      </c>
      <c r="M2010" t="s">
        <v>76</v>
      </c>
      <c r="N2010">
        <v>0</v>
      </c>
      <c r="O2010" t="s">
        <v>31</v>
      </c>
      <c r="P2010" t="s">
        <v>28</v>
      </c>
      <c r="Q2010">
        <v>0</v>
      </c>
    </row>
    <row r="2011" spans="1:17" x14ac:dyDescent="0.3">
      <c r="A2011" t="s">
        <v>17</v>
      </c>
      <c r="B2011">
        <v>67</v>
      </c>
      <c r="C2011" t="s">
        <v>28</v>
      </c>
      <c r="D2011" s="2">
        <v>45904</v>
      </c>
      <c r="E2011" s="3">
        <f t="shared" si="31"/>
        <v>45901</v>
      </c>
      <c r="F2011" t="s">
        <v>1888</v>
      </c>
      <c r="G2011" t="s">
        <v>101</v>
      </c>
      <c r="H2011" s="4">
        <v>1779.84</v>
      </c>
      <c r="I2011" t="s">
        <v>31</v>
      </c>
      <c r="J2011" t="s">
        <v>74</v>
      </c>
      <c r="K2011" t="s">
        <v>1491</v>
      </c>
      <c r="L2011" s="2">
        <v>45901</v>
      </c>
      <c r="M2011" t="s">
        <v>76</v>
      </c>
      <c r="N2011">
        <v>0</v>
      </c>
      <c r="O2011" t="s">
        <v>31</v>
      </c>
      <c r="P2011" t="s">
        <v>28</v>
      </c>
      <c r="Q2011">
        <v>0</v>
      </c>
    </row>
    <row r="2012" spans="1:17" x14ac:dyDescent="0.3">
      <c r="A2012" t="s">
        <v>17</v>
      </c>
      <c r="B2012">
        <v>67</v>
      </c>
      <c r="C2012" t="s">
        <v>28</v>
      </c>
      <c r="D2012" s="2">
        <v>45922</v>
      </c>
      <c r="E2012" s="3">
        <f t="shared" si="31"/>
        <v>45901</v>
      </c>
      <c r="F2012" t="s">
        <v>1764</v>
      </c>
      <c r="H2012" s="4">
        <v>108.86</v>
      </c>
      <c r="I2012" t="s">
        <v>159</v>
      </c>
      <c r="J2012" t="s">
        <v>74</v>
      </c>
      <c r="K2012" t="s">
        <v>1770</v>
      </c>
      <c r="L2012" s="2">
        <v>45901</v>
      </c>
      <c r="M2012" t="s">
        <v>76</v>
      </c>
      <c r="N2012">
        <v>0</v>
      </c>
      <c r="O2012" t="s">
        <v>159</v>
      </c>
      <c r="P2012" t="s">
        <v>28</v>
      </c>
      <c r="Q2012">
        <v>0</v>
      </c>
    </row>
    <row r="2013" spans="1:17" x14ac:dyDescent="0.3">
      <c r="A2013" t="s">
        <v>17</v>
      </c>
      <c r="B2013">
        <v>67</v>
      </c>
      <c r="C2013" t="s">
        <v>28</v>
      </c>
      <c r="D2013" s="2">
        <v>45922</v>
      </c>
      <c r="E2013" s="3">
        <f t="shared" si="31"/>
        <v>45901</v>
      </c>
      <c r="F2013" t="s">
        <v>1764</v>
      </c>
      <c r="H2013" s="4">
        <v>21.78</v>
      </c>
      <c r="I2013" t="s">
        <v>159</v>
      </c>
      <c r="J2013" t="s">
        <v>74</v>
      </c>
      <c r="K2013" t="s">
        <v>429</v>
      </c>
      <c r="L2013" s="2">
        <v>45901</v>
      </c>
      <c r="M2013" t="s">
        <v>76</v>
      </c>
      <c r="N2013">
        <v>0</v>
      </c>
      <c r="O2013" t="s">
        <v>159</v>
      </c>
      <c r="P2013" t="s">
        <v>28</v>
      </c>
      <c r="Q2013">
        <v>0</v>
      </c>
    </row>
    <row r="2014" spans="1:17" x14ac:dyDescent="0.3">
      <c r="A2014" t="s">
        <v>17</v>
      </c>
      <c r="B2014">
        <v>67</v>
      </c>
      <c r="C2014" t="s">
        <v>28</v>
      </c>
      <c r="D2014" s="2">
        <v>45930</v>
      </c>
      <c r="E2014" s="3">
        <f t="shared" si="31"/>
        <v>45901</v>
      </c>
      <c r="F2014" t="s">
        <v>1769</v>
      </c>
      <c r="H2014" s="4">
        <v>-8.4600000000000009</v>
      </c>
      <c r="I2014" t="s">
        <v>31</v>
      </c>
      <c r="J2014" t="s">
        <v>74</v>
      </c>
      <c r="K2014" t="s">
        <v>1890</v>
      </c>
      <c r="L2014" s="2">
        <v>45901</v>
      </c>
      <c r="M2014" t="s">
        <v>76</v>
      </c>
      <c r="N2014">
        <v>0</v>
      </c>
      <c r="O2014" t="s">
        <v>31</v>
      </c>
      <c r="P2014" t="s">
        <v>28</v>
      </c>
      <c r="Q2014">
        <v>0</v>
      </c>
    </row>
    <row r="2015" spans="1:17" x14ac:dyDescent="0.3">
      <c r="A2015" t="s">
        <v>17</v>
      </c>
      <c r="B2015">
        <v>67</v>
      </c>
      <c r="C2015" t="s">
        <v>28</v>
      </c>
      <c r="D2015" s="2">
        <v>45930</v>
      </c>
      <c r="E2015" s="3">
        <f t="shared" si="31"/>
        <v>45901</v>
      </c>
      <c r="F2015" t="s">
        <v>1769</v>
      </c>
      <c r="H2015" s="4">
        <v>65.33</v>
      </c>
      <c r="I2015" t="s">
        <v>31</v>
      </c>
      <c r="J2015" t="s">
        <v>74</v>
      </c>
      <c r="K2015" t="s">
        <v>247</v>
      </c>
      <c r="L2015" s="2">
        <v>45901</v>
      </c>
      <c r="M2015" t="s">
        <v>76</v>
      </c>
      <c r="N2015">
        <v>0</v>
      </c>
      <c r="O2015" t="s">
        <v>31</v>
      </c>
      <c r="P2015" t="s">
        <v>28</v>
      </c>
      <c r="Q2015">
        <v>0</v>
      </c>
    </row>
    <row r="2016" spans="1:17" x14ac:dyDescent="0.3">
      <c r="A2016" t="s">
        <v>17</v>
      </c>
      <c r="B2016">
        <v>67</v>
      </c>
      <c r="C2016" t="s">
        <v>28</v>
      </c>
      <c r="D2016" s="2">
        <v>45930</v>
      </c>
      <c r="E2016" s="3">
        <f t="shared" si="31"/>
        <v>45901</v>
      </c>
      <c r="F2016" t="s">
        <v>1769</v>
      </c>
      <c r="H2016" s="4">
        <v>22.93</v>
      </c>
      <c r="I2016" t="s">
        <v>31</v>
      </c>
      <c r="J2016" t="s">
        <v>74</v>
      </c>
      <c r="K2016" t="s">
        <v>247</v>
      </c>
      <c r="L2016" s="2">
        <v>45901</v>
      </c>
      <c r="M2016" t="s">
        <v>76</v>
      </c>
      <c r="N2016">
        <v>0</v>
      </c>
      <c r="O2016" t="s">
        <v>31</v>
      </c>
      <c r="P2016" t="s">
        <v>28</v>
      </c>
      <c r="Q2016">
        <v>0</v>
      </c>
    </row>
    <row r="2017" spans="1:17" x14ac:dyDescent="0.3">
      <c r="A2017" t="s">
        <v>17</v>
      </c>
      <c r="B2017">
        <v>67</v>
      </c>
      <c r="C2017" t="s">
        <v>28</v>
      </c>
      <c r="D2017" s="2">
        <v>45930</v>
      </c>
      <c r="E2017" s="3">
        <f t="shared" si="31"/>
        <v>45901</v>
      </c>
      <c r="F2017" t="s">
        <v>1891</v>
      </c>
      <c r="H2017" s="4">
        <v>3179.22</v>
      </c>
      <c r="I2017" t="s">
        <v>31</v>
      </c>
      <c r="J2017" t="s">
        <v>74</v>
      </c>
      <c r="K2017" t="s">
        <v>1098</v>
      </c>
      <c r="L2017" s="2">
        <v>45901</v>
      </c>
      <c r="M2017" t="s">
        <v>76</v>
      </c>
      <c r="N2017">
        <v>0</v>
      </c>
      <c r="O2017" t="s">
        <v>31</v>
      </c>
      <c r="P2017" t="s">
        <v>28</v>
      </c>
      <c r="Q2017">
        <v>0</v>
      </c>
    </row>
    <row r="2018" spans="1:17" x14ac:dyDescent="0.3">
      <c r="A2018" t="s">
        <v>17</v>
      </c>
      <c r="B2018">
        <v>67</v>
      </c>
      <c r="C2018" t="s">
        <v>28</v>
      </c>
      <c r="D2018" s="2">
        <v>45930</v>
      </c>
      <c r="E2018" s="3">
        <f t="shared" si="31"/>
        <v>45901</v>
      </c>
      <c r="F2018" t="s">
        <v>1892</v>
      </c>
      <c r="H2018" s="4">
        <v>2582.46</v>
      </c>
      <c r="I2018" t="s">
        <v>31</v>
      </c>
      <c r="J2018" t="s">
        <v>74</v>
      </c>
      <c r="K2018" t="s">
        <v>1100</v>
      </c>
      <c r="L2018" s="2">
        <v>45901</v>
      </c>
      <c r="M2018" t="s">
        <v>76</v>
      </c>
      <c r="N2018">
        <v>0</v>
      </c>
      <c r="O2018" t="s">
        <v>31</v>
      </c>
      <c r="P2018" t="s">
        <v>28</v>
      </c>
      <c r="Q2018">
        <v>0</v>
      </c>
    </row>
    <row r="2019" spans="1:17" x14ac:dyDescent="0.3">
      <c r="A2019" t="s">
        <v>17</v>
      </c>
      <c r="B2019">
        <v>67</v>
      </c>
      <c r="C2019" t="s">
        <v>28</v>
      </c>
      <c r="D2019" s="2">
        <v>45930</v>
      </c>
      <c r="E2019" s="3">
        <f t="shared" si="31"/>
        <v>45901</v>
      </c>
      <c r="F2019" t="s">
        <v>1893</v>
      </c>
      <c r="H2019" s="4">
        <v>226.82</v>
      </c>
      <c r="I2019" t="s">
        <v>31</v>
      </c>
      <c r="J2019" t="s">
        <v>74</v>
      </c>
      <c r="K2019" t="s">
        <v>355</v>
      </c>
      <c r="L2019" s="2">
        <v>45901</v>
      </c>
      <c r="M2019" t="s">
        <v>76</v>
      </c>
      <c r="N2019">
        <v>0</v>
      </c>
      <c r="O2019" t="s">
        <v>31</v>
      </c>
      <c r="P2019" t="s">
        <v>28</v>
      </c>
      <c r="Q2019">
        <v>0</v>
      </c>
    </row>
    <row r="2020" spans="1:17" x14ac:dyDescent="0.3">
      <c r="A2020" t="s">
        <v>17</v>
      </c>
      <c r="B2020">
        <v>67</v>
      </c>
      <c r="C2020" t="s">
        <v>28</v>
      </c>
      <c r="D2020" s="2">
        <v>45930</v>
      </c>
      <c r="E2020" s="3">
        <f t="shared" si="31"/>
        <v>45901</v>
      </c>
      <c r="F2020" t="s">
        <v>1894</v>
      </c>
      <c r="H2020" s="4">
        <v>421.69</v>
      </c>
      <c r="I2020" t="s">
        <v>31</v>
      </c>
      <c r="J2020" t="s">
        <v>74</v>
      </c>
      <c r="K2020" t="s">
        <v>1895</v>
      </c>
      <c r="L2020" s="2">
        <v>45901</v>
      </c>
      <c r="M2020" t="s">
        <v>76</v>
      </c>
      <c r="N2020">
        <v>0</v>
      </c>
      <c r="O2020" t="s">
        <v>31</v>
      </c>
      <c r="P2020" t="s">
        <v>28</v>
      </c>
      <c r="Q2020">
        <v>0</v>
      </c>
    </row>
    <row r="2021" spans="1:17" x14ac:dyDescent="0.3">
      <c r="A2021" t="s">
        <v>17</v>
      </c>
      <c r="B2021">
        <v>67</v>
      </c>
      <c r="C2021" t="s">
        <v>28</v>
      </c>
      <c r="D2021" s="2">
        <v>45930</v>
      </c>
      <c r="E2021" s="3">
        <f t="shared" si="31"/>
        <v>45901</v>
      </c>
      <c r="F2021" t="s">
        <v>1896</v>
      </c>
      <c r="H2021" s="4">
        <v>411.58</v>
      </c>
      <c r="I2021" t="s">
        <v>31</v>
      </c>
      <c r="J2021" t="s">
        <v>74</v>
      </c>
      <c r="K2021" t="s">
        <v>1501</v>
      </c>
      <c r="L2021" s="2">
        <v>45901</v>
      </c>
      <c r="M2021" t="s">
        <v>76</v>
      </c>
      <c r="N2021">
        <v>0</v>
      </c>
      <c r="O2021" t="s">
        <v>31</v>
      </c>
      <c r="P2021" t="s">
        <v>28</v>
      </c>
      <c r="Q2021">
        <v>0</v>
      </c>
    </row>
    <row r="2022" spans="1:17" x14ac:dyDescent="0.3">
      <c r="A2022" t="s">
        <v>17</v>
      </c>
      <c r="B2022">
        <v>67</v>
      </c>
      <c r="C2022" t="s">
        <v>28</v>
      </c>
      <c r="D2022" s="2">
        <v>45930</v>
      </c>
      <c r="E2022" s="3">
        <f t="shared" si="31"/>
        <v>45901</v>
      </c>
      <c r="F2022" t="s">
        <v>1897</v>
      </c>
      <c r="H2022" s="4">
        <v>9.99</v>
      </c>
      <c r="I2022" t="s">
        <v>31</v>
      </c>
      <c r="J2022" t="s">
        <v>74</v>
      </c>
      <c r="K2022" t="s">
        <v>1494</v>
      </c>
      <c r="L2022" s="2">
        <v>45901</v>
      </c>
      <c r="M2022" t="s">
        <v>76</v>
      </c>
      <c r="N2022">
        <v>0</v>
      </c>
      <c r="O2022" t="s">
        <v>31</v>
      </c>
      <c r="P2022" t="s">
        <v>28</v>
      </c>
      <c r="Q2022">
        <v>0</v>
      </c>
    </row>
    <row r="2023" spans="1:17" x14ac:dyDescent="0.3">
      <c r="A2023" t="s">
        <v>17</v>
      </c>
      <c r="B2023">
        <v>67</v>
      </c>
      <c r="C2023" t="s">
        <v>28</v>
      </c>
      <c r="D2023" s="2">
        <v>45930</v>
      </c>
      <c r="E2023" s="3">
        <f t="shared" si="31"/>
        <v>45901</v>
      </c>
      <c r="F2023" t="s">
        <v>1898</v>
      </c>
      <c r="H2023" s="4">
        <v>2268.23</v>
      </c>
      <c r="I2023" t="s">
        <v>47</v>
      </c>
      <c r="J2023" t="s">
        <v>74</v>
      </c>
      <c r="K2023" t="s">
        <v>1108</v>
      </c>
      <c r="L2023" s="2">
        <v>45901</v>
      </c>
      <c r="M2023" t="s">
        <v>76</v>
      </c>
      <c r="N2023">
        <v>0</v>
      </c>
      <c r="O2023" t="s">
        <v>26</v>
      </c>
      <c r="P2023" t="s">
        <v>28</v>
      </c>
      <c r="Q2023">
        <v>0</v>
      </c>
    </row>
    <row r="2024" spans="1:17" x14ac:dyDescent="0.3">
      <c r="A2024" t="s">
        <v>17</v>
      </c>
      <c r="B2024">
        <v>68</v>
      </c>
      <c r="C2024" t="s">
        <v>34</v>
      </c>
      <c r="D2024" s="2">
        <v>45901</v>
      </c>
      <c r="E2024" s="3">
        <f t="shared" si="31"/>
        <v>45901</v>
      </c>
      <c r="F2024" t="s">
        <v>1808</v>
      </c>
      <c r="G2024" t="s">
        <v>40</v>
      </c>
      <c r="H2024" s="4">
        <v>699.63</v>
      </c>
      <c r="I2024" t="s">
        <v>31</v>
      </c>
      <c r="J2024" t="s">
        <v>37</v>
      </c>
      <c r="K2024" t="s">
        <v>1899</v>
      </c>
      <c r="L2024" s="2">
        <v>45901</v>
      </c>
      <c r="M2024" t="s">
        <v>37</v>
      </c>
      <c r="N2024">
        <v>0</v>
      </c>
      <c r="O2024" t="s">
        <v>31</v>
      </c>
      <c r="P2024" t="s">
        <v>34</v>
      </c>
      <c r="Q2024">
        <v>0</v>
      </c>
    </row>
    <row r="2025" spans="1:17" x14ac:dyDescent="0.3">
      <c r="A2025" t="s">
        <v>17</v>
      </c>
      <c r="B2025">
        <v>68</v>
      </c>
      <c r="C2025" t="s">
        <v>34</v>
      </c>
      <c r="D2025" s="2">
        <v>45901</v>
      </c>
      <c r="E2025" s="3">
        <f t="shared" si="31"/>
        <v>45901</v>
      </c>
      <c r="F2025" t="s">
        <v>1900</v>
      </c>
      <c r="G2025" t="s">
        <v>36</v>
      </c>
      <c r="H2025" s="4">
        <v>35</v>
      </c>
      <c r="I2025" t="s">
        <v>31</v>
      </c>
      <c r="J2025" t="s">
        <v>37</v>
      </c>
      <c r="K2025" t="s">
        <v>1901</v>
      </c>
      <c r="L2025" s="2">
        <v>45901</v>
      </c>
      <c r="M2025" t="s">
        <v>37</v>
      </c>
      <c r="N2025">
        <v>0</v>
      </c>
      <c r="O2025" t="s">
        <v>31</v>
      </c>
      <c r="P2025" t="s">
        <v>34</v>
      </c>
      <c r="Q2025">
        <v>0</v>
      </c>
    </row>
    <row r="2026" spans="1:17" x14ac:dyDescent="0.3">
      <c r="A2026" t="s">
        <v>17</v>
      </c>
      <c r="B2026">
        <v>68</v>
      </c>
      <c r="C2026" t="s">
        <v>34</v>
      </c>
      <c r="D2026" s="2">
        <v>45901</v>
      </c>
      <c r="E2026" s="3">
        <f t="shared" si="31"/>
        <v>45901</v>
      </c>
      <c r="F2026" t="s">
        <v>1900</v>
      </c>
      <c r="G2026" t="s">
        <v>36</v>
      </c>
      <c r="H2026" s="4">
        <v>5.33</v>
      </c>
      <c r="I2026" t="s">
        <v>31</v>
      </c>
      <c r="J2026" t="s">
        <v>37</v>
      </c>
      <c r="K2026" t="s">
        <v>1276</v>
      </c>
      <c r="L2026" s="2">
        <v>45901</v>
      </c>
      <c r="M2026" t="s">
        <v>37</v>
      </c>
      <c r="N2026">
        <v>0</v>
      </c>
      <c r="O2026" t="s">
        <v>31</v>
      </c>
      <c r="P2026" t="s">
        <v>34</v>
      </c>
      <c r="Q2026">
        <v>0</v>
      </c>
    </row>
    <row r="2027" spans="1:17" x14ac:dyDescent="0.3">
      <c r="A2027" t="s">
        <v>17</v>
      </c>
      <c r="B2027">
        <v>68</v>
      </c>
      <c r="C2027" t="s">
        <v>34</v>
      </c>
      <c r="D2027" s="2">
        <v>45901</v>
      </c>
      <c r="E2027" s="3">
        <f t="shared" si="31"/>
        <v>45901</v>
      </c>
      <c r="F2027" t="s">
        <v>1900</v>
      </c>
      <c r="G2027" t="s">
        <v>36</v>
      </c>
      <c r="H2027" s="4">
        <v>25</v>
      </c>
      <c r="I2027" t="s">
        <v>31</v>
      </c>
      <c r="J2027" t="s">
        <v>37</v>
      </c>
      <c r="K2027" t="s">
        <v>1902</v>
      </c>
      <c r="L2027" s="2">
        <v>45901</v>
      </c>
      <c r="M2027" t="s">
        <v>37</v>
      </c>
      <c r="N2027">
        <v>0</v>
      </c>
      <c r="O2027" t="s">
        <v>31</v>
      </c>
      <c r="P2027" t="s">
        <v>34</v>
      </c>
      <c r="Q2027">
        <v>0</v>
      </c>
    </row>
    <row r="2028" spans="1:17" x14ac:dyDescent="0.3">
      <c r="A2028" t="s">
        <v>17</v>
      </c>
      <c r="B2028">
        <v>68</v>
      </c>
      <c r="C2028" t="s">
        <v>34</v>
      </c>
      <c r="D2028" s="2">
        <v>45901</v>
      </c>
      <c r="E2028" s="3">
        <f t="shared" si="31"/>
        <v>45901</v>
      </c>
      <c r="F2028" t="s">
        <v>1903</v>
      </c>
      <c r="H2028" s="4">
        <v>-699.63</v>
      </c>
      <c r="I2028" t="s">
        <v>31</v>
      </c>
      <c r="J2028" t="s">
        <v>37</v>
      </c>
      <c r="K2028" t="s">
        <v>1740</v>
      </c>
      <c r="L2028" s="2">
        <v>45901</v>
      </c>
      <c r="M2028" t="s">
        <v>37</v>
      </c>
      <c r="N2028">
        <v>0</v>
      </c>
      <c r="O2028" t="s">
        <v>31</v>
      </c>
      <c r="P2028" t="s">
        <v>34</v>
      </c>
      <c r="Q2028">
        <v>0</v>
      </c>
    </row>
    <row r="2029" spans="1:17" x14ac:dyDescent="0.3">
      <c r="A2029" t="s">
        <v>17</v>
      </c>
      <c r="B2029">
        <v>68</v>
      </c>
      <c r="C2029" t="s">
        <v>34</v>
      </c>
      <c r="D2029" s="2">
        <v>45927</v>
      </c>
      <c r="E2029" s="3">
        <f t="shared" si="31"/>
        <v>45901</v>
      </c>
      <c r="F2029">
        <v>9.2025000000000006</v>
      </c>
      <c r="G2029" t="s">
        <v>43</v>
      </c>
      <c r="H2029" s="4">
        <v>270.07</v>
      </c>
      <c r="I2029" t="s">
        <v>31</v>
      </c>
      <c r="J2029" t="s">
        <v>37</v>
      </c>
      <c r="K2029" t="s">
        <v>1734</v>
      </c>
      <c r="L2029" s="2">
        <v>45901</v>
      </c>
      <c r="M2029" t="s">
        <v>37</v>
      </c>
      <c r="N2029">
        <v>0</v>
      </c>
      <c r="O2029" t="s">
        <v>31</v>
      </c>
      <c r="P2029" t="s">
        <v>34</v>
      </c>
      <c r="Q2029">
        <v>0</v>
      </c>
    </row>
    <row r="2030" spans="1:17" x14ac:dyDescent="0.3">
      <c r="A2030" t="s">
        <v>17</v>
      </c>
      <c r="B2030">
        <v>68</v>
      </c>
      <c r="C2030" t="s">
        <v>34</v>
      </c>
      <c r="D2030" s="2">
        <v>45930</v>
      </c>
      <c r="E2030" s="3">
        <f t="shared" si="31"/>
        <v>45901</v>
      </c>
      <c r="F2030" t="s">
        <v>1904</v>
      </c>
      <c r="H2030" s="4">
        <v>515.11</v>
      </c>
      <c r="I2030" t="s">
        <v>31</v>
      </c>
      <c r="J2030" t="s">
        <v>37</v>
      </c>
      <c r="K2030" t="s">
        <v>1905</v>
      </c>
      <c r="L2030" s="2">
        <v>45901</v>
      </c>
      <c r="M2030" t="s">
        <v>37</v>
      </c>
      <c r="N2030">
        <v>0</v>
      </c>
      <c r="O2030" t="s">
        <v>31</v>
      </c>
      <c r="P2030" t="s">
        <v>34</v>
      </c>
      <c r="Q2030">
        <v>0</v>
      </c>
    </row>
    <row r="2031" spans="1:17" x14ac:dyDescent="0.3">
      <c r="A2031" t="s">
        <v>17</v>
      </c>
      <c r="B2031">
        <v>65</v>
      </c>
      <c r="C2031" t="s">
        <v>54</v>
      </c>
      <c r="D2031" s="2">
        <v>45914</v>
      </c>
      <c r="E2031" s="3">
        <f t="shared" si="31"/>
        <v>45901</v>
      </c>
      <c r="F2031">
        <v>41849231</v>
      </c>
      <c r="G2031" t="s">
        <v>154</v>
      </c>
      <c r="H2031" s="4">
        <v>699.25</v>
      </c>
      <c r="I2031" t="s">
        <v>31</v>
      </c>
      <c r="J2031" t="s">
        <v>155</v>
      </c>
      <c r="K2031" t="s">
        <v>1741</v>
      </c>
      <c r="L2031" s="2">
        <v>45901</v>
      </c>
      <c r="M2031" t="s">
        <v>155</v>
      </c>
      <c r="N2031">
        <v>0</v>
      </c>
      <c r="O2031" t="s">
        <v>31</v>
      </c>
      <c r="P2031" t="s">
        <v>54</v>
      </c>
      <c r="Q2031">
        <v>0</v>
      </c>
    </row>
    <row r="2032" spans="1:17" x14ac:dyDescent="0.3">
      <c r="A2032" t="s">
        <v>17</v>
      </c>
      <c r="B2032">
        <v>65</v>
      </c>
      <c r="C2032" t="s">
        <v>54</v>
      </c>
      <c r="D2032" s="2">
        <v>45914</v>
      </c>
      <c r="E2032" s="3">
        <f t="shared" si="31"/>
        <v>45901</v>
      </c>
      <c r="F2032">
        <v>41849231</v>
      </c>
      <c r="G2032" t="s">
        <v>154</v>
      </c>
      <c r="H2032" s="4">
        <v>10.62</v>
      </c>
      <c r="I2032" t="s">
        <v>31</v>
      </c>
      <c r="J2032" t="s">
        <v>155</v>
      </c>
      <c r="K2032" t="s">
        <v>1742</v>
      </c>
      <c r="L2032" s="2">
        <v>45901</v>
      </c>
      <c r="M2032" t="s">
        <v>155</v>
      </c>
      <c r="N2032">
        <v>0</v>
      </c>
      <c r="O2032" t="s">
        <v>31</v>
      </c>
      <c r="P2032" t="s">
        <v>54</v>
      </c>
      <c r="Q2032">
        <v>0</v>
      </c>
    </row>
    <row r="2033" spans="1:17" x14ac:dyDescent="0.3">
      <c r="A2033" t="s">
        <v>17</v>
      </c>
      <c r="B2033">
        <v>65</v>
      </c>
      <c r="C2033" t="s">
        <v>54</v>
      </c>
      <c r="D2033" s="2">
        <v>45914</v>
      </c>
      <c r="E2033" s="3">
        <f t="shared" si="31"/>
        <v>45901</v>
      </c>
      <c r="F2033">
        <v>41849231</v>
      </c>
      <c r="G2033" t="s">
        <v>154</v>
      </c>
      <c r="H2033" s="4">
        <v>30.61</v>
      </c>
      <c r="I2033" t="s">
        <v>31</v>
      </c>
      <c r="J2033" t="s">
        <v>155</v>
      </c>
      <c r="K2033" t="s">
        <v>1743</v>
      </c>
      <c r="L2033" s="2">
        <v>45901</v>
      </c>
      <c r="M2033" t="s">
        <v>155</v>
      </c>
      <c r="N2033">
        <v>0</v>
      </c>
      <c r="O2033" t="s">
        <v>31</v>
      </c>
      <c r="P2033" t="s">
        <v>54</v>
      </c>
      <c r="Q2033">
        <v>0</v>
      </c>
    </row>
    <row r="2034" spans="1:17" x14ac:dyDescent="0.3">
      <c r="A2034" t="s">
        <v>17</v>
      </c>
      <c r="B2034">
        <v>65</v>
      </c>
      <c r="C2034" t="s">
        <v>54</v>
      </c>
      <c r="D2034" s="2">
        <v>45930</v>
      </c>
      <c r="E2034" s="3">
        <f t="shared" si="31"/>
        <v>45901</v>
      </c>
      <c r="F2034" t="s">
        <v>1810</v>
      </c>
      <c r="H2034" s="4">
        <v>-606</v>
      </c>
      <c r="I2034" t="s">
        <v>31</v>
      </c>
      <c r="J2034" t="s">
        <v>155</v>
      </c>
      <c r="L2034" s="2">
        <v>45901</v>
      </c>
      <c r="M2034" t="s">
        <v>155</v>
      </c>
      <c r="N2034">
        <v>0</v>
      </c>
      <c r="O2034" t="s">
        <v>31</v>
      </c>
      <c r="P2034" t="s">
        <v>54</v>
      </c>
      <c r="Q2034">
        <v>0</v>
      </c>
    </row>
    <row r="2035" spans="1:17" x14ac:dyDescent="0.3">
      <c r="A2035" t="s">
        <v>17</v>
      </c>
      <c r="B2035">
        <v>67</v>
      </c>
      <c r="C2035" t="s">
        <v>28</v>
      </c>
      <c r="D2035" s="2">
        <v>45930</v>
      </c>
      <c r="E2035" s="3">
        <f t="shared" si="31"/>
        <v>45901</v>
      </c>
      <c r="F2035" t="s">
        <v>1906</v>
      </c>
      <c r="H2035" s="4">
        <v>175</v>
      </c>
      <c r="I2035" t="s">
        <v>108</v>
      </c>
      <c r="J2035" t="s">
        <v>352</v>
      </c>
      <c r="K2035" t="s">
        <v>1907</v>
      </c>
      <c r="L2035" s="2">
        <v>45901</v>
      </c>
      <c r="M2035" t="s">
        <v>352</v>
      </c>
      <c r="N2035">
        <v>0</v>
      </c>
      <c r="O2035" t="s">
        <v>111</v>
      </c>
      <c r="P2035" t="s">
        <v>28</v>
      </c>
      <c r="Q2035">
        <v>0</v>
      </c>
    </row>
    <row r="2036" spans="1:17" x14ac:dyDescent="0.3">
      <c r="A2036" t="s">
        <v>17</v>
      </c>
      <c r="B2036">
        <v>68</v>
      </c>
      <c r="C2036" t="s">
        <v>34</v>
      </c>
      <c r="D2036" s="2">
        <v>45930</v>
      </c>
      <c r="E2036" s="3">
        <f t="shared" si="31"/>
        <v>45901</v>
      </c>
      <c r="F2036" t="s">
        <v>1908</v>
      </c>
      <c r="H2036" s="4">
        <v>-48625</v>
      </c>
      <c r="I2036" t="s">
        <v>116</v>
      </c>
      <c r="J2036" t="s">
        <v>767</v>
      </c>
      <c r="K2036" t="s">
        <v>1909</v>
      </c>
      <c r="L2036" s="2">
        <v>45901</v>
      </c>
      <c r="M2036" t="s">
        <v>767</v>
      </c>
      <c r="N2036">
        <v>0</v>
      </c>
      <c r="O2036" t="s">
        <v>116</v>
      </c>
      <c r="P2036" t="s">
        <v>34</v>
      </c>
      <c r="Q2036">
        <v>0</v>
      </c>
    </row>
    <row r="2037" spans="1:17" x14ac:dyDescent="0.3">
      <c r="A2037" t="s">
        <v>17</v>
      </c>
      <c r="B2037">
        <v>67</v>
      </c>
      <c r="C2037" t="s">
        <v>28</v>
      </c>
      <c r="D2037" s="2">
        <v>45904</v>
      </c>
      <c r="E2037" s="3">
        <f t="shared" si="31"/>
        <v>45901</v>
      </c>
      <c r="F2037" t="s">
        <v>1888</v>
      </c>
      <c r="G2037" t="s">
        <v>101</v>
      </c>
      <c r="H2037" s="4">
        <v>1.1399999999999999</v>
      </c>
      <c r="I2037" t="s">
        <v>31</v>
      </c>
      <c r="J2037" t="s">
        <v>64</v>
      </c>
      <c r="K2037" t="s">
        <v>1166</v>
      </c>
      <c r="L2037" s="2">
        <v>45901</v>
      </c>
      <c r="M2037" t="s">
        <v>64</v>
      </c>
      <c r="N2037">
        <v>0</v>
      </c>
      <c r="O2037" t="s">
        <v>31</v>
      </c>
      <c r="P2037" t="s">
        <v>28</v>
      </c>
      <c r="Q2037">
        <v>0</v>
      </c>
    </row>
    <row r="2038" spans="1:17" x14ac:dyDescent="0.3">
      <c r="A2038" t="s">
        <v>17</v>
      </c>
      <c r="B2038">
        <v>67</v>
      </c>
      <c r="C2038" t="s">
        <v>28</v>
      </c>
      <c r="D2038" s="2">
        <v>45915</v>
      </c>
      <c r="E2038" s="3">
        <f t="shared" si="31"/>
        <v>45901</v>
      </c>
      <c r="F2038" t="s">
        <v>1910</v>
      </c>
      <c r="H2038" s="4">
        <v>610.49</v>
      </c>
      <c r="I2038" t="s">
        <v>31</v>
      </c>
      <c r="J2038" t="s">
        <v>64</v>
      </c>
      <c r="K2038" t="s">
        <v>168</v>
      </c>
      <c r="L2038" s="2">
        <v>45901</v>
      </c>
      <c r="M2038" t="s">
        <v>64</v>
      </c>
      <c r="N2038">
        <v>0</v>
      </c>
      <c r="O2038" t="s">
        <v>31</v>
      </c>
      <c r="P2038" t="s">
        <v>28</v>
      </c>
      <c r="Q2038">
        <v>0</v>
      </c>
    </row>
    <row r="2039" spans="1:17" x14ac:dyDescent="0.3">
      <c r="A2039" t="s">
        <v>17</v>
      </c>
      <c r="B2039">
        <v>68</v>
      </c>
      <c r="C2039" t="s">
        <v>34</v>
      </c>
      <c r="D2039" s="2">
        <v>45902</v>
      </c>
      <c r="E2039" s="3">
        <f t="shared" si="31"/>
        <v>45901</v>
      </c>
      <c r="F2039" t="s">
        <v>1911</v>
      </c>
      <c r="H2039" s="4">
        <v>-23.78</v>
      </c>
      <c r="I2039" t="s">
        <v>31</v>
      </c>
      <c r="J2039" t="s">
        <v>613</v>
      </c>
      <c r="K2039" t="s">
        <v>802</v>
      </c>
      <c r="L2039" s="2">
        <v>45901</v>
      </c>
      <c r="M2039" t="s">
        <v>613</v>
      </c>
      <c r="N2039">
        <v>0</v>
      </c>
      <c r="O2039" t="s">
        <v>31</v>
      </c>
      <c r="P2039" t="s">
        <v>34</v>
      </c>
      <c r="Q2039">
        <v>0</v>
      </c>
    </row>
    <row r="2040" spans="1:17" x14ac:dyDescent="0.3">
      <c r="A2040" t="s">
        <v>17</v>
      </c>
      <c r="B2040">
        <v>68</v>
      </c>
      <c r="C2040" t="s">
        <v>34</v>
      </c>
      <c r="D2040" s="2">
        <v>45902</v>
      </c>
      <c r="E2040" s="3">
        <f t="shared" si="31"/>
        <v>45901</v>
      </c>
      <c r="F2040" t="s">
        <v>1912</v>
      </c>
      <c r="H2040" s="4">
        <v>-1637.04</v>
      </c>
      <c r="I2040" t="s">
        <v>31</v>
      </c>
      <c r="J2040" t="s">
        <v>613</v>
      </c>
      <c r="K2040" t="s">
        <v>1913</v>
      </c>
      <c r="L2040" s="2">
        <v>45901</v>
      </c>
      <c r="M2040" t="s">
        <v>613</v>
      </c>
      <c r="N2040">
        <v>0</v>
      </c>
      <c r="O2040" t="s">
        <v>31</v>
      </c>
      <c r="P2040" t="s">
        <v>34</v>
      </c>
      <c r="Q2040">
        <v>0</v>
      </c>
    </row>
    <row r="2041" spans="1:17" x14ac:dyDescent="0.3">
      <c r="A2041" t="s">
        <v>17</v>
      </c>
      <c r="B2041">
        <v>68</v>
      </c>
      <c r="C2041" t="s">
        <v>34</v>
      </c>
      <c r="D2041" s="2">
        <v>45912</v>
      </c>
      <c r="E2041" s="3">
        <f t="shared" si="31"/>
        <v>45901</v>
      </c>
      <c r="F2041" t="s">
        <v>1914</v>
      </c>
      <c r="H2041" s="4">
        <v>9325.82</v>
      </c>
      <c r="I2041" t="s">
        <v>31</v>
      </c>
      <c r="J2041" t="s">
        <v>613</v>
      </c>
      <c r="K2041" t="s">
        <v>1915</v>
      </c>
      <c r="L2041" s="2">
        <v>45901</v>
      </c>
      <c r="M2041" t="s">
        <v>613</v>
      </c>
      <c r="N2041">
        <v>0</v>
      </c>
      <c r="O2041" t="s">
        <v>31</v>
      </c>
      <c r="P2041" t="s">
        <v>34</v>
      </c>
      <c r="Q2041">
        <v>0</v>
      </c>
    </row>
    <row r="2042" spans="1:17" x14ac:dyDescent="0.3">
      <c r="A2042" t="s">
        <v>17</v>
      </c>
      <c r="B2042">
        <v>68</v>
      </c>
      <c r="C2042" t="s">
        <v>34</v>
      </c>
      <c r="D2042" s="2">
        <v>45930</v>
      </c>
      <c r="E2042" s="3">
        <f t="shared" si="31"/>
        <v>45901</v>
      </c>
      <c r="F2042" t="s">
        <v>1916</v>
      </c>
      <c r="H2042" s="4">
        <v>-20.45</v>
      </c>
      <c r="I2042" t="s">
        <v>31</v>
      </c>
      <c r="J2042" t="s">
        <v>613</v>
      </c>
      <c r="K2042" t="s">
        <v>802</v>
      </c>
      <c r="L2042" s="2">
        <v>45901</v>
      </c>
      <c r="M2042" t="s">
        <v>613</v>
      </c>
      <c r="N2042">
        <v>0</v>
      </c>
      <c r="O2042" t="s">
        <v>31</v>
      </c>
      <c r="P2042" t="s">
        <v>34</v>
      </c>
      <c r="Q2042">
        <v>0</v>
      </c>
    </row>
    <row r="2043" spans="1:17" x14ac:dyDescent="0.3">
      <c r="A2043" t="s">
        <v>17</v>
      </c>
      <c r="B2043">
        <v>69</v>
      </c>
      <c r="C2043" t="s">
        <v>297</v>
      </c>
      <c r="D2043" s="2">
        <v>45930</v>
      </c>
      <c r="E2043" s="3">
        <f t="shared" si="31"/>
        <v>45901</v>
      </c>
      <c r="F2043" t="s">
        <v>1917</v>
      </c>
      <c r="H2043" s="4">
        <v>24.41</v>
      </c>
      <c r="I2043" t="s">
        <v>31</v>
      </c>
      <c r="J2043" t="s">
        <v>360</v>
      </c>
      <c r="L2043" s="2">
        <v>45901</v>
      </c>
      <c r="M2043" t="s">
        <v>361</v>
      </c>
      <c r="N2043">
        <v>0</v>
      </c>
      <c r="O2043" t="s">
        <v>31</v>
      </c>
      <c r="P2043" t="s">
        <v>297</v>
      </c>
      <c r="Q2043">
        <v>0</v>
      </c>
    </row>
    <row r="2044" spans="1:17" x14ac:dyDescent="0.3">
      <c r="A2044" t="s">
        <v>17</v>
      </c>
      <c r="B2044">
        <v>69</v>
      </c>
      <c r="C2044" t="s">
        <v>297</v>
      </c>
      <c r="D2044" s="2">
        <v>45930</v>
      </c>
      <c r="E2044" s="3">
        <f t="shared" si="31"/>
        <v>45901</v>
      </c>
      <c r="F2044" t="s">
        <v>1917</v>
      </c>
      <c r="H2044" s="4">
        <v>15.83</v>
      </c>
      <c r="I2044" t="s">
        <v>108</v>
      </c>
      <c r="J2044" t="s">
        <v>360</v>
      </c>
      <c r="L2044" s="2">
        <v>45901</v>
      </c>
      <c r="M2044" t="s">
        <v>361</v>
      </c>
      <c r="N2044">
        <v>0</v>
      </c>
      <c r="O2044" t="s">
        <v>111</v>
      </c>
      <c r="P2044" t="s">
        <v>297</v>
      </c>
      <c r="Q2044">
        <v>0</v>
      </c>
    </row>
    <row r="2045" spans="1:17" x14ac:dyDescent="0.3">
      <c r="A2045" t="s">
        <v>17</v>
      </c>
      <c r="B2045">
        <v>69</v>
      </c>
      <c r="C2045" t="s">
        <v>297</v>
      </c>
      <c r="D2045" s="2">
        <v>45930</v>
      </c>
      <c r="E2045" s="3">
        <f t="shared" si="31"/>
        <v>45901</v>
      </c>
      <c r="F2045" t="s">
        <v>1917</v>
      </c>
      <c r="H2045" s="4">
        <v>141.36000000000001</v>
      </c>
      <c r="I2045" t="s">
        <v>31</v>
      </c>
      <c r="J2045" t="s">
        <v>349</v>
      </c>
      <c r="L2045" s="2">
        <v>45901</v>
      </c>
      <c r="M2045" t="s">
        <v>350</v>
      </c>
      <c r="N2045">
        <v>0</v>
      </c>
      <c r="O2045" t="s">
        <v>31</v>
      </c>
      <c r="P2045" t="s">
        <v>297</v>
      </c>
      <c r="Q2045">
        <v>0</v>
      </c>
    </row>
    <row r="2046" spans="1:17" x14ac:dyDescent="0.3">
      <c r="A2046" t="s">
        <v>17</v>
      </c>
      <c r="B2046">
        <v>69</v>
      </c>
      <c r="C2046" t="s">
        <v>297</v>
      </c>
      <c r="D2046" s="2">
        <v>45930</v>
      </c>
      <c r="E2046" s="3">
        <f t="shared" si="31"/>
        <v>45901</v>
      </c>
      <c r="F2046" t="s">
        <v>1917</v>
      </c>
      <c r="H2046" s="4">
        <v>259.97000000000003</v>
      </c>
      <c r="I2046" t="s">
        <v>137</v>
      </c>
      <c r="J2046" t="s">
        <v>349</v>
      </c>
      <c r="L2046" s="2">
        <v>45901</v>
      </c>
      <c r="M2046" t="s">
        <v>350</v>
      </c>
      <c r="N2046" t="s">
        <v>141</v>
      </c>
      <c r="O2046" t="s">
        <v>141</v>
      </c>
      <c r="P2046" t="s">
        <v>297</v>
      </c>
      <c r="Q2046">
        <v>0</v>
      </c>
    </row>
    <row r="2047" spans="1:17" x14ac:dyDescent="0.3">
      <c r="A2047" t="s">
        <v>17</v>
      </c>
      <c r="B2047">
        <v>69</v>
      </c>
      <c r="C2047" t="s">
        <v>297</v>
      </c>
      <c r="D2047" s="2">
        <v>45930</v>
      </c>
      <c r="E2047" s="3">
        <f t="shared" si="31"/>
        <v>45901</v>
      </c>
      <c r="F2047" t="s">
        <v>1917</v>
      </c>
      <c r="H2047" s="4">
        <v>589.29999999999995</v>
      </c>
      <c r="I2047" t="s">
        <v>31</v>
      </c>
      <c r="J2047" t="s">
        <v>346</v>
      </c>
      <c r="L2047" s="2">
        <v>45901</v>
      </c>
      <c r="M2047" t="s">
        <v>347</v>
      </c>
      <c r="N2047">
        <v>0</v>
      </c>
      <c r="O2047" t="s">
        <v>31</v>
      </c>
      <c r="P2047" t="s">
        <v>297</v>
      </c>
      <c r="Q2047">
        <v>0</v>
      </c>
    </row>
    <row r="2048" spans="1:17" x14ac:dyDescent="0.3">
      <c r="A2048" t="s">
        <v>17</v>
      </c>
      <c r="B2048">
        <v>69</v>
      </c>
      <c r="C2048" t="s">
        <v>297</v>
      </c>
      <c r="D2048" s="2">
        <v>45930</v>
      </c>
      <c r="E2048" s="3">
        <f t="shared" si="31"/>
        <v>45901</v>
      </c>
      <c r="F2048" t="s">
        <v>1917</v>
      </c>
      <c r="H2048" s="4">
        <v>216.66</v>
      </c>
      <c r="I2048" t="s">
        <v>104</v>
      </c>
      <c r="J2048" t="s">
        <v>346</v>
      </c>
      <c r="L2048" s="2">
        <v>45901</v>
      </c>
      <c r="M2048" t="s">
        <v>347</v>
      </c>
      <c r="N2048">
        <v>0</v>
      </c>
      <c r="O2048" t="s">
        <v>104</v>
      </c>
      <c r="P2048" t="s">
        <v>297</v>
      </c>
      <c r="Q2048">
        <v>0</v>
      </c>
    </row>
    <row r="2049" spans="1:17" x14ac:dyDescent="0.3">
      <c r="A2049" t="s">
        <v>17</v>
      </c>
      <c r="B2049">
        <v>69</v>
      </c>
      <c r="C2049" t="s">
        <v>297</v>
      </c>
      <c r="D2049" s="2">
        <v>45930</v>
      </c>
      <c r="E2049" s="3">
        <f t="shared" si="31"/>
        <v>45901</v>
      </c>
      <c r="F2049" t="s">
        <v>1917</v>
      </c>
      <c r="H2049" s="4">
        <v>228.04</v>
      </c>
      <c r="I2049" t="s">
        <v>21</v>
      </c>
      <c r="J2049" t="s">
        <v>346</v>
      </c>
      <c r="L2049" s="2">
        <v>45901</v>
      </c>
      <c r="M2049" t="s">
        <v>347</v>
      </c>
      <c r="N2049" t="s">
        <v>25</v>
      </c>
      <c r="O2049" t="s">
        <v>81</v>
      </c>
      <c r="P2049" t="s">
        <v>297</v>
      </c>
      <c r="Q2049">
        <v>0</v>
      </c>
    </row>
    <row r="2050" spans="1:17" x14ac:dyDescent="0.3">
      <c r="A2050" t="s">
        <v>17</v>
      </c>
      <c r="B2050">
        <v>69</v>
      </c>
      <c r="C2050" t="s">
        <v>297</v>
      </c>
      <c r="D2050" s="2">
        <v>45930</v>
      </c>
      <c r="E2050" s="3">
        <f t="shared" si="31"/>
        <v>45901</v>
      </c>
      <c r="F2050" t="s">
        <v>1917</v>
      </c>
      <c r="H2050" s="4">
        <v>66.72</v>
      </c>
      <c r="I2050" t="s">
        <v>159</v>
      </c>
      <c r="J2050" t="s">
        <v>346</v>
      </c>
      <c r="L2050" s="2">
        <v>45901</v>
      </c>
      <c r="M2050" t="s">
        <v>347</v>
      </c>
      <c r="N2050">
        <v>0</v>
      </c>
      <c r="O2050" t="s">
        <v>159</v>
      </c>
      <c r="P2050" t="s">
        <v>297</v>
      </c>
      <c r="Q2050">
        <v>0</v>
      </c>
    </row>
    <row r="2051" spans="1:17" x14ac:dyDescent="0.3">
      <c r="A2051" t="s">
        <v>17</v>
      </c>
      <c r="B2051">
        <v>69</v>
      </c>
      <c r="C2051" t="s">
        <v>297</v>
      </c>
      <c r="D2051" s="2">
        <v>45930</v>
      </c>
      <c r="E2051" s="3">
        <f t="shared" ref="E2051:E2114" si="32">IF($D2051="","",DATE(YEAR($D2051),MONTH($D2051),1))</f>
        <v>45901</v>
      </c>
      <c r="F2051" t="s">
        <v>1917</v>
      </c>
      <c r="H2051" s="4">
        <v>189.1</v>
      </c>
      <c r="I2051" t="s">
        <v>47</v>
      </c>
      <c r="J2051" t="s">
        <v>346</v>
      </c>
      <c r="L2051" s="2">
        <v>45901</v>
      </c>
      <c r="M2051" t="s">
        <v>347</v>
      </c>
      <c r="N2051">
        <v>0</v>
      </c>
      <c r="O2051" t="s">
        <v>26</v>
      </c>
      <c r="P2051" t="s">
        <v>297</v>
      </c>
      <c r="Q2051">
        <v>0</v>
      </c>
    </row>
    <row r="2052" spans="1:17" x14ac:dyDescent="0.3">
      <c r="A2052" t="s">
        <v>17</v>
      </c>
      <c r="B2052">
        <v>69</v>
      </c>
      <c r="C2052" t="s">
        <v>297</v>
      </c>
      <c r="D2052" s="2">
        <v>45930</v>
      </c>
      <c r="E2052" s="3">
        <f t="shared" si="32"/>
        <v>45901</v>
      </c>
      <c r="F2052" t="s">
        <v>1917</v>
      </c>
      <c r="H2052" s="4">
        <v>65.48</v>
      </c>
      <c r="I2052" t="s">
        <v>348</v>
      </c>
      <c r="J2052" t="s">
        <v>346</v>
      </c>
      <c r="L2052" s="2">
        <v>45901</v>
      </c>
      <c r="M2052" t="s">
        <v>347</v>
      </c>
      <c r="N2052">
        <v>0</v>
      </c>
      <c r="O2052" t="s">
        <v>348</v>
      </c>
      <c r="P2052" t="s">
        <v>297</v>
      </c>
      <c r="Q2052">
        <v>0</v>
      </c>
    </row>
    <row r="2053" spans="1:17" x14ac:dyDescent="0.3">
      <c r="A2053" t="s">
        <v>17</v>
      </c>
      <c r="B2053">
        <v>69</v>
      </c>
      <c r="C2053" t="s">
        <v>297</v>
      </c>
      <c r="D2053" s="2">
        <v>45930</v>
      </c>
      <c r="E2053" s="3">
        <f t="shared" si="32"/>
        <v>45901</v>
      </c>
      <c r="F2053" t="s">
        <v>1917</v>
      </c>
      <c r="H2053" s="4">
        <v>156.94</v>
      </c>
      <c r="I2053" t="s">
        <v>108</v>
      </c>
      <c r="J2053" t="s">
        <v>346</v>
      </c>
      <c r="L2053" s="2">
        <v>45901</v>
      </c>
      <c r="M2053" t="s">
        <v>347</v>
      </c>
      <c r="N2053">
        <v>0</v>
      </c>
      <c r="O2053" t="s">
        <v>111</v>
      </c>
      <c r="P2053" t="s">
        <v>297</v>
      </c>
      <c r="Q2053">
        <v>0</v>
      </c>
    </row>
    <row r="2054" spans="1:17" x14ac:dyDescent="0.3">
      <c r="A2054" t="s">
        <v>17</v>
      </c>
      <c r="B2054">
        <v>69</v>
      </c>
      <c r="C2054" t="s">
        <v>297</v>
      </c>
      <c r="D2054" s="2">
        <v>45930</v>
      </c>
      <c r="E2054" s="3">
        <f t="shared" si="32"/>
        <v>45901</v>
      </c>
      <c r="F2054" t="s">
        <v>1917</v>
      </c>
      <c r="H2054" s="4">
        <v>113.67</v>
      </c>
      <c r="I2054" t="s">
        <v>137</v>
      </c>
      <c r="J2054" t="s">
        <v>346</v>
      </c>
      <c r="L2054" s="2">
        <v>45901</v>
      </c>
      <c r="M2054" t="s">
        <v>347</v>
      </c>
      <c r="N2054" t="s">
        <v>141</v>
      </c>
      <c r="O2054" t="s">
        <v>141</v>
      </c>
      <c r="P2054" t="s">
        <v>297</v>
      </c>
      <c r="Q2054">
        <v>0</v>
      </c>
    </row>
    <row r="2055" spans="1:17" x14ac:dyDescent="0.3">
      <c r="A2055" t="s">
        <v>17</v>
      </c>
      <c r="B2055">
        <v>69</v>
      </c>
      <c r="C2055" t="s">
        <v>297</v>
      </c>
      <c r="D2055" s="2">
        <v>45930</v>
      </c>
      <c r="E2055" s="3">
        <f t="shared" si="32"/>
        <v>45901</v>
      </c>
      <c r="F2055" t="s">
        <v>1918</v>
      </c>
      <c r="H2055" s="4">
        <v>1954.72</v>
      </c>
      <c r="I2055" t="s">
        <v>31</v>
      </c>
      <c r="J2055" t="s">
        <v>299</v>
      </c>
      <c r="K2055" t="s">
        <v>300</v>
      </c>
      <c r="L2055" s="2">
        <v>45901</v>
      </c>
      <c r="M2055" t="s">
        <v>301</v>
      </c>
      <c r="N2055">
        <v>0</v>
      </c>
      <c r="O2055" t="s">
        <v>31</v>
      </c>
      <c r="P2055" t="s">
        <v>297</v>
      </c>
      <c r="Q2055">
        <v>0</v>
      </c>
    </row>
    <row r="2056" spans="1:17" x14ac:dyDescent="0.3">
      <c r="A2056" t="s">
        <v>17</v>
      </c>
      <c r="B2056">
        <v>65</v>
      </c>
      <c r="C2056" t="s">
        <v>54</v>
      </c>
      <c r="D2056" s="2">
        <v>45930</v>
      </c>
      <c r="E2056" s="3">
        <f t="shared" si="32"/>
        <v>45901</v>
      </c>
      <c r="F2056" t="s">
        <v>1810</v>
      </c>
      <c r="H2056" s="4">
        <v>592.25</v>
      </c>
      <c r="I2056" t="s">
        <v>31</v>
      </c>
      <c r="J2056" t="s">
        <v>296</v>
      </c>
      <c r="L2056" s="2">
        <v>45901</v>
      </c>
      <c r="M2056" t="s">
        <v>296</v>
      </c>
      <c r="N2056">
        <v>0</v>
      </c>
      <c r="O2056" t="s">
        <v>31</v>
      </c>
      <c r="P2056" t="s">
        <v>54</v>
      </c>
      <c r="Q2056">
        <v>0</v>
      </c>
    </row>
    <row r="2057" spans="1:17" x14ac:dyDescent="0.3">
      <c r="A2057" t="s">
        <v>17</v>
      </c>
      <c r="B2057">
        <v>65</v>
      </c>
      <c r="C2057" t="s">
        <v>54</v>
      </c>
      <c r="D2057" s="2">
        <v>45930</v>
      </c>
      <c r="E2057" s="3">
        <f t="shared" si="32"/>
        <v>45901</v>
      </c>
      <c r="F2057" t="s">
        <v>1810</v>
      </c>
      <c r="H2057" s="4">
        <v>23940.66</v>
      </c>
      <c r="I2057" t="s">
        <v>31</v>
      </c>
      <c r="J2057" t="s">
        <v>296</v>
      </c>
      <c r="L2057" s="2">
        <v>45901</v>
      </c>
      <c r="M2057" t="s">
        <v>296</v>
      </c>
      <c r="N2057">
        <v>0</v>
      </c>
      <c r="O2057" t="s">
        <v>31</v>
      </c>
      <c r="P2057" t="s">
        <v>54</v>
      </c>
      <c r="Q2057">
        <v>0</v>
      </c>
    </row>
    <row r="2058" spans="1:17" x14ac:dyDescent="0.3">
      <c r="A2058" t="s">
        <v>17</v>
      </c>
      <c r="B2058">
        <v>64</v>
      </c>
      <c r="C2058" t="s">
        <v>83</v>
      </c>
      <c r="D2058" s="2">
        <v>45933</v>
      </c>
      <c r="E2058" s="3">
        <f t="shared" si="32"/>
        <v>45931</v>
      </c>
      <c r="F2058" t="s">
        <v>1919</v>
      </c>
      <c r="G2058" t="s">
        <v>174</v>
      </c>
      <c r="H2058" s="4">
        <v>103.17</v>
      </c>
      <c r="I2058" t="s">
        <v>31</v>
      </c>
      <c r="J2058" t="s">
        <v>91</v>
      </c>
      <c r="K2058" t="s">
        <v>1201</v>
      </c>
      <c r="L2058" s="2">
        <v>45931</v>
      </c>
      <c r="M2058" t="s">
        <v>93</v>
      </c>
      <c r="N2058">
        <v>0</v>
      </c>
      <c r="O2058" t="s">
        <v>31</v>
      </c>
      <c r="P2058" t="s">
        <v>83</v>
      </c>
      <c r="Q2058">
        <v>0</v>
      </c>
    </row>
    <row r="2059" spans="1:17" x14ac:dyDescent="0.3">
      <c r="A2059" t="s">
        <v>17</v>
      </c>
      <c r="B2059">
        <v>64</v>
      </c>
      <c r="C2059" t="s">
        <v>83</v>
      </c>
      <c r="D2059" s="2">
        <v>45933</v>
      </c>
      <c r="E2059" s="3">
        <f t="shared" si="32"/>
        <v>45931</v>
      </c>
      <c r="F2059" t="s">
        <v>1919</v>
      </c>
      <c r="G2059" t="s">
        <v>174</v>
      </c>
      <c r="H2059" s="4">
        <v>111.38</v>
      </c>
      <c r="I2059" t="s">
        <v>31</v>
      </c>
      <c r="J2059" t="s">
        <v>91</v>
      </c>
      <c r="K2059" t="s">
        <v>1201</v>
      </c>
      <c r="L2059" s="2">
        <v>45931</v>
      </c>
      <c r="M2059" t="s">
        <v>93</v>
      </c>
      <c r="N2059">
        <v>0</v>
      </c>
      <c r="O2059" t="s">
        <v>31</v>
      </c>
      <c r="P2059" t="s">
        <v>83</v>
      </c>
      <c r="Q2059">
        <v>0</v>
      </c>
    </row>
    <row r="2060" spans="1:17" x14ac:dyDescent="0.3">
      <c r="A2060" t="s">
        <v>17</v>
      </c>
      <c r="B2060">
        <v>64</v>
      </c>
      <c r="C2060" t="s">
        <v>83</v>
      </c>
      <c r="D2060" s="2">
        <v>45946</v>
      </c>
      <c r="E2060" s="3">
        <f t="shared" si="32"/>
        <v>45931</v>
      </c>
      <c r="F2060" t="s">
        <v>1920</v>
      </c>
      <c r="G2060" t="s">
        <v>1227</v>
      </c>
      <c r="H2060" s="4">
        <v>355.96</v>
      </c>
      <c r="I2060" t="s">
        <v>31</v>
      </c>
      <c r="J2060" t="s">
        <v>91</v>
      </c>
      <c r="K2060" t="s">
        <v>1921</v>
      </c>
      <c r="L2060" s="2">
        <v>45931</v>
      </c>
      <c r="M2060" t="s">
        <v>93</v>
      </c>
      <c r="N2060">
        <v>0</v>
      </c>
      <c r="O2060" t="s">
        <v>31</v>
      </c>
      <c r="P2060" t="s">
        <v>83</v>
      </c>
      <c r="Q2060">
        <v>0</v>
      </c>
    </row>
    <row r="2061" spans="1:17" x14ac:dyDescent="0.3">
      <c r="A2061" t="s">
        <v>17</v>
      </c>
      <c r="B2061">
        <v>64</v>
      </c>
      <c r="C2061" t="s">
        <v>83</v>
      </c>
      <c r="D2061" s="2">
        <v>45948</v>
      </c>
      <c r="E2061" s="3">
        <f t="shared" si="32"/>
        <v>45931</v>
      </c>
      <c r="F2061" t="s">
        <v>1922</v>
      </c>
      <c r="G2061" t="s">
        <v>824</v>
      </c>
      <c r="H2061" s="4">
        <v>303.52</v>
      </c>
      <c r="I2061" t="s">
        <v>108</v>
      </c>
      <c r="J2061" t="s">
        <v>91</v>
      </c>
      <c r="K2061" t="s">
        <v>825</v>
      </c>
      <c r="L2061" s="2">
        <v>45931</v>
      </c>
      <c r="M2061" t="s">
        <v>93</v>
      </c>
      <c r="N2061">
        <v>0</v>
      </c>
      <c r="O2061" t="s">
        <v>111</v>
      </c>
      <c r="P2061" t="s">
        <v>83</v>
      </c>
      <c r="Q2061">
        <v>0</v>
      </c>
    </row>
    <row r="2062" spans="1:17" x14ac:dyDescent="0.3">
      <c r="A2062" t="s">
        <v>17</v>
      </c>
      <c r="B2062">
        <v>64</v>
      </c>
      <c r="C2062" t="s">
        <v>83</v>
      </c>
      <c r="D2062" s="2">
        <v>45948</v>
      </c>
      <c r="E2062" s="3">
        <f t="shared" si="32"/>
        <v>45931</v>
      </c>
      <c r="F2062" t="s">
        <v>1922</v>
      </c>
      <c r="G2062" t="s">
        <v>824</v>
      </c>
      <c r="H2062" s="4">
        <v>3.09</v>
      </c>
      <c r="I2062" t="s">
        <v>108</v>
      </c>
      <c r="J2062" t="s">
        <v>91</v>
      </c>
      <c r="K2062" t="s">
        <v>1923</v>
      </c>
      <c r="L2062" s="2">
        <v>45931</v>
      </c>
      <c r="M2062" t="s">
        <v>93</v>
      </c>
      <c r="N2062">
        <v>0</v>
      </c>
      <c r="O2062" t="s">
        <v>111</v>
      </c>
      <c r="P2062" t="s">
        <v>83</v>
      </c>
      <c r="Q2062">
        <v>0</v>
      </c>
    </row>
    <row r="2063" spans="1:17" x14ac:dyDescent="0.3">
      <c r="A2063" t="s">
        <v>17</v>
      </c>
      <c r="B2063">
        <v>64</v>
      </c>
      <c r="C2063" t="s">
        <v>83</v>
      </c>
      <c r="D2063" s="2">
        <v>45948</v>
      </c>
      <c r="E2063" s="3">
        <f t="shared" si="32"/>
        <v>45931</v>
      </c>
      <c r="F2063" t="s">
        <v>1922</v>
      </c>
      <c r="G2063" t="s">
        <v>824</v>
      </c>
      <c r="H2063" s="4">
        <v>71.64</v>
      </c>
      <c r="I2063" t="s">
        <v>108</v>
      </c>
      <c r="J2063" t="s">
        <v>91</v>
      </c>
      <c r="K2063" t="s">
        <v>825</v>
      </c>
      <c r="L2063" s="2">
        <v>45931</v>
      </c>
      <c r="M2063" t="s">
        <v>93</v>
      </c>
      <c r="N2063">
        <v>0</v>
      </c>
      <c r="O2063" t="s">
        <v>111</v>
      </c>
      <c r="P2063" t="s">
        <v>83</v>
      </c>
      <c r="Q2063">
        <v>0</v>
      </c>
    </row>
    <row r="2064" spans="1:17" x14ac:dyDescent="0.3">
      <c r="A2064" t="s">
        <v>17</v>
      </c>
      <c r="B2064">
        <v>64</v>
      </c>
      <c r="C2064" t="s">
        <v>83</v>
      </c>
      <c r="D2064" s="2">
        <v>45958</v>
      </c>
      <c r="E2064" s="3">
        <f t="shared" si="32"/>
        <v>45931</v>
      </c>
      <c r="F2064" t="s">
        <v>1924</v>
      </c>
      <c r="H2064" s="4">
        <v>217.63</v>
      </c>
      <c r="I2064" t="s">
        <v>159</v>
      </c>
      <c r="J2064" t="s">
        <v>91</v>
      </c>
      <c r="K2064" t="s">
        <v>1925</v>
      </c>
      <c r="L2064" s="2">
        <v>45931</v>
      </c>
      <c r="M2064" t="s">
        <v>93</v>
      </c>
      <c r="N2064">
        <v>0</v>
      </c>
      <c r="O2064" t="s">
        <v>159</v>
      </c>
      <c r="P2064" t="s">
        <v>83</v>
      </c>
      <c r="Q2064">
        <v>0</v>
      </c>
    </row>
    <row r="2065" spans="1:17" x14ac:dyDescent="0.3">
      <c r="A2065" t="s">
        <v>17</v>
      </c>
      <c r="B2065">
        <v>64</v>
      </c>
      <c r="C2065" t="s">
        <v>83</v>
      </c>
      <c r="D2065" s="2">
        <v>45958</v>
      </c>
      <c r="E2065" s="3">
        <f t="shared" si="32"/>
        <v>45931</v>
      </c>
      <c r="F2065" t="s">
        <v>1924</v>
      </c>
      <c r="H2065" s="4">
        <v>41.87</v>
      </c>
      <c r="I2065" t="s">
        <v>159</v>
      </c>
      <c r="J2065" t="s">
        <v>91</v>
      </c>
      <c r="K2065" t="s">
        <v>1926</v>
      </c>
      <c r="L2065" s="2">
        <v>45931</v>
      </c>
      <c r="M2065" t="s">
        <v>93</v>
      </c>
      <c r="N2065">
        <v>0</v>
      </c>
      <c r="O2065" t="s">
        <v>159</v>
      </c>
      <c r="P2065" t="s">
        <v>83</v>
      </c>
      <c r="Q2065">
        <v>0</v>
      </c>
    </row>
    <row r="2066" spans="1:17" x14ac:dyDescent="0.3">
      <c r="A2066" t="s">
        <v>17</v>
      </c>
      <c r="B2066">
        <v>64</v>
      </c>
      <c r="C2066" t="s">
        <v>83</v>
      </c>
      <c r="D2066" s="2">
        <v>45958</v>
      </c>
      <c r="E2066" s="3">
        <f t="shared" si="32"/>
        <v>45931</v>
      </c>
      <c r="F2066" t="s">
        <v>1924</v>
      </c>
      <c r="H2066" s="4">
        <v>85.03</v>
      </c>
      <c r="I2066" t="s">
        <v>159</v>
      </c>
      <c r="J2066" t="s">
        <v>91</v>
      </c>
      <c r="K2066" t="s">
        <v>1926</v>
      </c>
      <c r="L2066" s="2">
        <v>45931</v>
      </c>
      <c r="M2066" t="s">
        <v>93</v>
      </c>
      <c r="N2066">
        <v>0</v>
      </c>
      <c r="O2066" t="s">
        <v>159</v>
      </c>
      <c r="P2066" t="s">
        <v>83</v>
      </c>
      <c r="Q2066">
        <v>0</v>
      </c>
    </row>
    <row r="2067" spans="1:17" x14ac:dyDescent="0.3">
      <c r="A2067" t="s">
        <v>17</v>
      </c>
      <c r="B2067">
        <v>64</v>
      </c>
      <c r="C2067" t="s">
        <v>83</v>
      </c>
      <c r="D2067" s="2">
        <v>45961</v>
      </c>
      <c r="E2067" s="3">
        <f t="shared" si="32"/>
        <v>45931</v>
      </c>
      <c r="F2067" t="s">
        <v>1927</v>
      </c>
      <c r="G2067" t="s">
        <v>1334</v>
      </c>
      <c r="H2067" s="4">
        <v>39.99</v>
      </c>
      <c r="I2067" t="s">
        <v>31</v>
      </c>
      <c r="J2067" t="s">
        <v>91</v>
      </c>
      <c r="K2067" t="s">
        <v>1928</v>
      </c>
      <c r="L2067" s="2">
        <v>45931</v>
      </c>
      <c r="M2067" t="s">
        <v>93</v>
      </c>
      <c r="N2067">
        <v>0</v>
      </c>
      <c r="O2067" t="s">
        <v>31</v>
      </c>
      <c r="P2067" t="s">
        <v>83</v>
      </c>
      <c r="Q2067">
        <v>0</v>
      </c>
    </row>
    <row r="2068" spans="1:17" x14ac:dyDescent="0.3">
      <c r="A2068" t="s">
        <v>17</v>
      </c>
      <c r="B2068">
        <v>64</v>
      </c>
      <c r="C2068" t="s">
        <v>83</v>
      </c>
      <c r="D2068" s="2">
        <v>45961</v>
      </c>
      <c r="E2068" s="3">
        <f t="shared" si="32"/>
        <v>45931</v>
      </c>
      <c r="F2068" t="s">
        <v>1929</v>
      </c>
      <c r="H2068" s="4">
        <v>20.54</v>
      </c>
      <c r="I2068" t="s">
        <v>104</v>
      </c>
      <c r="J2068" t="s">
        <v>91</v>
      </c>
      <c r="K2068" t="s">
        <v>1930</v>
      </c>
      <c r="L2068" s="2">
        <v>45931</v>
      </c>
      <c r="M2068" t="s">
        <v>93</v>
      </c>
      <c r="N2068">
        <v>0</v>
      </c>
      <c r="O2068" t="s">
        <v>104</v>
      </c>
      <c r="P2068" t="s">
        <v>83</v>
      </c>
      <c r="Q2068">
        <v>0</v>
      </c>
    </row>
    <row r="2069" spans="1:17" x14ac:dyDescent="0.3">
      <c r="A2069" t="s">
        <v>17</v>
      </c>
      <c r="B2069">
        <v>64</v>
      </c>
      <c r="C2069" t="s">
        <v>83</v>
      </c>
      <c r="D2069" s="2">
        <v>45961</v>
      </c>
      <c r="E2069" s="3">
        <f t="shared" si="32"/>
        <v>45931</v>
      </c>
      <c r="F2069" t="s">
        <v>1927</v>
      </c>
      <c r="G2069" t="s">
        <v>1334</v>
      </c>
      <c r="H2069" s="4">
        <v>324.52</v>
      </c>
      <c r="I2069" t="s">
        <v>31</v>
      </c>
      <c r="J2069" t="s">
        <v>91</v>
      </c>
      <c r="K2069" t="s">
        <v>1931</v>
      </c>
      <c r="L2069" s="2">
        <v>45931</v>
      </c>
      <c r="M2069" t="s">
        <v>93</v>
      </c>
      <c r="N2069">
        <v>0</v>
      </c>
      <c r="O2069" t="s">
        <v>31</v>
      </c>
      <c r="P2069" t="s">
        <v>83</v>
      </c>
      <c r="Q2069">
        <v>0</v>
      </c>
    </row>
    <row r="2070" spans="1:17" x14ac:dyDescent="0.3">
      <c r="A2070" t="s">
        <v>17</v>
      </c>
      <c r="B2070">
        <v>64</v>
      </c>
      <c r="C2070" t="s">
        <v>83</v>
      </c>
      <c r="D2070" s="2">
        <v>45961</v>
      </c>
      <c r="E2070" s="3">
        <f t="shared" si="32"/>
        <v>45931</v>
      </c>
      <c r="F2070" t="s">
        <v>1927</v>
      </c>
      <c r="G2070" t="s">
        <v>1334</v>
      </c>
      <c r="H2070" s="4">
        <v>75.33</v>
      </c>
      <c r="I2070" t="s">
        <v>31</v>
      </c>
      <c r="J2070" t="s">
        <v>91</v>
      </c>
      <c r="K2070" t="s">
        <v>1932</v>
      </c>
      <c r="L2070" s="2">
        <v>45931</v>
      </c>
      <c r="M2070" t="s">
        <v>93</v>
      </c>
      <c r="N2070">
        <v>0</v>
      </c>
      <c r="O2070" t="s">
        <v>31</v>
      </c>
      <c r="P2070" t="s">
        <v>83</v>
      </c>
      <c r="Q2070">
        <v>0</v>
      </c>
    </row>
    <row r="2071" spans="1:17" x14ac:dyDescent="0.3">
      <c r="A2071" t="s">
        <v>17</v>
      </c>
      <c r="B2071">
        <v>64</v>
      </c>
      <c r="C2071" t="s">
        <v>83</v>
      </c>
      <c r="D2071" s="2">
        <v>45961</v>
      </c>
      <c r="E2071" s="3">
        <f t="shared" si="32"/>
        <v>45931</v>
      </c>
      <c r="F2071" t="s">
        <v>1927</v>
      </c>
      <c r="G2071" t="s">
        <v>1334</v>
      </c>
      <c r="H2071" s="4">
        <v>29.92</v>
      </c>
      <c r="I2071" t="s">
        <v>31</v>
      </c>
      <c r="J2071" t="s">
        <v>91</v>
      </c>
      <c r="K2071" t="s">
        <v>1932</v>
      </c>
      <c r="L2071" s="2">
        <v>45931</v>
      </c>
      <c r="M2071" t="s">
        <v>93</v>
      </c>
      <c r="N2071">
        <v>0</v>
      </c>
      <c r="O2071" t="s">
        <v>31</v>
      </c>
      <c r="P2071" t="s">
        <v>83</v>
      </c>
      <c r="Q2071">
        <v>0</v>
      </c>
    </row>
    <row r="2072" spans="1:17" x14ac:dyDescent="0.3">
      <c r="A2072" t="s">
        <v>17</v>
      </c>
      <c r="B2072">
        <v>64</v>
      </c>
      <c r="C2072" t="s">
        <v>83</v>
      </c>
      <c r="D2072" s="2">
        <v>45946</v>
      </c>
      <c r="E2072" s="3">
        <f t="shared" si="32"/>
        <v>45931</v>
      </c>
      <c r="F2072" t="s">
        <v>1920</v>
      </c>
      <c r="G2072" t="s">
        <v>1227</v>
      </c>
      <c r="H2072" s="4">
        <v>46.69</v>
      </c>
      <c r="I2072" t="s">
        <v>47</v>
      </c>
      <c r="J2072" t="s">
        <v>87</v>
      </c>
      <c r="K2072" t="s">
        <v>1933</v>
      </c>
      <c r="L2072" s="2">
        <v>45931</v>
      </c>
      <c r="M2072" t="s">
        <v>89</v>
      </c>
      <c r="N2072">
        <v>0</v>
      </c>
      <c r="O2072" t="s">
        <v>26</v>
      </c>
      <c r="P2072" t="s">
        <v>83</v>
      </c>
      <c r="Q2072">
        <v>0</v>
      </c>
    </row>
    <row r="2073" spans="1:17" x14ac:dyDescent="0.3">
      <c r="A2073" t="s">
        <v>17</v>
      </c>
      <c r="B2073">
        <v>64</v>
      </c>
      <c r="C2073" t="s">
        <v>83</v>
      </c>
      <c r="D2073" s="2">
        <v>45946</v>
      </c>
      <c r="E2073" s="3">
        <f t="shared" si="32"/>
        <v>45931</v>
      </c>
      <c r="F2073" t="s">
        <v>1920</v>
      </c>
      <c r="G2073" t="s">
        <v>1227</v>
      </c>
      <c r="H2073" s="4">
        <v>5.45</v>
      </c>
      <c r="I2073" t="s">
        <v>47</v>
      </c>
      <c r="J2073" t="s">
        <v>87</v>
      </c>
      <c r="K2073" t="s">
        <v>1933</v>
      </c>
      <c r="L2073" s="2">
        <v>45931</v>
      </c>
      <c r="M2073" t="s">
        <v>89</v>
      </c>
      <c r="N2073">
        <v>0</v>
      </c>
      <c r="O2073" t="s">
        <v>26</v>
      </c>
      <c r="P2073" t="s">
        <v>83</v>
      </c>
      <c r="Q2073">
        <v>0</v>
      </c>
    </row>
    <row r="2074" spans="1:17" x14ac:dyDescent="0.3">
      <c r="A2074" t="s">
        <v>17</v>
      </c>
      <c r="B2074">
        <v>64</v>
      </c>
      <c r="C2074" t="s">
        <v>83</v>
      </c>
      <c r="D2074" s="2">
        <v>45946</v>
      </c>
      <c r="E2074" s="3">
        <f t="shared" si="32"/>
        <v>45931</v>
      </c>
      <c r="F2074" t="s">
        <v>1920</v>
      </c>
      <c r="G2074" t="s">
        <v>1227</v>
      </c>
      <c r="H2074" s="4">
        <v>45.68</v>
      </c>
      <c r="I2074" t="s">
        <v>47</v>
      </c>
      <c r="J2074" t="s">
        <v>87</v>
      </c>
      <c r="K2074" t="s">
        <v>1934</v>
      </c>
      <c r="L2074" s="2">
        <v>45931</v>
      </c>
      <c r="M2074" t="s">
        <v>89</v>
      </c>
      <c r="N2074">
        <v>0</v>
      </c>
      <c r="O2074" t="s">
        <v>26</v>
      </c>
      <c r="P2074" t="s">
        <v>83</v>
      </c>
      <c r="Q2074">
        <v>0</v>
      </c>
    </row>
    <row r="2075" spans="1:17" x14ac:dyDescent="0.3">
      <c r="A2075" t="s">
        <v>17</v>
      </c>
      <c r="B2075">
        <v>64</v>
      </c>
      <c r="C2075" t="s">
        <v>83</v>
      </c>
      <c r="D2075" s="2">
        <v>45946</v>
      </c>
      <c r="E2075" s="3">
        <f t="shared" si="32"/>
        <v>45931</v>
      </c>
      <c r="F2075" t="s">
        <v>1920</v>
      </c>
      <c r="G2075" t="s">
        <v>1227</v>
      </c>
      <c r="H2075" s="4">
        <v>38.19</v>
      </c>
      <c r="I2075" t="s">
        <v>47</v>
      </c>
      <c r="J2075" t="s">
        <v>87</v>
      </c>
      <c r="K2075" t="s">
        <v>1935</v>
      </c>
      <c r="L2075" s="2">
        <v>45931</v>
      </c>
      <c r="M2075" t="s">
        <v>89</v>
      </c>
      <c r="N2075">
        <v>0</v>
      </c>
      <c r="O2075" t="s">
        <v>26</v>
      </c>
      <c r="P2075" t="s">
        <v>83</v>
      </c>
      <c r="Q2075">
        <v>0</v>
      </c>
    </row>
    <row r="2076" spans="1:17" x14ac:dyDescent="0.3">
      <c r="A2076" t="s">
        <v>17</v>
      </c>
      <c r="B2076">
        <v>64</v>
      </c>
      <c r="C2076" t="s">
        <v>83</v>
      </c>
      <c r="D2076" s="2">
        <v>45958</v>
      </c>
      <c r="E2076" s="3">
        <f t="shared" si="32"/>
        <v>45931</v>
      </c>
      <c r="F2076" t="s">
        <v>1924</v>
      </c>
      <c r="H2076" s="4">
        <v>56.81</v>
      </c>
      <c r="I2076" t="s">
        <v>159</v>
      </c>
      <c r="J2076" t="s">
        <v>87</v>
      </c>
      <c r="K2076" t="s">
        <v>1926</v>
      </c>
      <c r="L2076" s="2">
        <v>45931</v>
      </c>
      <c r="M2076" t="s">
        <v>89</v>
      </c>
      <c r="N2076">
        <v>0</v>
      </c>
      <c r="O2076" t="s">
        <v>159</v>
      </c>
      <c r="P2076" t="s">
        <v>83</v>
      </c>
      <c r="Q2076">
        <v>0</v>
      </c>
    </row>
    <row r="2077" spans="1:17" x14ac:dyDescent="0.3">
      <c r="A2077" t="s">
        <v>17</v>
      </c>
      <c r="B2077">
        <v>64</v>
      </c>
      <c r="C2077" t="s">
        <v>83</v>
      </c>
      <c r="D2077" s="2">
        <v>45959</v>
      </c>
      <c r="E2077" s="3">
        <f t="shared" si="32"/>
        <v>45931</v>
      </c>
      <c r="F2077" t="s">
        <v>1936</v>
      </c>
      <c r="H2077" s="4">
        <v>11.97</v>
      </c>
      <c r="I2077" t="s">
        <v>31</v>
      </c>
      <c r="J2077" t="s">
        <v>87</v>
      </c>
      <c r="K2077" t="s">
        <v>1937</v>
      </c>
      <c r="L2077" s="2">
        <v>45931</v>
      </c>
      <c r="M2077" t="s">
        <v>89</v>
      </c>
      <c r="N2077">
        <v>0</v>
      </c>
      <c r="O2077" t="s">
        <v>31</v>
      </c>
      <c r="P2077" t="s">
        <v>83</v>
      </c>
      <c r="Q2077">
        <v>0</v>
      </c>
    </row>
    <row r="2078" spans="1:17" x14ac:dyDescent="0.3">
      <c r="A2078" t="s">
        <v>17</v>
      </c>
      <c r="B2078">
        <v>64</v>
      </c>
      <c r="C2078" t="s">
        <v>83</v>
      </c>
      <c r="D2078" s="2">
        <v>45959</v>
      </c>
      <c r="E2078" s="3">
        <f t="shared" si="32"/>
        <v>45931</v>
      </c>
      <c r="F2078" t="s">
        <v>1936</v>
      </c>
      <c r="H2078" s="4">
        <v>11.96</v>
      </c>
      <c r="I2078" t="s">
        <v>31</v>
      </c>
      <c r="J2078" t="s">
        <v>87</v>
      </c>
      <c r="K2078" t="s">
        <v>1937</v>
      </c>
      <c r="L2078" s="2">
        <v>45931</v>
      </c>
      <c r="M2078" t="s">
        <v>89</v>
      </c>
      <c r="N2078">
        <v>0</v>
      </c>
      <c r="O2078" t="s">
        <v>31</v>
      </c>
      <c r="P2078" t="s">
        <v>83</v>
      </c>
      <c r="Q2078">
        <v>0</v>
      </c>
    </row>
    <row r="2079" spans="1:17" x14ac:dyDescent="0.3">
      <c r="A2079" t="s">
        <v>17</v>
      </c>
      <c r="B2079">
        <v>64</v>
      </c>
      <c r="C2079" t="s">
        <v>83</v>
      </c>
      <c r="D2079" s="2">
        <v>45961</v>
      </c>
      <c r="E2079" s="3">
        <f t="shared" si="32"/>
        <v>45931</v>
      </c>
      <c r="F2079" t="s">
        <v>1938</v>
      </c>
      <c r="H2079" s="4">
        <v>33.57</v>
      </c>
      <c r="I2079" t="s">
        <v>47</v>
      </c>
      <c r="J2079" t="s">
        <v>87</v>
      </c>
      <c r="K2079" t="s">
        <v>1939</v>
      </c>
      <c r="L2079" s="2">
        <v>45931</v>
      </c>
      <c r="M2079" t="s">
        <v>89</v>
      </c>
      <c r="N2079">
        <v>0</v>
      </c>
      <c r="O2079" t="s">
        <v>26</v>
      </c>
      <c r="P2079" t="s">
        <v>83</v>
      </c>
      <c r="Q2079">
        <v>0</v>
      </c>
    </row>
    <row r="2080" spans="1:17" x14ac:dyDescent="0.3">
      <c r="A2080" t="s">
        <v>17</v>
      </c>
      <c r="B2080">
        <v>64</v>
      </c>
      <c r="C2080" t="s">
        <v>83</v>
      </c>
      <c r="D2080" s="2">
        <v>45961</v>
      </c>
      <c r="E2080" s="3">
        <f t="shared" si="32"/>
        <v>45931</v>
      </c>
      <c r="F2080" t="s">
        <v>1938</v>
      </c>
      <c r="H2080" s="4">
        <v>32.79</v>
      </c>
      <c r="I2080" t="s">
        <v>47</v>
      </c>
      <c r="J2080" t="s">
        <v>87</v>
      </c>
      <c r="K2080" t="s">
        <v>1940</v>
      </c>
      <c r="L2080" s="2">
        <v>45931</v>
      </c>
      <c r="M2080" t="s">
        <v>89</v>
      </c>
      <c r="N2080">
        <v>0</v>
      </c>
      <c r="O2080" t="s">
        <v>26</v>
      </c>
      <c r="P2080" t="s">
        <v>83</v>
      </c>
      <c r="Q2080">
        <v>0</v>
      </c>
    </row>
    <row r="2081" spans="1:17" x14ac:dyDescent="0.3">
      <c r="A2081" t="s">
        <v>17</v>
      </c>
      <c r="B2081">
        <v>67</v>
      </c>
      <c r="C2081" t="s">
        <v>28</v>
      </c>
      <c r="D2081" s="2">
        <v>45931</v>
      </c>
      <c r="E2081" s="3">
        <f t="shared" si="32"/>
        <v>45931</v>
      </c>
      <c r="F2081">
        <v>20900</v>
      </c>
      <c r="G2081" t="s">
        <v>52</v>
      </c>
      <c r="H2081" s="4">
        <v>18.899999999999999</v>
      </c>
      <c r="I2081" t="s">
        <v>31</v>
      </c>
      <c r="J2081" t="s">
        <v>48</v>
      </c>
      <c r="K2081" t="s">
        <v>1339</v>
      </c>
      <c r="L2081" s="2">
        <v>45931</v>
      </c>
      <c r="M2081" t="s">
        <v>50</v>
      </c>
      <c r="N2081">
        <v>0</v>
      </c>
      <c r="O2081" t="s">
        <v>31</v>
      </c>
      <c r="P2081" t="s">
        <v>28</v>
      </c>
      <c r="Q2081">
        <v>0</v>
      </c>
    </row>
    <row r="2082" spans="1:17" x14ac:dyDescent="0.3">
      <c r="A2082" t="s">
        <v>17</v>
      </c>
      <c r="B2082">
        <v>67</v>
      </c>
      <c r="C2082" t="s">
        <v>28</v>
      </c>
      <c r="D2082" s="2">
        <v>45931</v>
      </c>
      <c r="E2082" s="3">
        <f t="shared" si="32"/>
        <v>45931</v>
      </c>
      <c r="F2082">
        <v>20900</v>
      </c>
      <c r="G2082" t="s">
        <v>52</v>
      </c>
      <c r="H2082" s="4">
        <v>640</v>
      </c>
      <c r="I2082" t="s">
        <v>31</v>
      </c>
      <c r="J2082" t="s">
        <v>48</v>
      </c>
      <c r="K2082" t="s">
        <v>1340</v>
      </c>
      <c r="L2082" s="2">
        <v>45931</v>
      </c>
      <c r="M2082" t="s">
        <v>50</v>
      </c>
      <c r="N2082">
        <v>0</v>
      </c>
      <c r="O2082" t="s">
        <v>31</v>
      </c>
      <c r="P2082" t="s">
        <v>28</v>
      </c>
      <c r="Q2082">
        <v>0</v>
      </c>
    </row>
    <row r="2083" spans="1:17" x14ac:dyDescent="0.3">
      <c r="A2083" t="s">
        <v>17</v>
      </c>
      <c r="B2083">
        <v>67</v>
      </c>
      <c r="C2083" t="s">
        <v>28</v>
      </c>
      <c r="D2083" s="2">
        <v>45931</v>
      </c>
      <c r="E2083" s="3">
        <f t="shared" si="32"/>
        <v>45931</v>
      </c>
      <c r="F2083">
        <v>20900</v>
      </c>
      <c r="G2083" t="s">
        <v>52</v>
      </c>
      <c r="H2083" s="4">
        <v>9</v>
      </c>
      <c r="I2083" t="s">
        <v>31</v>
      </c>
      <c r="J2083" t="s">
        <v>48</v>
      </c>
      <c r="K2083" t="s">
        <v>1341</v>
      </c>
      <c r="L2083" s="2">
        <v>45931</v>
      </c>
      <c r="M2083" t="s">
        <v>50</v>
      </c>
      <c r="N2083">
        <v>0</v>
      </c>
      <c r="O2083" t="s">
        <v>31</v>
      </c>
      <c r="P2083" t="s">
        <v>28</v>
      </c>
      <c r="Q2083">
        <v>0</v>
      </c>
    </row>
    <row r="2084" spans="1:17" x14ac:dyDescent="0.3">
      <c r="A2084" t="s">
        <v>17</v>
      </c>
      <c r="B2084">
        <v>67</v>
      </c>
      <c r="C2084" t="s">
        <v>28</v>
      </c>
      <c r="D2084" s="2">
        <v>45931</v>
      </c>
      <c r="E2084" s="3">
        <f t="shared" si="32"/>
        <v>45931</v>
      </c>
      <c r="F2084">
        <v>20900</v>
      </c>
      <c r="G2084" t="s">
        <v>52</v>
      </c>
      <c r="H2084" s="4">
        <v>125</v>
      </c>
      <c r="I2084" t="s">
        <v>31</v>
      </c>
      <c r="J2084" t="s">
        <v>48</v>
      </c>
      <c r="K2084" t="s">
        <v>1342</v>
      </c>
      <c r="L2084" s="2">
        <v>45931</v>
      </c>
      <c r="M2084" t="s">
        <v>50</v>
      </c>
      <c r="N2084">
        <v>0</v>
      </c>
      <c r="O2084" t="s">
        <v>31</v>
      </c>
      <c r="P2084" t="s">
        <v>28</v>
      </c>
      <c r="Q2084">
        <v>0</v>
      </c>
    </row>
    <row r="2085" spans="1:17" x14ac:dyDescent="0.3">
      <c r="A2085" t="s">
        <v>17</v>
      </c>
      <c r="B2085">
        <v>67</v>
      </c>
      <c r="C2085" t="s">
        <v>28</v>
      </c>
      <c r="D2085" s="2">
        <v>45931</v>
      </c>
      <c r="E2085" s="3">
        <f t="shared" si="32"/>
        <v>45931</v>
      </c>
      <c r="F2085">
        <v>20900</v>
      </c>
      <c r="G2085" t="s">
        <v>52</v>
      </c>
      <c r="H2085" s="4">
        <v>2500</v>
      </c>
      <c r="I2085" t="s">
        <v>31</v>
      </c>
      <c r="J2085" t="s">
        <v>48</v>
      </c>
      <c r="K2085" t="s">
        <v>1343</v>
      </c>
      <c r="L2085" s="2">
        <v>45931</v>
      </c>
      <c r="M2085" t="s">
        <v>50</v>
      </c>
      <c r="N2085">
        <v>0</v>
      </c>
      <c r="O2085" t="s">
        <v>31</v>
      </c>
      <c r="P2085" t="s">
        <v>28</v>
      </c>
      <c r="Q2085">
        <v>0</v>
      </c>
    </row>
    <row r="2086" spans="1:17" x14ac:dyDescent="0.3">
      <c r="A2086" t="s">
        <v>17</v>
      </c>
      <c r="B2086">
        <v>67</v>
      </c>
      <c r="C2086" t="s">
        <v>28</v>
      </c>
      <c r="D2086" s="2">
        <v>45931</v>
      </c>
      <c r="E2086" s="3">
        <f t="shared" si="32"/>
        <v>45931</v>
      </c>
      <c r="F2086" t="s">
        <v>1941</v>
      </c>
      <c r="H2086" s="4">
        <v>-833.33</v>
      </c>
      <c r="I2086" t="s">
        <v>31</v>
      </c>
      <c r="J2086" t="s">
        <v>48</v>
      </c>
      <c r="K2086" t="s">
        <v>937</v>
      </c>
      <c r="L2086" s="2">
        <v>45931</v>
      </c>
      <c r="M2086" t="s">
        <v>50</v>
      </c>
      <c r="N2086">
        <v>0</v>
      </c>
      <c r="O2086" t="s">
        <v>31</v>
      </c>
      <c r="P2086" t="s">
        <v>28</v>
      </c>
      <c r="Q2086">
        <v>0</v>
      </c>
    </row>
    <row r="2087" spans="1:17" x14ac:dyDescent="0.3">
      <c r="A2087" t="s">
        <v>17</v>
      </c>
      <c r="B2087">
        <v>67</v>
      </c>
      <c r="C2087" t="s">
        <v>28</v>
      </c>
      <c r="D2087" s="2">
        <v>45931</v>
      </c>
      <c r="E2087" s="3">
        <f t="shared" si="32"/>
        <v>45931</v>
      </c>
      <c r="F2087" t="s">
        <v>1942</v>
      </c>
      <c r="H2087" s="4">
        <v>-833.33</v>
      </c>
      <c r="I2087" t="s">
        <v>31</v>
      </c>
      <c r="J2087" t="s">
        <v>48</v>
      </c>
      <c r="K2087" t="s">
        <v>937</v>
      </c>
      <c r="L2087" s="2">
        <v>45931</v>
      </c>
      <c r="M2087" t="s">
        <v>50</v>
      </c>
      <c r="N2087">
        <v>0</v>
      </c>
      <c r="O2087" t="s">
        <v>31</v>
      </c>
      <c r="P2087" t="s">
        <v>28</v>
      </c>
      <c r="Q2087">
        <v>0</v>
      </c>
    </row>
    <row r="2088" spans="1:17" x14ac:dyDescent="0.3">
      <c r="A2088" t="s">
        <v>17</v>
      </c>
      <c r="B2088">
        <v>67</v>
      </c>
      <c r="C2088" t="s">
        <v>28</v>
      </c>
      <c r="D2088" s="2">
        <v>45931</v>
      </c>
      <c r="E2088" s="3">
        <f t="shared" si="32"/>
        <v>45931</v>
      </c>
      <c r="F2088" t="s">
        <v>1943</v>
      </c>
      <c r="H2088" s="4">
        <v>-833.33</v>
      </c>
      <c r="I2088" t="s">
        <v>31</v>
      </c>
      <c r="J2088" t="s">
        <v>48</v>
      </c>
      <c r="K2088" t="s">
        <v>937</v>
      </c>
      <c r="L2088" s="2">
        <v>45931</v>
      </c>
      <c r="M2088" t="s">
        <v>50</v>
      </c>
      <c r="N2088">
        <v>0</v>
      </c>
      <c r="O2088" t="s">
        <v>31</v>
      </c>
      <c r="P2088" t="s">
        <v>28</v>
      </c>
      <c r="Q2088">
        <v>0</v>
      </c>
    </row>
    <row r="2089" spans="1:17" x14ac:dyDescent="0.3">
      <c r="A2089" t="s">
        <v>17</v>
      </c>
      <c r="B2089">
        <v>67</v>
      </c>
      <c r="C2089" t="s">
        <v>28</v>
      </c>
      <c r="D2089" s="2">
        <v>45938</v>
      </c>
      <c r="E2089" s="3">
        <f t="shared" si="32"/>
        <v>45931</v>
      </c>
      <c r="F2089">
        <v>7374.2539999999999</v>
      </c>
      <c r="G2089" t="s">
        <v>439</v>
      </c>
      <c r="H2089" s="4">
        <v>2500</v>
      </c>
      <c r="I2089" t="s">
        <v>31</v>
      </c>
      <c r="J2089" t="s">
        <v>48</v>
      </c>
      <c r="K2089" t="s">
        <v>440</v>
      </c>
      <c r="L2089" s="2">
        <v>45931</v>
      </c>
      <c r="M2089" t="s">
        <v>50</v>
      </c>
      <c r="N2089">
        <v>0</v>
      </c>
      <c r="O2089" t="s">
        <v>31</v>
      </c>
      <c r="P2089" t="s">
        <v>28</v>
      </c>
      <c r="Q2089">
        <v>0</v>
      </c>
    </row>
    <row r="2090" spans="1:17" x14ac:dyDescent="0.3">
      <c r="A2090" t="s">
        <v>17</v>
      </c>
      <c r="B2090">
        <v>67</v>
      </c>
      <c r="C2090" t="s">
        <v>28</v>
      </c>
      <c r="D2090" s="2">
        <v>45944</v>
      </c>
      <c r="E2090" s="3">
        <f t="shared" si="32"/>
        <v>45931</v>
      </c>
      <c r="F2090">
        <v>27286</v>
      </c>
      <c r="G2090" t="s">
        <v>673</v>
      </c>
      <c r="H2090" s="4">
        <v>71.87</v>
      </c>
      <c r="I2090" t="s">
        <v>47</v>
      </c>
      <c r="J2090" t="s">
        <v>48</v>
      </c>
      <c r="L2090" s="2">
        <v>45931</v>
      </c>
      <c r="M2090" t="s">
        <v>50</v>
      </c>
      <c r="N2090">
        <v>0</v>
      </c>
      <c r="O2090" t="s">
        <v>26</v>
      </c>
      <c r="P2090" t="s">
        <v>28</v>
      </c>
      <c r="Q2090">
        <v>0</v>
      </c>
    </row>
    <row r="2091" spans="1:17" x14ac:dyDescent="0.3">
      <c r="A2091" t="s">
        <v>17</v>
      </c>
      <c r="B2091">
        <v>67</v>
      </c>
      <c r="C2091" t="s">
        <v>28</v>
      </c>
      <c r="D2091" s="2">
        <v>45944</v>
      </c>
      <c r="E2091" s="3">
        <f t="shared" si="32"/>
        <v>45931</v>
      </c>
      <c r="F2091">
        <v>27286</v>
      </c>
      <c r="G2091" t="s">
        <v>673</v>
      </c>
      <c r="H2091" s="4">
        <v>28.65</v>
      </c>
      <c r="I2091" t="s">
        <v>47</v>
      </c>
      <c r="J2091" t="s">
        <v>48</v>
      </c>
      <c r="L2091" s="2">
        <v>45931</v>
      </c>
      <c r="M2091" t="s">
        <v>50</v>
      </c>
      <c r="N2091">
        <v>0</v>
      </c>
      <c r="O2091" t="s">
        <v>26</v>
      </c>
      <c r="P2091" t="s">
        <v>28</v>
      </c>
      <c r="Q2091">
        <v>0</v>
      </c>
    </row>
    <row r="2092" spans="1:17" x14ac:dyDescent="0.3">
      <c r="A2092" t="s">
        <v>17</v>
      </c>
      <c r="B2092">
        <v>67</v>
      </c>
      <c r="C2092" t="s">
        <v>28</v>
      </c>
      <c r="D2092" s="2">
        <v>45944</v>
      </c>
      <c r="E2092" s="3">
        <f t="shared" si="32"/>
        <v>45931</v>
      </c>
      <c r="F2092">
        <v>27286</v>
      </c>
      <c r="G2092" t="s">
        <v>673</v>
      </c>
      <c r="H2092" s="4">
        <v>32.200000000000003</v>
      </c>
      <c r="I2092" t="s">
        <v>47</v>
      </c>
      <c r="J2092" t="s">
        <v>48</v>
      </c>
      <c r="L2092" s="2">
        <v>45931</v>
      </c>
      <c r="M2092" t="s">
        <v>50</v>
      </c>
      <c r="N2092">
        <v>0</v>
      </c>
      <c r="O2092" t="s">
        <v>26</v>
      </c>
      <c r="P2092" t="s">
        <v>28</v>
      </c>
      <c r="Q2092">
        <v>0</v>
      </c>
    </row>
    <row r="2093" spans="1:17" x14ac:dyDescent="0.3">
      <c r="A2093" t="s">
        <v>17</v>
      </c>
      <c r="B2093">
        <v>67</v>
      </c>
      <c r="C2093" t="s">
        <v>28</v>
      </c>
      <c r="D2093" s="2">
        <v>45944</v>
      </c>
      <c r="E2093" s="3">
        <f t="shared" si="32"/>
        <v>45931</v>
      </c>
      <c r="F2093">
        <v>27286</v>
      </c>
      <c r="G2093" t="s">
        <v>673</v>
      </c>
      <c r="H2093" s="4">
        <v>300</v>
      </c>
      <c r="I2093" t="s">
        <v>47</v>
      </c>
      <c r="J2093" t="s">
        <v>48</v>
      </c>
      <c r="K2093" t="s">
        <v>1350</v>
      </c>
      <c r="L2093" s="2">
        <v>45931</v>
      </c>
      <c r="M2093" t="s">
        <v>50</v>
      </c>
      <c r="N2093">
        <v>0</v>
      </c>
      <c r="O2093" t="s">
        <v>26</v>
      </c>
      <c r="P2093" t="s">
        <v>28</v>
      </c>
      <c r="Q2093">
        <v>0</v>
      </c>
    </row>
    <row r="2094" spans="1:17" x14ac:dyDescent="0.3">
      <c r="A2094" t="s">
        <v>17</v>
      </c>
      <c r="B2094">
        <v>67</v>
      </c>
      <c r="C2094" t="s">
        <v>28</v>
      </c>
      <c r="D2094" s="2">
        <v>45944</v>
      </c>
      <c r="E2094" s="3">
        <f t="shared" si="32"/>
        <v>45931</v>
      </c>
      <c r="F2094">
        <v>27286</v>
      </c>
      <c r="G2094" t="s">
        <v>673</v>
      </c>
      <c r="H2094" s="4">
        <v>300</v>
      </c>
      <c r="I2094" t="s">
        <v>47</v>
      </c>
      <c r="J2094" t="s">
        <v>48</v>
      </c>
      <c r="K2094" t="s">
        <v>1351</v>
      </c>
      <c r="L2094" s="2">
        <v>45931</v>
      </c>
      <c r="M2094" t="s">
        <v>50</v>
      </c>
      <c r="N2094">
        <v>0</v>
      </c>
      <c r="O2094" t="s">
        <v>26</v>
      </c>
      <c r="P2094" t="s">
        <v>28</v>
      </c>
      <c r="Q2094">
        <v>0</v>
      </c>
    </row>
    <row r="2095" spans="1:17" x14ac:dyDescent="0.3">
      <c r="A2095" t="s">
        <v>17</v>
      </c>
      <c r="B2095">
        <v>67</v>
      </c>
      <c r="C2095" t="s">
        <v>28</v>
      </c>
      <c r="D2095" s="2">
        <v>45944</v>
      </c>
      <c r="E2095" s="3">
        <f t="shared" si="32"/>
        <v>45931</v>
      </c>
      <c r="F2095">
        <v>27286</v>
      </c>
      <c r="G2095" t="s">
        <v>673</v>
      </c>
      <c r="H2095" s="4">
        <v>-1050</v>
      </c>
      <c r="I2095" t="s">
        <v>47</v>
      </c>
      <c r="J2095" t="s">
        <v>48</v>
      </c>
      <c r="K2095" t="s">
        <v>1352</v>
      </c>
      <c r="L2095" s="2">
        <v>45931</v>
      </c>
      <c r="M2095" t="s">
        <v>50</v>
      </c>
      <c r="N2095">
        <v>0</v>
      </c>
      <c r="O2095" t="s">
        <v>26</v>
      </c>
      <c r="P2095" t="s">
        <v>28</v>
      </c>
      <c r="Q2095">
        <v>0</v>
      </c>
    </row>
    <row r="2096" spans="1:17" x14ac:dyDescent="0.3">
      <c r="A2096" t="s">
        <v>17</v>
      </c>
      <c r="B2096">
        <v>67</v>
      </c>
      <c r="C2096" t="s">
        <v>28</v>
      </c>
      <c r="D2096" s="2">
        <v>45944</v>
      </c>
      <c r="E2096" s="3">
        <f t="shared" si="32"/>
        <v>45931</v>
      </c>
      <c r="F2096">
        <v>27286</v>
      </c>
      <c r="G2096" t="s">
        <v>673</v>
      </c>
      <c r="H2096" s="4">
        <v>500</v>
      </c>
      <c r="I2096" t="s">
        <v>47</v>
      </c>
      <c r="J2096" t="s">
        <v>48</v>
      </c>
      <c r="K2096" t="s">
        <v>1353</v>
      </c>
      <c r="L2096" s="2">
        <v>45931</v>
      </c>
      <c r="M2096" t="s">
        <v>50</v>
      </c>
      <c r="N2096">
        <v>0</v>
      </c>
      <c r="O2096" t="s">
        <v>26</v>
      </c>
      <c r="P2096" t="s">
        <v>28</v>
      </c>
      <c r="Q2096">
        <v>0</v>
      </c>
    </row>
    <row r="2097" spans="1:17" x14ac:dyDescent="0.3">
      <c r="A2097" t="s">
        <v>17</v>
      </c>
      <c r="B2097">
        <v>67</v>
      </c>
      <c r="C2097" t="s">
        <v>28</v>
      </c>
      <c r="D2097" s="2">
        <v>45944</v>
      </c>
      <c r="E2097" s="3">
        <f t="shared" si="32"/>
        <v>45931</v>
      </c>
      <c r="F2097">
        <v>27286</v>
      </c>
      <c r="G2097" t="s">
        <v>673</v>
      </c>
      <c r="H2097" s="4">
        <v>10000</v>
      </c>
      <c r="I2097" t="s">
        <v>47</v>
      </c>
      <c r="J2097" t="s">
        <v>48</v>
      </c>
      <c r="K2097" t="s">
        <v>1944</v>
      </c>
      <c r="L2097" s="2">
        <v>45931</v>
      </c>
      <c r="M2097" t="s">
        <v>50</v>
      </c>
      <c r="N2097">
        <v>0</v>
      </c>
      <c r="O2097" t="s">
        <v>26</v>
      </c>
      <c r="P2097" t="s">
        <v>28</v>
      </c>
      <c r="Q2097">
        <v>0</v>
      </c>
    </row>
    <row r="2098" spans="1:17" x14ac:dyDescent="0.3">
      <c r="A2098" t="s">
        <v>17</v>
      </c>
      <c r="B2098">
        <v>67</v>
      </c>
      <c r="C2098" t="s">
        <v>28</v>
      </c>
      <c r="D2098" s="2">
        <v>45944</v>
      </c>
      <c r="E2098" s="3">
        <f t="shared" si="32"/>
        <v>45931</v>
      </c>
      <c r="F2098">
        <v>27286</v>
      </c>
      <c r="G2098" t="s">
        <v>673</v>
      </c>
      <c r="H2098" s="4">
        <v>2.99</v>
      </c>
      <c r="I2098" t="s">
        <v>47</v>
      </c>
      <c r="J2098" t="s">
        <v>48</v>
      </c>
      <c r="L2098" s="2">
        <v>45931</v>
      </c>
      <c r="M2098" t="s">
        <v>50</v>
      </c>
      <c r="N2098">
        <v>0</v>
      </c>
      <c r="O2098" t="s">
        <v>26</v>
      </c>
      <c r="P2098" t="s">
        <v>28</v>
      </c>
      <c r="Q2098">
        <v>0</v>
      </c>
    </row>
    <row r="2099" spans="1:17" x14ac:dyDescent="0.3">
      <c r="A2099" t="s">
        <v>17</v>
      </c>
      <c r="B2099">
        <v>67</v>
      </c>
      <c r="C2099" t="s">
        <v>28</v>
      </c>
      <c r="D2099" s="2">
        <v>45944</v>
      </c>
      <c r="E2099" s="3">
        <f t="shared" si="32"/>
        <v>45931</v>
      </c>
      <c r="F2099">
        <v>27286</v>
      </c>
      <c r="G2099" t="s">
        <v>673</v>
      </c>
      <c r="H2099" s="4">
        <v>218.84</v>
      </c>
      <c r="I2099" t="s">
        <v>47</v>
      </c>
      <c r="J2099" t="s">
        <v>48</v>
      </c>
      <c r="L2099" s="2">
        <v>45931</v>
      </c>
      <c r="M2099" t="s">
        <v>50</v>
      </c>
      <c r="N2099">
        <v>0</v>
      </c>
      <c r="O2099" t="s">
        <v>26</v>
      </c>
      <c r="P2099" t="s">
        <v>28</v>
      </c>
      <c r="Q2099">
        <v>0</v>
      </c>
    </row>
    <row r="2100" spans="1:17" x14ac:dyDescent="0.3">
      <c r="A2100" t="s">
        <v>17</v>
      </c>
      <c r="B2100">
        <v>67</v>
      </c>
      <c r="C2100" t="s">
        <v>28</v>
      </c>
      <c r="D2100" s="2">
        <v>45944</v>
      </c>
      <c r="E2100" s="3">
        <f t="shared" si="32"/>
        <v>45931</v>
      </c>
      <c r="F2100">
        <v>27286</v>
      </c>
      <c r="G2100" t="s">
        <v>673</v>
      </c>
      <c r="H2100" s="4">
        <v>82.74</v>
      </c>
      <c r="I2100" t="s">
        <v>47</v>
      </c>
      <c r="J2100" t="s">
        <v>48</v>
      </c>
      <c r="K2100" t="s">
        <v>1945</v>
      </c>
      <c r="L2100" s="2">
        <v>45931</v>
      </c>
      <c r="M2100" t="s">
        <v>50</v>
      </c>
      <c r="N2100">
        <v>0</v>
      </c>
      <c r="O2100" t="s">
        <v>26</v>
      </c>
      <c r="P2100" t="s">
        <v>28</v>
      </c>
      <c r="Q2100">
        <v>0</v>
      </c>
    </row>
    <row r="2101" spans="1:17" x14ac:dyDescent="0.3">
      <c r="A2101" t="s">
        <v>17</v>
      </c>
      <c r="B2101">
        <v>67</v>
      </c>
      <c r="C2101" t="s">
        <v>28</v>
      </c>
      <c r="D2101" s="2">
        <v>45944</v>
      </c>
      <c r="E2101" s="3">
        <f t="shared" si="32"/>
        <v>45931</v>
      </c>
      <c r="F2101">
        <v>27286</v>
      </c>
      <c r="G2101" t="s">
        <v>673</v>
      </c>
      <c r="H2101" s="4">
        <v>42.2</v>
      </c>
      <c r="I2101" t="s">
        <v>47</v>
      </c>
      <c r="J2101" t="s">
        <v>48</v>
      </c>
      <c r="L2101" s="2">
        <v>45931</v>
      </c>
      <c r="M2101" t="s">
        <v>50</v>
      </c>
      <c r="N2101">
        <v>0</v>
      </c>
      <c r="O2101" t="s">
        <v>26</v>
      </c>
      <c r="P2101" t="s">
        <v>28</v>
      </c>
      <c r="Q2101">
        <v>0</v>
      </c>
    </row>
    <row r="2102" spans="1:17" x14ac:dyDescent="0.3">
      <c r="A2102" t="s">
        <v>17</v>
      </c>
      <c r="B2102">
        <v>67</v>
      </c>
      <c r="C2102" t="s">
        <v>28</v>
      </c>
      <c r="D2102" s="2">
        <v>45944</v>
      </c>
      <c r="E2102" s="3">
        <f t="shared" si="32"/>
        <v>45931</v>
      </c>
      <c r="F2102">
        <v>27286</v>
      </c>
      <c r="G2102" t="s">
        <v>673</v>
      </c>
      <c r="H2102" s="4">
        <v>46.46</v>
      </c>
      <c r="I2102" t="s">
        <v>47</v>
      </c>
      <c r="J2102" t="s">
        <v>48</v>
      </c>
      <c r="L2102" s="2">
        <v>45931</v>
      </c>
      <c r="M2102" t="s">
        <v>50</v>
      </c>
      <c r="N2102">
        <v>0</v>
      </c>
      <c r="O2102" t="s">
        <v>26</v>
      </c>
      <c r="P2102" t="s">
        <v>28</v>
      </c>
      <c r="Q2102">
        <v>0</v>
      </c>
    </row>
    <row r="2103" spans="1:17" x14ac:dyDescent="0.3">
      <c r="A2103" t="s">
        <v>17</v>
      </c>
      <c r="B2103">
        <v>67</v>
      </c>
      <c r="C2103" t="s">
        <v>28</v>
      </c>
      <c r="D2103" s="2">
        <v>45944</v>
      </c>
      <c r="E2103" s="3">
        <f t="shared" si="32"/>
        <v>45931</v>
      </c>
      <c r="F2103">
        <v>27286</v>
      </c>
      <c r="G2103" t="s">
        <v>673</v>
      </c>
      <c r="H2103" s="4">
        <v>89.81</v>
      </c>
      <c r="I2103" t="s">
        <v>47</v>
      </c>
      <c r="J2103" t="s">
        <v>48</v>
      </c>
      <c r="L2103" s="2">
        <v>45931</v>
      </c>
      <c r="M2103" t="s">
        <v>50</v>
      </c>
      <c r="N2103">
        <v>0</v>
      </c>
      <c r="O2103" t="s">
        <v>26</v>
      </c>
      <c r="P2103" t="s">
        <v>28</v>
      </c>
      <c r="Q2103">
        <v>0</v>
      </c>
    </row>
    <row r="2104" spans="1:17" x14ac:dyDescent="0.3">
      <c r="A2104" t="s">
        <v>17</v>
      </c>
      <c r="B2104">
        <v>67</v>
      </c>
      <c r="C2104" t="s">
        <v>28</v>
      </c>
      <c r="D2104" s="2">
        <v>45944</v>
      </c>
      <c r="E2104" s="3">
        <f t="shared" si="32"/>
        <v>45931</v>
      </c>
      <c r="F2104">
        <v>27286</v>
      </c>
      <c r="G2104" t="s">
        <v>673</v>
      </c>
      <c r="H2104" s="4">
        <v>32.200000000000003</v>
      </c>
      <c r="I2104" t="s">
        <v>47</v>
      </c>
      <c r="J2104" t="s">
        <v>48</v>
      </c>
      <c r="L2104" s="2">
        <v>45931</v>
      </c>
      <c r="M2104" t="s">
        <v>50</v>
      </c>
      <c r="N2104">
        <v>0</v>
      </c>
      <c r="O2104" t="s">
        <v>26</v>
      </c>
      <c r="P2104" t="s">
        <v>28</v>
      </c>
      <c r="Q2104">
        <v>0</v>
      </c>
    </row>
    <row r="2105" spans="1:17" x14ac:dyDescent="0.3">
      <c r="A2105" t="s">
        <v>17</v>
      </c>
      <c r="B2105">
        <v>67</v>
      </c>
      <c r="C2105" t="s">
        <v>28</v>
      </c>
      <c r="D2105" s="2">
        <v>45944</v>
      </c>
      <c r="E2105" s="3">
        <f t="shared" si="32"/>
        <v>45931</v>
      </c>
      <c r="F2105">
        <v>27286</v>
      </c>
      <c r="G2105" t="s">
        <v>673</v>
      </c>
      <c r="H2105" s="4">
        <v>32.200000000000003</v>
      </c>
      <c r="I2105" t="s">
        <v>47</v>
      </c>
      <c r="J2105" t="s">
        <v>48</v>
      </c>
      <c r="L2105" s="2">
        <v>45931</v>
      </c>
      <c r="M2105" t="s">
        <v>50</v>
      </c>
      <c r="N2105">
        <v>0</v>
      </c>
      <c r="O2105" t="s">
        <v>26</v>
      </c>
      <c r="P2105" t="s">
        <v>28</v>
      </c>
      <c r="Q2105">
        <v>0</v>
      </c>
    </row>
    <row r="2106" spans="1:17" x14ac:dyDescent="0.3">
      <c r="A2106" t="s">
        <v>17</v>
      </c>
      <c r="B2106">
        <v>67</v>
      </c>
      <c r="C2106" t="s">
        <v>28</v>
      </c>
      <c r="D2106" s="2">
        <v>45944</v>
      </c>
      <c r="E2106" s="3">
        <f t="shared" si="32"/>
        <v>45931</v>
      </c>
      <c r="F2106">
        <v>27286</v>
      </c>
      <c r="G2106" t="s">
        <v>673</v>
      </c>
      <c r="H2106" s="4">
        <v>7.8</v>
      </c>
      <c r="I2106" t="s">
        <v>47</v>
      </c>
      <c r="J2106" t="s">
        <v>48</v>
      </c>
      <c r="K2106" t="s">
        <v>1946</v>
      </c>
      <c r="L2106" s="2">
        <v>45931</v>
      </c>
      <c r="M2106" t="s">
        <v>50</v>
      </c>
      <c r="N2106">
        <v>0</v>
      </c>
      <c r="O2106" t="s">
        <v>26</v>
      </c>
      <c r="P2106" t="s">
        <v>28</v>
      </c>
      <c r="Q2106">
        <v>0</v>
      </c>
    </row>
    <row r="2107" spans="1:17" x14ac:dyDescent="0.3">
      <c r="A2107" t="s">
        <v>17</v>
      </c>
      <c r="B2107">
        <v>67</v>
      </c>
      <c r="C2107" t="s">
        <v>28</v>
      </c>
      <c r="D2107" s="2">
        <v>45944</v>
      </c>
      <c r="E2107" s="3">
        <f t="shared" si="32"/>
        <v>45931</v>
      </c>
      <c r="F2107">
        <v>27286</v>
      </c>
      <c r="G2107" t="s">
        <v>673</v>
      </c>
      <c r="H2107" s="4">
        <v>29.91</v>
      </c>
      <c r="I2107" t="s">
        <v>47</v>
      </c>
      <c r="J2107" t="s">
        <v>48</v>
      </c>
      <c r="L2107" s="2">
        <v>45931</v>
      </c>
      <c r="M2107" t="s">
        <v>50</v>
      </c>
      <c r="N2107">
        <v>0</v>
      </c>
      <c r="O2107" t="s">
        <v>26</v>
      </c>
      <c r="P2107" t="s">
        <v>28</v>
      </c>
      <c r="Q2107">
        <v>0</v>
      </c>
    </row>
    <row r="2108" spans="1:17" x14ac:dyDescent="0.3">
      <c r="A2108" t="s">
        <v>17</v>
      </c>
      <c r="B2108">
        <v>67</v>
      </c>
      <c r="C2108" t="s">
        <v>28</v>
      </c>
      <c r="D2108" s="2">
        <v>45944</v>
      </c>
      <c r="E2108" s="3">
        <f t="shared" si="32"/>
        <v>45931</v>
      </c>
      <c r="F2108">
        <v>27286</v>
      </c>
      <c r="G2108" t="s">
        <v>673</v>
      </c>
      <c r="H2108" s="4">
        <v>42.96</v>
      </c>
      <c r="I2108" t="s">
        <v>47</v>
      </c>
      <c r="J2108" t="s">
        <v>48</v>
      </c>
      <c r="L2108" s="2">
        <v>45931</v>
      </c>
      <c r="M2108" t="s">
        <v>50</v>
      </c>
      <c r="N2108">
        <v>0</v>
      </c>
      <c r="O2108" t="s">
        <v>26</v>
      </c>
      <c r="P2108" t="s">
        <v>28</v>
      </c>
      <c r="Q2108">
        <v>0</v>
      </c>
    </row>
    <row r="2109" spans="1:17" x14ac:dyDescent="0.3">
      <c r="A2109" t="s">
        <v>17</v>
      </c>
      <c r="B2109">
        <v>67</v>
      </c>
      <c r="C2109" t="s">
        <v>28</v>
      </c>
      <c r="D2109" s="2">
        <v>45944</v>
      </c>
      <c r="E2109" s="3">
        <f t="shared" si="32"/>
        <v>45931</v>
      </c>
      <c r="F2109">
        <v>27286</v>
      </c>
      <c r="G2109" t="s">
        <v>673</v>
      </c>
      <c r="H2109" s="4">
        <v>1193.8900000000001</v>
      </c>
      <c r="I2109" t="s">
        <v>47</v>
      </c>
      <c r="J2109" t="s">
        <v>48</v>
      </c>
      <c r="L2109" s="2">
        <v>45931</v>
      </c>
      <c r="M2109" t="s">
        <v>50</v>
      </c>
      <c r="N2109">
        <v>0</v>
      </c>
      <c r="O2109" t="s">
        <v>26</v>
      </c>
      <c r="P2109" t="s">
        <v>28</v>
      </c>
      <c r="Q2109">
        <v>0</v>
      </c>
    </row>
    <row r="2110" spans="1:17" x14ac:dyDescent="0.3">
      <c r="A2110" t="s">
        <v>17</v>
      </c>
      <c r="B2110">
        <v>67</v>
      </c>
      <c r="C2110" t="s">
        <v>28</v>
      </c>
      <c r="D2110" s="2">
        <v>45944</v>
      </c>
      <c r="E2110" s="3">
        <f t="shared" si="32"/>
        <v>45931</v>
      </c>
      <c r="F2110">
        <v>27286</v>
      </c>
      <c r="G2110" t="s">
        <v>673</v>
      </c>
      <c r="H2110" s="4">
        <v>11.02</v>
      </c>
      <c r="I2110" t="s">
        <v>47</v>
      </c>
      <c r="J2110" t="s">
        <v>48</v>
      </c>
      <c r="L2110" s="2">
        <v>45931</v>
      </c>
      <c r="M2110" t="s">
        <v>50</v>
      </c>
      <c r="N2110">
        <v>0</v>
      </c>
      <c r="O2110" t="s">
        <v>26</v>
      </c>
      <c r="P2110" t="s">
        <v>28</v>
      </c>
      <c r="Q2110">
        <v>0</v>
      </c>
    </row>
    <row r="2111" spans="1:17" x14ac:dyDescent="0.3">
      <c r="A2111" t="s">
        <v>17</v>
      </c>
      <c r="B2111">
        <v>67</v>
      </c>
      <c r="C2111" t="s">
        <v>28</v>
      </c>
      <c r="D2111" s="2">
        <v>45944</v>
      </c>
      <c r="E2111" s="3">
        <f t="shared" si="32"/>
        <v>45931</v>
      </c>
      <c r="F2111">
        <v>27286</v>
      </c>
      <c r="G2111" t="s">
        <v>673</v>
      </c>
      <c r="H2111" s="4">
        <v>270.8</v>
      </c>
      <c r="I2111" t="s">
        <v>47</v>
      </c>
      <c r="J2111" t="s">
        <v>48</v>
      </c>
      <c r="L2111" s="2">
        <v>45931</v>
      </c>
      <c r="M2111" t="s">
        <v>50</v>
      </c>
      <c r="N2111">
        <v>0</v>
      </c>
      <c r="O2111" t="s">
        <v>26</v>
      </c>
      <c r="P2111" t="s">
        <v>28</v>
      </c>
      <c r="Q2111">
        <v>0</v>
      </c>
    </row>
    <row r="2112" spans="1:17" x14ac:dyDescent="0.3">
      <c r="A2112" t="s">
        <v>17</v>
      </c>
      <c r="B2112">
        <v>67</v>
      </c>
      <c r="C2112" t="s">
        <v>28</v>
      </c>
      <c r="D2112" s="2">
        <v>45944</v>
      </c>
      <c r="E2112" s="3">
        <f t="shared" si="32"/>
        <v>45931</v>
      </c>
      <c r="F2112">
        <v>27286</v>
      </c>
      <c r="G2112" t="s">
        <v>673</v>
      </c>
      <c r="H2112" s="4">
        <v>166.12</v>
      </c>
      <c r="I2112" t="s">
        <v>47</v>
      </c>
      <c r="J2112" t="s">
        <v>48</v>
      </c>
      <c r="L2112" s="2">
        <v>45931</v>
      </c>
      <c r="M2112" t="s">
        <v>50</v>
      </c>
      <c r="N2112">
        <v>0</v>
      </c>
      <c r="O2112" t="s">
        <v>26</v>
      </c>
      <c r="P2112" t="s">
        <v>28</v>
      </c>
      <c r="Q2112">
        <v>0</v>
      </c>
    </row>
    <row r="2113" spans="1:17" x14ac:dyDescent="0.3">
      <c r="A2113" t="s">
        <v>17</v>
      </c>
      <c r="B2113">
        <v>67</v>
      </c>
      <c r="C2113" t="s">
        <v>28</v>
      </c>
      <c r="D2113" s="2">
        <v>45944</v>
      </c>
      <c r="E2113" s="3">
        <f t="shared" si="32"/>
        <v>45931</v>
      </c>
      <c r="F2113">
        <v>27286</v>
      </c>
      <c r="G2113" t="s">
        <v>673</v>
      </c>
      <c r="H2113" s="4">
        <v>28.65</v>
      </c>
      <c r="I2113" t="s">
        <v>47</v>
      </c>
      <c r="J2113" t="s">
        <v>48</v>
      </c>
      <c r="L2113" s="2">
        <v>45931</v>
      </c>
      <c r="M2113" t="s">
        <v>50</v>
      </c>
      <c r="N2113">
        <v>0</v>
      </c>
      <c r="O2113" t="s">
        <v>26</v>
      </c>
      <c r="P2113" t="s">
        <v>28</v>
      </c>
      <c r="Q2113">
        <v>0</v>
      </c>
    </row>
    <row r="2114" spans="1:17" x14ac:dyDescent="0.3">
      <c r="A2114" t="s">
        <v>17</v>
      </c>
      <c r="B2114">
        <v>67</v>
      </c>
      <c r="C2114" t="s">
        <v>28</v>
      </c>
      <c r="D2114" s="2">
        <v>45944</v>
      </c>
      <c r="E2114" s="3">
        <f t="shared" si="32"/>
        <v>45931</v>
      </c>
      <c r="F2114">
        <v>27286</v>
      </c>
      <c r="G2114" t="s">
        <v>673</v>
      </c>
      <c r="H2114" s="4">
        <v>25.1</v>
      </c>
      <c r="I2114" t="s">
        <v>47</v>
      </c>
      <c r="J2114" t="s">
        <v>48</v>
      </c>
      <c r="L2114" s="2">
        <v>45931</v>
      </c>
      <c r="M2114" t="s">
        <v>50</v>
      </c>
      <c r="N2114">
        <v>0</v>
      </c>
      <c r="O2114" t="s">
        <v>26</v>
      </c>
      <c r="P2114" t="s">
        <v>28</v>
      </c>
      <c r="Q2114">
        <v>0</v>
      </c>
    </row>
    <row r="2115" spans="1:17" x14ac:dyDescent="0.3">
      <c r="A2115" t="s">
        <v>17</v>
      </c>
      <c r="B2115">
        <v>67</v>
      </c>
      <c r="C2115" t="s">
        <v>28</v>
      </c>
      <c r="D2115" s="2">
        <v>45944</v>
      </c>
      <c r="E2115" s="3">
        <f t="shared" ref="E2115:E2178" si="33">IF($D2115="","",DATE(YEAR($D2115),MONTH($D2115),1))</f>
        <v>45931</v>
      </c>
      <c r="F2115">
        <v>27286</v>
      </c>
      <c r="G2115" t="s">
        <v>673</v>
      </c>
      <c r="H2115" s="4">
        <v>35.75</v>
      </c>
      <c r="I2115" t="s">
        <v>47</v>
      </c>
      <c r="J2115" t="s">
        <v>48</v>
      </c>
      <c r="L2115" s="2">
        <v>45931</v>
      </c>
      <c r="M2115" t="s">
        <v>50</v>
      </c>
      <c r="N2115">
        <v>0</v>
      </c>
      <c r="O2115" t="s">
        <v>26</v>
      </c>
      <c r="P2115" t="s">
        <v>28</v>
      </c>
      <c r="Q2115">
        <v>0</v>
      </c>
    </row>
    <row r="2116" spans="1:17" x14ac:dyDescent="0.3">
      <c r="A2116" t="s">
        <v>17</v>
      </c>
      <c r="B2116">
        <v>67</v>
      </c>
      <c r="C2116" t="s">
        <v>28</v>
      </c>
      <c r="D2116" s="2">
        <v>45944</v>
      </c>
      <c r="E2116" s="3">
        <f t="shared" si="33"/>
        <v>45931</v>
      </c>
      <c r="F2116">
        <v>27286</v>
      </c>
      <c r="G2116" t="s">
        <v>673</v>
      </c>
      <c r="H2116" s="4">
        <v>71.81</v>
      </c>
      <c r="I2116" t="s">
        <v>47</v>
      </c>
      <c r="J2116" t="s">
        <v>48</v>
      </c>
      <c r="L2116" s="2">
        <v>45931</v>
      </c>
      <c r="M2116" t="s">
        <v>50</v>
      </c>
      <c r="N2116">
        <v>0</v>
      </c>
      <c r="O2116" t="s">
        <v>26</v>
      </c>
      <c r="P2116" t="s">
        <v>28</v>
      </c>
      <c r="Q2116">
        <v>0</v>
      </c>
    </row>
    <row r="2117" spans="1:17" x14ac:dyDescent="0.3">
      <c r="A2117" t="s">
        <v>17</v>
      </c>
      <c r="B2117">
        <v>67</v>
      </c>
      <c r="C2117" t="s">
        <v>28</v>
      </c>
      <c r="D2117" s="2">
        <v>45944</v>
      </c>
      <c r="E2117" s="3">
        <f t="shared" si="33"/>
        <v>45931</v>
      </c>
      <c r="F2117">
        <v>27286</v>
      </c>
      <c r="G2117" t="s">
        <v>673</v>
      </c>
      <c r="H2117" s="4">
        <v>35.75</v>
      </c>
      <c r="I2117" t="s">
        <v>47</v>
      </c>
      <c r="J2117" t="s">
        <v>48</v>
      </c>
      <c r="L2117" s="2">
        <v>45931</v>
      </c>
      <c r="M2117" t="s">
        <v>50</v>
      </c>
      <c r="N2117">
        <v>0</v>
      </c>
      <c r="O2117" t="s">
        <v>26</v>
      </c>
      <c r="P2117" t="s">
        <v>28</v>
      </c>
      <c r="Q2117">
        <v>0</v>
      </c>
    </row>
    <row r="2118" spans="1:17" x14ac:dyDescent="0.3">
      <c r="A2118" t="s">
        <v>17</v>
      </c>
      <c r="B2118">
        <v>67</v>
      </c>
      <c r="C2118" t="s">
        <v>28</v>
      </c>
      <c r="D2118" s="2">
        <v>45944</v>
      </c>
      <c r="E2118" s="3">
        <f t="shared" si="33"/>
        <v>45931</v>
      </c>
      <c r="F2118">
        <v>27286</v>
      </c>
      <c r="G2118" t="s">
        <v>673</v>
      </c>
      <c r="H2118" s="4">
        <v>35.75</v>
      </c>
      <c r="I2118" t="s">
        <v>47</v>
      </c>
      <c r="J2118" t="s">
        <v>48</v>
      </c>
      <c r="L2118" s="2">
        <v>45931</v>
      </c>
      <c r="M2118" t="s">
        <v>50</v>
      </c>
      <c r="N2118">
        <v>0</v>
      </c>
      <c r="O2118" t="s">
        <v>26</v>
      </c>
      <c r="P2118" t="s">
        <v>28</v>
      </c>
      <c r="Q2118">
        <v>0</v>
      </c>
    </row>
    <row r="2119" spans="1:17" x14ac:dyDescent="0.3">
      <c r="A2119" t="s">
        <v>17</v>
      </c>
      <c r="B2119">
        <v>67</v>
      </c>
      <c r="C2119" t="s">
        <v>28</v>
      </c>
      <c r="D2119" s="2">
        <v>45944</v>
      </c>
      <c r="E2119" s="3">
        <f t="shared" si="33"/>
        <v>45931</v>
      </c>
      <c r="F2119">
        <v>27286</v>
      </c>
      <c r="G2119" t="s">
        <v>673</v>
      </c>
      <c r="H2119" s="4">
        <v>81.59</v>
      </c>
      <c r="I2119" t="s">
        <v>47</v>
      </c>
      <c r="J2119" t="s">
        <v>48</v>
      </c>
      <c r="L2119" s="2">
        <v>45931</v>
      </c>
      <c r="M2119" t="s">
        <v>50</v>
      </c>
      <c r="N2119">
        <v>0</v>
      </c>
      <c r="O2119" t="s">
        <v>26</v>
      </c>
      <c r="P2119" t="s">
        <v>28</v>
      </c>
      <c r="Q2119">
        <v>0</v>
      </c>
    </row>
    <row r="2120" spans="1:17" x14ac:dyDescent="0.3">
      <c r="A2120" t="s">
        <v>17</v>
      </c>
      <c r="B2120">
        <v>67</v>
      </c>
      <c r="C2120" t="s">
        <v>28</v>
      </c>
      <c r="D2120" s="2">
        <v>45944</v>
      </c>
      <c r="E2120" s="3">
        <f t="shared" si="33"/>
        <v>45931</v>
      </c>
      <c r="F2120">
        <v>27286</v>
      </c>
      <c r="G2120" t="s">
        <v>673</v>
      </c>
      <c r="H2120" s="4">
        <v>71.87</v>
      </c>
      <c r="I2120" t="s">
        <v>47</v>
      </c>
      <c r="J2120" t="s">
        <v>48</v>
      </c>
      <c r="L2120" s="2">
        <v>45931</v>
      </c>
      <c r="M2120" t="s">
        <v>50</v>
      </c>
      <c r="N2120">
        <v>0</v>
      </c>
      <c r="O2120" t="s">
        <v>26</v>
      </c>
      <c r="P2120" t="s">
        <v>28</v>
      </c>
      <c r="Q2120">
        <v>0</v>
      </c>
    </row>
    <row r="2121" spans="1:17" x14ac:dyDescent="0.3">
      <c r="A2121" t="s">
        <v>17</v>
      </c>
      <c r="B2121">
        <v>67</v>
      </c>
      <c r="C2121" t="s">
        <v>28</v>
      </c>
      <c r="D2121" s="2">
        <v>45944</v>
      </c>
      <c r="E2121" s="3">
        <f t="shared" si="33"/>
        <v>45931</v>
      </c>
      <c r="F2121">
        <v>27286</v>
      </c>
      <c r="G2121" t="s">
        <v>673</v>
      </c>
      <c r="H2121" s="4">
        <v>28.65</v>
      </c>
      <c r="I2121" t="s">
        <v>47</v>
      </c>
      <c r="J2121" t="s">
        <v>48</v>
      </c>
      <c r="L2121" s="2">
        <v>45931</v>
      </c>
      <c r="M2121" t="s">
        <v>50</v>
      </c>
      <c r="N2121">
        <v>0</v>
      </c>
      <c r="O2121" t="s">
        <v>26</v>
      </c>
      <c r="P2121" t="s">
        <v>28</v>
      </c>
      <c r="Q2121">
        <v>0</v>
      </c>
    </row>
    <row r="2122" spans="1:17" x14ac:dyDescent="0.3">
      <c r="A2122" t="s">
        <v>17</v>
      </c>
      <c r="B2122">
        <v>67</v>
      </c>
      <c r="C2122" t="s">
        <v>28</v>
      </c>
      <c r="D2122" s="2">
        <v>45944</v>
      </c>
      <c r="E2122" s="3">
        <f t="shared" si="33"/>
        <v>45931</v>
      </c>
      <c r="F2122">
        <v>27286</v>
      </c>
      <c r="G2122" t="s">
        <v>673</v>
      </c>
      <c r="H2122" s="4">
        <v>63.48</v>
      </c>
      <c r="I2122" t="s">
        <v>47</v>
      </c>
      <c r="J2122" t="s">
        <v>48</v>
      </c>
      <c r="L2122" s="2">
        <v>45931</v>
      </c>
      <c r="M2122" t="s">
        <v>50</v>
      </c>
      <c r="N2122">
        <v>0</v>
      </c>
      <c r="O2122" t="s">
        <v>26</v>
      </c>
      <c r="P2122" t="s">
        <v>28</v>
      </c>
      <c r="Q2122">
        <v>0</v>
      </c>
    </row>
    <row r="2123" spans="1:17" x14ac:dyDescent="0.3">
      <c r="A2123" t="s">
        <v>17</v>
      </c>
      <c r="B2123">
        <v>67</v>
      </c>
      <c r="C2123" t="s">
        <v>28</v>
      </c>
      <c r="D2123" s="2">
        <v>45944</v>
      </c>
      <c r="E2123" s="3">
        <f t="shared" si="33"/>
        <v>45931</v>
      </c>
      <c r="F2123">
        <v>27286</v>
      </c>
      <c r="G2123" t="s">
        <v>673</v>
      </c>
      <c r="H2123" s="4">
        <v>59.39</v>
      </c>
      <c r="I2123" t="s">
        <v>47</v>
      </c>
      <c r="J2123" t="s">
        <v>48</v>
      </c>
      <c r="L2123" s="2">
        <v>45931</v>
      </c>
      <c r="M2123" t="s">
        <v>50</v>
      </c>
      <c r="N2123">
        <v>0</v>
      </c>
      <c r="O2123" t="s">
        <v>26</v>
      </c>
      <c r="P2123" t="s">
        <v>28</v>
      </c>
      <c r="Q2123">
        <v>0</v>
      </c>
    </row>
    <row r="2124" spans="1:17" x14ac:dyDescent="0.3">
      <c r="A2124" t="s">
        <v>17</v>
      </c>
      <c r="B2124">
        <v>67</v>
      </c>
      <c r="C2124" t="s">
        <v>28</v>
      </c>
      <c r="D2124" s="2">
        <v>45944</v>
      </c>
      <c r="E2124" s="3">
        <f t="shared" si="33"/>
        <v>45931</v>
      </c>
      <c r="F2124">
        <v>27286</v>
      </c>
      <c r="G2124" t="s">
        <v>673</v>
      </c>
      <c r="H2124" s="4">
        <v>32.200000000000003</v>
      </c>
      <c r="I2124" t="s">
        <v>47</v>
      </c>
      <c r="J2124" t="s">
        <v>48</v>
      </c>
      <c r="L2124" s="2">
        <v>45931</v>
      </c>
      <c r="M2124" t="s">
        <v>50</v>
      </c>
      <c r="N2124">
        <v>0</v>
      </c>
      <c r="O2124" t="s">
        <v>26</v>
      </c>
      <c r="P2124" t="s">
        <v>28</v>
      </c>
      <c r="Q2124">
        <v>0</v>
      </c>
    </row>
    <row r="2125" spans="1:17" x14ac:dyDescent="0.3">
      <c r="A2125" t="s">
        <v>17</v>
      </c>
      <c r="B2125">
        <v>67</v>
      </c>
      <c r="C2125" t="s">
        <v>28</v>
      </c>
      <c r="D2125" s="2">
        <v>45961</v>
      </c>
      <c r="E2125" s="3">
        <f t="shared" si="33"/>
        <v>45931</v>
      </c>
      <c r="F2125">
        <v>1120867</v>
      </c>
      <c r="G2125" t="s">
        <v>283</v>
      </c>
      <c r="H2125" s="4">
        <v>134.25</v>
      </c>
      <c r="I2125" t="s">
        <v>31</v>
      </c>
      <c r="J2125" t="s">
        <v>48</v>
      </c>
      <c r="K2125" t="s">
        <v>1947</v>
      </c>
      <c r="L2125" s="2">
        <v>45931</v>
      </c>
      <c r="M2125" t="s">
        <v>50</v>
      </c>
      <c r="N2125">
        <v>0</v>
      </c>
      <c r="O2125" t="s">
        <v>31</v>
      </c>
      <c r="P2125" t="s">
        <v>28</v>
      </c>
      <c r="Q2125">
        <v>0</v>
      </c>
    </row>
    <row r="2126" spans="1:17" x14ac:dyDescent="0.3">
      <c r="A2126" t="s">
        <v>17</v>
      </c>
      <c r="B2126">
        <v>67</v>
      </c>
      <c r="C2126" t="s">
        <v>28</v>
      </c>
      <c r="D2126" s="2">
        <v>45961</v>
      </c>
      <c r="E2126" s="3">
        <f t="shared" si="33"/>
        <v>45931</v>
      </c>
      <c r="F2126">
        <v>1120867</v>
      </c>
      <c r="G2126" t="s">
        <v>283</v>
      </c>
      <c r="H2126" s="4">
        <v>13.75</v>
      </c>
      <c r="I2126" t="s">
        <v>31</v>
      </c>
      <c r="J2126" t="s">
        <v>48</v>
      </c>
      <c r="K2126" t="s">
        <v>1948</v>
      </c>
      <c r="L2126" s="2">
        <v>45931</v>
      </c>
      <c r="M2126" t="s">
        <v>50</v>
      </c>
      <c r="N2126">
        <v>0</v>
      </c>
      <c r="O2126" t="s">
        <v>31</v>
      </c>
      <c r="P2126" t="s">
        <v>28</v>
      </c>
      <c r="Q2126">
        <v>0</v>
      </c>
    </row>
    <row r="2127" spans="1:17" x14ac:dyDescent="0.3">
      <c r="A2127" t="s">
        <v>17</v>
      </c>
      <c r="B2127">
        <v>67</v>
      </c>
      <c r="C2127" t="s">
        <v>28</v>
      </c>
      <c r="D2127" s="2">
        <v>45961</v>
      </c>
      <c r="E2127" s="3">
        <f t="shared" si="33"/>
        <v>45931</v>
      </c>
      <c r="F2127">
        <v>1120867</v>
      </c>
      <c r="G2127" t="s">
        <v>283</v>
      </c>
      <c r="H2127" s="4">
        <v>27</v>
      </c>
      <c r="I2127" t="s">
        <v>31</v>
      </c>
      <c r="J2127" t="s">
        <v>48</v>
      </c>
      <c r="K2127" t="s">
        <v>1949</v>
      </c>
      <c r="L2127" s="2">
        <v>45931</v>
      </c>
      <c r="M2127" t="s">
        <v>50</v>
      </c>
      <c r="N2127">
        <v>0</v>
      </c>
      <c r="O2127" t="s">
        <v>31</v>
      </c>
      <c r="P2127" t="s">
        <v>28</v>
      </c>
      <c r="Q2127">
        <v>0</v>
      </c>
    </row>
    <row r="2128" spans="1:17" x14ac:dyDescent="0.3">
      <c r="A2128" t="s">
        <v>17</v>
      </c>
      <c r="B2128">
        <v>67</v>
      </c>
      <c r="C2128" t="s">
        <v>28</v>
      </c>
      <c r="D2128" s="2">
        <v>45961</v>
      </c>
      <c r="E2128" s="3">
        <f t="shared" si="33"/>
        <v>45931</v>
      </c>
      <c r="F2128" t="s">
        <v>1950</v>
      </c>
      <c r="H2128" s="4">
        <v>833.33</v>
      </c>
      <c r="I2128" t="s">
        <v>31</v>
      </c>
      <c r="J2128" t="s">
        <v>48</v>
      </c>
      <c r="K2128" t="s">
        <v>937</v>
      </c>
      <c r="L2128" s="2">
        <v>45931</v>
      </c>
      <c r="M2128" t="s">
        <v>50</v>
      </c>
      <c r="N2128">
        <v>0</v>
      </c>
      <c r="O2128" t="s">
        <v>31</v>
      </c>
      <c r="P2128" t="s">
        <v>28</v>
      </c>
      <c r="Q2128">
        <v>0</v>
      </c>
    </row>
    <row r="2129" spans="1:17" x14ac:dyDescent="0.3">
      <c r="A2129" t="s">
        <v>17</v>
      </c>
      <c r="B2129">
        <v>63</v>
      </c>
      <c r="C2129" t="s">
        <v>18</v>
      </c>
      <c r="D2129" s="2">
        <v>45946</v>
      </c>
      <c r="E2129" s="3">
        <f t="shared" si="33"/>
        <v>45931</v>
      </c>
      <c r="F2129" t="s">
        <v>1920</v>
      </c>
      <c r="G2129" t="s">
        <v>1227</v>
      </c>
      <c r="H2129" s="4">
        <v>256.11</v>
      </c>
      <c r="I2129" t="s">
        <v>47</v>
      </c>
      <c r="J2129" t="s">
        <v>272</v>
      </c>
      <c r="K2129" t="s">
        <v>1951</v>
      </c>
      <c r="L2129" s="2">
        <v>45931</v>
      </c>
      <c r="M2129" t="s">
        <v>272</v>
      </c>
      <c r="N2129">
        <v>0</v>
      </c>
      <c r="O2129" t="s">
        <v>26</v>
      </c>
      <c r="P2129" t="s">
        <v>18</v>
      </c>
      <c r="Q2129" t="s">
        <v>274</v>
      </c>
    </row>
    <row r="2130" spans="1:17" x14ac:dyDescent="0.3">
      <c r="A2130" t="s">
        <v>17</v>
      </c>
      <c r="B2130">
        <v>63</v>
      </c>
      <c r="C2130" t="s">
        <v>18</v>
      </c>
      <c r="D2130" s="2">
        <v>45946</v>
      </c>
      <c r="E2130" s="3">
        <f t="shared" si="33"/>
        <v>45931</v>
      </c>
      <c r="F2130" t="s">
        <v>1920</v>
      </c>
      <c r="G2130" t="s">
        <v>1227</v>
      </c>
      <c r="H2130" s="4">
        <v>77.3</v>
      </c>
      <c r="I2130" t="s">
        <v>47</v>
      </c>
      <c r="J2130" t="s">
        <v>272</v>
      </c>
      <c r="K2130" t="s">
        <v>1952</v>
      </c>
      <c r="L2130" s="2">
        <v>45931</v>
      </c>
      <c r="M2130" t="s">
        <v>272</v>
      </c>
      <c r="N2130">
        <v>0</v>
      </c>
      <c r="O2130" t="s">
        <v>26</v>
      </c>
      <c r="P2130" t="s">
        <v>18</v>
      </c>
      <c r="Q2130" t="s">
        <v>274</v>
      </c>
    </row>
    <row r="2131" spans="1:17" x14ac:dyDescent="0.3">
      <c r="A2131" t="s">
        <v>17</v>
      </c>
      <c r="B2131">
        <v>63</v>
      </c>
      <c r="C2131" t="s">
        <v>18</v>
      </c>
      <c r="D2131" s="2">
        <v>45946</v>
      </c>
      <c r="E2131" s="3">
        <f t="shared" si="33"/>
        <v>45931</v>
      </c>
      <c r="F2131" t="s">
        <v>1920</v>
      </c>
      <c r="G2131" t="s">
        <v>1227</v>
      </c>
      <c r="H2131" s="4">
        <v>415.29</v>
      </c>
      <c r="I2131" t="s">
        <v>47</v>
      </c>
      <c r="J2131" t="s">
        <v>272</v>
      </c>
      <c r="K2131" t="s">
        <v>1951</v>
      </c>
      <c r="L2131" s="2">
        <v>45931</v>
      </c>
      <c r="M2131" t="s">
        <v>272</v>
      </c>
      <c r="N2131">
        <v>0</v>
      </c>
      <c r="O2131" t="s">
        <v>26</v>
      </c>
      <c r="P2131" t="s">
        <v>18</v>
      </c>
      <c r="Q2131" t="s">
        <v>274</v>
      </c>
    </row>
    <row r="2132" spans="1:17" x14ac:dyDescent="0.3">
      <c r="A2132" t="s">
        <v>17</v>
      </c>
      <c r="B2132">
        <v>63</v>
      </c>
      <c r="C2132" t="s">
        <v>18</v>
      </c>
      <c r="D2132" s="2">
        <v>45946</v>
      </c>
      <c r="E2132" s="3">
        <f t="shared" si="33"/>
        <v>45931</v>
      </c>
      <c r="F2132" t="s">
        <v>1920</v>
      </c>
      <c r="G2132" t="s">
        <v>1227</v>
      </c>
      <c r="H2132" s="4">
        <v>62.98</v>
      </c>
      <c r="I2132" t="s">
        <v>47</v>
      </c>
      <c r="J2132" t="s">
        <v>272</v>
      </c>
      <c r="K2132" t="s">
        <v>1953</v>
      </c>
      <c r="L2132" s="2">
        <v>45931</v>
      </c>
      <c r="M2132" t="s">
        <v>272</v>
      </c>
      <c r="N2132">
        <v>0</v>
      </c>
      <c r="O2132" t="s">
        <v>26</v>
      </c>
      <c r="P2132" t="s">
        <v>18</v>
      </c>
      <c r="Q2132" t="s">
        <v>274</v>
      </c>
    </row>
    <row r="2133" spans="1:17" x14ac:dyDescent="0.3">
      <c r="A2133" t="s">
        <v>17</v>
      </c>
      <c r="B2133">
        <v>63</v>
      </c>
      <c r="C2133" t="s">
        <v>18</v>
      </c>
      <c r="D2133" s="2">
        <v>45947</v>
      </c>
      <c r="E2133" s="3">
        <f t="shared" si="33"/>
        <v>45931</v>
      </c>
      <c r="F2133" t="s">
        <v>1954</v>
      </c>
      <c r="G2133" t="s">
        <v>1955</v>
      </c>
      <c r="H2133" s="4">
        <v>5500</v>
      </c>
      <c r="I2133" t="s">
        <v>47</v>
      </c>
      <c r="J2133" t="s">
        <v>272</v>
      </c>
      <c r="K2133" t="s">
        <v>1956</v>
      </c>
      <c r="L2133" s="2">
        <v>45931</v>
      </c>
      <c r="M2133" t="s">
        <v>272</v>
      </c>
      <c r="N2133">
        <v>0</v>
      </c>
      <c r="O2133" t="s">
        <v>26</v>
      </c>
      <c r="P2133" t="s">
        <v>18</v>
      </c>
      <c r="Q2133" t="s">
        <v>274</v>
      </c>
    </row>
    <row r="2134" spans="1:17" x14ac:dyDescent="0.3">
      <c r="A2134" t="s">
        <v>17</v>
      </c>
      <c r="B2134">
        <v>63</v>
      </c>
      <c r="C2134" t="s">
        <v>18</v>
      </c>
      <c r="D2134" s="2">
        <v>45947</v>
      </c>
      <c r="E2134" s="3">
        <f t="shared" si="33"/>
        <v>45931</v>
      </c>
      <c r="F2134">
        <v>1352</v>
      </c>
      <c r="G2134" t="s">
        <v>1957</v>
      </c>
      <c r="H2134" s="4">
        <v>3600</v>
      </c>
      <c r="I2134" t="s">
        <v>47</v>
      </c>
      <c r="J2134" t="s">
        <v>272</v>
      </c>
      <c r="K2134" t="s">
        <v>1958</v>
      </c>
      <c r="L2134" s="2">
        <v>45931</v>
      </c>
      <c r="M2134" t="s">
        <v>272</v>
      </c>
      <c r="N2134">
        <v>0</v>
      </c>
      <c r="O2134" t="s">
        <v>26</v>
      </c>
      <c r="P2134" t="s">
        <v>18</v>
      </c>
      <c r="Q2134" t="s">
        <v>274</v>
      </c>
    </row>
    <row r="2135" spans="1:17" x14ac:dyDescent="0.3">
      <c r="A2135" t="s">
        <v>17</v>
      </c>
      <c r="B2135">
        <v>63</v>
      </c>
      <c r="C2135" t="s">
        <v>18</v>
      </c>
      <c r="D2135" s="2">
        <v>45947</v>
      </c>
      <c r="E2135" s="3">
        <f t="shared" si="33"/>
        <v>45931</v>
      </c>
      <c r="F2135">
        <v>1352</v>
      </c>
      <c r="G2135" t="s">
        <v>1957</v>
      </c>
      <c r="H2135" s="4">
        <v>6000</v>
      </c>
      <c r="I2135" t="s">
        <v>47</v>
      </c>
      <c r="J2135" t="s">
        <v>272</v>
      </c>
      <c r="K2135" t="s">
        <v>1959</v>
      </c>
      <c r="L2135" s="2">
        <v>45931</v>
      </c>
      <c r="M2135" t="s">
        <v>272</v>
      </c>
      <c r="N2135">
        <v>0</v>
      </c>
      <c r="O2135" t="s">
        <v>26</v>
      </c>
      <c r="P2135" t="s">
        <v>18</v>
      </c>
      <c r="Q2135" t="s">
        <v>274</v>
      </c>
    </row>
    <row r="2136" spans="1:17" x14ac:dyDescent="0.3">
      <c r="A2136" t="s">
        <v>17</v>
      </c>
      <c r="B2136">
        <v>63</v>
      </c>
      <c r="C2136" t="s">
        <v>18</v>
      </c>
      <c r="D2136" s="2">
        <v>45951</v>
      </c>
      <c r="E2136" s="3">
        <f t="shared" si="33"/>
        <v>45931</v>
      </c>
      <c r="F2136">
        <v>10010</v>
      </c>
      <c r="G2136" t="s">
        <v>1960</v>
      </c>
      <c r="H2136" s="4">
        <v>350</v>
      </c>
      <c r="I2136" t="s">
        <v>47</v>
      </c>
      <c r="J2136" t="s">
        <v>272</v>
      </c>
      <c r="K2136" t="s">
        <v>274</v>
      </c>
      <c r="L2136" s="2">
        <v>45931</v>
      </c>
      <c r="M2136" t="s">
        <v>272</v>
      </c>
      <c r="N2136">
        <v>0</v>
      </c>
      <c r="O2136" t="s">
        <v>26</v>
      </c>
      <c r="P2136" t="s">
        <v>18</v>
      </c>
      <c r="Q2136" t="s">
        <v>274</v>
      </c>
    </row>
    <row r="2137" spans="1:17" x14ac:dyDescent="0.3">
      <c r="A2137" t="s">
        <v>17</v>
      </c>
      <c r="B2137">
        <v>63</v>
      </c>
      <c r="C2137" t="s">
        <v>18</v>
      </c>
      <c r="D2137" s="2">
        <v>45954</v>
      </c>
      <c r="E2137" s="3">
        <f t="shared" si="33"/>
        <v>45931</v>
      </c>
      <c r="F2137" t="s">
        <v>1961</v>
      </c>
      <c r="G2137" t="s">
        <v>1962</v>
      </c>
      <c r="H2137" s="4">
        <v>200</v>
      </c>
      <c r="I2137" t="s">
        <v>47</v>
      </c>
      <c r="J2137" t="s">
        <v>272</v>
      </c>
      <c r="K2137" t="s">
        <v>1963</v>
      </c>
      <c r="L2137" s="2">
        <v>45931</v>
      </c>
      <c r="M2137" t="s">
        <v>272</v>
      </c>
      <c r="N2137">
        <v>0</v>
      </c>
      <c r="O2137" t="s">
        <v>26</v>
      </c>
      <c r="P2137" t="s">
        <v>18</v>
      </c>
      <c r="Q2137" t="s">
        <v>274</v>
      </c>
    </row>
    <row r="2138" spans="1:17" x14ac:dyDescent="0.3">
      <c r="A2138" t="s">
        <v>17</v>
      </c>
      <c r="B2138">
        <v>63</v>
      </c>
      <c r="C2138" t="s">
        <v>18</v>
      </c>
      <c r="D2138" s="2">
        <v>45961</v>
      </c>
      <c r="E2138" s="3">
        <f t="shared" si="33"/>
        <v>45931</v>
      </c>
      <c r="F2138" t="s">
        <v>1938</v>
      </c>
      <c r="G2138" t="s">
        <v>1964</v>
      </c>
      <c r="H2138" s="4">
        <v>29.43</v>
      </c>
      <c r="I2138" t="s">
        <v>47</v>
      </c>
      <c r="J2138" t="s">
        <v>272</v>
      </c>
      <c r="K2138" t="s">
        <v>1965</v>
      </c>
      <c r="L2138" s="2">
        <v>45931</v>
      </c>
      <c r="M2138" t="s">
        <v>272</v>
      </c>
      <c r="N2138">
        <v>0</v>
      </c>
      <c r="O2138" t="s">
        <v>26</v>
      </c>
      <c r="P2138" t="s">
        <v>18</v>
      </c>
      <c r="Q2138" t="s">
        <v>274</v>
      </c>
    </row>
    <row r="2139" spans="1:17" x14ac:dyDescent="0.3">
      <c r="A2139" t="s">
        <v>17</v>
      </c>
      <c r="B2139">
        <v>63</v>
      </c>
      <c r="C2139" t="s">
        <v>18</v>
      </c>
      <c r="D2139" s="2">
        <v>45961</v>
      </c>
      <c r="E2139" s="3">
        <f t="shared" si="33"/>
        <v>45931</v>
      </c>
      <c r="F2139" t="s">
        <v>1938</v>
      </c>
      <c r="G2139" t="s">
        <v>1964</v>
      </c>
      <c r="H2139" s="4">
        <v>15.34</v>
      </c>
      <c r="I2139" t="s">
        <v>47</v>
      </c>
      <c r="J2139" t="s">
        <v>272</v>
      </c>
      <c r="K2139" t="s">
        <v>1965</v>
      </c>
      <c r="L2139" s="2">
        <v>45931</v>
      </c>
      <c r="M2139" t="s">
        <v>272</v>
      </c>
      <c r="N2139">
        <v>0</v>
      </c>
      <c r="O2139" t="s">
        <v>26</v>
      </c>
      <c r="P2139" t="s">
        <v>18</v>
      </c>
      <c r="Q2139" t="s">
        <v>274</v>
      </c>
    </row>
    <row r="2140" spans="1:17" x14ac:dyDescent="0.3">
      <c r="A2140" t="s">
        <v>17</v>
      </c>
      <c r="B2140">
        <v>63</v>
      </c>
      <c r="C2140" t="s">
        <v>18</v>
      </c>
      <c r="D2140" s="2">
        <v>45961</v>
      </c>
      <c r="E2140" s="3">
        <f t="shared" si="33"/>
        <v>45931</v>
      </c>
      <c r="F2140" t="s">
        <v>1938</v>
      </c>
      <c r="G2140" t="s">
        <v>1964</v>
      </c>
      <c r="H2140" s="4">
        <v>53.88</v>
      </c>
      <c r="I2140" t="s">
        <v>47</v>
      </c>
      <c r="J2140" t="s">
        <v>272</v>
      </c>
      <c r="K2140" t="s">
        <v>1966</v>
      </c>
      <c r="L2140" s="2">
        <v>45931</v>
      </c>
      <c r="M2140" t="s">
        <v>272</v>
      </c>
      <c r="N2140">
        <v>0</v>
      </c>
      <c r="O2140" t="s">
        <v>26</v>
      </c>
      <c r="P2140" t="s">
        <v>18</v>
      </c>
      <c r="Q2140" t="s">
        <v>274</v>
      </c>
    </row>
    <row r="2141" spans="1:17" x14ac:dyDescent="0.3">
      <c r="A2141" t="s">
        <v>17</v>
      </c>
      <c r="B2141">
        <v>63</v>
      </c>
      <c r="C2141" t="s">
        <v>18</v>
      </c>
      <c r="D2141" s="2">
        <v>45961</v>
      </c>
      <c r="E2141" s="3">
        <f t="shared" si="33"/>
        <v>45931</v>
      </c>
      <c r="F2141" t="s">
        <v>1967</v>
      </c>
      <c r="H2141" s="4">
        <v>28833.33</v>
      </c>
      <c r="I2141" t="s">
        <v>47</v>
      </c>
      <c r="J2141" t="s">
        <v>272</v>
      </c>
      <c r="K2141" t="s">
        <v>1782</v>
      </c>
      <c r="L2141" s="2">
        <v>45931</v>
      </c>
      <c r="M2141" t="s">
        <v>272</v>
      </c>
      <c r="N2141">
        <v>0</v>
      </c>
      <c r="O2141" t="s">
        <v>26</v>
      </c>
      <c r="P2141" t="s">
        <v>18</v>
      </c>
      <c r="Q2141" t="s">
        <v>274</v>
      </c>
    </row>
    <row r="2142" spans="1:17" x14ac:dyDescent="0.3">
      <c r="A2142" t="s">
        <v>17</v>
      </c>
      <c r="B2142">
        <v>63</v>
      </c>
      <c r="C2142" t="s">
        <v>18</v>
      </c>
      <c r="D2142" s="2">
        <v>45961</v>
      </c>
      <c r="E2142" s="3">
        <f t="shared" si="33"/>
        <v>45931</v>
      </c>
      <c r="F2142" t="s">
        <v>1968</v>
      </c>
      <c r="H2142" s="4">
        <v>3333.33</v>
      </c>
      <c r="I2142" t="s">
        <v>47</v>
      </c>
      <c r="J2142" t="s">
        <v>331</v>
      </c>
      <c r="K2142" t="s">
        <v>1969</v>
      </c>
      <c r="L2142" s="2">
        <v>45931</v>
      </c>
      <c r="M2142" t="s">
        <v>333</v>
      </c>
      <c r="N2142">
        <v>0</v>
      </c>
      <c r="O2142" t="s">
        <v>26</v>
      </c>
      <c r="P2142" t="s">
        <v>18</v>
      </c>
      <c r="Q2142" t="s">
        <v>18</v>
      </c>
    </row>
    <row r="2143" spans="1:17" x14ac:dyDescent="0.3">
      <c r="A2143" t="s">
        <v>17</v>
      </c>
      <c r="B2143">
        <v>63</v>
      </c>
      <c r="C2143" t="s">
        <v>18</v>
      </c>
      <c r="D2143" s="2">
        <v>45950</v>
      </c>
      <c r="E2143" s="3">
        <f t="shared" si="33"/>
        <v>45931</v>
      </c>
      <c r="F2143">
        <v>1</v>
      </c>
      <c r="G2143" t="s">
        <v>1970</v>
      </c>
      <c r="H2143" s="4">
        <v>500</v>
      </c>
      <c r="I2143" t="s">
        <v>47</v>
      </c>
      <c r="J2143" t="s">
        <v>22</v>
      </c>
      <c r="K2143" t="s">
        <v>1971</v>
      </c>
      <c r="L2143" s="2">
        <v>45931</v>
      </c>
      <c r="M2143" t="s">
        <v>24</v>
      </c>
      <c r="N2143">
        <v>0</v>
      </c>
      <c r="O2143" t="s">
        <v>26</v>
      </c>
      <c r="P2143" t="s">
        <v>18</v>
      </c>
      <c r="Q2143" t="s">
        <v>27</v>
      </c>
    </row>
    <row r="2144" spans="1:17" x14ac:dyDescent="0.3">
      <c r="A2144" t="s">
        <v>17</v>
      </c>
      <c r="B2144">
        <v>63</v>
      </c>
      <c r="C2144" t="s">
        <v>18</v>
      </c>
      <c r="D2144" s="2">
        <v>45950</v>
      </c>
      <c r="E2144" s="3">
        <f t="shared" si="33"/>
        <v>45931</v>
      </c>
      <c r="F2144">
        <v>435</v>
      </c>
      <c r="G2144" t="s">
        <v>1972</v>
      </c>
      <c r="H2144" s="4">
        <v>1299.29</v>
      </c>
      <c r="I2144" t="s">
        <v>47</v>
      </c>
      <c r="J2144" t="s">
        <v>22</v>
      </c>
      <c r="K2144" t="s">
        <v>1973</v>
      </c>
      <c r="L2144" s="2">
        <v>45931</v>
      </c>
      <c r="M2144" t="s">
        <v>24</v>
      </c>
      <c r="N2144">
        <v>0</v>
      </c>
      <c r="O2144" t="s">
        <v>26</v>
      </c>
      <c r="P2144" t="s">
        <v>18</v>
      </c>
      <c r="Q2144" t="s">
        <v>27</v>
      </c>
    </row>
    <row r="2145" spans="1:17" x14ac:dyDescent="0.3">
      <c r="A2145" t="s">
        <v>17</v>
      </c>
      <c r="B2145">
        <v>63</v>
      </c>
      <c r="C2145" t="s">
        <v>18</v>
      </c>
      <c r="D2145" s="2">
        <v>45957</v>
      </c>
      <c r="E2145" s="3">
        <f t="shared" si="33"/>
        <v>45931</v>
      </c>
      <c r="F2145">
        <v>1</v>
      </c>
      <c r="G2145" t="s">
        <v>1974</v>
      </c>
      <c r="H2145" s="4">
        <v>3000</v>
      </c>
      <c r="I2145" t="s">
        <v>47</v>
      </c>
      <c r="J2145" t="s">
        <v>22</v>
      </c>
      <c r="K2145" t="s">
        <v>1975</v>
      </c>
      <c r="L2145" s="2">
        <v>45931</v>
      </c>
      <c r="M2145" t="s">
        <v>24</v>
      </c>
      <c r="N2145">
        <v>0</v>
      </c>
      <c r="O2145" t="s">
        <v>26</v>
      </c>
      <c r="P2145" t="s">
        <v>18</v>
      </c>
      <c r="Q2145" t="s">
        <v>27</v>
      </c>
    </row>
    <row r="2146" spans="1:17" x14ac:dyDescent="0.3">
      <c r="A2146" t="s">
        <v>17</v>
      </c>
      <c r="B2146">
        <v>63</v>
      </c>
      <c r="C2146" t="s">
        <v>18</v>
      </c>
      <c r="D2146" s="2">
        <v>45961</v>
      </c>
      <c r="E2146" s="3">
        <f t="shared" si="33"/>
        <v>45931</v>
      </c>
      <c r="F2146" t="s">
        <v>1976</v>
      </c>
      <c r="H2146" s="4">
        <v>8107.03</v>
      </c>
      <c r="I2146" t="s">
        <v>47</v>
      </c>
      <c r="J2146" t="s">
        <v>326</v>
      </c>
      <c r="K2146" t="s">
        <v>1977</v>
      </c>
      <c r="L2146" s="2">
        <v>45931</v>
      </c>
      <c r="M2146" t="s">
        <v>328</v>
      </c>
      <c r="N2146">
        <v>0</v>
      </c>
      <c r="O2146" t="s">
        <v>26</v>
      </c>
      <c r="P2146" t="s">
        <v>18</v>
      </c>
      <c r="Q2146" t="s">
        <v>329</v>
      </c>
    </row>
    <row r="2147" spans="1:17" x14ac:dyDescent="0.3">
      <c r="A2147" t="s">
        <v>17</v>
      </c>
      <c r="B2147">
        <v>67</v>
      </c>
      <c r="C2147" t="s">
        <v>28</v>
      </c>
      <c r="D2147" s="2">
        <v>45931</v>
      </c>
      <c r="E2147" s="3">
        <f t="shared" si="33"/>
        <v>45931</v>
      </c>
      <c r="F2147" t="s">
        <v>1978</v>
      </c>
      <c r="G2147" t="s">
        <v>119</v>
      </c>
      <c r="H2147" s="4">
        <v>1833.75</v>
      </c>
      <c r="I2147" t="s">
        <v>31</v>
      </c>
      <c r="J2147" t="s">
        <v>68</v>
      </c>
      <c r="K2147" t="s">
        <v>1567</v>
      </c>
      <c r="L2147" s="2">
        <v>45931</v>
      </c>
      <c r="M2147" t="s">
        <v>68</v>
      </c>
      <c r="N2147">
        <v>0</v>
      </c>
      <c r="O2147" t="s">
        <v>31</v>
      </c>
      <c r="P2147" t="s">
        <v>28</v>
      </c>
      <c r="Q2147">
        <v>0</v>
      </c>
    </row>
    <row r="2148" spans="1:17" x14ac:dyDescent="0.3">
      <c r="A2148" t="s">
        <v>17</v>
      </c>
      <c r="B2148">
        <v>67</v>
      </c>
      <c r="C2148" t="s">
        <v>28</v>
      </c>
      <c r="D2148" s="2">
        <v>45933</v>
      </c>
      <c r="E2148" s="3">
        <f t="shared" si="33"/>
        <v>45931</v>
      </c>
      <c r="F2148" t="s">
        <v>1979</v>
      </c>
      <c r="G2148" t="s">
        <v>67</v>
      </c>
      <c r="H2148" s="4">
        <v>516.58000000000004</v>
      </c>
      <c r="I2148" t="s">
        <v>31</v>
      </c>
      <c r="J2148" t="s">
        <v>68</v>
      </c>
      <c r="K2148" t="s">
        <v>1980</v>
      </c>
      <c r="L2148" s="2">
        <v>45931</v>
      </c>
      <c r="M2148" t="s">
        <v>68</v>
      </c>
      <c r="N2148">
        <v>0</v>
      </c>
      <c r="O2148" t="s">
        <v>31</v>
      </c>
      <c r="P2148" t="s">
        <v>28</v>
      </c>
      <c r="Q2148">
        <v>0</v>
      </c>
    </row>
    <row r="2149" spans="1:17" x14ac:dyDescent="0.3">
      <c r="A2149" t="s">
        <v>17</v>
      </c>
      <c r="B2149">
        <v>67</v>
      </c>
      <c r="C2149" t="s">
        <v>28</v>
      </c>
      <c r="D2149" s="2">
        <v>45938</v>
      </c>
      <c r="E2149" s="3">
        <f t="shared" si="33"/>
        <v>45931</v>
      </c>
      <c r="F2149" t="s">
        <v>1981</v>
      </c>
      <c r="G2149" t="s">
        <v>119</v>
      </c>
      <c r="H2149" s="4">
        <v>1670</v>
      </c>
      <c r="I2149" t="s">
        <v>31</v>
      </c>
      <c r="J2149" t="s">
        <v>68</v>
      </c>
      <c r="K2149" t="s">
        <v>1567</v>
      </c>
      <c r="L2149" s="2">
        <v>45931</v>
      </c>
      <c r="M2149" t="s">
        <v>68</v>
      </c>
      <c r="N2149">
        <v>0</v>
      </c>
      <c r="O2149" t="s">
        <v>31</v>
      </c>
      <c r="P2149" t="s">
        <v>28</v>
      </c>
      <c r="Q2149">
        <v>0</v>
      </c>
    </row>
    <row r="2150" spans="1:17" x14ac:dyDescent="0.3">
      <c r="A2150" t="s">
        <v>17</v>
      </c>
      <c r="B2150">
        <v>67</v>
      </c>
      <c r="C2150" t="s">
        <v>28</v>
      </c>
      <c r="D2150" s="2">
        <v>45940</v>
      </c>
      <c r="E2150" s="3">
        <f t="shared" si="33"/>
        <v>45931</v>
      </c>
      <c r="F2150" t="s">
        <v>1982</v>
      </c>
      <c r="G2150" t="s">
        <v>67</v>
      </c>
      <c r="H2150" s="4">
        <v>309.74</v>
      </c>
      <c r="I2150" t="s">
        <v>31</v>
      </c>
      <c r="J2150" t="s">
        <v>68</v>
      </c>
      <c r="K2150" t="s">
        <v>1983</v>
      </c>
      <c r="L2150" s="2">
        <v>45931</v>
      </c>
      <c r="M2150" t="s">
        <v>68</v>
      </c>
      <c r="N2150">
        <v>0</v>
      </c>
      <c r="O2150" t="s">
        <v>31</v>
      </c>
      <c r="P2150" t="s">
        <v>28</v>
      </c>
      <c r="Q2150">
        <v>0</v>
      </c>
    </row>
    <row r="2151" spans="1:17" x14ac:dyDescent="0.3">
      <c r="A2151" t="s">
        <v>17</v>
      </c>
      <c r="B2151">
        <v>67</v>
      </c>
      <c r="C2151" t="s">
        <v>28</v>
      </c>
      <c r="D2151" s="2">
        <v>45945</v>
      </c>
      <c r="E2151" s="3">
        <f t="shared" si="33"/>
        <v>45931</v>
      </c>
      <c r="F2151" t="s">
        <v>1984</v>
      </c>
      <c r="G2151" t="s">
        <v>119</v>
      </c>
      <c r="H2151" s="4">
        <v>585</v>
      </c>
      <c r="I2151" t="s">
        <v>31</v>
      </c>
      <c r="J2151" t="s">
        <v>68</v>
      </c>
      <c r="K2151" t="s">
        <v>1567</v>
      </c>
      <c r="L2151" s="2">
        <v>45931</v>
      </c>
      <c r="M2151" t="s">
        <v>68</v>
      </c>
      <c r="N2151">
        <v>0</v>
      </c>
      <c r="O2151" t="s">
        <v>31</v>
      </c>
      <c r="P2151" t="s">
        <v>28</v>
      </c>
      <c r="Q2151">
        <v>0</v>
      </c>
    </row>
    <row r="2152" spans="1:17" x14ac:dyDescent="0.3">
      <c r="A2152" t="s">
        <v>17</v>
      </c>
      <c r="B2152">
        <v>67</v>
      </c>
      <c r="C2152" t="s">
        <v>28</v>
      </c>
      <c r="D2152" s="2">
        <v>45952</v>
      </c>
      <c r="E2152" s="3">
        <f t="shared" si="33"/>
        <v>45931</v>
      </c>
      <c r="F2152" t="s">
        <v>1985</v>
      </c>
      <c r="G2152" t="s">
        <v>119</v>
      </c>
      <c r="H2152" s="4">
        <v>1162.5</v>
      </c>
      <c r="I2152" t="s">
        <v>31</v>
      </c>
      <c r="J2152" t="s">
        <v>68</v>
      </c>
      <c r="K2152" t="s">
        <v>1986</v>
      </c>
      <c r="L2152" s="2">
        <v>45931</v>
      </c>
      <c r="M2152" t="s">
        <v>68</v>
      </c>
      <c r="N2152">
        <v>0</v>
      </c>
      <c r="O2152" t="s">
        <v>31</v>
      </c>
      <c r="P2152" t="s">
        <v>28</v>
      </c>
      <c r="Q2152">
        <v>0</v>
      </c>
    </row>
    <row r="2153" spans="1:17" x14ac:dyDescent="0.3">
      <c r="A2153" t="s">
        <v>17</v>
      </c>
      <c r="B2153">
        <v>67</v>
      </c>
      <c r="C2153" t="s">
        <v>28</v>
      </c>
      <c r="D2153" s="2">
        <v>45954</v>
      </c>
      <c r="E2153" s="3">
        <f t="shared" si="33"/>
        <v>45931</v>
      </c>
      <c r="F2153" t="s">
        <v>1987</v>
      </c>
      <c r="G2153" t="s">
        <v>67</v>
      </c>
      <c r="H2153" s="4">
        <v>467.56</v>
      </c>
      <c r="I2153" t="s">
        <v>31</v>
      </c>
      <c r="J2153" t="s">
        <v>68</v>
      </c>
      <c r="K2153" t="s">
        <v>1988</v>
      </c>
      <c r="L2153" s="2">
        <v>45931</v>
      </c>
      <c r="M2153" t="s">
        <v>68</v>
      </c>
      <c r="N2153">
        <v>0</v>
      </c>
      <c r="O2153" t="s">
        <v>31</v>
      </c>
      <c r="P2153" t="s">
        <v>28</v>
      </c>
      <c r="Q2153">
        <v>0</v>
      </c>
    </row>
    <row r="2154" spans="1:17" x14ac:dyDescent="0.3">
      <c r="A2154" t="s">
        <v>17</v>
      </c>
      <c r="B2154">
        <v>67</v>
      </c>
      <c r="C2154" t="s">
        <v>28</v>
      </c>
      <c r="D2154" s="2">
        <v>45959</v>
      </c>
      <c r="E2154" s="3">
        <f t="shared" si="33"/>
        <v>45931</v>
      </c>
      <c r="F2154" t="s">
        <v>1989</v>
      </c>
      <c r="G2154" t="s">
        <v>119</v>
      </c>
      <c r="H2154" s="4">
        <v>386.25</v>
      </c>
      <c r="I2154" t="s">
        <v>31</v>
      </c>
      <c r="J2154" t="s">
        <v>68</v>
      </c>
      <c r="K2154" t="s">
        <v>1990</v>
      </c>
      <c r="L2154" s="2">
        <v>45931</v>
      </c>
      <c r="M2154" t="s">
        <v>68</v>
      </c>
      <c r="N2154">
        <v>0</v>
      </c>
      <c r="O2154" t="s">
        <v>31</v>
      </c>
      <c r="P2154" t="s">
        <v>28</v>
      </c>
      <c r="Q2154">
        <v>0</v>
      </c>
    </row>
    <row r="2155" spans="1:17" x14ac:dyDescent="0.3">
      <c r="A2155" t="s">
        <v>17</v>
      </c>
      <c r="B2155">
        <v>67</v>
      </c>
      <c r="C2155" t="s">
        <v>28</v>
      </c>
      <c r="D2155" s="2">
        <v>45961</v>
      </c>
      <c r="E2155" s="3">
        <f t="shared" si="33"/>
        <v>45931</v>
      </c>
      <c r="F2155" t="s">
        <v>1991</v>
      </c>
      <c r="G2155" t="s">
        <v>119</v>
      </c>
      <c r="H2155" s="4">
        <v>975</v>
      </c>
      <c r="I2155" t="s">
        <v>31</v>
      </c>
      <c r="J2155" t="s">
        <v>68</v>
      </c>
      <c r="K2155" t="s">
        <v>1567</v>
      </c>
      <c r="L2155" s="2">
        <v>45931</v>
      </c>
      <c r="M2155" t="s">
        <v>68</v>
      </c>
      <c r="N2155">
        <v>0</v>
      </c>
      <c r="O2155" t="s">
        <v>31</v>
      </c>
      <c r="P2155" t="s">
        <v>28</v>
      </c>
      <c r="Q2155">
        <v>0</v>
      </c>
    </row>
    <row r="2156" spans="1:17" x14ac:dyDescent="0.3">
      <c r="A2156" t="s">
        <v>17</v>
      </c>
      <c r="B2156">
        <v>67</v>
      </c>
      <c r="C2156" t="s">
        <v>28</v>
      </c>
      <c r="D2156" s="2">
        <v>45961</v>
      </c>
      <c r="E2156" s="3">
        <f t="shared" si="33"/>
        <v>45931</v>
      </c>
      <c r="F2156" t="s">
        <v>1992</v>
      </c>
      <c r="G2156" t="s">
        <v>67</v>
      </c>
      <c r="H2156" s="4">
        <v>527.9</v>
      </c>
      <c r="I2156" t="s">
        <v>31</v>
      </c>
      <c r="J2156" t="s">
        <v>68</v>
      </c>
      <c r="K2156" t="s">
        <v>1993</v>
      </c>
      <c r="L2156" s="2">
        <v>45931</v>
      </c>
      <c r="M2156" t="s">
        <v>68</v>
      </c>
      <c r="N2156">
        <v>0</v>
      </c>
      <c r="O2156" t="s">
        <v>31</v>
      </c>
      <c r="P2156" t="s">
        <v>28</v>
      </c>
      <c r="Q2156">
        <v>0</v>
      </c>
    </row>
    <row r="2157" spans="1:17" x14ac:dyDescent="0.3">
      <c r="A2157" t="s">
        <v>17</v>
      </c>
      <c r="B2157">
        <v>65</v>
      </c>
      <c r="C2157" t="s">
        <v>54</v>
      </c>
      <c r="D2157" s="2">
        <v>45931</v>
      </c>
      <c r="E2157" s="3">
        <f t="shared" si="33"/>
        <v>45931</v>
      </c>
      <c r="F2157" t="s">
        <v>1994</v>
      </c>
      <c r="G2157" t="s">
        <v>40</v>
      </c>
      <c r="H2157" s="4">
        <v>30113.77</v>
      </c>
      <c r="I2157" t="s">
        <v>31</v>
      </c>
      <c r="J2157" t="s">
        <v>55</v>
      </c>
      <c r="K2157" t="s">
        <v>1995</v>
      </c>
      <c r="L2157" s="2">
        <v>45931</v>
      </c>
      <c r="M2157" t="s">
        <v>55</v>
      </c>
      <c r="N2157">
        <v>0</v>
      </c>
      <c r="O2157" t="s">
        <v>31</v>
      </c>
      <c r="P2157" t="s">
        <v>54</v>
      </c>
      <c r="Q2157">
        <v>0</v>
      </c>
    </row>
    <row r="2158" spans="1:17" x14ac:dyDescent="0.3">
      <c r="A2158" t="s">
        <v>17</v>
      </c>
      <c r="B2158">
        <v>65</v>
      </c>
      <c r="C2158" t="s">
        <v>54</v>
      </c>
      <c r="D2158" s="2">
        <v>45961</v>
      </c>
      <c r="E2158" s="3">
        <f t="shared" si="33"/>
        <v>45931</v>
      </c>
      <c r="F2158" t="s">
        <v>1996</v>
      </c>
      <c r="H2158" s="4">
        <v>-30113.77</v>
      </c>
      <c r="I2158" t="s">
        <v>31</v>
      </c>
      <c r="J2158" t="s">
        <v>55</v>
      </c>
      <c r="L2158" s="2">
        <v>45931</v>
      </c>
      <c r="M2158" t="s">
        <v>55</v>
      </c>
      <c r="N2158">
        <v>0</v>
      </c>
      <c r="O2158" t="s">
        <v>31</v>
      </c>
      <c r="P2158" t="s">
        <v>54</v>
      </c>
      <c r="Q2158">
        <v>0</v>
      </c>
    </row>
    <row r="2159" spans="1:17" x14ac:dyDescent="0.3">
      <c r="A2159" t="s">
        <v>17</v>
      </c>
      <c r="B2159">
        <v>68</v>
      </c>
      <c r="C2159" t="s">
        <v>34</v>
      </c>
      <c r="D2159" s="2">
        <v>45940</v>
      </c>
      <c r="E2159" s="3">
        <f t="shared" si="33"/>
        <v>45931</v>
      </c>
      <c r="F2159">
        <v>15025</v>
      </c>
      <c r="G2159" t="s">
        <v>131</v>
      </c>
      <c r="H2159" s="4">
        <v>1034.31</v>
      </c>
      <c r="I2159" t="s">
        <v>31</v>
      </c>
      <c r="J2159" t="s">
        <v>79</v>
      </c>
      <c r="K2159" t="s">
        <v>1406</v>
      </c>
      <c r="L2159" s="2">
        <v>45931</v>
      </c>
      <c r="M2159" t="s">
        <v>79</v>
      </c>
      <c r="N2159">
        <v>0</v>
      </c>
      <c r="O2159" t="s">
        <v>31</v>
      </c>
      <c r="P2159" t="s">
        <v>34</v>
      </c>
      <c r="Q2159">
        <v>0</v>
      </c>
    </row>
    <row r="2160" spans="1:17" x14ac:dyDescent="0.3">
      <c r="A2160" t="s">
        <v>17</v>
      </c>
      <c r="B2160">
        <v>68</v>
      </c>
      <c r="C2160" t="s">
        <v>34</v>
      </c>
      <c r="D2160" s="2">
        <v>45943</v>
      </c>
      <c r="E2160" s="3">
        <f t="shared" si="33"/>
        <v>45931</v>
      </c>
      <c r="F2160" t="s">
        <v>1997</v>
      </c>
      <c r="G2160" t="s">
        <v>174</v>
      </c>
      <c r="H2160" s="4">
        <v>14.41</v>
      </c>
      <c r="I2160" t="s">
        <v>31</v>
      </c>
      <c r="J2160" t="s">
        <v>79</v>
      </c>
      <c r="K2160" t="s">
        <v>1998</v>
      </c>
      <c r="L2160" s="2">
        <v>45931</v>
      </c>
      <c r="M2160" t="s">
        <v>79</v>
      </c>
      <c r="N2160">
        <v>0</v>
      </c>
      <c r="O2160" t="s">
        <v>31</v>
      </c>
      <c r="P2160" t="s">
        <v>34</v>
      </c>
      <c r="Q2160">
        <v>0</v>
      </c>
    </row>
    <row r="2161" spans="1:17" x14ac:dyDescent="0.3">
      <c r="A2161" t="s">
        <v>17</v>
      </c>
      <c r="B2161">
        <v>68</v>
      </c>
      <c r="C2161" t="s">
        <v>34</v>
      </c>
      <c r="D2161" s="2">
        <v>45956</v>
      </c>
      <c r="E2161" s="3">
        <f t="shared" si="33"/>
        <v>45931</v>
      </c>
      <c r="F2161" t="s">
        <v>1999</v>
      </c>
      <c r="G2161" t="s">
        <v>1955</v>
      </c>
      <c r="H2161" s="4">
        <v>329.97</v>
      </c>
      <c r="I2161" t="s">
        <v>47</v>
      </c>
      <c r="J2161" t="s">
        <v>79</v>
      </c>
      <c r="K2161" t="s">
        <v>2000</v>
      </c>
      <c r="L2161" s="2">
        <v>45931</v>
      </c>
      <c r="M2161" t="s">
        <v>79</v>
      </c>
      <c r="N2161">
        <v>0</v>
      </c>
      <c r="O2161" t="s">
        <v>26</v>
      </c>
      <c r="P2161" t="s">
        <v>34</v>
      </c>
      <c r="Q2161">
        <v>0</v>
      </c>
    </row>
    <row r="2162" spans="1:17" x14ac:dyDescent="0.3">
      <c r="A2162" t="s">
        <v>17</v>
      </c>
      <c r="B2162">
        <v>68</v>
      </c>
      <c r="C2162" t="s">
        <v>34</v>
      </c>
      <c r="D2162" s="2">
        <v>45961</v>
      </c>
      <c r="E2162" s="3">
        <f t="shared" si="33"/>
        <v>45931</v>
      </c>
      <c r="F2162" t="s">
        <v>2001</v>
      </c>
      <c r="G2162" t="s">
        <v>266</v>
      </c>
      <c r="H2162" s="4">
        <v>760.62</v>
      </c>
      <c r="I2162" t="s">
        <v>31</v>
      </c>
      <c r="J2162" t="s">
        <v>79</v>
      </c>
      <c r="K2162" t="s">
        <v>2002</v>
      </c>
      <c r="L2162" s="2">
        <v>45931</v>
      </c>
      <c r="M2162" t="s">
        <v>79</v>
      </c>
      <c r="N2162">
        <v>0</v>
      </c>
      <c r="O2162" t="s">
        <v>31</v>
      </c>
      <c r="P2162" t="s">
        <v>34</v>
      </c>
      <c r="Q2162">
        <v>0</v>
      </c>
    </row>
    <row r="2163" spans="1:17" x14ac:dyDescent="0.3">
      <c r="A2163" t="s">
        <v>17</v>
      </c>
      <c r="B2163">
        <v>68</v>
      </c>
      <c r="C2163" t="s">
        <v>34</v>
      </c>
      <c r="D2163" s="2">
        <v>45961</v>
      </c>
      <c r="E2163" s="3">
        <f t="shared" si="33"/>
        <v>45931</v>
      </c>
      <c r="G2163" t="s">
        <v>266</v>
      </c>
      <c r="H2163" s="4">
        <v>-19.04</v>
      </c>
      <c r="I2163" t="s">
        <v>21</v>
      </c>
      <c r="J2163" t="s">
        <v>79</v>
      </c>
      <c r="K2163" t="s">
        <v>2003</v>
      </c>
      <c r="L2163" s="2">
        <v>45931</v>
      </c>
      <c r="M2163" t="s">
        <v>79</v>
      </c>
      <c r="N2163" t="s">
        <v>25</v>
      </c>
      <c r="O2163" t="s">
        <v>81</v>
      </c>
      <c r="P2163" t="s">
        <v>34</v>
      </c>
      <c r="Q2163">
        <v>0</v>
      </c>
    </row>
    <row r="2164" spans="1:17" x14ac:dyDescent="0.3">
      <c r="A2164" t="s">
        <v>17</v>
      </c>
      <c r="B2164">
        <v>68</v>
      </c>
      <c r="C2164" t="s">
        <v>34</v>
      </c>
      <c r="D2164" s="2">
        <v>45961</v>
      </c>
      <c r="E2164" s="3">
        <f t="shared" si="33"/>
        <v>45931</v>
      </c>
      <c r="F2164" t="s">
        <v>2004</v>
      </c>
      <c r="H2164" s="4">
        <v>38.4</v>
      </c>
      <c r="I2164" t="s">
        <v>21</v>
      </c>
      <c r="J2164" t="s">
        <v>79</v>
      </c>
      <c r="K2164" t="s">
        <v>320</v>
      </c>
      <c r="L2164" s="2">
        <v>45931</v>
      </c>
      <c r="M2164" t="s">
        <v>79</v>
      </c>
      <c r="N2164" t="s">
        <v>25</v>
      </c>
      <c r="O2164" t="s">
        <v>81</v>
      </c>
      <c r="P2164" t="s">
        <v>34</v>
      </c>
      <c r="Q2164">
        <v>0</v>
      </c>
    </row>
    <row r="2165" spans="1:17" x14ac:dyDescent="0.3">
      <c r="A2165" t="s">
        <v>17</v>
      </c>
      <c r="B2165">
        <v>66</v>
      </c>
      <c r="C2165" t="s">
        <v>134</v>
      </c>
      <c r="D2165" s="2">
        <v>45945</v>
      </c>
      <c r="E2165" s="3">
        <f t="shared" si="33"/>
        <v>45931</v>
      </c>
      <c r="F2165">
        <v>836222</v>
      </c>
      <c r="G2165" t="s">
        <v>125</v>
      </c>
      <c r="H2165" s="4">
        <v>110</v>
      </c>
      <c r="I2165" t="s">
        <v>108</v>
      </c>
      <c r="J2165" t="s">
        <v>255</v>
      </c>
      <c r="K2165" t="s">
        <v>2005</v>
      </c>
      <c r="L2165" s="2">
        <v>45931</v>
      </c>
      <c r="M2165" t="s">
        <v>257</v>
      </c>
      <c r="N2165">
        <v>0</v>
      </c>
      <c r="O2165" t="s">
        <v>111</v>
      </c>
      <c r="P2165" t="s">
        <v>134</v>
      </c>
      <c r="Q2165">
        <v>0</v>
      </c>
    </row>
    <row r="2166" spans="1:17" x14ac:dyDescent="0.3">
      <c r="A2166" t="s">
        <v>17</v>
      </c>
      <c r="B2166">
        <v>66</v>
      </c>
      <c r="C2166" t="s">
        <v>134</v>
      </c>
      <c r="D2166" s="2">
        <v>45945</v>
      </c>
      <c r="E2166" s="3">
        <f t="shared" si="33"/>
        <v>45931</v>
      </c>
      <c r="F2166">
        <v>836222</v>
      </c>
      <c r="G2166" t="s">
        <v>125</v>
      </c>
      <c r="H2166" s="4">
        <v>550</v>
      </c>
      <c r="I2166" t="s">
        <v>108</v>
      </c>
      <c r="J2166" t="s">
        <v>255</v>
      </c>
      <c r="K2166" t="s">
        <v>2006</v>
      </c>
      <c r="L2166" s="2">
        <v>45931</v>
      </c>
      <c r="M2166" t="s">
        <v>257</v>
      </c>
      <c r="N2166">
        <v>0</v>
      </c>
      <c r="O2166" t="s">
        <v>111</v>
      </c>
      <c r="P2166" t="s">
        <v>134</v>
      </c>
      <c r="Q2166">
        <v>0</v>
      </c>
    </row>
    <row r="2167" spans="1:17" x14ac:dyDescent="0.3">
      <c r="A2167" t="s">
        <v>17</v>
      </c>
      <c r="B2167">
        <v>66</v>
      </c>
      <c r="C2167" t="s">
        <v>134</v>
      </c>
      <c r="D2167" s="2">
        <v>45945</v>
      </c>
      <c r="E2167" s="3">
        <f t="shared" si="33"/>
        <v>45931</v>
      </c>
      <c r="F2167" t="s">
        <v>2007</v>
      </c>
      <c r="G2167" t="s">
        <v>419</v>
      </c>
      <c r="H2167" s="4">
        <v>375</v>
      </c>
      <c r="I2167" t="s">
        <v>108</v>
      </c>
      <c r="J2167" t="s">
        <v>255</v>
      </c>
      <c r="K2167" t="s">
        <v>2008</v>
      </c>
      <c r="L2167" s="2">
        <v>45931</v>
      </c>
      <c r="M2167" t="s">
        <v>257</v>
      </c>
      <c r="N2167">
        <v>0</v>
      </c>
      <c r="O2167" t="s">
        <v>111</v>
      </c>
      <c r="P2167" t="s">
        <v>134</v>
      </c>
      <c r="Q2167">
        <v>0</v>
      </c>
    </row>
    <row r="2168" spans="1:17" x14ac:dyDescent="0.3">
      <c r="A2168" t="s">
        <v>17</v>
      </c>
      <c r="B2168">
        <v>66</v>
      </c>
      <c r="C2168" t="s">
        <v>134</v>
      </c>
      <c r="D2168" s="2">
        <v>45952</v>
      </c>
      <c r="E2168" s="3">
        <f t="shared" si="33"/>
        <v>45931</v>
      </c>
      <c r="F2168">
        <v>836710</v>
      </c>
      <c r="G2168" t="s">
        <v>125</v>
      </c>
      <c r="H2168" s="4">
        <v>55</v>
      </c>
      <c r="I2168" t="s">
        <v>108</v>
      </c>
      <c r="J2168" t="s">
        <v>255</v>
      </c>
      <c r="K2168" t="s">
        <v>1791</v>
      </c>
      <c r="L2168" s="2">
        <v>45931</v>
      </c>
      <c r="M2168" t="s">
        <v>257</v>
      </c>
      <c r="N2168">
        <v>0</v>
      </c>
      <c r="O2168" t="s">
        <v>111</v>
      </c>
      <c r="P2168" t="s">
        <v>134</v>
      </c>
      <c r="Q2168">
        <v>0</v>
      </c>
    </row>
    <row r="2169" spans="1:17" x14ac:dyDescent="0.3">
      <c r="A2169" t="s">
        <v>17</v>
      </c>
      <c r="B2169">
        <v>66</v>
      </c>
      <c r="C2169" t="s">
        <v>134</v>
      </c>
      <c r="D2169" s="2">
        <v>45952</v>
      </c>
      <c r="E2169" s="3">
        <f t="shared" si="33"/>
        <v>45931</v>
      </c>
      <c r="F2169">
        <v>836710</v>
      </c>
      <c r="G2169" t="s">
        <v>125</v>
      </c>
      <c r="H2169" s="4">
        <v>275</v>
      </c>
      <c r="I2169" t="s">
        <v>108</v>
      </c>
      <c r="J2169" t="s">
        <v>255</v>
      </c>
      <c r="K2169" t="s">
        <v>2009</v>
      </c>
      <c r="L2169" s="2">
        <v>45931</v>
      </c>
      <c r="M2169" t="s">
        <v>257</v>
      </c>
      <c r="N2169">
        <v>0</v>
      </c>
      <c r="O2169" t="s">
        <v>111</v>
      </c>
      <c r="P2169" t="s">
        <v>134</v>
      </c>
      <c r="Q2169">
        <v>0</v>
      </c>
    </row>
    <row r="2170" spans="1:17" x14ac:dyDescent="0.3">
      <c r="A2170" t="s">
        <v>17</v>
      </c>
      <c r="B2170">
        <v>66</v>
      </c>
      <c r="C2170" t="s">
        <v>134</v>
      </c>
      <c r="D2170" s="2">
        <v>45961</v>
      </c>
      <c r="E2170" s="3">
        <f t="shared" si="33"/>
        <v>45931</v>
      </c>
      <c r="F2170">
        <v>837671</v>
      </c>
      <c r="G2170" t="s">
        <v>125</v>
      </c>
      <c r="H2170" s="4">
        <v>55</v>
      </c>
      <c r="I2170" t="s">
        <v>108</v>
      </c>
      <c r="J2170" t="s">
        <v>255</v>
      </c>
      <c r="K2170" t="s">
        <v>1791</v>
      </c>
      <c r="L2170" s="2">
        <v>45931</v>
      </c>
      <c r="M2170" t="s">
        <v>257</v>
      </c>
      <c r="N2170">
        <v>0</v>
      </c>
      <c r="O2170" t="s">
        <v>111</v>
      </c>
      <c r="P2170" t="s">
        <v>134</v>
      </c>
      <c r="Q2170">
        <v>0</v>
      </c>
    </row>
    <row r="2171" spans="1:17" x14ac:dyDescent="0.3">
      <c r="A2171" t="s">
        <v>17</v>
      </c>
      <c r="B2171">
        <v>66</v>
      </c>
      <c r="C2171" t="s">
        <v>134</v>
      </c>
      <c r="D2171" s="2">
        <v>45961</v>
      </c>
      <c r="E2171" s="3">
        <f t="shared" si="33"/>
        <v>45931</v>
      </c>
      <c r="F2171">
        <v>837671</v>
      </c>
      <c r="G2171" t="s">
        <v>125</v>
      </c>
      <c r="H2171" s="4">
        <v>275</v>
      </c>
      <c r="I2171" t="s">
        <v>108</v>
      </c>
      <c r="J2171" t="s">
        <v>255</v>
      </c>
      <c r="K2171" t="s">
        <v>2010</v>
      </c>
      <c r="L2171" s="2">
        <v>45931</v>
      </c>
      <c r="M2171" t="s">
        <v>257</v>
      </c>
      <c r="N2171">
        <v>0</v>
      </c>
      <c r="O2171" t="s">
        <v>111</v>
      </c>
      <c r="P2171" t="s">
        <v>134</v>
      </c>
      <c r="Q2171">
        <v>0</v>
      </c>
    </row>
    <row r="2172" spans="1:17" x14ac:dyDescent="0.3">
      <c r="A2172" t="s">
        <v>17</v>
      </c>
      <c r="B2172">
        <v>66</v>
      </c>
      <c r="C2172" t="s">
        <v>134</v>
      </c>
      <c r="D2172" s="2">
        <v>45931</v>
      </c>
      <c r="E2172" s="3">
        <f t="shared" si="33"/>
        <v>45931</v>
      </c>
      <c r="F2172" t="s">
        <v>2011</v>
      </c>
      <c r="G2172" t="s">
        <v>136</v>
      </c>
      <c r="H2172" s="4">
        <v>8240</v>
      </c>
      <c r="I2172" t="s">
        <v>108</v>
      </c>
      <c r="J2172" t="s">
        <v>138</v>
      </c>
      <c r="K2172" t="s">
        <v>2012</v>
      </c>
      <c r="L2172" s="2">
        <v>45931</v>
      </c>
      <c r="M2172" t="s">
        <v>140</v>
      </c>
      <c r="N2172">
        <v>0</v>
      </c>
      <c r="O2172" t="s">
        <v>111</v>
      </c>
      <c r="P2172" t="s">
        <v>134</v>
      </c>
      <c r="Q2172">
        <v>0</v>
      </c>
    </row>
    <row r="2173" spans="1:17" x14ac:dyDescent="0.3">
      <c r="A2173" t="s">
        <v>17</v>
      </c>
      <c r="B2173">
        <v>66</v>
      </c>
      <c r="C2173" t="s">
        <v>134</v>
      </c>
      <c r="D2173" s="2">
        <v>45931</v>
      </c>
      <c r="E2173" s="3">
        <f t="shared" si="33"/>
        <v>45931</v>
      </c>
      <c r="F2173" t="s">
        <v>2013</v>
      </c>
      <c r="G2173" t="s">
        <v>136</v>
      </c>
      <c r="H2173" s="4">
        <v>34252</v>
      </c>
      <c r="I2173" t="s">
        <v>108</v>
      </c>
      <c r="J2173" t="s">
        <v>138</v>
      </c>
      <c r="K2173" t="s">
        <v>2012</v>
      </c>
      <c r="L2173" s="2">
        <v>45931</v>
      </c>
      <c r="M2173" t="s">
        <v>140</v>
      </c>
      <c r="N2173">
        <v>0</v>
      </c>
      <c r="O2173" t="s">
        <v>111</v>
      </c>
      <c r="P2173" t="s">
        <v>134</v>
      </c>
      <c r="Q2173">
        <v>0</v>
      </c>
    </row>
    <row r="2174" spans="1:17" x14ac:dyDescent="0.3">
      <c r="A2174" t="s">
        <v>17</v>
      </c>
      <c r="B2174">
        <v>66</v>
      </c>
      <c r="C2174" t="s">
        <v>134</v>
      </c>
      <c r="D2174" s="2">
        <v>45931</v>
      </c>
      <c r="E2174" s="3">
        <f t="shared" si="33"/>
        <v>45931</v>
      </c>
      <c r="F2174" t="s">
        <v>2014</v>
      </c>
      <c r="G2174" t="s">
        <v>2015</v>
      </c>
      <c r="H2174" s="4">
        <v>517.6</v>
      </c>
      <c r="I2174" t="s">
        <v>108</v>
      </c>
      <c r="J2174" t="s">
        <v>223</v>
      </c>
      <c r="K2174" t="s">
        <v>2016</v>
      </c>
      <c r="L2174" s="2">
        <v>45931</v>
      </c>
      <c r="M2174" t="s">
        <v>223</v>
      </c>
      <c r="N2174">
        <v>0</v>
      </c>
      <c r="O2174" t="s">
        <v>111</v>
      </c>
      <c r="P2174" t="s">
        <v>134</v>
      </c>
      <c r="Q2174">
        <v>0</v>
      </c>
    </row>
    <row r="2175" spans="1:17" x14ac:dyDescent="0.3">
      <c r="A2175" t="s">
        <v>17</v>
      </c>
      <c r="B2175">
        <v>66</v>
      </c>
      <c r="C2175" t="s">
        <v>134</v>
      </c>
      <c r="D2175" s="2">
        <v>45945</v>
      </c>
      <c r="E2175" s="3">
        <f t="shared" si="33"/>
        <v>45931</v>
      </c>
      <c r="F2175" t="s">
        <v>2017</v>
      </c>
      <c r="G2175" t="s">
        <v>984</v>
      </c>
      <c r="H2175" s="4">
        <v>39.96</v>
      </c>
      <c r="I2175" t="s">
        <v>108</v>
      </c>
      <c r="J2175" t="s">
        <v>223</v>
      </c>
      <c r="K2175" t="s">
        <v>2018</v>
      </c>
      <c r="L2175" s="2">
        <v>45931</v>
      </c>
      <c r="M2175" t="s">
        <v>223</v>
      </c>
      <c r="N2175">
        <v>0</v>
      </c>
      <c r="O2175" t="s">
        <v>111</v>
      </c>
      <c r="P2175" t="s">
        <v>134</v>
      </c>
      <c r="Q2175">
        <v>0</v>
      </c>
    </row>
    <row r="2176" spans="1:17" x14ac:dyDescent="0.3">
      <c r="A2176" t="s">
        <v>17</v>
      </c>
      <c r="B2176">
        <v>66</v>
      </c>
      <c r="C2176" t="s">
        <v>134</v>
      </c>
      <c r="D2176" s="2">
        <v>45945</v>
      </c>
      <c r="E2176" s="3">
        <f t="shared" si="33"/>
        <v>45931</v>
      </c>
      <c r="F2176" t="s">
        <v>2017</v>
      </c>
      <c r="G2176" t="s">
        <v>984</v>
      </c>
      <c r="H2176" s="4">
        <v>53.65</v>
      </c>
      <c r="I2176" t="s">
        <v>108</v>
      </c>
      <c r="J2176" t="s">
        <v>223</v>
      </c>
      <c r="L2176" s="2">
        <v>45931</v>
      </c>
      <c r="M2176" t="s">
        <v>223</v>
      </c>
      <c r="N2176">
        <v>0</v>
      </c>
      <c r="O2176" t="s">
        <v>111</v>
      </c>
      <c r="P2176" t="s">
        <v>134</v>
      </c>
      <c r="Q2176">
        <v>0</v>
      </c>
    </row>
    <row r="2177" spans="1:17" x14ac:dyDescent="0.3">
      <c r="A2177" t="s">
        <v>17</v>
      </c>
      <c r="B2177">
        <v>66</v>
      </c>
      <c r="C2177" t="s">
        <v>134</v>
      </c>
      <c r="D2177" s="2">
        <v>45945</v>
      </c>
      <c r="E2177" s="3">
        <f t="shared" si="33"/>
        <v>45931</v>
      </c>
      <c r="F2177" t="s">
        <v>2017</v>
      </c>
      <c r="G2177" t="s">
        <v>984</v>
      </c>
      <c r="H2177" s="4">
        <v>53.65</v>
      </c>
      <c r="I2177" t="s">
        <v>108</v>
      </c>
      <c r="J2177" t="s">
        <v>223</v>
      </c>
      <c r="L2177" s="2">
        <v>45931</v>
      </c>
      <c r="M2177" t="s">
        <v>223</v>
      </c>
      <c r="N2177">
        <v>0</v>
      </c>
      <c r="O2177" t="s">
        <v>111</v>
      </c>
      <c r="P2177" t="s">
        <v>134</v>
      </c>
      <c r="Q2177">
        <v>0</v>
      </c>
    </row>
    <row r="2178" spans="1:17" x14ac:dyDescent="0.3">
      <c r="A2178" t="s">
        <v>17</v>
      </c>
      <c r="B2178">
        <v>66</v>
      </c>
      <c r="C2178" t="s">
        <v>134</v>
      </c>
      <c r="D2178" s="2">
        <v>45945</v>
      </c>
      <c r="E2178" s="3">
        <f t="shared" si="33"/>
        <v>45931</v>
      </c>
      <c r="F2178" t="s">
        <v>2017</v>
      </c>
      <c r="G2178" t="s">
        <v>984</v>
      </c>
      <c r="H2178" s="4">
        <v>60.68</v>
      </c>
      <c r="I2178" t="s">
        <v>108</v>
      </c>
      <c r="J2178" t="s">
        <v>223</v>
      </c>
      <c r="L2178" s="2">
        <v>45931</v>
      </c>
      <c r="M2178" t="s">
        <v>223</v>
      </c>
      <c r="N2178">
        <v>0</v>
      </c>
      <c r="O2178" t="s">
        <v>111</v>
      </c>
      <c r="P2178" t="s">
        <v>134</v>
      </c>
      <c r="Q2178">
        <v>0</v>
      </c>
    </row>
    <row r="2179" spans="1:17" x14ac:dyDescent="0.3">
      <c r="A2179" t="s">
        <v>17</v>
      </c>
      <c r="B2179">
        <v>66</v>
      </c>
      <c r="C2179" t="s">
        <v>134</v>
      </c>
      <c r="D2179" s="2">
        <v>45945</v>
      </c>
      <c r="E2179" s="3">
        <f t="shared" ref="E2179:E2242" si="34">IF($D2179="","",DATE(YEAR($D2179),MONTH($D2179),1))</f>
        <v>45931</v>
      </c>
      <c r="F2179" t="s">
        <v>2017</v>
      </c>
      <c r="G2179" t="s">
        <v>984</v>
      </c>
      <c r="H2179" s="4">
        <v>60.68</v>
      </c>
      <c r="I2179" t="s">
        <v>108</v>
      </c>
      <c r="J2179" t="s">
        <v>223</v>
      </c>
      <c r="L2179" s="2">
        <v>45931</v>
      </c>
      <c r="M2179" t="s">
        <v>223</v>
      </c>
      <c r="N2179">
        <v>0</v>
      </c>
      <c r="O2179" t="s">
        <v>111</v>
      </c>
      <c r="P2179" t="s">
        <v>134</v>
      </c>
      <c r="Q2179">
        <v>0</v>
      </c>
    </row>
    <row r="2180" spans="1:17" x14ac:dyDescent="0.3">
      <c r="A2180" t="s">
        <v>17</v>
      </c>
      <c r="B2180">
        <v>66</v>
      </c>
      <c r="C2180" t="s">
        <v>134</v>
      </c>
      <c r="D2180" s="2">
        <v>45945</v>
      </c>
      <c r="E2180" s="3">
        <f t="shared" si="34"/>
        <v>45931</v>
      </c>
      <c r="F2180" t="s">
        <v>2017</v>
      </c>
      <c r="G2180" t="s">
        <v>984</v>
      </c>
      <c r="H2180" s="4">
        <v>48.84</v>
      </c>
      <c r="I2180" t="s">
        <v>108</v>
      </c>
      <c r="J2180" t="s">
        <v>223</v>
      </c>
      <c r="L2180" s="2">
        <v>45931</v>
      </c>
      <c r="M2180" t="s">
        <v>223</v>
      </c>
      <c r="N2180">
        <v>0</v>
      </c>
      <c r="O2180" t="s">
        <v>111</v>
      </c>
      <c r="P2180" t="s">
        <v>134</v>
      </c>
      <c r="Q2180">
        <v>0</v>
      </c>
    </row>
    <row r="2181" spans="1:17" x14ac:dyDescent="0.3">
      <c r="A2181" t="s">
        <v>17</v>
      </c>
      <c r="B2181">
        <v>66</v>
      </c>
      <c r="C2181" t="s">
        <v>134</v>
      </c>
      <c r="D2181" s="2">
        <v>45945</v>
      </c>
      <c r="E2181" s="3">
        <f t="shared" si="34"/>
        <v>45931</v>
      </c>
      <c r="F2181" t="s">
        <v>2017</v>
      </c>
      <c r="G2181" t="s">
        <v>984</v>
      </c>
      <c r="H2181" s="4">
        <v>48.84</v>
      </c>
      <c r="I2181" t="s">
        <v>108</v>
      </c>
      <c r="J2181" t="s">
        <v>223</v>
      </c>
      <c r="L2181" s="2">
        <v>45931</v>
      </c>
      <c r="M2181" t="s">
        <v>223</v>
      </c>
      <c r="N2181">
        <v>0</v>
      </c>
      <c r="O2181" t="s">
        <v>111</v>
      </c>
      <c r="P2181" t="s">
        <v>134</v>
      </c>
      <c r="Q2181">
        <v>0</v>
      </c>
    </row>
    <row r="2182" spans="1:17" x14ac:dyDescent="0.3">
      <c r="A2182" t="s">
        <v>17</v>
      </c>
      <c r="B2182">
        <v>66</v>
      </c>
      <c r="C2182" t="s">
        <v>134</v>
      </c>
      <c r="D2182" s="2">
        <v>45945</v>
      </c>
      <c r="E2182" s="3">
        <f t="shared" si="34"/>
        <v>45931</v>
      </c>
      <c r="F2182" t="s">
        <v>2017</v>
      </c>
      <c r="G2182" t="s">
        <v>984</v>
      </c>
      <c r="H2182" s="4">
        <v>63.27</v>
      </c>
      <c r="I2182" t="s">
        <v>108</v>
      </c>
      <c r="J2182" t="s">
        <v>223</v>
      </c>
      <c r="L2182" s="2">
        <v>45931</v>
      </c>
      <c r="M2182" t="s">
        <v>223</v>
      </c>
      <c r="N2182">
        <v>0</v>
      </c>
      <c r="O2182" t="s">
        <v>111</v>
      </c>
      <c r="P2182" t="s">
        <v>134</v>
      </c>
      <c r="Q2182">
        <v>0</v>
      </c>
    </row>
    <row r="2183" spans="1:17" x14ac:dyDescent="0.3">
      <c r="A2183" t="s">
        <v>17</v>
      </c>
      <c r="B2183">
        <v>66</v>
      </c>
      <c r="C2183" t="s">
        <v>134</v>
      </c>
      <c r="D2183" s="2">
        <v>45945</v>
      </c>
      <c r="E2183" s="3">
        <f t="shared" si="34"/>
        <v>45931</v>
      </c>
      <c r="F2183" t="s">
        <v>2017</v>
      </c>
      <c r="G2183" t="s">
        <v>984</v>
      </c>
      <c r="H2183" s="4">
        <v>63.27</v>
      </c>
      <c r="I2183" t="s">
        <v>108</v>
      </c>
      <c r="J2183" t="s">
        <v>223</v>
      </c>
      <c r="L2183" s="2">
        <v>45931</v>
      </c>
      <c r="M2183" t="s">
        <v>223</v>
      </c>
      <c r="N2183">
        <v>0</v>
      </c>
      <c r="O2183" t="s">
        <v>111</v>
      </c>
      <c r="P2183" t="s">
        <v>134</v>
      </c>
      <c r="Q2183">
        <v>0</v>
      </c>
    </row>
    <row r="2184" spans="1:17" x14ac:dyDescent="0.3">
      <c r="A2184" t="s">
        <v>17</v>
      </c>
      <c r="B2184">
        <v>66</v>
      </c>
      <c r="C2184" t="s">
        <v>134</v>
      </c>
      <c r="D2184" s="2">
        <v>45945</v>
      </c>
      <c r="E2184" s="3">
        <f t="shared" si="34"/>
        <v>45931</v>
      </c>
      <c r="F2184" t="s">
        <v>2017</v>
      </c>
      <c r="G2184" t="s">
        <v>984</v>
      </c>
      <c r="H2184" s="4">
        <v>35.89</v>
      </c>
      <c r="I2184" t="s">
        <v>108</v>
      </c>
      <c r="J2184" t="s">
        <v>223</v>
      </c>
      <c r="K2184" t="s">
        <v>2019</v>
      </c>
      <c r="L2184" s="2">
        <v>45931</v>
      </c>
      <c r="M2184" t="s">
        <v>223</v>
      </c>
      <c r="N2184">
        <v>0</v>
      </c>
      <c r="O2184" t="s">
        <v>111</v>
      </c>
      <c r="P2184" t="s">
        <v>134</v>
      </c>
      <c r="Q2184">
        <v>0</v>
      </c>
    </row>
    <row r="2185" spans="1:17" x14ac:dyDescent="0.3">
      <c r="A2185" t="s">
        <v>17</v>
      </c>
      <c r="B2185">
        <v>66</v>
      </c>
      <c r="C2185" t="s">
        <v>134</v>
      </c>
      <c r="D2185" s="2">
        <v>45945</v>
      </c>
      <c r="E2185" s="3">
        <f t="shared" si="34"/>
        <v>45931</v>
      </c>
      <c r="F2185" t="s">
        <v>2017</v>
      </c>
      <c r="G2185" t="s">
        <v>984</v>
      </c>
      <c r="H2185" s="4">
        <v>35.89</v>
      </c>
      <c r="I2185" t="s">
        <v>108</v>
      </c>
      <c r="J2185" t="s">
        <v>223</v>
      </c>
      <c r="K2185" t="s">
        <v>2020</v>
      </c>
      <c r="L2185" s="2">
        <v>45931</v>
      </c>
      <c r="M2185" t="s">
        <v>223</v>
      </c>
      <c r="N2185">
        <v>0</v>
      </c>
      <c r="O2185" t="s">
        <v>111</v>
      </c>
      <c r="P2185" t="s">
        <v>134</v>
      </c>
      <c r="Q2185">
        <v>0</v>
      </c>
    </row>
    <row r="2186" spans="1:17" x14ac:dyDescent="0.3">
      <c r="A2186" t="s">
        <v>17</v>
      </c>
      <c r="B2186">
        <v>66</v>
      </c>
      <c r="C2186" t="s">
        <v>134</v>
      </c>
      <c r="D2186" s="2">
        <v>45945</v>
      </c>
      <c r="E2186" s="3">
        <f t="shared" si="34"/>
        <v>45931</v>
      </c>
      <c r="F2186" t="s">
        <v>2017</v>
      </c>
      <c r="G2186" t="s">
        <v>984</v>
      </c>
      <c r="H2186" s="4">
        <v>49.21</v>
      </c>
      <c r="I2186" t="s">
        <v>108</v>
      </c>
      <c r="J2186" t="s">
        <v>223</v>
      </c>
      <c r="K2186" t="s">
        <v>2021</v>
      </c>
      <c r="L2186" s="2">
        <v>45931</v>
      </c>
      <c r="M2186" t="s">
        <v>223</v>
      </c>
      <c r="N2186">
        <v>0</v>
      </c>
      <c r="O2186" t="s">
        <v>111</v>
      </c>
      <c r="P2186" t="s">
        <v>134</v>
      </c>
      <c r="Q2186">
        <v>0</v>
      </c>
    </row>
    <row r="2187" spans="1:17" x14ac:dyDescent="0.3">
      <c r="A2187" t="s">
        <v>17</v>
      </c>
      <c r="B2187">
        <v>66</v>
      </c>
      <c r="C2187" t="s">
        <v>134</v>
      </c>
      <c r="D2187" s="2">
        <v>45945</v>
      </c>
      <c r="E2187" s="3">
        <f t="shared" si="34"/>
        <v>45931</v>
      </c>
      <c r="F2187" t="s">
        <v>2017</v>
      </c>
      <c r="G2187" t="s">
        <v>984</v>
      </c>
      <c r="H2187" s="4">
        <v>49.21</v>
      </c>
      <c r="I2187" t="s">
        <v>108</v>
      </c>
      <c r="J2187" t="s">
        <v>223</v>
      </c>
      <c r="K2187" t="s">
        <v>2022</v>
      </c>
      <c r="L2187" s="2">
        <v>45931</v>
      </c>
      <c r="M2187" t="s">
        <v>223</v>
      </c>
      <c r="N2187">
        <v>0</v>
      </c>
      <c r="O2187" t="s">
        <v>111</v>
      </c>
      <c r="P2187" t="s">
        <v>134</v>
      </c>
      <c r="Q2187">
        <v>0</v>
      </c>
    </row>
    <row r="2188" spans="1:17" x14ac:dyDescent="0.3">
      <c r="A2188" t="s">
        <v>17</v>
      </c>
      <c r="B2188">
        <v>66</v>
      </c>
      <c r="C2188" t="s">
        <v>134</v>
      </c>
      <c r="D2188" s="2">
        <v>45945</v>
      </c>
      <c r="E2188" s="3">
        <f t="shared" si="34"/>
        <v>45931</v>
      </c>
      <c r="F2188" t="s">
        <v>2017</v>
      </c>
      <c r="G2188" t="s">
        <v>984</v>
      </c>
      <c r="H2188" s="4">
        <v>51.06</v>
      </c>
      <c r="I2188" t="s">
        <v>108</v>
      </c>
      <c r="J2188" t="s">
        <v>223</v>
      </c>
      <c r="K2188" t="s">
        <v>2023</v>
      </c>
      <c r="L2188" s="2">
        <v>45931</v>
      </c>
      <c r="M2188" t="s">
        <v>223</v>
      </c>
      <c r="N2188">
        <v>0</v>
      </c>
      <c r="O2188" t="s">
        <v>111</v>
      </c>
      <c r="P2188" t="s">
        <v>134</v>
      </c>
      <c r="Q2188">
        <v>0</v>
      </c>
    </row>
    <row r="2189" spans="1:17" x14ac:dyDescent="0.3">
      <c r="A2189" t="s">
        <v>17</v>
      </c>
      <c r="B2189">
        <v>66</v>
      </c>
      <c r="C2189" t="s">
        <v>134</v>
      </c>
      <c r="D2189" s="2">
        <v>45945</v>
      </c>
      <c r="E2189" s="3">
        <f t="shared" si="34"/>
        <v>45931</v>
      </c>
      <c r="F2189" t="s">
        <v>2017</v>
      </c>
      <c r="G2189" t="s">
        <v>984</v>
      </c>
      <c r="H2189" s="4">
        <v>51.06</v>
      </c>
      <c r="I2189" t="s">
        <v>108</v>
      </c>
      <c r="J2189" t="s">
        <v>223</v>
      </c>
      <c r="K2189" t="s">
        <v>2024</v>
      </c>
      <c r="L2189" s="2">
        <v>45931</v>
      </c>
      <c r="M2189" t="s">
        <v>223</v>
      </c>
      <c r="N2189">
        <v>0</v>
      </c>
      <c r="O2189" t="s">
        <v>111</v>
      </c>
      <c r="P2189" t="s">
        <v>134</v>
      </c>
      <c r="Q2189">
        <v>0</v>
      </c>
    </row>
    <row r="2190" spans="1:17" x14ac:dyDescent="0.3">
      <c r="A2190" t="s">
        <v>17</v>
      </c>
      <c r="B2190">
        <v>66</v>
      </c>
      <c r="C2190" t="s">
        <v>134</v>
      </c>
      <c r="D2190" s="2">
        <v>45945</v>
      </c>
      <c r="E2190" s="3">
        <f t="shared" si="34"/>
        <v>45931</v>
      </c>
      <c r="F2190" t="s">
        <v>2017</v>
      </c>
      <c r="G2190" t="s">
        <v>984</v>
      </c>
      <c r="H2190" s="4">
        <v>48.1</v>
      </c>
      <c r="I2190" t="s">
        <v>108</v>
      </c>
      <c r="J2190" t="s">
        <v>223</v>
      </c>
      <c r="K2190" t="s">
        <v>2025</v>
      </c>
      <c r="L2190" s="2">
        <v>45931</v>
      </c>
      <c r="M2190" t="s">
        <v>223</v>
      </c>
      <c r="N2190">
        <v>0</v>
      </c>
      <c r="O2190" t="s">
        <v>111</v>
      </c>
      <c r="P2190" t="s">
        <v>134</v>
      </c>
      <c r="Q2190">
        <v>0</v>
      </c>
    </row>
    <row r="2191" spans="1:17" x14ac:dyDescent="0.3">
      <c r="A2191" t="s">
        <v>17</v>
      </c>
      <c r="B2191">
        <v>66</v>
      </c>
      <c r="C2191" t="s">
        <v>134</v>
      </c>
      <c r="D2191" s="2">
        <v>45945</v>
      </c>
      <c r="E2191" s="3">
        <f t="shared" si="34"/>
        <v>45931</v>
      </c>
      <c r="F2191" t="s">
        <v>2017</v>
      </c>
      <c r="G2191" t="s">
        <v>984</v>
      </c>
      <c r="H2191" s="4">
        <v>44.4</v>
      </c>
      <c r="I2191" t="s">
        <v>108</v>
      </c>
      <c r="J2191" t="s">
        <v>223</v>
      </c>
      <c r="K2191" t="s">
        <v>2026</v>
      </c>
      <c r="L2191" s="2">
        <v>45931</v>
      </c>
      <c r="M2191" t="s">
        <v>223</v>
      </c>
      <c r="N2191">
        <v>0</v>
      </c>
      <c r="O2191" t="s">
        <v>111</v>
      </c>
      <c r="P2191" t="s">
        <v>134</v>
      </c>
      <c r="Q2191">
        <v>0</v>
      </c>
    </row>
    <row r="2192" spans="1:17" x14ac:dyDescent="0.3">
      <c r="A2192" t="s">
        <v>17</v>
      </c>
      <c r="B2192">
        <v>66</v>
      </c>
      <c r="C2192" t="s">
        <v>134</v>
      </c>
      <c r="D2192" s="2">
        <v>45945</v>
      </c>
      <c r="E2192" s="3">
        <f t="shared" si="34"/>
        <v>45931</v>
      </c>
      <c r="F2192" t="s">
        <v>2017</v>
      </c>
      <c r="G2192" t="s">
        <v>984</v>
      </c>
      <c r="H2192" s="4">
        <v>56.98</v>
      </c>
      <c r="I2192" t="s">
        <v>108</v>
      </c>
      <c r="J2192" t="s">
        <v>223</v>
      </c>
      <c r="K2192" t="s">
        <v>2027</v>
      </c>
      <c r="L2192" s="2">
        <v>45931</v>
      </c>
      <c r="M2192" t="s">
        <v>223</v>
      </c>
      <c r="N2192">
        <v>0</v>
      </c>
      <c r="O2192" t="s">
        <v>111</v>
      </c>
      <c r="P2192" t="s">
        <v>134</v>
      </c>
      <c r="Q2192">
        <v>0</v>
      </c>
    </row>
    <row r="2193" spans="1:17" x14ac:dyDescent="0.3">
      <c r="A2193" t="s">
        <v>17</v>
      </c>
      <c r="B2193">
        <v>66</v>
      </c>
      <c r="C2193" t="s">
        <v>134</v>
      </c>
      <c r="D2193" s="2">
        <v>45945</v>
      </c>
      <c r="E2193" s="3">
        <f t="shared" si="34"/>
        <v>45931</v>
      </c>
      <c r="F2193" t="s">
        <v>2017</v>
      </c>
      <c r="G2193" t="s">
        <v>984</v>
      </c>
      <c r="H2193" s="4">
        <v>38.11</v>
      </c>
      <c r="I2193" t="s">
        <v>108</v>
      </c>
      <c r="J2193" t="s">
        <v>223</v>
      </c>
      <c r="K2193" t="s">
        <v>2028</v>
      </c>
      <c r="L2193" s="2">
        <v>45931</v>
      </c>
      <c r="M2193" t="s">
        <v>223</v>
      </c>
      <c r="N2193">
        <v>0</v>
      </c>
      <c r="O2193" t="s">
        <v>111</v>
      </c>
      <c r="P2193" t="s">
        <v>134</v>
      </c>
      <c r="Q2193">
        <v>0</v>
      </c>
    </row>
    <row r="2194" spans="1:17" x14ac:dyDescent="0.3">
      <c r="A2194" t="s">
        <v>17</v>
      </c>
      <c r="B2194">
        <v>66</v>
      </c>
      <c r="C2194" t="s">
        <v>134</v>
      </c>
      <c r="D2194" s="2">
        <v>45945</v>
      </c>
      <c r="E2194" s="3">
        <f t="shared" si="34"/>
        <v>45931</v>
      </c>
      <c r="F2194" t="s">
        <v>2017</v>
      </c>
      <c r="G2194" t="s">
        <v>984</v>
      </c>
      <c r="H2194" s="4">
        <v>38.11</v>
      </c>
      <c r="I2194" t="s">
        <v>108</v>
      </c>
      <c r="J2194" t="s">
        <v>223</v>
      </c>
      <c r="K2194" t="s">
        <v>2029</v>
      </c>
      <c r="L2194" s="2">
        <v>45931</v>
      </c>
      <c r="M2194" t="s">
        <v>223</v>
      </c>
      <c r="N2194">
        <v>0</v>
      </c>
      <c r="O2194" t="s">
        <v>111</v>
      </c>
      <c r="P2194" t="s">
        <v>134</v>
      </c>
      <c r="Q2194">
        <v>0</v>
      </c>
    </row>
    <row r="2195" spans="1:17" x14ac:dyDescent="0.3">
      <c r="A2195" t="s">
        <v>17</v>
      </c>
      <c r="B2195">
        <v>66</v>
      </c>
      <c r="C2195" t="s">
        <v>134</v>
      </c>
      <c r="D2195" s="2">
        <v>45945</v>
      </c>
      <c r="E2195" s="3">
        <f t="shared" si="34"/>
        <v>45931</v>
      </c>
      <c r="F2195" t="s">
        <v>2017</v>
      </c>
      <c r="G2195" t="s">
        <v>984</v>
      </c>
      <c r="H2195" s="4">
        <v>42.18</v>
      </c>
      <c r="I2195" t="s">
        <v>108</v>
      </c>
      <c r="J2195" t="s">
        <v>223</v>
      </c>
      <c r="K2195" t="s">
        <v>2030</v>
      </c>
      <c r="L2195" s="2">
        <v>45931</v>
      </c>
      <c r="M2195" t="s">
        <v>223</v>
      </c>
      <c r="N2195">
        <v>0</v>
      </c>
      <c r="O2195" t="s">
        <v>111</v>
      </c>
      <c r="P2195" t="s">
        <v>134</v>
      </c>
      <c r="Q2195">
        <v>0</v>
      </c>
    </row>
    <row r="2196" spans="1:17" x14ac:dyDescent="0.3">
      <c r="A2196" t="s">
        <v>17</v>
      </c>
      <c r="B2196">
        <v>66</v>
      </c>
      <c r="C2196" t="s">
        <v>134</v>
      </c>
      <c r="D2196" s="2">
        <v>45945</v>
      </c>
      <c r="E2196" s="3">
        <f t="shared" si="34"/>
        <v>45931</v>
      </c>
      <c r="F2196" t="s">
        <v>2017</v>
      </c>
      <c r="G2196" t="s">
        <v>984</v>
      </c>
      <c r="H2196" s="4">
        <v>42.18</v>
      </c>
      <c r="I2196" t="s">
        <v>108</v>
      </c>
      <c r="J2196" t="s">
        <v>223</v>
      </c>
      <c r="K2196" t="s">
        <v>2023</v>
      </c>
      <c r="L2196" s="2">
        <v>45931</v>
      </c>
      <c r="M2196" t="s">
        <v>223</v>
      </c>
      <c r="N2196">
        <v>0</v>
      </c>
      <c r="O2196" t="s">
        <v>111</v>
      </c>
      <c r="P2196" t="s">
        <v>134</v>
      </c>
      <c r="Q2196">
        <v>0</v>
      </c>
    </row>
    <row r="2197" spans="1:17" x14ac:dyDescent="0.3">
      <c r="A2197" t="s">
        <v>17</v>
      </c>
      <c r="B2197">
        <v>66</v>
      </c>
      <c r="C2197" t="s">
        <v>134</v>
      </c>
      <c r="D2197" s="2">
        <v>45945</v>
      </c>
      <c r="E2197" s="3">
        <f t="shared" si="34"/>
        <v>45931</v>
      </c>
      <c r="F2197" t="s">
        <v>2017</v>
      </c>
      <c r="G2197" t="s">
        <v>984</v>
      </c>
      <c r="H2197" s="4">
        <v>46.99</v>
      </c>
      <c r="I2197" t="s">
        <v>108</v>
      </c>
      <c r="J2197" t="s">
        <v>223</v>
      </c>
      <c r="K2197" t="s">
        <v>2031</v>
      </c>
      <c r="L2197" s="2">
        <v>45931</v>
      </c>
      <c r="M2197" t="s">
        <v>223</v>
      </c>
      <c r="N2197">
        <v>0</v>
      </c>
      <c r="O2197" t="s">
        <v>111</v>
      </c>
      <c r="P2197" t="s">
        <v>134</v>
      </c>
      <c r="Q2197">
        <v>0</v>
      </c>
    </row>
    <row r="2198" spans="1:17" x14ac:dyDescent="0.3">
      <c r="A2198" t="s">
        <v>17</v>
      </c>
      <c r="B2198">
        <v>66</v>
      </c>
      <c r="C2198" t="s">
        <v>134</v>
      </c>
      <c r="D2198" s="2">
        <v>45945</v>
      </c>
      <c r="E2198" s="3">
        <f t="shared" si="34"/>
        <v>45931</v>
      </c>
      <c r="F2198" t="s">
        <v>2017</v>
      </c>
      <c r="G2198" t="s">
        <v>984</v>
      </c>
      <c r="H2198" s="4">
        <v>46.99</v>
      </c>
      <c r="I2198" t="s">
        <v>108</v>
      </c>
      <c r="J2198" t="s">
        <v>223</v>
      </c>
      <c r="K2198" t="s">
        <v>2032</v>
      </c>
      <c r="L2198" s="2">
        <v>45931</v>
      </c>
      <c r="M2198" t="s">
        <v>223</v>
      </c>
      <c r="N2198">
        <v>0</v>
      </c>
      <c r="O2198" t="s">
        <v>111</v>
      </c>
      <c r="P2198" t="s">
        <v>134</v>
      </c>
      <c r="Q2198">
        <v>0</v>
      </c>
    </row>
    <row r="2199" spans="1:17" x14ac:dyDescent="0.3">
      <c r="A2199" t="s">
        <v>17</v>
      </c>
      <c r="B2199">
        <v>66</v>
      </c>
      <c r="C2199" t="s">
        <v>134</v>
      </c>
      <c r="D2199" s="2">
        <v>45945</v>
      </c>
      <c r="E2199" s="3">
        <f t="shared" si="34"/>
        <v>45931</v>
      </c>
      <c r="F2199" t="s">
        <v>2017</v>
      </c>
      <c r="G2199" t="s">
        <v>984</v>
      </c>
      <c r="H2199" s="4">
        <v>62.16</v>
      </c>
      <c r="I2199" t="s">
        <v>108</v>
      </c>
      <c r="J2199" t="s">
        <v>223</v>
      </c>
      <c r="K2199" t="s">
        <v>2031</v>
      </c>
      <c r="L2199" s="2">
        <v>45931</v>
      </c>
      <c r="M2199" t="s">
        <v>223</v>
      </c>
      <c r="N2199">
        <v>0</v>
      </c>
      <c r="O2199" t="s">
        <v>111</v>
      </c>
      <c r="P2199" t="s">
        <v>134</v>
      </c>
      <c r="Q2199">
        <v>0</v>
      </c>
    </row>
    <row r="2200" spans="1:17" x14ac:dyDescent="0.3">
      <c r="A2200" t="s">
        <v>17</v>
      </c>
      <c r="B2200">
        <v>66</v>
      </c>
      <c r="C2200" t="s">
        <v>134</v>
      </c>
      <c r="D2200" s="2">
        <v>45945</v>
      </c>
      <c r="E2200" s="3">
        <f t="shared" si="34"/>
        <v>45931</v>
      </c>
      <c r="F2200" t="s">
        <v>2017</v>
      </c>
      <c r="G2200" t="s">
        <v>984</v>
      </c>
      <c r="H2200" s="4">
        <v>62.16</v>
      </c>
      <c r="I2200" t="s">
        <v>108</v>
      </c>
      <c r="J2200" t="s">
        <v>223</v>
      </c>
      <c r="K2200" t="s">
        <v>2033</v>
      </c>
      <c r="L2200" s="2">
        <v>45931</v>
      </c>
      <c r="M2200" t="s">
        <v>223</v>
      </c>
      <c r="N2200">
        <v>0</v>
      </c>
      <c r="O2200" t="s">
        <v>111</v>
      </c>
      <c r="P2200" t="s">
        <v>134</v>
      </c>
      <c r="Q2200">
        <v>0</v>
      </c>
    </row>
    <row r="2201" spans="1:17" x14ac:dyDescent="0.3">
      <c r="A2201" t="s">
        <v>17</v>
      </c>
      <c r="B2201">
        <v>66</v>
      </c>
      <c r="C2201" t="s">
        <v>134</v>
      </c>
      <c r="D2201" s="2">
        <v>45945</v>
      </c>
      <c r="E2201" s="3">
        <f t="shared" si="34"/>
        <v>45931</v>
      </c>
      <c r="F2201" t="s">
        <v>2017</v>
      </c>
      <c r="G2201" t="s">
        <v>984</v>
      </c>
      <c r="H2201" s="4">
        <v>39.96</v>
      </c>
      <c r="I2201" t="s">
        <v>108</v>
      </c>
      <c r="J2201" t="s">
        <v>223</v>
      </c>
      <c r="K2201" t="s">
        <v>2034</v>
      </c>
      <c r="L2201" s="2">
        <v>45931</v>
      </c>
      <c r="M2201" t="s">
        <v>223</v>
      </c>
      <c r="N2201">
        <v>0</v>
      </c>
      <c r="O2201" t="s">
        <v>111</v>
      </c>
      <c r="P2201" t="s">
        <v>134</v>
      </c>
      <c r="Q2201">
        <v>0</v>
      </c>
    </row>
    <row r="2202" spans="1:17" x14ac:dyDescent="0.3">
      <c r="A2202" t="s">
        <v>17</v>
      </c>
      <c r="B2202">
        <v>66</v>
      </c>
      <c r="C2202" t="s">
        <v>134</v>
      </c>
      <c r="D2202" s="2">
        <v>45945</v>
      </c>
      <c r="E2202" s="3">
        <f t="shared" si="34"/>
        <v>45931</v>
      </c>
      <c r="F2202" t="s">
        <v>2017</v>
      </c>
      <c r="G2202" t="s">
        <v>984</v>
      </c>
      <c r="H2202" s="4">
        <v>39.96</v>
      </c>
      <c r="I2202" t="s">
        <v>108</v>
      </c>
      <c r="J2202" t="s">
        <v>223</v>
      </c>
      <c r="K2202" t="s">
        <v>2035</v>
      </c>
      <c r="L2202" s="2">
        <v>45931</v>
      </c>
      <c r="M2202" t="s">
        <v>223</v>
      </c>
      <c r="N2202">
        <v>0</v>
      </c>
      <c r="O2202" t="s">
        <v>111</v>
      </c>
      <c r="P2202" t="s">
        <v>134</v>
      </c>
      <c r="Q2202">
        <v>0</v>
      </c>
    </row>
    <row r="2203" spans="1:17" x14ac:dyDescent="0.3">
      <c r="A2203" t="s">
        <v>17</v>
      </c>
      <c r="B2203">
        <v>66</v>
      </c>
      <c r="C2203" t="s">
        <v>134</v>
      </c>
      <c r="D2203" s="2">
        <v>45945</v>
      </c>
      <c r="E2203" s="3">
        <f t="shared" si="34"/>
        <v>45931</v>
      </c>
      <c r="F2203" t="s">
        <v>2017</v>
      </c>
      <c r="G2203" t="s">
        <v>984</v>
      </c>
      <c r="H2203" s="4">
        <v>55.5</v>
      </c>
      <c r="I2203" t="s">
        <v>108</v>
      </c>
      <c r="J2203" t="s">
        <v>223</v>
      </c>
      <c r="K2203" t="s">
        <v>2036</v>
      </c>
      <c r="L2203" s="2">
        <v>45931</v>
      </c>
      <c r="M2203" t="s">
        <v>223</v>
      </c>
      <c r="N2203">
        <v>0</v>
      </c>
      <c r="O2203" t="s">
        <v>111</v>
      </c>
      <c r="P2203" t="s">
        <v>134</v>
      </c>
      <c r="Q2203">
        <v>0</v>
      </c>
    </row>
    <row r="2204" spans="1:17" x14ac:dyDescent="0.3">
      <c r="A2204" t="s">
        <v>17</v>
      </c>
      <c r="B2204">
        <v>66</v>
      </c>
      <c r="C2204" t="s">
        <v>134</v>
      </c>
      <c r="D2204" s="2">
        <v>45945</v>
      </c>
      <c r="E2204" s="3">
        <f t="shared" si="34"/>
        <v>45931</v>
      </c>
      <c r="F2204" t="s">
        <v>2017</v>
      </c>
      <c r="G2204" t="s">
        <v>984</v>
      </c>
      <c r="H2204" s="4">
        <v>55.5</v>
      </c>
      <c r="I2204" t="s">
        <v>108</v>
      </c>
      <c r="J2204" t="s">
        <v>223</v>
      </c>
      <c r="K2204" t="s">
        <v>2037</v>
      </c>
      <c r="L2204" s="2">
        <v>45931</v>
      </c>
      <c r="M2204" t="s">
        <v>223</v>
      </c>
      <c r="N2204">
        <v>0</v>
      </c>
      <c r="O2204" t="s">
        <v>111</v>
      </c>
      <c r="P2204" t="s">
        <v>134</v>
      </c>
      <c r="Q2204">
        <v>0</v>
      </c>
    </row>
    <row r="2205" spans="1:17" x14ac:dyDescent="0.3">
      <c r="A2205" t="s">
        <v>17</v>
      </c>
      <c r="B2205">
        <v>66</v>
      </c>
      <c r="C2205" t="s">
        <v>134</v>
      </c>
      <c r="D2205" s="2">
        <v>45945</v>
      </c>
      <c r="E2205" s="3">
        <f t="shared" si="34"/>
        <v>45931</v>
      </c>
      <c r="F2205" t="s">
        <v>2017</v>
      </c>
      <c r="G2205" t="s">
        <v>984</v>
      </c>
      <c r="H2205" s="4">
        <v>51.43</v>
      </c>
      <c r="I2205" t="s">
        <v>108</v>
      </c>
      <c r="J2205" t="s">
        <v>223</v>
      </c>
      <c r="K2205" t="s">
        <v>2038</v>
      </c>
      <c r="L2205" s="2">
        <v>45931</v>
      </c>
      <c r="M2205" t="s">
        <v>223</v>
      </c>
      <c r="N2205">
        <v>0</v>
      </c>
      <c r="O2205" t="s">
        <v>111</v>
      </c>
      <c r="P2205" t="s">
        <v>134</v>
      </c>
      <c r="Q2205">
        <v>0</v>
      </c>
    </row>
    <row r="2206" spans="1:17" x14ac:dyDescent="0.3">
      <c r="A2206" t="s">
        <v>17</v>
      </c>
      <c r="B2206">
        <v>66</v>
      </c>
      <c r="C2206" t="s">
        <v>134</v>
      </c>
      <c r="D2206" s="2">
        <v>45945</v>
      </c>
      <c r="E2206" s="3">
        <f t="shared" si="34"/>
        <v>45931</v>
      </c>
      <c r="F2206" t="s">
        <v>2017</v>
      </c>
      <c r="G2206" t="s">
        <v>984</v>
      </c>
      <c r="H2206" s="4">
        <v>51.43</v>
      </c>
      <c r="I2206" t="s">
        <v>108</v>
      </c>
      <c r="J2206" t="s">
        <v>223</v>
      </c>
      <c r="K2206" t="s">
        <v>2039</v>
      </c>
      <c r="L2206" s="2">
        <v>45931</v>
      </c>
      <c r="M2206" t="s">
        <v>223</v>
      </c>
      <c r="N2206">
        <v>0</v>
      </c>
      <c r="O2206" t="s">
        <v>111</v>
      </c>
      <c r="P2206" t="s">
        <v>134</v>
      </c>
      <c r="Q2206">
        <v>0</v>
      </c>
    </row>
    <row r="2207" spans="1:17" x14ac:dyDescent="0.3">
      <c r="A2207" t="s">
        <v>17</v>
      </c>
      <c r="B2207">
        <v>66</v>
      </c>
      <c r="C2207" t="s">
        <v>134</v>
      </c>
      <c r="D2207" s="2">
        <v>45945</v>
      </c>
      <c r="E2207" s="3">
        <f t="shared" si="34"/>
        <v>45931</v>
      </c>
      <c r="F2207" t="s">
        <v>2017</v>
      </c>
      <c r="G2207" t="s">
        <v>984</v>
      </c>
      <c r="H2207" s="4">
        <v>51.43</v>
      </c>
      <c r="I2207" t="s">
        <v>108</v>
      </c>
      <c r="J2207" t="s">
        <v>223</v>
      </c>
      <c r="K2207" t="s">
        <v>2040</v>
      </c>
      <c r="L2207" s="2">
        <v>45931</v>
      </c>
      <c r="M2207" t="s">
        <v>223</v>
      </c>
      <c r="N2207">
        <v>0</v>
      </c>
      <c r="O2207" t="s">
        <v>111</v>
      </c>
      <c r="P2207" t="s">
        <v>134</v>
      </c>
      <c r="Q2207">
        <v>0</v>
      </c>
    </row>
    <row r="2208" spans="1:17" x14ac:dyDescent="0.3">
      <c r="A2208" t="s">
        <v>17</v>
      </c>
      <c r="B2208">
        <v>66</v>
      </c>
      <c r="C2208" t="s">
        <v>134</v>
      </c>
      <c r="D2208" s="2">
        <v>45945</v>
      </c>
      <c r="E2208" s="3">
        <f t="shared" si="34"/>
        <v>45931</v>
      </c>
      <c r="F2208" t="s">
        <v>2017</v>
      </c>
      <c r="G2208" t="s">
        <v>984</v>
      </c>
      <c r="H2208" s="4">
        <v>64.38</v>
      </c>
      <c r="I2208" t="s">
        <v>108</v>
      </c>
      <c r="J2208" t="s">
        <v>223</v>
      </c>
      <c r="K2208" t="s">
        <v>2041</v>
      </c>
      <c r="L2208" s="2">
        <v>45931</v>
      </c>
      <c r="M2208" t="s">
        <v>223</v>
      </c>
      <c r="N2208">
        <v>0</v>
      </c>
      <c r="O2208" t="s">
        <v>111</v>
      </c>
      <c r="P2208" t="s">
        <v>134</v>
      </c>
      <c r="Q2208">
        <v>0</v>
      </c>
    </row>
    <row r="2209" spans="1:17" x14ac:dyDescent="0.3">
      <c r="A2209" t="s">
        <v>17</v>
      </c>
      <c r="B2209">
        <v>66</v>
      </c>
      <c r="C2209" t="s">
        <v>134</v>
      </c>
      <c r="D2209" s="2">
        <v>45945</v>
      </c>
      <c r="E2209" s="3">
        <f t="shared" si="34"/>
        <v>45931</v>
      </c>
      <c r="F2209" t="s">
        <v>2017</v>
      </c>
      <c r="G2209" t="s">
        <v>984</v>
      </c>
      <c r="H2209" s="4">
        <v>64.38</v>
      </c>
      <c r="I2209" t="s">
        <v>108</v>
      </c>
      <c r="J2209" t="s">
        <v>223</v>
      </c>
      <c r="K2209" t="s">
        <v>2042</v>
      </c>
      <c r="L2209" s="2">
        <v>45931</v>
      </c>
      <c r="M2209" t="s">
        <v>223</v>
      </c>
      <c r="N2209">
        <v>0</v>
      </c>
      <c r="O2209" t="s">
        <v>111</v>
      </c>
      <c r="P2209" t="s">
        <v>134</v>
      </c>
      <c r="Q2209">
        <v>0</v>
      </c>
    </row>
    <row r="2210" spans="1:17" x14ac:dyDescent="0.3">
      <c r="A2210" t="s">
        <v>17</v>
      </c>
      <c r="B2210">
        <v>66</v>
      </c>
      <c r="C2210" t="s">
        <v>134</v>
      </c>
      <c r="D2210" s="2">
        <v>45945</v>
      </c>
      <c r="E2210" s="3">
        <f t="shared" si="34"/>
        <v>45931</v>
      </c>
      <c r="F2210" t="s">
        <v>2017</v>
      </c>
      <c r="G2210" t="s">
        <v>984</v>
      </c>
      <c r="H2210" s="4">
        <v>64.38</v>
      </c>
      <c r="I2210" t="s">
        <v>108</v>
      </c>
      <c r="J2210" t="s">
        <v>223</v>
      </c>
      <c r="K2210" t="s">
        <v>2043</v>
      </c>
      <c r="L2210" s="2">
        <v>45931</v>
      </c>
      <c r="M2210" t="s">
        <v>223</v>
      </c>
      <c r="N2210">
        <v>0</v>
      </c>
      <c r="O2210" t="s">
        <v>111</v>
      </c>
      <c r="P2210" t="s">
        <v>134</v>
      </c>
      <c r="Q2210">
        <v>0</v>
      </c>
    </row>
    <row r="2211" spans="1:17" x14ac:dyDescent="0.3">
      <c r="A2211" t="s">
        <v>17</v>
      </c>
      <c r="B2211">
        <v>66</v>
      </c>
      <c r="C2211" t="s">
        <v>134</v>
      </c>
      <c r="D2211" s="2">
        <v>45950</v>
      </c>
      <c r="E2211" s="3">
        <f t="shared" si="34"/>
        <v>45931</v>
      </c>
      <c r="F2211" t="s">
        <v>2044</v>
      </c>
      <c r="G2211" t="s">
        <v>877</v>
      </c>
      <c r="H2211" s="4">
        <v>2581.1999999999998</v>
      </c>
      <c r="I2211" t="s">
        <v>108</v>
      </c>
      <c r="J2211" t="s">
        <v>223</v>
      </c>
      <c r="K2211" t="s">
        <v>2045</v>
      </c>
      <c r="L2211" s="2">
        <v>45931</v>
      </c>
      <c r="M2211" t="s">
        <v>223</v>
      </c>
      <c r="N2211">
        <v>0</v>
      </c>
      <c r="O2211" t="s">
        <v>111</v>
      </c>
      <c r="P2211" t="s">
        <v>134</v>
      </c>
      <c r="Q2211">
        <v>0</v>
      </c>
    </row>
    <row r="2212" spans="1:17" x14ac:dyDescent="0.3">
      <c r="A2212" t="s">
        <v>17</v>
      </c>
      <c r="B2212">
        <v>66</v>
      </c>
      <c r="C2212" t="s">
        <v>134</v>
      </c>
      <c r="D2212" s="2">
        <v>45952</v>
      </c>
      <c r="E2212" s="3">
        <f t="shared" si="34"/>
        <v>45931</v>
      </c>
      <c r="F2212" t="s">
        <v>2046</v>
      </c>
      <c r="G2212" t="s">
        <v>136</v>
      </c>
      <c r="H2212" s="4">
        <v>6867.14</v>
      </c>
      <c r="I2212" t="s">
        <v>108</v>
      </c>
      <c r="J2212" t="s">
        <v>223</v>
      </c>
      <c r="K2212" t="s">
        <v>2047</v>
      </c>
      <c r="L2212" s="2">
        <v>45931</v>
      </c>
      <c r="M2212" t="s">
        <v>223</v>
      </c>
      <c r="N2212">
        <v>0</v>
      </c>
      <c r="O2212" t="s">
        <v>111</v>
      </c>
      <c r="P2212" t="s">
        <v>134</v>
      </c>
      <c r="Q2212">
        <v>0</v>
      </c>
    </row>
    <row r="2213" spans="1:17" x14ac:dyDescent="0.3">
      <c r="A2213" t="s">
        <v>17</v>
      </c>
      <c r="B2213">
        <v>66</v>
      </c>
      <c r="C2213" t="s">
        <v>134</v>
      </c>
      <c r="D2213" s="2">
        <v>45957</v>
      </c>
      <c r="E2213" s="3">
        <f t="shared" si="34"/>
        <v>45931</v>
      </c>
      <c r="F2213" t="s">
        <v>2048</v>
      </c>
      <c r="G2213" t="s">
        <v>2049</v>
      </c>
      <c r="H2213" s="4">
        <v>717.28</v>
      </c>
      <c r="I2213" t="s">
        <v>108</v>
      </c>
      <c r="J2213" t="s">
        <v>223</v>
      </c>
      <c r="K2213" t="s">
        <v>2050</v>
      </c>
      <c r="L2213" s="2">
        <v>45931</v>
      </c>
      <c r="M2213" t="s">
        <v>223</v>
      </c>
      <c r="N2213">
        <v>0</v>
      </c>
      <c r="O2213" t="s">
        <v>111</v>
      </c>
      <c r="P2213" t="s">
        <v>134</v>
      </c>
      <c r="Q2213">
        <v>0</v>
      </c>
    </row>
    <row r="2214" spans="1:17" x14ac:dyDescent="0.3">
      <c r="A2214" t="s">
        <v>17</v>
      </c>
      <c r="B2214">
        <v>66</v>
      </c>
      <c r="C2214" t="s">
        <v>134</v>
      </c>
      <c r="D2214" s="2">
        <v>45961</v>
      </c>
      <c r="E2214" s="3">
        <f t="shared" si="34"/>
        <v>45931</v>
      </c>
      <c r="F2214" t="s">
        <v>1929</v>
      </c>
      <c r="G2214" t="s">
        <v>222</v>
      </c>
      <c r="H2214" s="4">
        <v>74</v>
      </c>
      <c r="I2214" t="s">
        <v>104</v>
      </c>
      <c r="J2214" t="s">
        <v>223</v>
      </c>
      <c r="K2214" t="s">
        <v>2051</v>
      </c>
      <c r="L2214" s="2">
        <v>45931</v>
      </c>
      <c r="M2214" t="s">
        <v>223</v>
      </c>
      <c r="N2214">
        <v>0</v>
      </c>
      <c r="O2214" t="s">
        <v>104</v>
      </c>
      <c r="P2214" t="s">
        <v>134</v>
      </c>
      <c r="Q2214">
        <v>0</v>
      </c>
    </row>
    <row r="2215" spans="1:17" x14ac:dyDescent="0.3">
      <c r="A2215" t="s">
        <v>17</v>
      </c>
      <c r="B2215">
        <v>66</v>
      </c>
      <c r="C2215" t="s">
        <v>134</v>
      </c>
      <c r="D2215" s="2">
        <v>45961</v>
      </c>
      <c r="E2215" s="3">
        <f t="shared" si="34"/>
        <v>45931</v>
      </c>
      <c r="F2215" t="s">
        <v>2052</v>
      </c>
      <c r="H2215" s="4">
        <v>359.25</v>
      </c>
      <c r="I2215" t="s">
        <v>47</v>
      </c>
      <c r="J2215" t="s">
        <v>223</v>
      </c>
      <c r="K2215" t="s">
        <v>2053</v>
      </c>
      <c r="L2215" s="2">
        <v>45931</v>
      </c>
      <c r="M2215" t="s">
        <v>223</v>
      </c>
      <c r="N2215">
        <v>0</v>
      </c>
      <c r="O2215" t="s">
        <v>111</v>
      </c>
      <c r="P2215" t="s">
        <v>134</v>
      </c>
      <c r="Q2215">
        <v>0</v>
      </c>
    </row>
    <row r="2216" spans="1:17" x14ac:dyDescent="0.3">
      <c r="A2216" t="s">
        <v>17</v>
      </c>
      <c r="B2216">
        <v>68</v>
      </c>
      <c r="C2216" t="s">
        <v>34</v>
      </c>
      <c r="D2216" s="2">
        <v>45931</v>
      </c>
      <c r="E2216" s="3">
        <f t="shared" si="34"/>
        <v>45931</v>
      </c>
      <c r="F2216" t="s">
        <v>2054</v>
      </c>
      <c r="G2216" t="s">
        <v>122</v>
      </c>
      <c r="H2216" s="4">
        <v>17</v>
      </c>
      <c r="I2216" t="s">
        <v>108</v>
      </c>
      <c r="J2216" t="s">
        <v>109</v>
      </c>
      <c r="K2216" t="s">
        <v>1455</v>
      </c>
      <c r="L2216" s="2">
        <v>45931</v>
      </c>
      <c r="M2216" t="s">
        <v>109</v>
      </c>
      <c r="N2216">
        <v>0</v>
      </c>
      <c r="O2216" t="s">
        <v>111</v>
      </c>
      <c r="P2216" t="s">
        <v>112</v>
      </c>
      <c r="Q2216" t="s">
        <v>113</v>
      </c>
    </row>
    <row r="2217" spans="1:17" x14ac:dyDescent="0.3">
      <c r="A2217" t="s">
        <v>17</v>
      </c>
      <c r="B2217">
        <v>68</v>
      </c>
      <c r="C2217" t="s">
        <v>34</v>
      </c>
      <c r="D2217" s="2">
        <v>45931</v>
      </c>
      <c r="E2217" s="3">
        <f t="shared" si="34"/>
        <v>45931</v>
      </c>
      <c r="F2217" t="s">
        <v>2054</v>
      </c>
      <c r="G2217" t="s">
        <v>122</v>
      </c>
      <c r="H2217" s="4">
        <v>1.31</v>
      </c>
      <c r="I2217" t="s">
        <v>108</v>
      </c>
      <c r="J2217" t="s">
        <v>109</v>
      </c>
      <c r="K2217" t="s">
        <v>1457</v>
      </c>
      <c r="L2217" s="2">
        <v>45931</v>
      </c>
      <c r="M2217" t="s">
        <v>109</v>
      </c>
      <c r="N2217">
        <v>0</v>
      </c>
      <c r="O2217" t="s">
        <v>111</v>
      </c>
      <c r="P2217" t="s">
        <v>112</v>
      </c>
      <c r="Q2217" t="s">
        <v>113</v>
      </c>
    </row>
    <row r="2218" spans="1:17" x14ac:dyDescent="0.3">
      <c r="A2218" t="s">
        <v>17</v>
      </c>
      <c r="B2218">
        <v>68</v>
      </c>
      <c r="C2218" t="s">
        <v>34</v>
      </c>
      <c r="D2218" s="2">
        <v>45931</v>
      </c>
      <c r="E2218" s="3">
        <f t="shared" si="34"/>
        <v>45931</v>
      </c>
      <c r="F2218" t="s">
        <v>2054</v>
      </c>
      <c r="G2218" t="s">
        <v>122</v>
      </c>
      <c r="H2218" s="4">
        <v>9</v>
      </c>
      <c r="I2218" t="s">
        <v>108</v>
      </c>
      <c r="J2218" t="s">
        <v>109</v>
      </c>
      <c r="L2218" s="2">
        <v>45931</v>
      </c>
      <c r="M2218" t="s">
        <v>109</v>
      </c>
      <c r="N2218">
        <v>0</v>
      </c>
      <c r="O2218" t="s">
        <v>111</v>
      </c>
      <c r="P2218" t="s">
        <v>112</v>
      </c>
      <c r="Q2218" t="s">
        <v>113</v>
      </c>
    </row>
    <row r="2219" spans="1:17" x14ac:dyDescent="0.3">
      <c r="A2219" t="s">
        <v>17</v>
      </c>
      <c r="B2219">
        <v>68</v>
      </c>
      <c r="C2219" t="s">
        <v>34</v>
      </c>
      <c r="D2219" s="2">
        <v>45931</v>
      </c>
      <c r="E2219" s="3">
        <f t="shared" si="34"/>
        <v>45931</v>
      </c>
      <c r="F2219" t="s">
        <v>2055</v>
      </c>
      <c r="G2219" t="s">
        <v>122</v>
      </c>
      <c r="H2219" s="4">
        <v>17</v>
      </c>
      <c r="I2219" t="s">
        <v>108</v>
      </c>
      <c r="J2219" t="s">
        <v>109</v>
      </c>
      <c r="L2219" s="2">
        <v>45931</v>
      </c>
      <c r="M2219" t="s">
        <v>109</v>
      </c>
      <c r="N2219">
        <v>0</v>
      </c>
      <c r="O2219" t="s">
        <v>111</v>
      </c>
      <c r="P2219" t="s">
        <v>112</v>
      </c>
      <c r="Q2219" t="s">
        <v>113</v>
      </c>
    </row>
    <row r="2220" spans="1:17" x14ac:dyDescent="0.3">
      <c r="A2220" t="s">
        <v>17</v>
      </c>
      <c r="B2220">
        <v>68</v>
      </c>
      <c r="C2220" t="s">
        <v>34</v>
      </c>
      <c r="D2220" s="2">
        <v>45931</v>
      </c>
      <c r="E2220" s="3">
        <f t="shared" si="34"/>
        <v>45931</v>
      </c>
      <c r="F2220" t="s">
        <v>2055</v>
      </c>
      <c r="G2220" t="s">
        <v>122</v>
      </c>
      <c r="H2220" s="4">
        <v>1.31</v>
      </c>
      <c r="I2220" t="s">
        <v>108</v>
      </c>
      <c r="J2220" t="s">
        <v>109</v>
      </c>
      <c r="L2220" s="2">
        <v>45931</v>
      </c>
      <c r="M2220" t="s">
        <v>109</v>
      </c>
      <c r="N2220">
        <v>0</v>
      </c>
      <c r="O2220" t="s">
        <v>111</v>
      </c>
      <c r="P2220" t="s">
        <v>112</v>
      </c>
      <c r="Q2220" t="s">
        <v>113</v>
      </c>
    </row>
    <row r="2221" spans="1:17" x14ac:dyDescent="0.3">
      <c r="A2221" t="s">
        <v>17</v>
      </c>
      <c r="B2221">
        <v>68</v>
      </c>
      <c r="C2221" t="s">
        <v>34</v>
      </c>
      <c r="D2221" s="2">
        <v>45931</v>
      </c>
      <c r="E2221" s="3">
        <f t="shared" si="34"/>
        <v>45931</v>
      </c>
      <c r="F2221" t="s">
        <v>2055</v>
      </c>
      <c r="G2221" t="s">
        <v>122</v>
      </c>
      <c r="H2221" s="4">
        <v>36</v>
      </c>
      <c r="I2221" t="s">
        <v>108</v>
      </c>
      <c r="J2221" t="s">
        <v>109</v>
      </c>
      <c r="L2221" s="2">
        <v>45931</v>
      </c>
      <c r="M2221" t="s">
        <v>109</v>
      </c>
      <c r="N2221">
        <v>0</v>
      </c>
      <c r="O2221" t="s">
        <v>111</v>
      </c>
      <c r="P2221" t="s">
        <v>112</v>
      </c>
      <c r="Q2221" t="s">
        <v>113</v>
      </c>
    </row>
    <row r="2222" spans="1:17" x14ac:dyDescent="0.3">
      <c r="A2222" t="s">
        <v>17</v>
      </c>
      <c r="B2222">
        <v>68</v>
      </c>
      <c r="C2222" t="s">
        <v>34</v>
      </c>
      <c r="D2222" s="2">
        <v>45931</v>
      </c>
      <c r="E2222" s="3">
        <f t="shared" si="34"/>
        <v>45931</v>
      </c>
      <c r="F2222" t="s">
        <v>2056</v>
      </c>
      <c r="G2222" t="s">
        <v>122</v>
      </c>
      <c r="H2222" s="4">
        <v>2.9</v>
      </c>
      <c r="I2222" t="s">
        <v>108</v>
      </c>
      <c r="J2222" t="s">
        <v>109</v>
      </c>
      <c r="K2222" t="s">
        <v>1450</v>
      </c>
      <c r="L2222" s="2">
        <v>45931</v>
      </c>
      <c r="M2222" t="s">
        <v>109</v>
      </c>
      <c r="N2222">
        <v>0</v>
      </c>
      <c r="O2222" t="s">
        <v>111</v>
      </c>
      <c r="P2222" t="s">
        <v>112</v>
      </c>
      <c r="Q2222" t="s">
        <v>113</v>
      </c>
    </row>
    <row r="2223" spans="1:17" x14ac:dyDescent="0.3">
      <c r="A2223" t="s">
        <v>17</v>
      </c>
      <c r="B2223">
        <v>68</v>
      </c>
      <c r="C2223" t="s">
        <v>34</v>
      </c>
      <c r="D2223" s="2">
        <v>45931</v>
      </c>
      <c r="E2223" s="3">
        <f t="shared" si="34"/>
        <v>45931</v>
      </c>
      <c r="F2223" t="s">
        <v>2056</v>
      </c>
      <c r="G2223" t="s">
        <v>122</v>
      </c>
      <c r="H2223" s="4">
        <v>17</v>
      </c>
      <c r="I2223" t="s">
        <v>108</v>
      </c>
      <c r="J2223" t="s">
        <v>109</v>
      </c>
      <c r="L2223" s="2">
        <v>45931</v>
      </c>
      <c r="M2223" t="s">
        <v>109</v>
      </c>
      <c r="N2223">
        <v>0</v>
      </c>
      <c r="O2223" t="s">
        <v>111</v>
      </c>
      <c r="P2223" t="s">
        <v>112</v>
      </c>
      <c r="Q2223" t="s">
        <v>113</v>
      </c>
    </row>
    <row r="2224" spans="1:17" x14ac:dyDescent="0.3">
      <c r="A2224" t="s">
        <v>17</v>
      </c>
      <c r="B2224">
        <v>68</v>
      </c>
      <c r="C2224" t="s">
        <v>34</v>
      </c>
      <c r="D2224" s="2">
        <v>45931</v>
      </c>
      <c r="E2224" s="3">
        <f t="shared" si="34"/>
        <v>45931</v>
      </c>
      <c r="F2224" t="s">
        <v>2056</v>
      </c>
      <c r="G2224" t="s">
        <v>122</v>
      </c>
      <c r="H2224" s="4">
        <v>1.31</v>
      </c>
      <c r="I2224" t="s">
        <v>108</v>
      </c>
      <c r="J2224" t="s">
        <v>109</v>
      </c>
      <c r="L2224" s="2">
        <v>45931</v>
      </c>
      <c r="M2224" t="s">
        <v>109</v>
      </c>
      <c r="N2224">
        <v>0</v>
      </c>
      <c r="O2224" t="s">
        <v>111</v>
      </c>
      <c r="P2224" t="s">
        <v>112</v>
      </c>
      <c r="Q2224" t="s">
        <v>113</v>
      </c>
    </row>
    <row r="2225" spans="1:17" x14ac:dyDescent="0.3">
      <c r="A2225" t="s">
        <v>17</v>
      </c>
      <c r="B2225">
        <v>68</v>
      </c>
      <c r="C2225" t="s">
        <v>34</v>
      </c>
      <c r="D2225" s="2">
        <v>45938</v>
      </c>
      <c r="E2225" s="3">
        <f t="shared" si="34"/>
        <v>45931</v>
      </c>
      <c r="F2225" t="s">
        <v>2057</v>
      </c>
      <c r="G2225" t="s">
        <v>122</v>
      </c>
      <c r="H2225" s="4">
        <v>216.76</v>
      </c>
      <c r="I2225" t="s">
        <v>108</v>
      </c>
      <c r="J2225" t="s">
        <v>109</v>
      </c>
      <c r="K2225" t="s">
        <v>1287</v>
      </c>
      <c r="L2225" s="2">
        <v>45931</v>
      </c>
      <c r="M2225" t="s">
        <v>109</v>
      </c>
      <c r="N2225">
        <v>0</v>
      </c>
      <c r="O2225" t="s">
        <v>111</v>
      </c>
      <c r="P2225" t="s">
        <v>112</v>
      </c>
      <c r="Q2225" t="s">
        <v>113</v>
      </c>
    </row>
    <row r="2226" spans="1:17" x14ac:dyDescent="0.3">
      <c r="A2226" t="s">
        <v>17</v>
      </c>
      <c r="B2226">
        <v>68</v>
      </c>
      <c r="C2226" t="s">
        <v>34</v>
      </c>
      <c r="D2226" s="2">
        <v>45938</v>
      </c>
      <c r="E2226" s="3">
        <f t="shared" si="34"/>
        <v>45931</v>
      </c>
      <c r="F2226" t="s">
        <v>2058</v>
      </c>
      <c r="G2226" t="s">
        <v>122</v>
      </c>
      <c r="H2226" s="4">
        <v>1840.33</v>
      </c>
      <c r="I2226" t="s">
        <v>108</v>
      </c>
      <c r="J2226" t="s">
        <v>109</v>
      </c>
      <c r="K2226" t="s">
        <v>388</v>
      </c>
      <c r="L2226" s="2">
        <v>45931</v>
      </c>
      <c r="M2226" t="s">
        <v>109</v>
      </c>
      <c r="N2226">
        <v>0</v>
      </c>
      <c r="O2226" t="s">
        <v>111</v>
      </c>
      <c r="P2226" t="s">
        <v>112</v>
      </c>
      <c r="Q2226" t="s">
        <v>113</v>
      </c>
    </row>
    <row r="2227" spans="1:17" x14ac:dyDescent="0.3">
      <c r="A2227" t="s">
        <v>17</v>
      </c>
      <c r="B2227">
        <v>68</v>
      </c>
      <c r="C2227" t="s">
        <v>34</v>
      </c>
      <c r="D2227" s="2">
        <v>45945</v>
      </c>
      <c r="E2227" s="3">
        <f t="shared" si="34"/>
        <v>45931</v>
      </c>
      <c r="F2227" t="s">
        <v>2059</v>
      </c>
      <c r="G2227" t="s">
        <v>122</v>
      </c>
      <c r="H2227" s="4">
        <v>96.96</v>
      </c>
      <c r="I2227" t="s">
        <v>108</v>
      </c>
      <c r="J2227" t="s">
        <v>109</v>
      </c>
      <c r="K2227" t="s">
        <v>1287</v>
      </c>
      <c r="L2227" s="2">
        <v>45931</v>
      </c>
      <c r="M2227" t="s">
        <v>109</v>
      </c>
      <c r="N2227">
        <v>0</v>
      </c>
      <c r="O2227" t="s">
        <v>111</v>
      </c>
      <c r="P2227" t="s">
        <v>112</v>
      </c>
      <c r="Q2227" t="s">
        <v>113</v>
      </c>
    </row>
    <row r="2228" spans="1:17" x14ac:dyDescent="0.3">
      <c r="A2228" t="s">
        <v>17</v>
      </c>
      <c r="B2228">
        <v>68</v>
      </c>
      <c r="C2228" t="s">
        <v>34</v>
      </c>
      <c r="D2228" s="2">
        <v>45945</v>
      </c>
      <c r="E2228" s="3">
        <f t="shared" si="34"/>
        <v>45931</v>
      </c>
      <c r="F2228" t="s">
        <v>2060</v>
      </c>
      <c r="G2228" t="s">
        <v>122</v>
      </c>
      <c r="H2228" s="4">
        <v>2255.87</v>
      </c>
      <c r="I2228" t="s">
        <v>108</v>
      </c>
      <c r="J2228" t="s">
        <v>109</v>
      </c>
      <c r="K2228" t="s">
        <v>2061</v>
      </c>
      <c r="L2228" s="2">
        <v>45931</v>
      </c>
      <c r="M2228" t="s">
        <v>109</v>
      </c>
      <c r="N2228">
        <v>0</v>
      </c>
      <c r="O2228" t="s">
        <v>111</v>
      </c>
      <c r="P2228" t="s">
        <v>112</v>
      </c>
      <c r="Q2228" t="s">
        <v>113</v>
      </c>
    </row>
    <row r="2229" spans="1:17" x14ac:dyDescent="0.3">
      <c r="A2229" t="s">
        <v>17</v>
      </c>
      <c r="B2229">
        <v>68</v>
      </c>
      <c r="C2229" t="s">
        <v>34</v>
      </c>
      <c r="D2229" s="2">
        <v>45946</v>
      </c>
      <c r="E2229" s="3">
        <f t="shared" si="34"/>
        <v>45931</v>
      </c>
      <c r="F2229" t="s">
        <v>2062</v>
      </c>
      <c r="G2229" t="s">
        <v>122</v>
      </c>
      <c r="H2229" s="4">
        <v>34.99</v>
      </c>
      <c r="I2229" t="s">
        <v>108</v>
      </c>
      <c r="J2229" t="s">
        <v>109</v>
      </c>
      <c r="K2229" t="s">
        <v>2063</v>
      </c>
      <c r="L2229" s="2">
        <v>45931</v>
      </c>
      <c r="M2229" t="s">
        <v>109</v>
      </c>
      <c r="N2229">
        <v>0</v>
      </c>
      <c r="O2229" t="s">
        <v>111</v>
      </c>
      <c r="P2229" t="s">
        <v>112</v>
      </c>
      <c r="Q2229" t="s">
        <v>113</v>
      </c>
    </row>
    <row r="2230" spans="1:17" x14ac:dyDescent="0.3">
      <c r="A2230" t="s">
        <v>17</v>
      </c>
      <c r="B2230">
        <v>68</v>
      </c>
      <c r="C2230" t="s">
        <v>34</v>
      </c>
      <c r="D2230" s="2">
        <v>45946</v>
      </c>
      <c r="E2230" s="3">
        <f t="shared" si="34"/>
        <v>45931</v>
      </c>
      <c r="F2230" t="s">
        <v>2064</v>
      </c>
      <c r="G2230" t="s">
        <v>122</v>
      </c>
      <c r="H2230" s="4">
        <v>79.930000000000007</v>
      </c>
      <c r="I2230" t="s">
        <v>108</v>
      </c>
      <c r="J2230" t="s">
        <v>109</v>
      </c>
      <c r="K2230" t="s">
        <v>2063</v>
      </c>
      <c r="L2230" s="2">
        <v>45931</v>
      </c>
      <c r="M2230" t="s">
        <v>109</v>
      </c>
      <c r="N2230">
        <v>0</v>
      </c>
      <c r="O2230" t="s">
        <v>111</v>
      </c>
      <c r="P2230" t="s">
        <v>112</v>
      </c>
      <c r="Q2230" t="s">
        <v>113</v>
      </c>
    </row>
    <row r="2231" spans="1:17" x14ac:dyDescent="0.3">
      <c r="A2231" t="s">
        <v>17</v>
      </c>
      <c r="B2231">
        <v>68</v>
      </c>
      <c r="C2231" t="s">
        <v>34</v>
      </c>
      <c r="D2231" s="2">
        <v>45946</v>
      </c>
      <c r="E2231" s="3">
        <f t="shared" si="34"/>
        <v>45931</v>
      </c>
      <c r="F2231" t="s">
        <v>2064</v>
      </c>
      <c r="G2231" t="s">
        <v>122</v>
      </c>
      <c r="H2231" s="4">
        <v>17</v>
      </c>
      <c r="I2231" t="s">
        <v>108</v>
      </c>
      <c r="J2231" t="s">
        <v>109</v>
      </c>
      <c r="K2231" t="s">
        <v>2063</v>
      </c>
      <c r="L2231" s="2">
        <v>45931</v>
      </c>
      <c r="M2231" t="s">
        <v>109</v>
      </c>
      <c r="N2231">
        <v>0</v>
      </c>
      <c r="O2231" t="s">
        <v>111</v>
      </c>
      <c r="P2231" t="s">
        <v>112</v>
      </c>
      <c r="Q2231" t="s">
        <v>113</v>
      </c>
    </row>
    <row r="2232" spans="1:17" x14ac:dyDescent="0.3">
      <c r="A2232" t="s">
        <v>17</v>
      </c>
      <c r="B2232">
        <v>68</v>
      </c>
      <c r="C2232" t="s">
        <v>34</v>
      </c>
      <c r="D2232" s="2">
        <v>45946</v>
      </c>
      <c r="E2232" s="3">
        <f t="shared" si="34"/>
        <v>45931</v>
      </c>
      <c r="F2232" t="s">
        <v>2064</v>
      </c>
      <c r="G2232" t="s">
        <v>122</v>
      </c>
      <c r="H2232" s="4">
        <v>1.31</v>
      </c>
      <c r="I2232" t="s">
        <v>108</v>
      </c>
      <c r="J2232" t="s">
        <v>109</v>
      </c>
      <c r="K2232" t="s">
        <v>2063</v>
      </c>
      <c r="L2232" s="2">
        <v>45931</v>
      </c>
      <c r="M2232" t="s">
        <v>109</v>
      </c>
      <c r="N2232">
        <v>0</v>
      </c>
      <c r="O2232" t="s">
        <v>111</v>
      </c>
      <c r="P2232" t="s">
        <v>112</v>
      </c>
      <c r="Q2232" t="s">
        <v>113</v>
      </c>
    </row>
    <row r="2233" spans="1:17" x14ac:dyDescent="0.3">
      <c r="A2233" t="s">
        <v>17</v>
      </c>
      <c r="B2233">
        <v>68</v>
      </c>
      <c r="C2233" t="s">
        <v>34</v>
      </c>
      <c r="D2233" s="2">
        <v>45946</v>
      </c>
      <c r="E2233" s="3">
        <f t="shared" si="34"/>
        <v>45931</v>
      </c>
      <c r="F2233" t="s">
        <v>2065</v>
      </c>
      <c r="G2233" t="s">
        <v>122</v>
      </c>
      <c r="H2233" s="4">
        <v>69.5</v>
      </c>
      <c r="I2233" t="s">
        <v>108</v>
      </c>
      <c r="J2233" t="s">
        <v>109</v>
      </c>
      <c r="K2233" t="s">
        <v>2063</v>
      </c>
      <c r="L2233" s="2">
        <v>45931</v>
      </c>
      <c r="M2233" t="s">
        <v>109</v>
      </c>
      <c r="N2233">
        <v>0</v>
      </c>
      <c r="O2233" t="s">
        <v>111</v>
      </c>
      <c r="P2233" t="s">
        <v>112</v>
      </c>
      <c r="Q2233" t="s">
        <v>113</v>
      </c>
    </row>
    <row r="2234" spans="1:17" x14ac:dyDescent="0.3">
      <c r="A2234" t="s">
        <v>17</v>
      </c>
      <c r="B2234">
        <v>68</v>
      </c>
      <c r="C2234" t="s">
        <v>34</v>
      </c>
      <c r="D2234" s="2">
        <v>45946</v>
      </c>
      <c r="E2234" s="3">
        <f t="shared" si="34"/>
        <v>45931</v>
      </c>
      <c r="F2234" t="s">
        <v>2065</v>
      </c>
      <c r="G2234" t="s">
        <v>122</v>
      </c>
      <c r="H2234" s="4">
        <v>17</v>
      </c>
      <c r="I2234" t="s">
        <v>108</v>
      </c>
      <c r="J2234" t="s">
        <v>109</v>
      </c>
      <c r="K2234" t="s">
        <v>2063</v>
      </c>
      <c r="L2234" s="2">
        <v>45931</v>
      </c>
      <c r="M2234" t="s">
        <v>109</v>
      </c>
      <c r="N2234">
        <v>0</v>
      </c>
      <c r="O2234" t="s">
        <v>111</v>
      </c>
      <c r="P2234" t="s">
        <v>112</v>
      </c>
      <c r="Q2234" t="s">
        <v>113</v>
      </c>
    </row>
    <row r="2235" spans="1:17" x14ac:dyDescent="0.3">
      <c r="A2235" t="s">
        <v>17</v>
      </c>
      <c r="B2235">
        <v>68</v>
      </c>
      <c r="C2235" t="s">
        <v>34</v>
      </c>
      <c r="D2235" s="2">
        <v>45946</v>
      </c>
      <c r="E2235" s="3">
        <f t="shared" si="34"/>
        <v>45931</v>
      </c>
      <c r="F2235" t="s">
        <v>2065</v>
      </c>
      <c r="G2235" t="s">
        <v>122</v>
      </c>
      <c r="H2235" s="4">
        <v>1.31</v>
      </c>
      <c r="I2235" t="s">
        <v>108</v>
      </c>
      <c r="J2235" t="s">
        <v>109</v>
      </c>
      <c r="K2235" t="s">
        <v>2063</v>
      </c>
      <c r="L2235" s="2">
        <v>45931</v>
      </c>
      <c r="M2235" t="s">
        <v>109</v>
      </c>
      <c r="N2235">
        <v>0</v>
      </c>
      <c r="O2235" t="s">
        <v>111</v>
      </c>
      <c r="P2235" t="s">
        <v>112</v>
      </c>
      <c r="Q2235" t="s">
        <v>113</v>
      </c>
    </row>
    <row r="2236" spans="1:17" x14ac:dyDescent="0.3">
      <c r="A2236" t="s">
        <v>17</v>
      </c>
      <c r="B2236">
        <v>68</v>
      </c>
      <c r="C2236" t="s">
        <v>34</v>
      </c>
      <c r="D2236" s="2">
        <v>45946</v>
      </c>
      <c r="E2236" s="3">
        <f t="shared" si="34"/>
        <v>45931</v>
      </c>
      <c r="F2236" t="s">
        <v>2066</v>
      </c>
      <c r="G2236" t="s">
        <v>122</v>
      </c>
      <c r="H2236" s="4">
        <v>9</v>
      </c>
      <c r="I2236" t="s">
        <v>108</v>
      </c>
      <c r="J2236" t="s">
        <v>109</v>
      </c>
      <c r="K2236" t="s">
        <v>2063</v>
      </c>
      <c r="L2236" s="2">
        <v>45931</v>
      </c>
      <c r="M2236" t="s">
        <v>109</v>
      </c>
      <c r="N2236">
        <v>0</v>
      </c>
      <c r="O2236" t="s">
        <v>111</v>
      </c>
      <c r="P2236" t="s">
        <v>112</v>
      </c>
      <c r="Q2236" t="s">
        <v>113</v>
      </c>
    </row>
    <row r="2237" spans="1:17" x14ac:dyDescent="0.3">
      <c r="A2237" t="s">
        <v>17</v>
      </c>
      <c r="B2237">
        <v>68</v>
      </c>
      <c r="C2237" t="s">
        <v>34</v>
      </c>
      <c r="D2237" s="2">
        <v>45946</v>
      </c>
      <c r="E2237" s="3">
        <f t="shared" si="34"/>
        <v>45931</v>
      </c>
      <c r="F2237" t="s">
        <v>2066</v>
      </c>
      <c r="G2237" t="s">
        <v>122</v>
      </c>
      <c r="H2237" s="4">
        <v>17</v>
      </c>
      <c r="I2237" t="s">
        <v>108</v>
      </c>
      <c r="J2237" t="s">
        <v>109</v>
      </c>
      <c r="K2237" t="s">
        <v>2063</v>
      </c>
      <c r="L2237" s="2">
        <v>45931</v>
      </c>
      <c r="M2237" t="s">
        <v>109</v>
      </c>
      <c r="N2237">
        <v>0</v>
      </c>
      <c r="O2237" t="s">
        <v>111</v>
      </c>
      <c r="P2237" t="s">
        <v>112</v>
      </c>
      <c r="Q2237" t="s">
        <v>113</v>
      </c>
    </row>
    <row r="2238" spans="1:17" x14ac:dyDescent="0.3">
      <c r="A2238" t="s">
        <v>17</v>
      </c>
      <c r="B2238">
        <v>68</v>
      </c>
      <c r="C2238" t="s">
        <v>34</v>
      </c>
      <c r="D2238" s="2">
        <v>45946</v>
      </c>
      <c r="E2238" s="3">
        <f t="shared" si="34"/>
        <v>45931</v>
      </c>
      <c r="F2238" t="s">
        <v>2066</v>
      </c>
      <c r="G2238" t="s">
        <v>122</v>
      </c>
      <c r="H2238" s="4">
        <v>1.31</v>
      </c>
      <c r="I2238" t="s">
        <v>108</v>
      </c>
      <c r="J2238" t="s">
        <v>109</v>
      </c>
      <c r="K2238" t="s">
        <v>2063</v>
      </c>
      <c r="L2238" s="2">
        <v>45931</v>
      </c>
      <c r="M2238" t="s">
        <v>109</v>
      </c>
      <c r="N2238">
        <v>0</v>
      </c>
      <c r="O2238" t="s">
        <v>111</v>
      </c>
      <c r="P2238" t="s">
        <v>112</v>
      </c>
      <c r="Q2238" t="s">
        <v>113</v>
      </c>
    </row>
    <row r="2239" spans="1:17" x14ac:dyDescent="0.3">
      <c r="A2239" t="s">
        <v>17</v>
      </c>
      <c r="B2239">
        <v>68</v>
      </c>
      <c r="C2239" t="s">
        <v>34</v>
      </c>
      <c r="D2239" s="2">
        <v>45946</v>
      </c>
      <c r="E2239" s="3">
        <f t="shared" si="34"/>
        <v>45931</v>
      </c>
      <c r="F2239" t="s">
        <v>2067</v>
      </c>
      <c r="G2239" t="s">
        <v>122</v>
      </c>
      <c r="H2239" s="4">
        <v>34.909999999999997</v>
      </c>
      <c r="I2239" t="s">
        <v>108</v>
      </c>
      <c r="J2239" t="s">
        <v>109</v>
      </c>
      <c r="K2239" t="s">
        <v>2063</v>
      </c>
      <c r="L2239" s="2">
        <v>45931</v>
      </c>
      <c r="M2239" t="s">
        <v>109</v>
      </c>
      <c r="N2239">
        <v>0</v>
      </c>
      <c r="O2239" t="s">
        <v>111</v>
      </c>
      <c r="P2239" t="s">
        <v>112</v>
      </c>
      <c r="Q2239" t="s">
        <v>113</v>
      </c>
    </row>
    <row r="2240" spans="1:17" x14ac:dyDescent="0.3">
      <c r="A2240" t="s">
        <v>17</v>
      </c>
      <c r="B2240">
        <v>68</v>
      </c>
      <c r="C2240" t="s">
        <v>34</v>
      </c>
      <c r="D2240" s="2">
        <v>45946</v>
      </c>
      <c r="E2240" s="3">
        <f t="shared" si="34"/>
        <v>45931</v>
      </c>
      <c r="F2240" t="s">
        <v>2067</v>
      </c>
      <c r="G2240" t="s">
        <v>122</v>
      </c>
      <c r="H2240" s="4">
        <v>17</v>
      </c>
      <c r="I2240" t="s">
        <v>108</v>
      </c>
      <c r="J2240" t="s">
        <v>109</v>
      </c>
      <c r="K2240" t="s">
        <v>2063</v>
      </c>
      <c r="L2240" s="2">
        <v>45931</v>
      </c>
      <c r="M2240" t="s">
        <v>109</v>
      </c>
      <c r="N2240">
        <v>0</v>
      </c>
      <c r="O2240" t="s">
        <v>111</v>
      </c>
      <c r="P2240" t="s">
        <v>112</v>
      </c>
      <c r="Q2240" t="s">
        <v>113</v>
      </c>
    </row>
    <row r="2241" spans="1:17" x14ac:dyDescent="0.3">
      <c r="A2241" t="s">
        <v>17</v>
      </c>
      <c r="B2241">
        <v>68</v>
      </c>
      <c r="C2241" t="s">
        <v>34</v>
      </c>
      <c r="D2241" s="2">
        <v>45946</v>
      </c>
      <c r="E2241" s="3">
        <f t="shared" si="34"/>
        <v>45931</v>
      </c>
      <c r="F2241" t="s">
        <v>2067</v>
      </c>
      <c r="G2241" t="s">
        <v>122</v>
      </c>
      <c r="H2241" s="4">
        <v>1.31</v>
      </c>
      <c r="I2241" t="s">
        <v>108</v>
      </c>
      <c r="J2241" t="s">
        <v>109</v>
      </c>
      <c r="K2241" t="s">
        <v>2063</v>
      </c>
      <c r="L2241" s="2">
        <v>45931</v>
      </c>
      <c r="M2241" t="s">
        <v>109</v>
      </c>
      <c r="N2241">
        <v>0</v>
      </c>
      <c r="O2241" t="s">
        <v>111</v>
      </c>
      <c r="P2241" t="s">
        <v>112</v>
      </c>
      <c r="Q2241" t="s">
        <v>113</v>
      </c>
    </row>
    <row r="2242" spans="1:17" x14ac:dyDescent="0.3">
      <c r="A2242" t="s">
        <v>17</v>
      </c>
      <c r="B2242">
        <v>68</v>
      </c>
      <c r="C2242" t="s">
        <v>34</v>
      </c>
      <c r="D2242" s="2">
        <v>45946</v>
      </c>
      <c r="E2242" s="3">
        <f t="shared" si="34"/>
        <v>45931</v>
      </c>
      <c r="F2242" t="s">
        <v>2068</v>
      </c>
      <c r="G2242" t="s">
        <v>122</v>
      </c>
      <c r="H2242" s="4">
        <v>17</v>
      </c>
      <c r="I2242" t="s">
        <v>108</v>
      </c>
      <c r="J2242" t="s">
        <v>109</v>
      </c>
      <c r="K2242" t="s">
        <v>2063</v>
      </c>
      <c r="L2242" s="2">
        <v>45931</v>
      </c>
      <c r="M2242" t="s">
        <v>109</v>
      </c>
      <c r="N2242">
        <v>0</v>
      </c>
      <c r="O2242" t="s">
        <v>111</v>
      </c>
      <c r="P2242" t="s">
        <v>112</v>
      </c>
      <c r="Q2242" t="s">
        <v>113</v>
      </c>
    </row>
    <row r="2243" spans="1:17" x14ac:dyDescent="0.3">
      <c r="A2243" t="s">
        <v>17</v>
      </c>
      <c r="B2243">
        <v>68</v>
      </c>
      <c r="C2243" t="s">
        <v>34</v>
      </c>
      <c r="D2243" s="2">
        <v>45946</v>
      </c>
      <c r="E2243" s="3">
        <f t="shared" ref="E2243:E2306" si="35">IF($D2243="","",DATE(YEAR($D2243),MONTH($D2243),1))</f>
        <v>45931</v>
      </c>
      <c r="F2243" t="s">
        <v>2068</v>
      </c>
      <c r="G2243" t="s">
        <v>122</v>
      </c>
      <c r="H2243" s="4">
        <v>1.31</v>
      </c>
      <c r="I2243" t="s">
        <v>108</v>
      </c>
      <c r="J2243" t="s">
        <v>109</v>
      </c>
      <c r="K2243" t="s">
        <v>2063</v>
      </c>
      <c r="L2243" s="2">
        <v>45931</v>
      </c>
      <c r="M2243" t="s">
        <v>109</v>
      </c>
      <c r="N2243">
        <v>0</v>
      </c>
      <c r="O2243" t="s">
        <v>111</v>
      </c>
      <c r="P2243" t="s">
        <v>112</v>
      </c>
      <c r="Q2243" t="s">
        <v>113</v>
      </c>
    </row>
    <row r="2244" spans="1:17" x14ac:dyDescent="0.3">
      <c r="A2244" t="s">
        <v>17</v>
      </c>
      <c r="B2244">
        <v>68</v>
      </c>
      <c r="C2244" t="s">
        <v>34</v>
      </c>
      <c r="D2244" s="2">
        <v>45946</v>
      </c>
      <c r="E2244" s="3">
        <f t="shared" si="35"/>
        <v>45931</v>
      </c>
      <c r="F2244" t="s">
        <v>2068</v>
      </c>
      <c r="G2244" t="s">
        <v>122</v>
      </c>
      <c r="H2244" s="4">
        <v>12.36</v>
      </c>
      <c r="I2244" t="s">
        <v>108</v>
      </c>
      <c r="J2244" t="s">
        <v>109</v>
      </c>
      <c r="K2244" t="s">
        <v>2063</v>
      </c>
      <c r="L2244" s="2">
        <v>45931</v>
      </c>
      <c r="M2244" t="s">
        <v>109</v>
      </c>
      <c r="N2244">
        <v>0</v>
      </c>
      <c r="O2244" t="s">
        <v>111</v>
      </c>
      <c r="P2244" t="s">
        <v>112</v>
      </c>
      <c r="Q2244" t="s">
        <v>113</v>
      </c>
    </row>
    <row r="2245" spans="1:17" x14ac:dyDescent="0.3">
      <c r="A2245" t="s">
        <v>17</v>
      </c>
      <c r="B2245">
        <v>68</v>
      </c>
      <c r="C2245" t="s">
        <v>34</v>
      </c>
      <c r="D2245" s="2">
        <v>45946</v>
      </c>
      <c r="E2245" s="3">
        <f t="shared" si="35"/>
        <v>45931</v>
      </c>
      <c r="F2245" t="s">
        <v>2069</v>
      </c>
      <c r="G2245" t="s">
        <v>122</v>
      </c>
      <c r="H2245" s="4">
        <v>2.4900000000000002</v>
      </c>
      <c r="I2245" t="s">
        <v>108</v>
      </c>
      <c r="J2245" t="s">
        <v>109</v>
      </c>
      <c r="K2245" t="s">
        <v>2063</v>
      </c>
      <c r="L2245" s="2">
        <v>45931</v>
      </c>
      <c r="M2245" t="s">
        <v>109</v>
      </c>
      <c r="N2245">
        <v>0</v>
      </c>
      <c r="O2245" t="s">
        <v>111</v>
      </c>
      <c r="P2245" t="s">
        <v>112</v>
      </c>
      <c r="Q2245" t="s">
        <v>113</v>
      </c>
    </row>
    <row r="2246" spans="1:17" x14ac:dyDescent="0.3">
      <c r="A2246" t="s">
        <v>17</v>
      </c>
      <c r="B2246">
        <v>68</v>
      </c>
      <c r="C2246" t="s">
        <v>34</v>
      </c>
      <c r="D2246" s="2">
        <v>45946</v>
      </c>
      <c r="E2246" s="3">
        <f t="shared" si="35"/>
        <v>45931</v>
      </c>
      <c r="F2246" t="s">
        <v>2069</v>
      </c>
      <c r="G2246" t="s">
        <v>122</v>
      </c>
      <c r="H2246" s="4">
        <v>17</v>
      </c>
      <c r="I2246" t="s">
        <v>108</v>
      </c>
      <c r="J2246" t="s">
        <v>109</v>
      </c>
      <c r="K2246" t="s">
        <v>2063</v>
      </c>
      <c r="L2246" s="2">
        <v>45931</v>
      </c>
      <c r="M2246" t="s">
        <v>109</v>
      </c>
      <c r="N2246">
        <v>0</v>
      </c>
      <c r="O2246" t="s">
        <v>111</v>
      </c>
      <c r="P2246" t="s">
        <v>112</v>
      </c>
      <c r="Q2246" t="s">
        <v>113</v>
      </c>
    </row>
    <row r="2247" spans="1:17" x14ac:dyDescent="0.3">
      <c r="A2247" t="s">
        <v>17</v>
      </c>
      <c r="B2247">
        <v>68</v>
      </c>
      <c r="C2247" t="s">
        <v>34</v>
      </c>
      <c r="D2247" s="2">
        <v>45946</v>
      </c>
      <c r="E2247" s="3">
        <f t="shared" si="35"/>
        <v>45931</v>
      </c>
      <c r="F2247" t="s">
        <v>2069</v>
      </c>
      <c r="G2247" t="s">
        <v>122</v>
      </c>
      <c r="H2247" s="4">
        <v>1.31</v>
      </c>
      <c r="I2247" t="s">
        <v>108</v>
      </c>
      <c r="J2247" t="s">
        <v>109</v>
      </c>
      <c r="K2247" t="s">
        <v>2063</v>
      </c>
      <c r="L2247" s="2">
        <v>45931</v>
      </c>
      <c r="M2247" t="s">
        <v>109</v>
      </c>
      <c r="N2247">
        <v>0</v>
      </c>
      <c r="O2247" t="s">
        <v>111</v>
      </c>
      <c r="P2247" t="s">
        <v>112</v>
      </c>
      <c r="Q2247" t="s">
        <v>113</v>
      </c>
    </row>
    <row r="2248" spans="1:17" x14ac:dyDescent="0.3">
      <c r="A2248" t="s">
        <v>17</v>
      </c>
      <c r="B2248">
        <v>68</v>
      </c>
      <c r="C2248" t="s">
        <v>34</v>
      </c>
      <c r="D2248" s="2">
        <v>45947</v>
      </c>
      <c r="E2248" s="3">
        <f t="shared" si="35"/>
        <v>45931</v>
      </c>
      <c r="F2248" t="s">
        <v>2070</v>
      </c>
      <c r="G2248" t="s">
        <v>122</v>
      </c>
      <c r="H2248" s="4">
        <v>33.36</v>
      </c>
      <c r="I2248" t="s">
        <v>108</v>
      </c>
      <c r="J2248" t="s">
        <v>109</v>
      </c>
      <c r="K2248" t="s">
        <v>2063</v>
      </c>
      <c r="L2248" s="2">
        <v>45931</v>
      </c>
      <c r="M2248" t="s">
        <v>109</v>
      </c>
      <c r="N2248">
        <v>0</v>
      </c>
      <c r="O2248" t="s">
        <v>111</v>
      </c>
      <c r="P2248" t="s">
        <v>112</v>
      </c>
      <c r="Q2248" t="s">
        <v>113</v>
      </c>
    </row>
    <row r="2249" spans="1:17" x14ac:dyDescent="0.3">
      <c r="A2249" t="s">
        <v>17</v>
      </c>
      <c r="B2249">
        <v>68</v>
      </c>
      <c r="C2249" t="s">
        <v>34</v>
      </c>
      <c r="D2249" s="2">
        <v>45947</v>
      </c>
      <c r="E2249" s="3">
        <f t="shared" si="35"/>
        <v>45931</v>
      </c>
      <c r="F2249" t="s">
        <v>2070</v>
      </c>
      <c r="G2249" t="s">
        <v>122</v>
      </c>
      <c r="H2249" s="4">
        <v>17</v>
      </c>
      <c r="I2249" t="s">
        <v>108</v>
      </c>
      <c r="J2249" t="s">
        <v>109</v>
      </c>
      <c r="K2249" t="s">
        <v>2063</v>
      </c>
      <c r="L2249" s="2">
        <v>45931</v>
      </c>
      <c r="M2249" t="s">
        <v>109</v>
      </c>
      <c r="N2249">
        <v>0</v>
      </c>
      <c r="O2249" t="s">
        <v>111</v>
      </c>
      <c r="P2249" t="s">
        <v>112</v>
      </c>
      <c r="Q2249" t="s">
        <v>113</v>
      </c>
    </row>
    <row r="2250" spans="1:17" x14ac:dyDescent="0.3">
      <c r="A2250" t="s">
        <v>17</v>
      </c>
      <c r="B2250">
        <v>68</v>
      </c>
      <c r="C2250" t="s">
        <v>34</v>
      </c>
      <c r="D2250" s="2">
        <v>45947</v>
      </c>
      <c r="E2250" s="3">
        <f t="shared" si="35"/>
        <v>45931</v>
      </c>
      <c r="F2250" t="s">
        <v>2070</v>
      </c>
      <c r="G2250" t="s">
        <v>122</v>
      </c>
      <c r="H2250" s="4">
        <v>1.31</v>
      </c>
      <c r="I2250" t="s">
        <v>108</v>
      </c>
      <c r="J2250" t="s">
        <v>109</v>
      </c>
      <c r="K2250" t="s">
        <v>2063</v>
      </c>
      <c r="L2250" s="2">
        <v>45931</v>
      </c>
      <c r="M2250" t="s">
        <v>109</v>
      </c>
      <c r="N2250">
        <v>0</v>
      </c>
      <c r="O2250" t="s">
        <v>111</v>
      </c>
      <c r="P2250" t="s">
        <v>112</v>
      </c>
      <c r="Q2250" t="s">
        <v>113</v>
      </c>
    </row>
    <row r="2251" spans="1:17" x14ac:dyDescent="0.3">
      <c r="A2251" t="s">
        <v>17</v>
      </c>
      <c r="B2251">
        <v>68</v>
      </c>
      <c r="C2251" t="s">
        <v>34</v>
      </c>
      <c r="D2251" s="2">
        <v>45947</v>
      </c>
      <c r="E2251" s="3">
        <f t="shared" si="35"/>
        <v>45931</v>
      </c>
      <c r="F2251" t="s">
        <v>2071</v>
      </c>
      <c r="G2251" t="s">
        <v>122</v>
      </c>
      <c r="H2251" s="4">
        <v>0.91</v>
      </c>
      <c r="I2251" t="s">
        <v>108</v>
      </c>
      <c r="J2251" t="s">
        <v>109</v>
      </c>
      <c r="K2251" t="s">
        <v>2063</v>
      </c>
      <c r="L2251" s="2">
        <v>45931</v>
      </c>
      <c r="M2251" t="s">
        <v>109</v>
      </c>
      <c r="N2251">
        <v>0</v>
      </c>
      <c r="O2251" t="s">
        <v>111</v>
      </c>
      <c r="P2251" t="s">
        <v>112</v>
      </c>
      <c r="Q2251" t="s">
        <v>113</v>
      </c>
    </row>
    <row r="2252" spans="1:17" x14ac:dyDescent="0.3">
      <c r="A2252" t="s">
        <v>17</v>
      </c>
      <c r="B2252">
        <v>68</v>
      </c>
      <c r="C2252" t="s">
        <v>34</v>
      </c>
      <c r="D2252" s="2">
        <v>45947</v>
      </c>
      <c r="E2252" s="3">
        <f t="shared" si="35"/>
        <v>45931</v>
      </c>
      <c r="F2252" t="s">
        <v>2071</v>
      </c>
      <c r="G2252" t="s">
        <v>122</v>
      </c>
      <c r="H2252" s="4">
        <v>17</v>
      </c>
      <c r="I2252" t="s">
        <v>108</v>
      </c>
      <c r="J2252" t="s">
        <v>109</v>
      </c>
      <c r="K2252" t="s">
        <v>2063</v>
      </c>
      <c r="L2252" s="2">
        <v>45931</v>
      </c>
      <c r="M2252" t="s">
        <v>109</v>
      </c>
      <c r="N2252">
        <v>0</v>
      </c>
      <c r="O2252" t="s">
        <v>111</v>
      </c>
      <c r="P2252" t="s">
        <v>112</v>
      </c>
      <c r="Q2252" t="s">
        <v>113</v>
      </c>
    </row>
    <row r="2253" spans="1:17" x14ac:dyDescent="0.3">
      <c r="A2253" t="s">
        <v>17</v>
      </c>
      <c r="B2253">
        <v>68</v>
      </c>
      <c r="C2253" t="s">
        <v>34</v>
      </c>
      <c r="D2253" s="2">
        <v>45947</v>
      </c>
      <c r="E2253" s="3">
        <f t="shared" si="35"/>
        <v>45931</v>
      </c>
      <c r="F2253" t="s">
        <v>2071</v>
      </c>
      <c r="G2253" t="s">
        <v>122</v>
      </c>
      <c r="H2253" s="4">
        <v>1.31</v>
      </c>
      <c r="I2253" t="s">
        <v>108</v>
      </c>
      <c r="J2253" t="s">
        <v>109</v>
      </c>
      <c r="K2253" t="s">
        <v>2063</v>
      </c>
      <c r="L2253" s="2">
        <v>45931</v>
      </c>
      <c r="M2253" t="s">
        <v>109</v>
      </c>
      <c r="N2253">
        <v>0</v>
      </c>
      <c r="O2253" t="s">
        <v>111</v>
      </c>
      <c r="P2253" t="s">
        <v>112</v>
      </c>
      <c r="Q2253" t="s">
        <v>113</v>
      </c>
    </row>
    <row r="2254" spans="1:17" x14ac:dyDescent="0.3">
      <c r="A2254" t="s">
        <v>17</v>
      </c>
      <c r="B2254">
        <v>68</v>
      </c>
      <c r="C2254" t="s">
        <v>34</v>
      </c>
      <c r="D2254" s="2">
        <v>45947</v>
      </c>
      <c r="E2254" s="3">
        <f t="shared" si="35"/>
        <v>45931</v>
      </c>
      <c r="F2254" t="s">
        <v>2072</v>
      </c>
      <c r="G2254" t="s">
        <v>122</v>
      </c>
      <c r="H2254" s="4">
        <v>1.2</v>
      </c>
      <c r="I2254" t="s">
        <v>108</v>
      </c>
      <c r="J2254" t="s">
        <v>109</v>
      </c>
      <c r="K2254" t="s">
        <v>2063</v>
      </c>
      <c r="L2254" s="2">
        <v>45931</v>
      </c>
      <c r="M2254" t="s">
        <v>109</v>
      </c>
      <c r="N2254">
        <v>0</v>
      </c>
      <c r="O2254" t="s">
        <v>111</v>
      </c>
      <c r="P2254" t="s">
        <v>112</v>
      </c>
      <c r="Q2254" t="s">
        <v>113</v>
      </c>
    </row>
    <row r="2255" spans="1:17" x14ac:dyDescent="0.3">
      <c r="A2255" t="s">
        <v>17</v>
      </c>
      <c r="B2255">
        <v>68</v>
      </c>
      <c r="C2255" t="s">
        <v>34</v>
      </c>
      <c r="D2255" s="2">
        <v>45947</v>
      </c>
      <c r="E2255" s="3">
        <f t="shared" si="35"/>
        <v>45931</v>
      </c>
      <c r="F2255" t="s">
        <v>2072</v>
      </c>
      <c r="G2255" t="s">
        <v>122</v>
      </c>
      <c r="H2255" s="4">
        <v>17</v>
      </c>
      <c r="I2255" t="s">
        <v>108</v>
      </c>
      <c r="J2255" t="s">
        <v>109</v>
      </c>
      <c r="K2255" t="s">
        <v>2063</v>
      </c>
      <c r="L2255" s="2">
        <v>45931</v>
      </c>
      <c r="M2255" t="s">
        <v>109</v>
      </c>
      <c r="N2255">
        <v>0</v>
      </c>
      <c r="O2255" t="s">
        <v>111</v>
      </c>
      <c r="P2255" t="s">
        <v>112</v>
      </c>
      <c r="Q2255" t="s">
        <v>113</v>
      </c>
    </row>
    <row r="2256" spans="1:17" x14ac:dyDescent="0.3">
      <c r="A2256" t="s">
        <v>17</v>
      </c>
      <c r="B2256">
        <v>68</v>
      </c>
      <c r="C2256" t="s">
        <v>34</v>
      </c>
      <c r="D2256" s="2">
        <v>45947</v>
      </c>
      <c r="E2256" s="3">
        <f t="shared" si="35"/>
        <v>45931</v>
      </c>
      <c r="F2256" t="s">
        <v>2072</v>
      </c>
      <c r="G2256" t="s">
        <v>122</v>
      </c>
      <c r="H2256" s="4">
        <v>1.34</v>
      </c>
      <c r="I2256" t="s">
        <v>108</v>
      </c>
      <c r="J2256" t="s">
        <v>109</v>
      </c>
      <c r="K2256" t="s">
        <v>2063</v>
      </c>
      <c r="L2256" s="2">
        <v>45931</v>
      </c>
      <c r="M2256" t="s">
        <v>109</v>
      </c>
      <c r="N2256">
        <v>0</v>
      </c>
      <c r="O2256" t="s">
        <v>111</v>
      </c>
      <c r="P2256" t="s">
        <v>112</v>
      </c>
      <c r="Q2256" t="s">
        <v>113</v>
      </c>
    </row>
    <row r="2257" spans="1:17" x14ac:dyDescent="0.3">
      <c r="A2257" t="s">
        <v>17</v>
      </c>
      <c r="B2257">
        <v>68</v>
      </c>
      <c r="C2257" t="s">
        <v>34</v>
      </c>
      <c r="D2257" s="2">
        <v>45947</v>
      </c>
      <c r="E2257" s="3">
        <f t="shared" si="35"/>
        <v>45931</v>
      </c>
      <c r="F2257" t="s">
        <v>2073</v>
      </c>
      <c r="G2257" t="s">
        <v>122</v>
      </c>
      <c r="H2257" s="4">
        <v>13.5</v>
      </c>
      <c r="I2257" t="s">
        <v>108</v>
      </c>
      <c r="J2257" t="s">
        <v>109</v>
      </c>
      <c r="K2257" t="s">
        <v>2063</v>
      </c>
      <c r="L2257" s="2">
        <v>45931</v>
      </c>
      <c r="M2257" t="s">
        <v>109</v>
      </c>
      <c r="N2257">
        <v>0</v>
      </c>
      <c r="O2257" t="s">
        <v>111</v>
      </c>
      <c r="P2257" t="s">
        <v>112</v>
      </c>
      <c r="Q2257" t="s">
        <v>113</v>
      </c>
    </row>
    <row r="2258" spans="1:17" x14ac:dyDescent="0.3">
      <c r="A2258" t="s">
        <v>17</v>
      </c>
      <c r="B2258">
        <v>68</v>
      </c>
      <c r="C2258" t="s">
        <v>34</v>
      </c>
      <c r="D2258" s="2">
        <v>45947</v>
      </c>
      <c r="E2258" s="3">
        <f t="shared" si="35"/>
        <v>45931</v>
      </c>
      <c r="F2258" t="s">
        <v>2073</v>
      </c>
      <c r="G2258" t="s">
        <v>122</v>
      </c>
      <c r="H2258" s="4">
        <v>17</v>
      </c>
      <c r="I2258" t="s">
        <v>108</v>
      </c>
      <c r="J2258" t="s">
        <v>109</v>
      </c>
      <c r="K2258" t="s">
        <v>1455</v>
      </c>
      <c r="L2258" s="2">
        <v>45931</v>
      </c>
      <c r="M2258" t="s">
        <v>109</v>
      </c>
      <c r="N2258">
        <v>0</v>
      </c>
      <c r="O2258" t="s">
        <v>111</v>
      </c>
      <c r="P2258" t="s">
        <v>112</v>
      </c>
      <c r="Q2258" t="s">
        <v>113</v>
      </c>
    </row>
    <row r="2259" spans="1:17" x14ac:dyDescent="0.3">
      <c r="A2259" t="s">
        <v>17</v>
      </c>
      <c r="B2259">
        <v>68</v>
      </c>
      <c r="C2259" t="s">
        <v>34</v>
      </c>
      <c r="D2259" s="2">
        <v>45947</v>
      </c>
      <c r="E2259" s="3">
        <f t="shared" si="35"/>
        <v>45931</v>
      </c>
      <c r="F2259" t="s">
        <v>2073</v>
      </c>
      <c r="G2259" t="s">
        <v>122</v>
      </c>
      <c r="H2259" s="4">
        <v>1.31</v>
      </c>
      <c r="I2259" t="s">
        <v>108</v>
      </c>
      <c r="J2259" t="s">
        <v>109</v>
      </c>
      <c r="K2259" t="s">
        <v>1457</v>
      </c>
      <c r="L2259" s="2">
        <v>45931</v>
      </c>
      <c r="M2259" t="s">
        <v>109</v>
      </c>
      <c r="N2259">
        <v>0</v>
      </c>
      <c r="O2259" t="s">
        <v>111</v>
      </c>
      <c r="P2259" t="s">
        <v>112</v>
      </c>
      <c r="Q2259" t="s">
        <v>113</v>
      </c>
    </row>
    <row r="2260" spans="1:17" x14ac:dyDescent="0.3">
      <c r="A2260" t="s">
        <v>17</v>
      </c>
      <c r="B2260">
        <v>68</v>
      </c>
      <c r="C2260" t="s">
        <v>34</v>
      </c>
      <c r="D2260" s="2">
        <v>45947</v>
      </c>
      <c r="E2260" s="3">
        <f t="shared" si="35"/>
        <v>45931</v>
      </c>
      <c r="F2260" t="s">
        <v>2074</v>
      </c>
      <c r="G2260" t="s">
        <v>122</v>
      </c>
      <c r="H2260" s="4">
        <v>58.38</v>
      </c>
      <c r="I2260" t="s">
        <v>108</v>
      </c>
      <c r="J2260" t="s">
        <v>109</v>
      </c>
      <c r="K2260" t="s">
        <v>2063</v>
      </c>
      <c r="L2260" s="2">
        <v>45931</v>
      </c>
      <c r="M2260" t="s">
        <v>109</v>
      </c>
      <c r="N2260">
        <v>0</v>
      </c>
      <c r="O2260" t="s">
        <v>111</v>
      </c>
      <c r="P2260" t="s">
        <v>112</v>
      </c>
      <c r="Q2260" t="s">
        <v>113</v>
      </c>
    </row>
    <row r="2261" spans="1:17" x14ac:dyDescent="0.3">
      <c r="A2261" t="s">
        <v>17</v>
      </c>
      <c r="B2261">
        <v>68</v>
      </c>
      <c r="C2261" t="s">
        <v>34</v>
      </c>
      <c r="D2261" s="2">
        <v>45947</v>
      </c>
      <c r="E2261" s="3">
        <f t="shared" si="35"/>
        <v>45931</v>
      </c>
      <c r="F2261" t="s">
        <v>2074</v>
      </c>
      <c r="G2261" t="s">
        <v>122</v>
      </c>
      <c r="H2261" s="4">
        <v>17</v>
      </c>
      <c r="I2261" t="s">
        <v>108</v>
      </c>
      <c r="J2261" t="s">
        <v>109</v>
      </c>
      <c r="K2261" t="s">
        <v>2063</v>
      </c>
      <c r="L2261" s="2">
        <v>45931</v>
      </c>
      <c r="M2261" t="s">
        <v>109</v>
      </c>
      <c r="N2261">
        <v>0</v>
      </c>
      <c r="O2261" t="s">
        <v>111</v>
      </c>
      <c r="P2261" t="s">
        <v>112</v>
      </c>
      <c r="Q2261" t="s">
        <v>113</v>
      </c>
    </row>
    <row r="2262" spans="1:17" x14ac:dyDescent="0.3">
      <c r="A2262" t="s">
        <v>17</v>
      </c>
      <c r="B2262">
        <v>68</v>
      </c>
      <c r="C2262" t="s">
        <v>34</v>
      </c>
      <c r="D2262" s="2">
        <v>45947</v>
      </c>
      <c r="E2262" s="3">
        <f t="shared" si="35"/>
        <v>45931</v>
      </c>
      <c r="F2262" t="s">
        <v>2074</v>
      </c>
      <c r="G2262" t="s">
        <v>122</v>
      </c>
      <c r="H2262" s="4">
        <v>1.31</v>
      </c>
      <c r="I2262" t="s">
        <v>108</v>
      </c>
      <c r="J2262" t="s">
        <v>109</v>
      </c>
      <c r="K2262" t="s">
        <v>1457</v>
      </c>
      <c r="L2262" s="2">
        <v>45931</v>
      </c>
      <c r="M2262" t="s">
        <v>109</v>
      </c>
      <c r="N2262">
        <v>0</v>
      </c>
      <c r="O2262" t="s">
        <v>111</v>
      </c>
      <c r="P2262" t="s">
        <v>112</v>
      </c>
      <c r="Q2262" t="s">
        <v>113</v>
      </c>
    </row>
    <row r="2263" spans="1:17" x14ac:dyDescent="0.3">
      <c r="A2263" t="s">
        <v>17</v>
      </c>
      <c r="B2263">
        <v>68</v>
      </c>
      <c r="C2263" t="s">
        <v>34</v>
      </c>
      <c r="D2263" s="2">
        <v>45947</v>
      </c>
      <c r="E2263" s="3">
        <f t="shared" si="35"/>
        <v>45931</v>
      </c>
      <c r="F2263" t="s">
        <v>2075</v>
      </c>
      <c r="G2263" t="s">
        <v>122</v>
      </c>
      <c r="H2263" s="4">
        <v>29.56</v>
      </c>
      <c r="I2263" t="s">
        <v>108</v>
      </c>
      <c r="J2263" t="s">
        <v>109</v>
      </c>
      <c r="K2263" t="s">
        <v>2063</v>
      </c>
      <c r="L2263" s="2">
        <v>45931</v>
      </c>
      <c r="M2263" t="s">
        <v>109</v>
      </c>
      <c r="N2263">
        <v>0</v>
      </c>
      <c r="O2263" t="s">
        <v>111</v>
      </c>
      <c r="P2263" t="s">
        <v>112</v>
      </c>
      <c r="Q2263" t="s">
        <v>113</v>
      </c>
    </row>
    <row r="2264" spans="1:17" x14ac:dyDescent="0.3">
      <c r="A2264" t="s">
        <v>17</v>
      </c>
      <c r="B2264">
        <v>68</v>
      </c>
      <c r="C2264" t="s">
        <v>34</v>
      </c>
      <c r="D2264" s="2">
        <v>45947</v>
      </c>
      <c r="E2264" s="3">
        <f t="shared" si="35"/>
        <v>45931</v>
      </c>
      <c r="F2264" t="s">
        <v>2076</v>
      </c>
      <c r="G2264" t="s">
        <v>122</v>
      </c>
      <c r="H2264" s="4">
        <v>2.5</v>
      </c>
      <c r="I2264" t="s">
        <v>108</v>
      </c>
      <c r="J2264" t="s">
        <v>109</v>
      </c>
      <c r="K2264" t="s">
        <v>1686</v>
      </c>
      <c r="L2264" s="2">
        <v>45931</v>
      </c>
      <c r="M2264" t="s">
        <v>109</v>
      </c>
      <c r="N2264">
        <v>0</v>
      </c>
      <c r="O2264" t="s">
        <v>111</v>
      </c>
      <c r="P2264" t="s">
        <v>112</v>
      </c>
      <c r="Q2264" t="s">
        <v>113</v>
      </c>
    </row>
    <row r="2265" spans="1:17" x14ac:dyDescent="0.3">
      <c r="A2265" t="s">
        <v>17</v>
      </c>
      <c r="B2265">
        <v>68</v>
      </c>
      <c r="C2265" t="s">
        <v>34</v>
      </c>
      <c r="D2265" s="2">
        <v>45947</v>
      </c>
      <c r="E2265" s="3">
        <f t="shared" si="35"/>
        <v>45931</v>
      </c>
      <c r="F2265" t="s">
        <v>2076</v>
      </c>
      <c r="G2265" t="s">
        <v>122</v>
      </c>
      <c r="H2265" s="4">
        <v>17</v>
      </c>
      <c r="I2265" t="s">
        <v>108</v>
      </c>
      <c r="J2265" t="s">
        <v>109</v>
      </c>
      <c r="K2265" t="s">
        <v>2063</v>
      </c>
      <c r="L2265" s="2">
        <v>45931</v>
      </c>
      <c r="M2265" t="s">
        <v>109</v>
      </c>
      <c r="N2265">
        <v>0</v>
      </c>
      <c r="O2265" t="s">
        <v>111</v>
      </c>
      <c r="P2265" t="s">
        <v>112</v>
      </c>
      <c r="Q2265" t="s">
        <v>113</v>
      </c>
    </row>
    <row r="2266" spans="1:17" x14ac:dyDescent="0.3">
      <c r="A2266" t="s">
        <v>17</v>
      </c>
      <c r="B2266">
        <v>68</v>
      </c>
      <c r="C2266" t="s">
        <v>34</v>
      </c>
      <c r="D2266" s="2">
        <v>45947</v>
      </c>
      <c r="E2266" s="3">
        <f t="shared" si="35"/>
        <v>45931</v>
      </c>
      <c r="F2266" t="s">
        <v>2076</v>
      </c>
      <c r="G2266" t="s">
        <v>122</v>
      </c>
      <c r="H2266" s="4">
        <v>1.31</v>
      </c>
      <c r="I2266" t="s">
        <v>108</v>
      </c>
      <c r="J2266" t="s">
        <v>109</v>
      </c>
      <c r="K2266" t="s">
        <v>2063</v>
      </c>
      <c r="L2266" s="2">
        <v>45931</v>
      </c>
      <c r="M2266" t="s">
        <v>109</v>
      </c>
      <c r="N2266">
        <v>0</v>
      </c>
      <c r="O2266" t="s">
        <v>111</v>
      </c>
      <c r="P2266" t="s">
        <v>112</v>
      </c>
      <c r="Q2266" t="s">
        <v>113</v>
      </c>
    </row>
    <row r="2267" spans="1:17" x14ac:dyDescent="0.3">
      <c r="A2267" t="s">
        <v>17</v>
      </c>
      <c r="B2267">
        <v>68</v>
      </c>
      <c r="C2267" t="s">
        <v>34</v>
      </c>
      <c r="D2267" s="2">
        <v>45950</v>
      </c>
      <c r="E2267" s="3">
        <f t="shared" si="35"/>
        <v>45931</v>
      </c>
      <c r="F2267" t="s">
        <v>2077</v>
      </c>
      <c r="G2267" t="s">
        <v>122</v>
      </c>
      <c r="H2267" s="4">
        <v>94.5</v>
      </c>
      <c r="I2267" t="s">
        <v>108</v>
      </c>
      <c r="J2267" t="s">
        <v>109</v>
      </c>
      <c r="K2267" t="s">
        <v>2063</v>
      </c>
      <c r="L2267" s="2">
        <v>45931</v>
      </c>
      <c r="M2267" t="s">
        <v>109</v>
      </c>
      <c r="N2267">
        <v>0</v>
      </c>
      <c r="O2267" t="s">
        <v>111</v>
      </c>
      <c r="P2267" t="s">
        <v>112</v>
      </c>
      <c r="Q2267" t="s">
        <v>113</v>
      </c>
    </row>
    <row r="2268" spans="1:17" x14ac:dyDescent="0.3">
      <c r="A2268" t="s">
        <v>17</v>
      </c>
      <c r="B2268">
        <v>68</v>
      </c>
      <c r="C2268" t="s">
        <v>34</v>
      </c>
      <c r="D2268" s="2">
        <v>45950</v>
      </c>
      <c r="E2268" s="3">
        <f t="shared" si="35"/>
        <v>45931</v>
      </c>
      <c r="F2268" t="s">
        <v>2077</v>
      </c>
      <c r="G2268" t="s">
        <v>122</v>
      </c>
      <c r="H2268" s="4">
        <v>17</v>
      </c>
      <c r="I2268" t="s">
        <v>108</v>
      </c>
      <c r="J2268" t="s">
        <v>109</v>
      </c>
      <c r="K2268" t="s">
        <v>1455</v>
      </c>
      <c r="L2268" s="2">
        <v>45931</v>
      </c>
      <c r="M2268" t="s">
        <v>109</v>
      </c>
      <c r="N2268">
        <v>0</v>
      </c>
      <c r="O2268" t="s">
        <v>111</v>
      </c>
      <c r="P2268" t="s">
        <v>112</v>
      </c>
      <c r="Q2268" t="s">
        <v>113</v>
      </c>
    </row>
    <row r="2269" spans="1:17" x14ac:dyDescent="0.3">
      <c r="A2269" t="s">
        <v>17</v>
      </c>
      <c r="B2269">
        <v>68</v>
      </c>
      <c r="C2269" t="s">
        <v>34</v>
      </c>
      <c r="D2269" s="2">
        <v>45950</v>
      </c>
      <c r="E2269" s="3">
        <f t="shared" si="35"/>
        <v>45931</v>
      </c>
      <c r="F2269" t="s">
        <v>2077</v>
      </c>
      <c r="G2269" t="s">
        <v>122</v>
      </c>
      <c r="H2269" s="4">
        <v>1.34</v>
      </c>
      <c r="I2269" t="s">
        <v>108</v>
      </c>
      <c r="J2269" t="s">
        <v>109</v>
      </c>
      <c r="K2269" t="s">
        <v>2063</v>
      </c>
      <c r="L2269" s="2">
        <v>45931</v>
      </c>
      <c r="M2269" t="s">
        <v>109</v>
      </c>
      <c r="N2269">
        <v>0</v>
      </c>
      <c r="O2269" t="s">
        <v>111</v>
      </c>
      <c r="P2269" t="s">
        <v>112</v>
      </c>
      <c r="Q2269" t="s">
        <v>113</v>
      </c>
    </row>
    <row r="2270" spans="1:17" x14ac:dyDescent="0.3">
      <c r="A2270" t="s">
        <v>17</v>
      </c>
      <c r="B2270">
        <v>68</v>
      </c>
      <c r="C2270" t="s">
        <v>34</v>
      </c>
      <c r="D2270" s="2">
        <v>45950</v>
      </c>
      <c r="E2270" s="3">
        <f t="shared" si="35"/>
        <v>45931</v>
      </c>
      <c r="F2270" t="s">
        <v>2078</v>
      </c>
      <c r="G2270" t="s">
        <v>122</v>
      </c>
      <c r="H2270" s="4">
        <v>19.59</v>
      </c>
      <c r="I2270" t="s">
        <v>108</v>
      </c>
      <c r="J2270" t="s">
        <v>109</v>
      </c>
      <c r="K2270" t="s">
        <v>2063</v>
      </c>
      <c r="L2270" s="2">
        <v>45931</v>
      </c>
      <c r="M2270" t="s">
        <v>109</v>
      </c>
      <c r="N2270">
        <v>0</v>
      </c>
      <c r="O2270" t="s">
        <v>111</v>
      </c>
      <c r="P2270" t="s">
        <v>112</v>
      </c>
      <c r="Q2270" t="s">
        <v>113</v>
      </c>
    </row>
    <row r="2271" spans="1:17" x14ac:dyDescent="0.3">
      <c r="A2271" t="s">
        <v>17</v>
      </c>
      <c r="B2271">
        <v>68</v>
      </c>
      <c r="C2271" t="s">
        <v>34</v>
      </c>
      <c r="D2271" s="2">
        <v>45950</v>
      </c>
      <c r="E2271" s="3">
        <f t="shared" si="35"/>
        <v>45931</v>
      </c>
      <c r="F2271" t="s">
        <v>2079</v>
      </c>
      <c r="G2271" t="s">
        <v>122</v>
      </c>
      <c r="H2271" s="4">
        <v>41.47</v>
      </c>
      <c r="I2271" t="s">
        <v>108</v>
      </c>
      <c r="J2271" t="s">
        <v>109</v>
      </c>
      <c r="K2271" t="s">
        <v>2063</v>
      </c>
      <c r="L2271" s="2">
        <v>45931</v>
      </c>
      <c r="M2271" t="s">
        <v>109</v>
      </c>
      <c r="N2271">
        <v>0</v>
      </c>
      <c r="O2271" t="s">
        <v>111</v>
      </c>
      <c r="P2271" t="s">
        <v>112</v>
      </c>
      <c r="Q2271" t="s">
        <v>113</v>
      </c>
    </row>
    <row r="2272" spans="1:17" x14ac:dyDescent="0.3">
      <c r="A2272" t="s">
        <v>17</v>
      </c>
      <c r="B2272">
        <v>68</v>
      </c>
      <c r="C2272" t="s">
        <v>34</v>
      </c>
      <c r="D2272" s="2">
        <v>45950</v>
      </c>
      <c r="E2272" s="3">
        <f t="shared" si="35"/>
        <v>45931</v>
      </c>
      <c r="F2272" t="s">
        <v>2079</v>
      </c>
      <c r="G2272" t="s">
        <v>122</v>
      </c>
      <c r="H2272" s="4">
        <v>17</v>
      </c>
      <c r="I2272" t="s">
        <v>108</v>
      </c>
      <c r="J2272" t="s">
        <v>109</v>
      </c>
      <c r="K2272" t="s">
        <v>2063</v>
      </c>
      <c r="L2272" s="2">
        <v>45931</v>
      </c>
      <c r="M2272" t="s">
        <v>109</v>
      </c>
      <c r="N2272">
        <v>0</v>
      </c>
      <c r="O2272" t="s">
        <v>111</v>
      </c>
      <c r="P2272" t="s">
        <v>112</v>
      </c>
      <c r="Q2272" t="s">
        <v>113</v>
      </c>
    </row>
    <row r="2273" spans="1:17" x14ac:dyDescent="0.3">
      <c r="A2273" t="s">
        <v>17</v>
      </c>
      <c r="B2273">
        <v>68</v>
      </c>
      <c r="C2273" t="s">
        <v>34</v>
      </c>
      <c r="D2273" s="2">
        <v>45950</v>
      </c>
      <c r="E2273" s="3">
        <f t="shared" si="35"/>
        <v>45931</v>
      </c>
      <c r="F2273" t="s">
        <v>2079</v>
      </c>
      <c r="G2273" t="s">
        <v>122</v>
      </c>
      <c r="H2273" s="4">
        <v>1.31</v>
      </c>
      <c r="I2273" t="s">
        <v>108</v>
      </c>
      <c r="J2273" t="s">
        <v>109</v>
      </c>
      <c r="K2273" t="s">
        <v>2063</v>
      </c>
      <c r="L2273" s="2">
        <v>45931</v>
      </c>
      <c r="M2273" t="s">
        <v>109</v>
      </c>
      <c r="N2273">
        <v>0</v>
      </c>
      <c r="O2273" t="s">
        <v>111</v>
      </c>
      <c r="P2273" t="s">
        <v>112</v>
      </c>
      <c r="Q2273" t="s">
        <v>113</v>
      </c>
    </row>
    <row r="2274" spans="1:17" x14ac:dyDescent="0.3">
      <c r="A2274" t="s">
        <v>17</v>
      </c>
      <c r="B2274">
        <v>68</v>
      </c>
      <c r="C2274" t="s">
        <v>34</v>
      </c>
      <c r="D2274" s="2">
        <v>45950</v>
      </c>
      <c r="E2274" s="3">
        <f t="shared" si="35"/>
        <v>45931</v>
      </c>
      <c r="F2274" t="s">
        <v>2080</v>
      </c>
      <c r="G2274" t="s">
        <v>122</v>
      </c>
      <c r="H2274" s="4">
        <v>4.5</v>
      </c>
      <c r="I2274" t="s">
        <v>108</v>
      </c>
      <c r="J2274" t="s">
        <v>109</v>
      </c>
      <c r="K2274" t="s">
        <v>2063</v>
      </c>
      <c r="L2274" s="2">
        <v>45931</v>
      </c>
      <c r="M2274" t="s">
        <v>109</v>
      </c>
      <c r="N2274">
        <v>0</v>
      </c>
      <c r="O2274" t="s">
        <v>111</v>
      </c>
      <c r="P2274" t="s">
        <v>112</v>
      </c>
      <c r="Q2274" t="s">
        <v>113</v>
      </c>
    </row>
    <row r="2275" spans="1:17" x14ac:dyDescent="0.3">
      <c r="A2275" t="s">
        <v>17</v>
      </c>
      <c r="B2275">
        <v>68</v>
      </c>
      <c r="C2275" t="s">
        <v>34</v>
      </c>
      <c r="D2275" s="2">
        <v>45950</v>
      </c>
      <c r="E2275" s="3">
        <f t="shared" si="35"/>
        <v>45931</v>
      </c>
      <c r="F2275" t="s">
        <v>2080</v>
      </c>
      <c r="G2275" t="s">
        <v>122</v>
      </c>
      <c r="H2275" s="4">
        <v>17</v>
      </c>
      <c r="I2275" t="s">
        <v>108</v>
      </c>
      <c r="J2275" t="s">
        <v>109</v>
      </c>
      <c r="K2275" t="s">
        <v>1455</v>
      </c>
      <c r="L2275" s="2">
        <v>45931</v>
      </c>
      <c r="M2275" t="s">
        <v>109</v>
      </c>
      <c r="N2275">
        <v>0</v>
      </c>
      <c r="O2275" t="s">
        <v>111</v>
      </c>
      <c r="P2275" t="s">
        <v>112</v>
      </c>
      <c r="Q2275" t="s">
        <v>113</v>
      </c>
    </row>
    <row r="2276" spans="1:17" x14ac:dyDescent="0.3">
      <c r="A2276" t="s">
        <v>17</v>
      </c>
      <c r="B2276">
        <v>68</v>
      </c>
      <c r="C2276" t="s">
        <v>34</v>
      </c>
      <c r="D2276" s="2">
        <v>45950</v>
      </c>
      <c r="E2276" s="3">
        <f t="shared" si="35"/>
        <v>45931</v>
      </c>
      <c r="F2276" t="s">
        <v>2080</v>
      </c>
      <c r="G2276" t="s">
        <v>122</v>
      </c>
      <c r="H2276" s="4">
        <v>1.34</v>
      </c>
      <c r="I2276" t="s">
        <v>108</v>
      </c>
      <c r="J2276" t="s">
        <v>109</v>
      </c>
      <c r="K2276" t="s">
        <v>1457</v>
      </c>
      <c r="L2276" s="2">
        <v>45931</v>
      </c>
      <c r="M2276" t="s">
        <v>109</v>
      </c>
      <c r="N2276">
        <v>0</v>
      </c>
      <c r="O2276" t="s">
        <v>111</v>
      </c>
      <c r="P2276" t="s">
        <v>112</v>
      </c>
      <c r="Q2276" t="s">
        <v>113</v>
      </c>
    </row>
    <row r="2277" spans="1:17" x14ac:dyDescent="0.3">
      <c r="A2277" t="s">
        <v>17</v>
      </c>
      <c r="B2277">
        <v>68</v>
      </c>
      <c r="C2277" t="s">
        <v>34</v>
      </c>
      <c r="D2277" s="2">
        <v>45951</v>
      </c>
      <c r="E2277" s="3">
        <f t="shared" si="35"/>
        <v>45931</v>
      </c>
      <c r="F2277" t="s">
        <v>2081</v>
      </c>
      <c r="G2277" t="s">
        <v>122</v>
      </c>
      <c r="H2277" s="4">
        <v>3.06</v>
      </c>
      <c r="I2277" t="s">
        <v>108</v>
      </c>
      <c r="J2277" t="s">
        <v>109</v>
      </c>
      <c r="K2277" t="s">
        <v>2063</v>
      </c>
      <c r="L2277" s="2">
        <v>45931</v>
      </c>
      <c r="M2277" t="s">
        <v>109</v>
      </c>
      <c r="N2277">
        <v>0</v>
      </c>
      <c r="O2277" t="s">
        <v>111</v>
      </c>
      <c r="P2277" t="s">
        <v>112</v>
      </c>
      <c r="Q2277" t="s">
        <v>113</v>
      </c>
    </row>
    <row r="2278" spans="1:17" x14ac:dyDescent="0.3">
      <c r="A2278" t="s">
        <v>17</v>
      </c>
      <c r="B2278">
        <v>68</v>
      </c>
      <c r="C2278" t="s">
        <v>34</v>
      </c>
      <c r="D2278" s="2">
        <v>45951</v>
      </c>
      <c r="E2278" s="3">
        <f t="shared" si="35"/>
        <v>45931</v>
      </c>
      <c r="F2278" t="s">
        <v>2081</v>
      </c>
      <c r="G2278" t="s">
        <v>122</v>
      </c>
      <c r="H2278" s="4">
        <v>17</v>
      </c>
      <c r="I2278" t="s">
        <v>108</v>
      </c>
      <c r="J2278" t="s">
        <v>109</v>
      </c>
      <c r="K2278" t="s">
        <v>2063</v>
      </c>
      <c r="L2278" s="2">
        <v>45931</v>
      </c>
      <c r="M2278" t="s">
        <v>109</v>
      </c>
      <c r="N2278">
        <v>0</v>
      </c>
      <c r="O2278" t="s">
        <v>111</v>
      </c>
      <c r="P2278" t="s">
        <v>112</v>
      </c>
      <c r="Q2278" t="s">
        <v>113</v>
      </c>
    </row>
    <row r="2279" spans="1:17" x14ac:dyDescent="0.3">
      <c r="A2279" t="s">
        <v>17</v>
      </c>
      <c r="B2279">
        <v>68</v>
      </c>
      <c r="C2279" t="s">
        <v>34</v>
      </c>
      <c r="D2279" s="2">
        <v>45951</v>
      </c>
      <c r="E2279" s="3">
        <f t="shared" si="35"/>
        <v>45931</v>
      </c>
      <c r="F2279" t="s">
        <v>2081</v>
      </c>
      <c r="G2279" t="s">
        <v>122</v>
      </c>
      <c r="H2279" s="4">
        <v>1.34</v>
      </c>
      <c r="I2279" t="s">
        <v>108</v>
      </c>
      <c r="J2279" t="s">
        <v>109</v>
      </c>
      <c r="K2279" t="s">
        <v>2063</v>
      </c>
      <c r="L2279" s="2">
        <v>45931</v>
      </c>
      <c r="M2279" t="s">
        <v>109</v>
      </c>
      <c r="N2279">
        <v>0</v>
      </c>
      <c r="O2279" t="s">
        <v>111</v>
      </c>
      <c r="P2279" t="s">
        <v>112</v>
      </c>
      <c r="Q2279" t="s">
        <v>113</v>
      </c>
    </row>
    <row r="2280" spans="1:17" x14ac:dyDescent="0.3">
      <c r="A2280" t="s">
        <v>17</v>
      </c>
      <c r="B2280">
        <v>68</v>
      </c>
      <c r="C2280" t="s">
        <v>34</v>
      </c>
      <c r="D2280" s="2">
        <v>45951</v>
      </c>
      <c r="E2280" s="3">
        <f t="shared" si="35"/>
        <v>45931</v>
      </c>
      <c r="F2280" t="s">
        <v>2082</v>
      </c>
      <c r="G2280" t="s">
        <v>122</v>
      </c>
      <c r="H2280" s="4">
        <v>67.5</v>
      </c>
      <c r="I2280" t="s">
        <v>108</v>
      </c>
      <c r="J2280" t="s">
        <v>109</v>
      </c>
      <c r="K2280" t="s">
        <v>2063</v>
      </c>
      <c r="L2280" s="2">
        <v>45931</v>
      </c>
      <c r="M2280" t="s">
        <v>109</v>
      </c>
      <c r="N2280">
        <v>0</v>
      </c>
      <c r="O2280" t="s">
        <v>111</v>
      </c>
      <c r="P2280" t="s">
        <v>112</v>
      </c>
      <c r="Q2280" t="s">
        <v>113</v>
      </c>
    </row>
    <row r="2281" spans="1:17" x14ac:dyDescent="0.3">
      <c r="A2281" t="s">
        <v>17</v>
      </c>
      <c r="B2281">
        <v>68</v>
      </c>
      <c r="C2281" t="s">
        <v>34</v>
      </c>
      <c r="D2281" s="2">
        <v>45951</v>
      </c>
      <c r="E2281" s="3">
        <f t="shared" si="35"/>
        <v>45931</v>
      </c>
      <c r="F2281" t="s">
        <v>2082</v>
      </c>
      <c r="G2281" t="s">
        <v>122</v>
      </c>
      <c r="H2281" s="4">
        <v>1.31</v>
      </c>
      <c r="I2281" t="s">
        <v>108</v>
      </c>
      <c r="J2281" t="s">
        <v>109</v>
      </c>
      <c r="K2281" t="s">
        <v>2063</v>
      </c>
      <c r="L2281" s="2">
        <v>45931</v>
      </c>
      <c r="M2281" t="s">
        <v>109</v>
      </c>
      <c r="N2281">
        <v>0</v>
      </c>
      <c r="O2281" t="s">
        <v>111</v>
      </c>
      <c r="P2281" t="s">
        <v>112</v>
      </c>
      <c r="Q2281" t="s">
        <v>113</v>
      </c>
    </row>
    <row r="2282" spans="1:17" x14ac:dyDescent="0.3">
      <c r="A2282" t="s">
        <v>17</v>
      </c>
      <c r="B2282">
        <v>68</v>
      </c>
      <c r="C2282" t="s">
        <v>34</v>
      </c>
      <c r="D2282" s="2">
        <v>45951</v>
      </c>
      <c r="E2282" s="3">
        <f t="shared" si="35"/>
        <v>45931</v>
      </c>
      <c r="F2282" t="s">
        <v>2082</v>
      </c>
      <c r="G2282" t="s">
        <v>122</v>
      </c>
      <c r="H2282" s="4">
        <v>17</v>
      </c>
      <c r="I2282" t="s">
        <v>108</v>
      </c>
      <c r="J2282" t="s">
        <v>109</v>
      </c>
      <c r="K2282" t="s">
        <v>2063</v>
      </c>
      <c r="L2282" s="2">
        <v>45931</v>
      </c>
      <c r="M2282" t="s">
        <v>109</v>
      </c>
      <c r="N2282">
        <v>0</v>
      </c>
      <c r="O2282" t="s">
        <v>111</v>
      </c>
      <c r="P2282" t="s">
        <v>112</v>
      </c>
      <c r="Q2282" t="s">
        <v>113</v>
      </c>
    </row>
    <row r="2283" spans="1:17" x14ac:dyDescent="0.3">
      <c r="A2283" t="s">
        <v>17</v>
      </c>
      <c r="B2283">
        <v>68</v>
      </c>
      <c r="C2283" t="s">
        <v>34</v>
      </c>
      <c r="D2283" s="2">
        <v>45951</v>
      </c>
      <c r="E2283" s="3">
        <f t="shared" si="35"/>
        <v>45931</v>
      </c>
      <c r="F2283" t="s">
        <v>2083</v>
      </c>
      <c r="G2283" t="s">
        <v>122</v>
      </c>
      <c r="H2283" s="4">
        <v>344.2</v>
      </c>
      <c r="I2283" t="s">
        <v>108</v>
      </c>
      <c r="J2283" t="s">
        <v>109</v>
      </c>
      <c r="K2283" t="s">
        <v>1450</v>
      </c>
      <c r="L2283" s="2">
        <v>45931</v>
      </c>
      <c r="M2283" t="s">
        <v>109</v>
      </c>
      <c r="N2283">
        <v>0</v>
      </c>
      <c r="O2283" t="s">
        <v>111</v>
      </c>
      <c r="P2283" t="s">
        <v>112</v>
      </c>
      <c r="Q2283" t="s">
        <v>113</v>
      </c>
    </row>
    <row r="2284" spans="1:17" x14ac:dyDescent="0.3">
      <c r="A2284" t="s">
        <v>17</v>
      </c>
      <c r="B2284">
        <v>68</v>
      </c>
      <c r="C2284" t="s">
        <v>34</v>
      </c>
      <c r="D2284" s="2">
        <v>45951</v>
      </c>
      <c r="E2284" s="3">
        <f t="shared" si="35"/>
        <v>45931</v>
      </c>
      <c r="F2284" t="s">
        <v>2083</v>
      </c>
      <c r="G2284" t="s">
        <v>122</v>
      </c>
      <c r="H2284" s="4">
        <v>17</v>
      </c>
      <c r="I2284" t="s">
        <v>108</v>
      </c>
      <c r="J2284" t="s">
        <v>109</v>
      </c>
      <c r="K2284" t="s">
        <v>2063</v>
      </c>
      <c r="L2284" s="2">
        <v>45931</v>
      </c>
      <c r="M2284" t="s">
        <v>109</v>
      </c>
      <c r="N2284">
        <v>0</v>
      </c>
      <c r="O2284" t="s">
        <v>111</v>
      </c>
      <c r="P2284" t="s">
        <v>112</v>
      </c>
      <c r="Q2284" t="s">
        <v>113</v>
      </c>
    </row>
    <row r="2285" spans="1:17" x14ac:dyDescent="0.3">
      <c r="A2285" t="s">
        <v>17</v>
      </c>
      <c r="B2285">
        <v>68</v>
      </c>
      <c r="C2285" t="s">
        <v>34</v>
      </c>
      <c r="D2285" s="2">
        <v>45951</v>
      </c>
      <c r="E2285" s="3">
        <f t="shared" si="35"/>
        <v>45931</v>
      </c>
      <c r="F2285" t="s">
        <v>2083</v>
      </c>
      <c r="G2285" t="s">
        <v>122</v>
      </c>
      <c r="H2285" s="4">
        <v>1.34</v>
      </c>
      <c r="I2285" t="s">
        <v>108</v>
      </c>
      <c r="J2285" t="s">
        <v>109</v>
      </c>
      <c r="K2285" t="s">
        <v>2063</v>
      </c>
      <c r="L2285" s="2">
        <v>45931</v>
      </c>
      <c r="M2285" t="s">
        <v>109</v>
      </c>
      <c r="N2285">
        <v>0</v>
      </c>
      <c r="O2285" t="s">
        <v>111</v>
      </c>
      <c r="P2285" t="s">
        <v>112</v>
      </c>
      <c r="Q2285" t="s">
        <v>113</v>
      </c>
    </row>
    <row r="2286" spans="1:17" x14ac:dyDescent="0.3">
      <c r="A2286" t="s">
        <v>17</v>
      </c>
      <c r="B2286">
        <v>68</v>
      </c>
      <c r="C2286" t="s">
        <v>34</v>
      </c>
      <c r="D2286" s="2">
        <v>45952</v>
      </c>
      <c r="E2286" s="3">
        <f t="shared" si="35"/>
        <v>45931</v>
      </c>
      <c r="F2286" t="s">
        <v>2084</v>
      </c>
      <c r="G2286" t="s">
        <v>122</v>
      </c>
      <c r="H2286" s="4">
        <v>12.51</v>
      </c>
      <c r="I2286" t="s">
        <v>108</v>
      </c>
      <c r="J2286" t="s">
        <v>109</v>
      </c>
      <c r="L2286" s="2">
        <v>45931</v>
      </c>
      <c r="M2286" t="s">
        <v>109</v>
      </c>
      <c r="N2286">
        <v>0</v>
      </c>
      <c r="O2286" t="s">
        <v>111</v>
      </c>
      <c r="P2286" t="s">
        <v>112</v>
      </c>
      <c r="Q2286" t="s">
        <v>113</v>
      </c>
    </row>
    <row r="2287" spans="1:17" x14ac:dyDescent="0.3">
      <c r="A2287" t="s">
        <v>17</v>
      </c>
      <c r="B2287">
        <v>68</v>
      </c>
      <c r="C2287" t="s">
        <v>34</v>
      </c>
      <c r="D2287" s="2">
        <v>45952</v>
      </c>
      <c r="E2287" s="3">
        <f t="shared" si="35"/>
        <v>45931</v>
      </c>
      <c r="F2287" t="s">
        <v>2084</v>
      </c>
      <c r="G2287" t="s">
        <v>122</v>
      </c>
      <c r="H2287" s="4">
        <v>17</v>
      </c>
      <c r="I2287" t="s">
        <v>108</v>
      </c>
      <c r="J2287" t="s">
        <v>109</v>
      </c>
      <c r="L2287" s="2">
        <v>45931</v>
      </c>
      <c r="M2287" t="s">
        <v>109</v>
      </c>
      <c r="N2287">
        <v>0</v>
      </c>
      <c r="O2287" t="s">
        <v>111</v>
      </c>
      <c r="P2287" t="s">
        <v>112</v>
      </c>
      <c r="Q2287" t="s">
        <v>113</v>
      </c>
    </row>
    <row r="2288" spans="1:17" x14ac:dyDescent="0.3">
      <c r="A2288" t="s">
        <v>17</v>
      </c>
      <c r="B2288">
        <v>68</v>
      </c>
      <c r="C2288" t="s">
        <v>34</v>
      </c>
      <c r="D2288" s="2">
        <v>45952</v>
      </c>
      <c r="E2288" s="3">
        <f t="shared" si="35"/>
        <v>45931</v>
      </c>
      <c r="F2288" t="s">
        <v>2084</v>
      </c>
      <c r="G2288" t="s">
        <v>122</v>
      </c>
      <c r="H2288" s="4">
        <v>1.34</v>
      </c>
      <c r="I2288" t="s">
        <v>108</v>
      </c>
      <c r="J2288" t="s">
        <v>109</v>
      </c>
      <c r="L2288" s="2">
        <v>45931</v>
      </c>
      <c r="M2288" t="s">
        <v>109</v>
      </c>
      <c r="N2288">
        <v>0</v>
      </c>
      <c r="O2288" t="s">
        <v>111</v>
      </c>
      <c r="P2288" t="s">
        <v>112</v>
      </c>
      <c r="Q2288" t="s">
        <v>113</v>
      </c>
    </row>
    <row r="2289" spans="1:17" x14ac:dyDescent="0.3">
      <c r="A2289" t="s">
        <v>17</v>
      </c>
      <c r="B2289">
        <v>68</v>
      </c>
      <c r="C2289" t="s">
        <v>34</v>
      </c>
      <c r="D2289" s="2">
        <v>45952</v>
      </c>
      <c r="E2289" s="3">
        <f t="shared" si="35"/>
        <v>45931</v>
      </c>
      <c r="F2289" t="s">
        <v>2085</v>
      </c>
      <c r="G2289" t="s">
        <v>122</v>
      </c>
      <c r="H2289" s="4">
        <v>23.57</v>
      </c>
      <c r="I2289" t="s">
        <v>108</v>
      </c>
      <c r="J2289" t="s">
        <v>109</v>
      </c>
      <c r="L2289" s="2">
        <v>45931</v>
      </c>
      <c r="M2289" t="s">
        <v>109</v>
      </c>
      <c r="N2289">
        <v>0</v>
      </c>
      <c r="O2289" t="s">
        <v>111</v>
      </c>
      <c r="P2289" t="s">
        <v>112</v>
      </c>
      <c r="Q2289" t="s">
        <v>113</v>
      </c>
    </row>
    <row r="2290" spans="1:17" x14ac:dyDescent="0.3">
      <c r="A2290" t="s">
        <v>17</v>
      </c>
      <c r="B2290">
        <v>68</v>
      </c>
      <c r="C2290" t="s">
        <v>34</v>
      </c>
      <c r="D2290" s="2">
        <v>45952</v>
      </c>
      <c r="E2290" s="3">
        <f t="shared" si="35"/>
        <v>45931</v>
      </c>
      <c r="F2290" t="s">
        <v>2085</v>
      </c>
      <c r="G2290" t="s">
        <v>122</v>
      </c>
      <c r="H2290" s="4">
        <v>17</v>
      </c>
      <c r="I2290" t="s">
        <v>108</v>
      </c>
      <c r="J2290" t="s">
        <v>109</v>
      </c>
      <c r="L2290" s="2">
        <v>45931</v>
      </c>
      <c r="M2290" t="s">
        <v>109</v>
      </c>
      <c r="N2290">
        <v>0</v>
      </c>
      <c r="O2290" t="s">
        <v>111</v>
      </c>
      <c r="P2290" t="s">
        <v>112</v>
      </c>
      <c r="Q2290" t="s">
        <v>113</v>
      </c>
    </row>
    <row r="2291" spans="1:17" x14ac:dyDescent="0.3">
      <c r="A2291" t="s">
        <v>17</v>
      </c>
      <c r="B2291">
        <v>68</v>
      </c>
      <c r="C2291" t="s">
        <v>34</v>
      </c>
      <c r="D2291" s="2">
        <v>45952</v>
      </c>
      <c r="E2291" s="3">
        <f t="shared" si="35"/>
        <v>45931</v>
      </c>
      <c r="F2291" t="s">
        <v>2085</v>
      </c>
      <c r="G2291" t="s">
        <v>122</v>
      </c>
      <c r="H2291" s="4">
        <v>1.34</v>
      </c>
      <c r="I2291" t="s">
        <v>108</v>
      </c>
      <c r="J2291" t="s">
        <v>109</v>
      </c>
      <c r="L2291" s="2">
        <v>45931</v>
      </c>
      <c r="M2291" t="s">
        <v>109</v>
      </c>
      <c r="N2291">
        <v>0</v>
      </c>
      <c r="O2291" t="s">
        <v>111</v>
      </c>
      <c r="P2291" t="s">
        <v>112</v>
      </c>
      <c r="Q2291" t="s">
        <v>113</v>
      </c>
    </row>
    <row r="2292" spans="1:17" x14ac:dyDescent="0.3">
      <c r="A2292" t="s">
        <v>17</v>
      </c>
      <c r="B2292">
        <v>68</v>
      </c>
      <c r="C2292" t="s">
        <v>34</v>
      </c>
      <c r="D2292" s="2">
        <v>45952</v>
      </c>
      <c r="E2292" s="3">
        <f t="shared" si="35"/>
        <v>45931</v>
      </c>
      <c r="F2292" t="s">
        <v>2086</v>
      </c>
      <c r="G2292" t="s">
        <v>122</v>
      </c>
      <c r="H2292" s="4">
        <v>21.37</v>
      </c>
      <c r="I2292" t="s">
        <v>108</v>
      </c>
      <c r="J2292" t="s">
        <v>109</v>
      </c>
      <c r="L2292" s="2">
        <v>45931</v>
      </c>
      <c r="M2292" t="s">
        <v>109</v>
      </c>
      <c r="N2292">
        <v>0</v>
      </c>
      <c r="O2292" t="s">
        <v>111</v>
      </c>
      <c r="P2292" t="s">
        <v>112</v>
      </c>
      <c r="Q2292" t="s">
        <v>113</v>
      </c>
    </row>
    <row r="2293" spans="1:17" x14ac:dyDescent="0.3">
      <c r="A2293" t="s">
        <v>17</v>
      </c>
      <c r="B2293">
        <v>68</v>
      </c>
      <c r="C2293" t="s">
        <v>34</v>
      </c>
      <c r="D2293" s="2">
        <v>45952</v>
      </c>
      <c r="E2293" s="3">
        <f t="shared" si="35"/>
        <v>45931</v>
      </c>
      <c r="F2293" t="s">
        <v>2086</v>
      </c>
      <c r="G2293" t="s">
        <v>122</v>
      </c>
      <c r="H2293" s="4">
        <v>17</v>
      </c>
      <c r="I2293" t="s">
        <v>108</v>
      </c>
      <c r="J2293" t="s">
        <v>109</v>
      </c>
      <c r="L2293" s="2">
        <v>45931</v>
      </c>
      <c r="M2293" t="s">
        <v>109</v>
      </c>
      <c r="N2293">
        <v>0</v>
      </c>
      <c r="O2293" t="s">
        <v>111</v>
      </c>
      <c r="P2293" t="s">
        <v>112</v>
      </c>
      <c r="Q2293" t="s">
        <v>113</v>
      </c>
    </row>
    <row r="2294" spans="1:17" x14ac:dyDescent="0.3">
      <c r="A2294" t="s">
        <v>17</v>
      </c>
      <c r="B2294">
        <v>68</v>
      </c>
      <c r="C2294" t="s">
        <v>34</v>
      </c>
      <c r="D2294" s="2">
        <v>45952</v>
      </c>
      <c r="E2294" s="3">
        <f t="shared" si="35"/>
        <v>45931</v>
      </c>
      <c r="F2294" t="s">
        <v>2086</v>
      </c>
      <c r="G2294" t="s">
        <v>122</v>
      </c>
      <c r="H2294" s="4">
        <v>1.34</v>
      </c>
      <c r="I2294" t="s">
        <v>108</v>
      </c>
      <c r="J2294" t="s">
        <v>109</v>
      </c>
      <c r="L2294" s="2">
        <v>45931</v>
      </c>
      <c r="M2294" t="s">
        <v>109</v>
      </c>
      <c r="N2294">
        <v>0</v>
      </c>
      <c r="O2294" t="s">
        <v>111</v>
      </c>
      <c r="P2294" t="s">
        <v>112</v>
      </c>
      <c r="Q2294" t="s">
        <v>113</v>
      </c>
    </row>
    <row r="2295" spans="1:17" x14ac:dyDescent="0.3">
      <c r="A2295" t="s">
        <v>17</v>
      </c>
      <c r="B2295">
        <v>68</v>
      </c>
      <c r="C2295" t="s">
        <v>34</v>
      </c>
      <c r="D2295" s="2">
        <v>45952</v>
      </c>
      <c r="E2295" s="3">
        <f t="shared" si="35"/>
        <v>45931</v>
      </c>
      <c r="F2295" t="s">
        <v>2087</v>
      </c>
      <c r="G2295" t="s">
        <v>122</v>
      </c>
      <c r="H2295" s="4">
        <v>9.82</v>
      </c>
      <c r="I2295" t="s">
        <v>108</v>
      </c>
      <c r="J2295" t="s">
        <v>109</v>
      </c>
      <c r="L2295" s="2">
        <v>45931</v>
      </c>
      <c r="M2295" t="s">
        <v>109</v>
      </c>
      <c r="N2295">
        <v>0</v>
      </c>
      <c r="O2295" t="s">
        <v>111</v>
      </c>
      <c r="P2295" t="s">
        <v>112</v>
      </c>
      <c r="Q2295" t="s">
        <v>113</v>
      </c>
    </row>
    <row r="2296" spans="1:17" x14ac:dyDescent="0.3">
      <c r="A2296" t="s">
        <v>17</v>
      </c>
      <c r="B2296">
        <v>68</v>
      </c>
      <c r="C2296" t="s">
        <v>34</v>
      </c>
      <c r="D2296" s="2">
        <v>45952</v>
      </c>
      <c r="E2296" s="3">
        <f t="shared" si="35"/>
        <v>45931</v>
      </c>
      <c r="F2296" t="s">
        <v>2087</v>
      </c>
      <c r="G2296" t="s">
        <v>122</v>
      </c>
      <c r="H2296" s="4">
        <v>17</v>
      </c>
      <c r="I2296" t="s">
        <v>108</v>
      </c>
      <c r="J2296" t="s">
        <v>109</v>
      </c>
      <c r="L2296" s="2">
        <v>45931</v>
      </c>
      <c r="M2296" t="s">
        <v>109</v>
      </c>
      <c r="N2296">
        <v>0</v>
      </c>
      <c r="O2296" t="s">
        <v>111</v>
      </c>
      <c r="P2296" t="s">
        <v>112</v>
      </c>
      <c r="Q2296" t="s">
        <v>113</v>
      </c>
    </row>
    <row r="2297" spans="1:17" x14ac:dyDescent="0.3">
      <c r="A2297" t="s">
        <v>17</v>
      </c>
      <c r="B2297">
        <v>68</v>
      </c>
      <c r="C2297" t="s">
        <v>34</v>
      </c>
      <c r="D2297" s="2">
        <v>45952</v>
      </c>
      <c r="E2297" s="3">
        <f t="shared" si="35"/>
        <v>45931</v>
      </c>
      <c r="F2297" t="s">
        <v>2087</v>
      </c>
      <c r="G2297" t="s">
        <v>122</v>
      </c>
      <c r="H2297" s="4">
        <v>1.34</v>
      </c>
      <c r="I2297" t="s">
        <v>108</v>
      </c>
      <c r="J2297" t="s">
        <v>109</v>
      </c>
      <c r="L2297" s="2">
        <v>45931</v>
      </c>
      <c r="M2297" t="s">
        <v>109</v>
      </c>
      <c r="N2297">
        <v>0</v>
      </c>
      <c r="O2297" t="s">
        <v>111</v>
      </c>
      <c r="P2297" t="s">
        <v>112</v>
      </c>
      <c r="Q2297" t="s">
        <v>113</v>
      </c>
    </row>
    <row r="2298" spans="1:17" x14ac:dyDescent="0.3">
      <c r="A2298" t="s">
        <v>17</v>
      </c>
      <c r="B2298">
        <v>68</v>
      </c>
      <c r="C2298" t="s">
        <v>34</v>
      </c>
      <c r="D2298" s="2">
        <v>45952</v>
      </c>
      <c r="E2298" s="3">
        <f t="shared" si="35"/>
        <v>45931</v>
      </c>
      <c r="F2298" t="s">
        <v>2088</v>
      </c>
      <c r="G2298" t="s">
        <v>122</v>
      </c>
      <c r="H2298" s="4">
        <v>62.82</v>
      </c>
      <c r="I2298" t="s">
        <v>108</v>
      </c>
      <c r="J2298" t="s">
        <v>109</v>
      </c>
      <c r="L2298" s="2">
        <v>45931</v>
      </c>
      <c r="M2298" t="s">
        <v>109</v>
      </c>
      <c r="N2298">
        <v>0</v>
      </c>
      <c r="O2298" t="s">
        <v>111</v>
      </c>
      <c r="P2298" t="s">
        <v>112</v>
      </c>
      <c r="Q2298" t="s">
        <v>113</v>
      </c>
    </row>
    <row r="2299" spans="1:17" x14ac:dyDescent="0.3">
      <c r="A2299" t="s">
        <v>17</v>
      </c>
      <c r="B2299">
        <v>68</v>
      </c>
      <c r="C2299" t="s">
        <v>34</v>
      </c>
      <c r="D2299" s="2">
        <v>45952</v>
      </c>
      <c r="E2299" s="3">
        <f t="shared" si="35"/>
        <v>45931</v>
      </c>
      <c r="F2299" t="s">
        <v>2089</v>
      </c>
      <c r="G2299" t="s">
        <v>122</v>
      </c>
      <c r="H2299" s="4">
        <v>10.7</v>
      </c>
      <c r="I2299" t="s">
        <v>108</v>
      </c>
      <c r="J2299" t="s">
        <v>109</v>
      </c>
      <c r="L2299" s="2">
        <v>45931</v>
      </c>
      <c r="M2299" t="s">
        <v>109</v>
      </c>
      <c r="N2299">
        <v>0</v>
      </c>
      <c r="O2299" t="s">
        <v>111</v>
      </c>
      <c r="P2299" t="s">
        <v>112</v>
      </c>
      <c r="Q2299" t="s">
        <v>113</v>
      </c>
    </row>
    <row r="2300" spans="1:17" x14ac:dyDescent="0.3">
      <c r="A2300" t="s">
        <v>17</v>
      </c>
      <c r="B2300">
        <v>68</v>
      </c>
      <c r="C2300" t="s">
        <v>34</v>
      </c>
      <c r="D2300" s="2">
        <v>45952</v>
      </c>
      <c r="E2300" s="3">
        <f t="shared" si="35"/>
        <v>45931</v>
      </c>
      <c r="F2300" t="s">
        <v>2089</v>
      </c>
      <c r="G2300" t="s">
        <v>122</v>
      </c>
      <c r="H2300" s="4">
        <v>17</v>
      </c>
      <c r="I2300" t="s">
        <v>108</v>
      </c>
      <c r="J2300" t="s">
        <v>109</v>
      </c>
      <c r="K2300" t="s">
        <v>1455</v>
      </c>
      <c r="L2300" s="2">
        <v>45931</v>
      </c>
      <c r="M2300" t="s">
        <v>109</v>
      </c>
      <c r="N2300">
        <v>0</v>
      </c>
      <c r="O2300" t="s">
        <v>111</v>
      </c>
      <c r="P2300" t="s">
        <v>112</v>
      </c>
      <c r="Q2300" t="s">
        <v>113</v>
      </c>
    </row>
    <row r="2301" spans="1:17" x14ac:dyDescent="0.3">
      <c r="A2301" t="s">
        <v>17</v>
      </c>
      <c r="B2301">
        <v>68</v>
      </c>
      <c r="C2301" t="s">
        <v>34</v>
      </c>
      <c r="D2301" s="2">
        <v>45952</v>
      </c>
      <c r="E2301" s="3">
        <f t="shared" si="35"/>
        <v>45931</v>
      </c>
      <c r="F2301" t="s">
        <v>2089</v>
      </c>
      <c r="G2301" t="s">
        <v>122</v>
      </c>
      <c r="H2301" s="4">
        <v>1.34</v>
      </c>
      <c r="I2301" t="s">
        <v>108</v>
      </c>
      <c r="J2301" t="s">
        <v>109</v>
      </c>
      <c r="K2301" t="s">
        <v>1457</v>
      </c>
      <c r="L2301" s="2">
        <v>45931</v>
      </c>
      <c r="M2301" t="s">
        <v>109</v>
      </c>
      <c r="N2301">
        <v>0</v>
      </c>
      <c r="O2301" t="s">
        <v>111</v>
      </c>
      <c r="P2301" t="s">
        <v>112</v>
      </c>
      <c r="Q2301" t="s">
        <v>113</v>
      </c>
    </row>
    <row r="2302" spans="1:17" x14ac:dyDescent="0.3">
      <c r="A2302" t="s">
        <v>17</v>
      </c>
      <c r="B2302">
        <v>68</v>
      </c>
      <c r="C2302" t="s">
        <v>34</v>
      </c>
      <c r="D2302" s="2">
        <v>45952</v>
      </c>
      <c r="E2302" s="3">
        <f t="shared" si="35"/>
        <v>45931</v>
      </c>
      <c r="F2302" t="s">
        <v>2090</v>
      </c>
      <c r="G2302" t="s">
        <v>122</v>
      </c>
      <c r="H2302" s="4">
        <v>919.59</v>
      </c>
      <c r="I2302" t="s">
        <v>108</v>
      </c>
      <c r="J2302" t="s">
        <v>109</v>
      </c>
      <c r="K2302" t="s">
        <v>1442</v>
      </c>
      <c r="L2302" s="2">
        <v>45931</v>
      </c>
      <c r="M2302" t="s">
        <v>109</v>
      </c>
      <c r="N2302">
        <v>0</v>
      </c>
      <c r="O2302" t="s">
        <v>111</v>
      </c>
      <c r="P2302" t="s">
        <v>112</v>
      </c>
      <c r="Q2302" t="s">
        <v>113</v>
      </c>
    </row>
    <row r="2303" spans="1:17" x14ac:dyDescent="0.3">
      <c r="A2303" t="s">
        <v>17</v>
      </c>
      <c r="B2303">
        <v>68</v>
      </c>
      <c r="C2303" t="s">
        <v>34</v>
      </c>
      <c r="D2303" s="2">
        <v>45952</v>
      </c>
      <c r="E2303" s="3">
        <f t="shared" si="35"/>
        <v>45931</v>
      </c>
      <c r="F2303" t="s">
        <v>2091</v>
      </c>
      <c r="G2303" t="s">
        <v>122</v>
      </c>
      <c r="H2303" s="4">
        <v>21.9</v>
      </c>
      <c r="I2303" t="s">
        <v>108</v>
      </c>
      <c r="J2303" t="s">
        <v>109</v>
      </c>
      <c r="K2303" t="s">
        <v>1450</v>
      </c>
      <c r="L2303" s="2">
        <v>45931</v>
      </c>
      <c r="M2303" t="s">
        <v>109</v>
      </c>
      <c r="N2303">
        <v>0</v>
      </c>
      <c r="O2303" t="s">
        <v>111</v>
      </c>
      <c r="P2303" t="s">
        <v>112</v>
      </c>
      <c r="Q2303" t="s">
        <v>113</v>
      </c>
    </row>
    <row r="2304" spans="1:17" x14ac:dyDescent="0.3">
      <c r="A2304" t="s">
        <v>17</v>
      </c>
      <c r="B2304">
        <v>68</v>
      </c>
      <c r="C2304" t="s">
        <v>34</v>
      </c>
      <c r="D2304" s="2">
        <v>45952</v>
      </c>
      <c r="E2304" s="3">
        <f t="shared" si="35"/>
        <v>45931</v>
      </c>
      <c r="F2304" t="s">
        <v>2091</v>
      </c>
      <c r="G2304" t="s">
        <v>122</v>
      </c>
      <c r="H2304" s="4">
        <v>17</v>
      </c>
      <c r="I2304" t="s">
        <v>108</v>
      </c>
      <c r="J2304" t="s">
        <v>109</v>
      </c>
      <c r="K2304" t="s">
        <v>2092</v>
      </c>
      <c r="L2304" s="2">
        <v>45931</v>
      </c>
      <c r="M2304" t="s">
        <v>109</v>
      </c>
      <c r="N2304">
        <v>0</v>
      </c>
      <c r="O2304" t="s">
        <v>111</v>
      </c>
      <c r="P2304" t="s">
        <v>112</v>
      </c>
      <c r="Q2304" t="s">
        <v>113</v>
      </c>
    </row>
    <row r="2305" spans="1:17" x14ac:dyDescent="0.3">
      <c r="A2305" t="s">
        <v>17</v>
      </c>
      <c r="B2305">
        <v>68</v>
      </c>
      <c r="C2305" t="s">
        <v>34</v>
      </c>
      <c r="D2305" s="2">
        <v>45952</v>
      </c>
      <c r="E2305" s="3">
        <f t="shared" si="35"/>
        <v>45931</v>
      </c>
      <c r="F2305" t="s">
        <v>2091</v>
      </c>
      <c r="G2305" t="s">
        <v>122</v>
      </c>
      <c r="H2305" s="4">
        <v>1.34</v>
      </c>
      <c r="I2305" t="s">
        <v>108</v>
      </c>
      <c r="J2305" t="s">
        <v>109</v>
      </c>
      <c r="K2305" t="s">
        <v>1665</v>
      </c>
      <c r="L2305" s="2">
        <v>45931</v>
      </c>
      <c r="M2305" t="s">
        <v>109</v>
      </c>
      <c r="N2305">
        <v>0</v>
      </c>
      <c r="O2305" t="s">
        <v>111</v>
      </c>
      <c r="P2305" t="s">
        <v>112</v>
      </c>
      <c r="Q2305" t="s">
        <v>113</v>
      </c>
    </row>
    <row r="2306" spans="1:17" x14ac:dyDescent="0.3">
      <c r="A2306" t="s">
        <v>17</v>
      </c>
      <c r="B2306">
        <v>68</v>
      </c>
      <c r="C2306" t="s">
        <v>34</v>
      </c>
      <c r="D2306" s="2">
        <v>45953</v>
      </c>
      <c r="E2306" s="3">
        <f t="shared" si="35"/>
        <v>45931</v>
      </c>
      <c r="F2306" t="s">
        <v>2093</v>
      </c>
      <c r="G2306" t="s">
        <v>122</v>
      </c>
      <c r="H2306" s="4">
        <v>0.48</v>
      </c>
      <c r="I2306" t="s">
        <v>108</v>
      </c>
      <c r="J2306" t="s">
        <v>109</v>
      </c>
      <c r="L2306" s="2">
        <v>45931</v>
      </c>
      <c r="M2306" t="s">
        <v>109</v>
      </c>
      <c r="N2306">
        <v>0</v>
      </c>
      <c r="O2306" t="s">
        <v>111</v>
      </c>
      <c r="P2306" t="s">
        <v>112</v>
      </c>
      <c r="Q2306" t="s">
        <v>113</v>
      </c>
    </row>
    <row r="2307" spans="1:17" x14ac:dyDescent="0.3">
      <c r="A2307" t="s">
        <v>17</v>
      </c>
      <c r="B2307">
        <v>68</v>
      </c>
      <c r="C2307" t="s">
        <v>34</v>
      </c>
      <c r="D2307" s="2">
        <v>45953</v>
      </c>
      <c r="E2307" s="3">
        <f t="shared" ref="E2307:E2370" si="36">IF($D2307="","",DATE(YEAR($D2307),MONTH($D2307),1))</f>
        <v>45931</v>
      </c>
      <c r="F2307" t="s">
        <v>2093</v>
      </c>
      <c r="G2307" t="s">
        <v>122</v>
      </c>
      <c r="H2307" s="4">
        <v>17</v>
      </c>
      <c r="I2307" t="s">
        <v>108</v>
      </c>
      <c r="J2307" t="s">
        <v>109</v>
      </c>
      <c r="L2307" s="2">
        <v>45931</v>
      </c>
      <c r="M2307" t="s">
        <v>109</v>
      </c>
      <c r="N2307">
        <v>0</v>
      </c>
      <c r="O2307" t="s">
        <v>111</v>
      </c>
      <c r="P2307" t="s">
        <v>112</v>
      </c>
      <c r="Q2307" t="s">
        <v>113</v>
      </c>
    </row>
    <row r="2308" spans="1:17" x14ac:dyDescent="0.3">
      <c r="A2308" t="s">
        <v>17</v>
      </c>
      <c r="B2308">
        <v>68</v>
      </c>
      <c r="C2308" t="s">
        <v>34</v>
      </c>
      <c r="D2308" s="2">
        <v>45953</v>
      </c>
      <c r="E2308" s="3">
        <f t="shared" si="36"/>
        <v>45931</v>
      </c>
      <c r="F2308" t="s">
        <v>2093</v>
      </c>
      <c r="G2308" t="s">
        <v>122</v>
      </c>
      <c r="H2308" s="4">
        <v>1.34</v>
      </c>
      <c r="I2308" t="s">
        <v>108</v>
      </c>
      <c r="J2308" t="s">
        <v>109</v>
      </c>
      <c r="L2308" s="2">
        <v>45931</v>
      </c>
      <c r="M2308" t="s">
        <v>109</v>
      </c>
      <c r="N2308">
        <v>0</v>
      </c>
      <c r="O2308" t="s">
        <v>111</v>
      </c>
      <c r="P2308" t="s">
        <v>112</v>
      </c>
      <c r="Q2308" t="s">
        <v>113</v>
      </c>
    </row>
    <row r="2309" spans="1:17" x14ac:dyDescent="0.3">
      <c r="A2309" t="s">
        <v>17</v>
      </c>
      <c r="B2309">
        <v>68</v>
      </c>
      <c r="C2309" t="s">
        <v>34</v>
      </c>
      <c r="D2309" s="2">
        <v>45954</v>
      </c>
      <c r="E2309" s="3">
        <f t="shared" si="36"/>
        <v>45931</v>
      </c>
      <c r="F2309" t="s">
        <v>2094</v>
      </c>
      <c r="G2309" t="s">
        <v>122</v>
      </c>
      <c r="H2309" s="4">
        <v>5.35</v>
      </c>
      <c r="I2309" t="s">
        <v>108</v>
      </c>
      <c r="J2309" t="s">
        <v>109</v>
      </c>
      <c r="L2309" s="2">
        <v>45931</v>
      </c>
      <c r="M2309" t="s">
        <v>109</v>
      </c>
      <c r="N2309">
        <v>0</v>
      </c>
      <c r="O2309" t="s">
        <v>111</v>
      </c>
      <c r="P2309" t="s">
        <v>112</v>
      </c>
      <c r="Q2309" t="s">
        <v>113</v>
      </c>
    </row>
    <row r="2310" spans="1:17" x14ac:dyDescent="0.3">
      <c r="A2310" t="s">
        <v>17</v>
      </c>
      <c r="B2310">
        <v>68</v>
      </c>
      <c r="C2310" t="s">
        <v>34</v>
      </c>
      <c r="D2310" s="2">
        <v>45954</v>
      </c>
      <c r="E2310" s="3">
        <f t="shared" si="36"/>
        <v>45931</v>
      </c>
      <c r="F2310" t="s">
        <v>2094</v>
      </c>
      <c r="G2310" t="s">
        <v>122</v>
      </c>
      <c r="H2310" s="4">
        <v>17</v>
      </c>
      <c r="I2310" t="s">
        <v>108</v>
      </c>
      <c r="J2310" t="s">
        <v>109</v>
      </c>
      <c r="K2310" t="s">
        <v>1455</v>
      </c>
      <c r="L2310" s="2">
        <v>45931</v>
      </c>
      <c r="M2310" t="s">
        <v>109</v>
      </c>
      <c r="N2310">
        <v>0</v>
      </c>
      <c r="O2310" t="s">
        <v>111</v>
      </c>
      <c r="P2310" t="s">
        <v>112</v>
      </c>
      <c r="Q2310" t="s">
        <v>113</v>
      </c>
    </row>
    <row r="2311" spans="1:17" x14ac:dyDescent="0.3">
      <c r="A2311" t="s">
        <v>17</v>
      </c>
      <c r="B2311">
        <v>68</v>
      </c>
      <c r="C2311" t="s">
        <v>34</v>
      </c>
      <c r="D2311" s="2">
        <v>45954</v>
      </c>
      <c r="E2311" s="3">
        <f t="shared" si="36"/>
        <v>45931</v>
      </c>
      <c r="F2311" t="s">
        <v>2094</v>
      </c>
      <c r="G2311" t="s">
        <v>122</v>
      </c>
      <c r="H2311" s="4">
        <v>1.34</v>
      </c>
      <c r="I2311" t="s">
        <v>108</v>
      </c>
      <c r="J2311" t="s">
        <v>109</v>
      </c>
      <c r="K2311" t="s">
        <v>1457</v>
      </c>
      <c r="L2311" s="2">
        <v>45931</v>
      </c>
      <c r="M2311" t="s">
        <v>109</v>
      </c>
      <c r="N2311">
        <v>0</v>
      </c>
      <c r="O2311" t="s">
        <v>111</v>
      </c>
      <c r="P2311" t="s">
        <v>112</v>
      </c>
      <c r="Q2311" t="s">
        <v>113</v>
      </c>
    </row>
    <row r="2312" spans="1:17" x14ac:dyDescent="0.3">
      <c r="A2312" t="s">
        <v>17</v>
      </c>
      <c r="B2312">
        <v>68</v>
      </c>
      <c r="C2312" t="s">
        <v>34</v>
      </c>
      <c r="D2312" s="2">
        <v>45954</v>
      </c>
      <c r="E2312" s="3">
        <f t="shared" si="36"/>
        <v>45931</v>
      </c>
      <c r="F2312" t="s">
        <v>2095</v>
      </c>
      <c r="G2312" t="s">
        <v>122</v>
      </c>
      <c r="H2312" s="4">
        <v>4.5599999999999996</v>
      </c>
      <c r="I2312" t="s">
        <v>108</v>
      </c>
      <c r="J2312" t="s">
        <v>109</v>
      </c>
      <c r="L2312" s="2">
        <v>45931</v>
      </c>
      <c r="M2312" t="s">
        <v>109</v>
      </c>
      <c r="N2312">
        <v>0</v>
      </c>
      <c r="O2312" t="s">
        <v>111</v>
      </c>
      <c r="P2312" t="s">
        <v>112</v>
      </c>
      <c r="Q2312" t="s">
        <v>113</v>
      </c>
    </row>
    <row r="2313" spans="1:17" x14ac:dyDescent="0.3">
      <c r="A2313" t="s">
        <v>17</v>
      </c>
      <c r="B2313">
        <v>68</v>
      </c>
      <c r="C2313" t="s">
        <v>34</v>
      </c>
      <c r="D2313" s="2">
        <v>45954</v>
      </c>
      <c r="E2313" s="3">
        <f t="shared" si="36"/>
        <v>45931</v>
      </c>
      <c r="F2313" t="s">
        <v>2095</v>
      </c>
      <c r="G2313" t="s">
        <v>122</v>
      </c>
      <c r="H2313" s="4">
        <v>17</v>
      </c>
      <c r="I2313" t="s">
        <v>108</v>
      </c>
      <c r="J2313" t="s">
        <v>109</v>
      </c>
      <c r="L2313" s="2">
        <v>45931</v>
      </c>
      <c r="M2313" t="s">
        <v>109</v>
      </c>
      <c r="N2313">
        <v>0</v>
      </c>
      <c r="O2313" t="s">
        <v>111</v>
      </c>
      <c r="P2313" t="s">
        <v>112</v>
      </c>
      <c r="Q2313" t="s">
        <v>113</v>
      </c>
    </row>
    <row r="2314" spans="1:17" x14ac:dyDescent="0.3">
      <c r="A2314" t="s">
        <v>17</v>
      </c>
      <c r="B2314">
        <v>68</v>
      </c>
      <c r="C2314" t="s">
        <v>34</v>
      </c>
      <c r="D2314" s="2">
        <v>45954</v>
      </c>
      <c r="E2314" s="3">
        <f t="shared" si="36"/>
        <v>45931</v>
      </c>
      <c r="F2314" t="s">
        <v>2095</v>
      </c>
      <c r="G2314" t="s">
        <v>122</v>
      </c>
      <c r="H2314" s="4">
        <v>1.34</v>
      </c>
      <c r="I2314" t="s">
        <v>108</v>
      </c>
      <c r="J2314" t="s">
        <v>109</v>
      </c>
      <c r="L2314" s="2">
        <v>45931</v>
      </c>
      <c r="M2314" t="s">
        <v>109</v>
      </c>
      <c r="N2314">
        <v>0</v>
      </c>
      <c r="O2314" t="s">
        <v>111</v>
      </c>
      <c r="P2314" t="s">
        <v>112</v>
      </c>
      <c r="Q2314" t="s">
        <v>113</v>
      </c>
    </row>
    <row r="2315" spans="1:17" x14ac:dyDescent="0.3">
      <c r="A2315" t="s">
        <v>17</v>
      </c>
      <c r="B2315">
        <v>68</v>
      </c>
      <c r="C2315" t="s">
        <v>34</v>
      </c>
      <c r="D2315" s="2">
        <v>45957</v>
      </c>
      <c r="E2315" s="3">
        <f t="shared" si="36"/>
        <v>45931</v>
      </c>
      <c r="F2315" t="s">
        <v>2096</v>
      </c>
      <c r="G2315" t="s">
        <v>107</v>
      </c>
      <c r="H2315" s="4">
        <v>149.01</v>
      </c>
      <c r="I2315" t="s">
        <v>108</v>
      </c>
      <c r="J2315" t="s">
        <v>109</v>
      </c>
      <c r="K2315" t="s">
        <v>2097</v>
      </c>
      <c r="L2315" s="2">
        <v>45931</v>
      </c>
      <c r="M2315" t="s">
        <v>109</v>
      </c>
      <c r="N2315">
        <v>0</v>
      </c>
      <c r="O2315" t="s">
        <v>111</v>
      </c>
      <c r="P2315" t="s">
        <v>112</v>
      </c>
      <c r="Q2315" t="s">
        <v>113</v>
      </c>
    </row>
    <row r="2316" spans="1:17" x14ac:dyDescent="0.3">
      <c r="A2316" t="s">
        <v>17</v>
      </c>
      <c r="B2316">
        <v>68</v>
      </c>
      <c r="C2316" t="s">
        <v>34</v>
      </c>
      <c r="D2316" s="2">
        <v>45958</v>
      </c>
      <c r="E2316" s="3">
        <f t="shared" si="36"/>
        <v>45931</v>
      </c>
      <c r="F2316" t="s">
        <v>2098</v>
      </c>
      <c r="G2316" t="s">
        <v>122</v>
      </c>
      <c r="H2316" s="4">
        <v>1.1200000000000001</v>
      </c>
      <c r="I2316" t="s">
        <v>108</v>
      </c>
      <c r="J2316" t="s">
        <v>109</v>
      </c>
      <c r="L2316" s="2">
        <v>45931</v>
      </c>
      <c r="M2316" t="s">
        <v>109</v>
      </c>
      <c r="N2316">
        <v>0</v>
      </c>
      <c r="O2316" t="s">
        <v>111</v>
      </c>
      <c r="P2316" t="s">
        <v>112</v>
      </c>
      <c r="Q2316" t="s">
        <v>113</v>
      </c>
    </row>
    <row r="2317" spans="1:17" x14ac:dyDescent="0.3">
      <c r="A2317" t="s">
        <v>17</v>
      </c>
      <c r="B2317">
        <v>68</v>
      </c>
      <c r="C2317" t="s">
        <v>34</v>
      </c>
      <c r="D2317" s="2">
        <v>45958</v>
      </c>
      <c r="E2317" s="3">
        <f t="shared" si="36"/>
        <v>45931</v>
      </c>
      <c r="F2317" t="s">
        <v>2098</v>
      </c>
      <c r="G2317" t="s">
        <v>122</v>
      </c>
      <c r="H2317" s="4">
        <v>17</v>
      </c>
      <c r="I2317" t="s">
        <v>108</v>
      </c>
      <c r="J2317" t="s">
        <v>109</v>
      </c>
      <c r="L2317" s="2">
        <v>45931</v>
      </c>
      <c r="M2317" t="s">
        <v>109</v>
      </c>
      <c r="N2317">
        <v>0</v>
      </c>
      <c r="O2317" t="s">
        <v>111</v>
      </c>
      <c r="P2317" t="s">
        <v>112</v>
      </c>
      <c r="Q2317" t="s">
        <v>113</v>
      </c>
    </row>
    <row r="2318" spans="1:17" x14ac:dyDescent="0.3">
      <c r="A2318" t="s">
        <v>17</v>
      </c>
      <c r="B2318">
        <v>68</v>
      </c>
      <c r="C2318" t="s">
        <v>34</v>
      </c>
      <c r="D2318" s="2">
        <v>45958</v>
      </c>
      <c r="E2318" s="3">
        <f t="shared" si="36"/>
        <v>45931</v>
      </c>
      <c r="F2318" t="s">
        <v>2098</v>
      </c>
      <c r="G2318" t="s">
        <v>122</v>
      </c>
      <c r="H2318" s="4">
        <v>1.34</v>
      </c>
      <c r="I2318" t="s">
        <v>108</v>
      </c>
      <c r="J2318" t="s">
        <v>109</v>
      </c>
      <c r="L2318" s="2">
        <v>45931</v>
      </c>
      <c r="M2318" t="s">
        <v>109</v>
      </c>
      <c r="N2318">
        <v>0</v>
      </c>
      <c r="O2318" t="s">
        <v>111</v>
      </c>
      <c r="P2318" t="s">
        <v>112</v>
      </c>
      <c r="Q2318" t="s">
        <v>113</v>
      </c>
    </row>
    <row r="2319" spans="1:17" x14ac:dyDescent="0.3">
      <c r="A2319" t="s">
        <v>17</v>
      </c>
      <c r="B2319">
        <v>68</v>
      </c>
      <c r="C2319" t="s">
        <v>34</v>
      </c>
      <c r="D2319" s="2">
        <v>45958</v>
      </c>
      <c r="E2319" s="3">
        <f t="shared" si="36"/>
        <v>45931</v>
      </c>
      <c r="F2319" t="s">
        <v>2099</v>
      </c>
      <c r="G2319" t="s">
        <v>122</v>
      </c>
      <c r="H2319" s="4">
        <v>2.73</v>
      </c>
      <c r="I2319" t="s">
        <v>108</v>
      </c>
      <c r="J2319" t="s">
        <v>109</v>
      </c>
      <c r="L2319" s="2">
        <v>45931</v>
      </c>
      <c r="M2319" t="s">
        <v>109</v>
      </c>
      <c r="N2319">
        <v>0</v>
      </c>
      <c r="O2319" t="s">
        <v>111</v>
      </c>
      <c r="P2319" t="s">
        <v>112</v>
      </c>
      <c r="Q2319" t="s">
        <v>113</v>
      </c>
    </row>
    <row r="2320" spans="1:17" x14ac:dyDescent="0.3">
      <c r="A2320" t="s">
        <v>17</v>
      </c>
      <c r="B2320">
        <v>68</v>
      </c>
      <c r="C2320" t="s">
        <v>34</v>
      </c>
      <c r="D2320" s="2">
        <v>45958</v>
      </c>
      <c r="E2320" s="3">
        <f t="shared" si="36"/>
        <v>45931</v>
      </c>
      <c r="F2320" t="s">
        <v>2099</v>
      </c>
      <c r="G2320" t="s">
        <v>122</v>
      </c>
      <c r="H2320" s="4">
        <v>17</v>
      </c>
      <c r="I2320" t="s">
        <v>108</v>
      </c>
      <c r="J2320" t="s">
        <v>109</v>
      </c>
      <c r="L2320" s="2">
        <v>45931</v>
      </c>
      <c r="M2320" t="s">
        <v>109</v>
      </c>
      <c r="N2320">
        <v>0</v>
      </c>
      <c r="O2320" t="s">
        <v>111</v>
      </c>
      <c r="P2320" t="s">
        <v>112</v>
      </c>
      <c r="Q2320" t="s">
        <v>113</v>
      </c>
    </row>
    <row r="2321" spans="1:17" x14ac:dyDescent="0.3">
      <c r="A2321" t="s">
        <v>17</v>
      </c>
      <c r="B2321">
        <v>68</v>
      </c>
      <c r="C2321" t="s">
        <v>34</v>
      </c>
      <c r="D2321" s="2">
        <v>45958</v>
      </c>
      <c r="E2321" s="3">
        <f t="shared" si="36"/>
        <v>45931</v>
      </c>
      <c r="F2321" t="s">
        <v>2099</v>
      </c>
      <c r="G2321" t="s">
        <v>122</v>
      </c>
      <c r="H2321" s="4">
        <v>1.34</v>
      </c>
      <c r="I2321" t="s">
        <v>108</v>
      </c>
      <c r="J2321" t="s">
        <v>109</v>
      </c>
      <c r="L2321" s="2">
        <v>45931</v>
      </c>
      <c r="M2321" t="s">
        <v>109</v>
      </c>
      <c r="N2321">
        <v>0</v>
      </c>
      <c r="O2321" t="s">
        <v>111</v>
      </c>
      <c r="P2321" t="s">
        <v>112</v>
      </c>
      <c r="Q2321" t="s">
        <v>113</v>
      </c>
    </row>
    <row r="2322" spans="1:17" x14ac:dyDescent="0.3">
      <c r="A2322" t="s">
        <v>17</v>
      </c>
      <c r="B2322">
        <v>68</v>
      </c>
      <c r="C2322" t="s">
        <v>34</v>
      </c>
      <c r="D2322" s="2">
        <v>45958</v>
      </c>
      <c r="E2322" s="3">
        <f t="shared" si="36"/>
        <v>45931</v>
      </c>
      <c r="F2322" t="s">
        <v>2100</v>
      </c>
      <c r="G2322" t="s">
        <v>122</v>
      </c>
      <c r="H2322" s="4">
        <v>3.26</v>
      </c>
      <c r="I2322" t="s">
        <v>108</v>
      </c>
      <c r="J2322" t="s">
        <v>109</v>
      </c>
      <c r="L2322" s="2">
        <v>45931</v>
      </c>
      <c r="M2322" t="s">
        <v>109</v>
      </c>
      <c r="N2322">
        <v>0</v>
      </c>
      <c r="O2322" t="s">
        <v>111</v>
      </c>
      <c r="P2322" t="s">
        <v>112</v>
      </c>
      <c r="Q2322" t="s">
        <v>113</v>
      </c>
    </row>
    <row r="2323" spans="1:17" x14ac:dyDescent="0.3">
      <c r="A2323" t="s">
        <v>17</v>
      </c>
      <c r="B2323">
        <v>68</v>
      </c>
      <c r="C2323" t="s">
        <v>34</v>
      </c>
      <c r="D2323" s="2">
        <v>45958</v>
      </c>
      <c r="E2323" s="3">
        <f t="shared" si="36"/>
        <v>45931</v>
      </c>
      <c r="F2323" t="s">
        <v>2100</v>
      </c>
      <c r="G2323" t="s">
        <v>122</v>
      </c>
      <c r="H2323" s="4">
        <v>17</v>
      </c>
      <c r="I2323" t="s">
        <v>108</v>
      </c>
      <c r="J2323" t="s">
        <v>109</v>
      </c>
      <c r="L2323" s="2">
        <v>45931</v>
      </c>
      <c r="M2323" t="s">
        <v>109</v>
      </c>
      <c r="N2323">
        <v>0</v>
      </c>
      <c r="O2323" t="s">
        <v>111</v>
      </c>
      <c r="P2323" t="s">
        <v>112</v>
      </c>
      <c r="Q2323" t="s">
        <v>113</v>
      </c>
    </row>
    <row r="2324" spans="1:17" x14ac:dyDescent="0.3">
      <c r="A2324" t="s">
        <v>17</v>
      </c>
      <c r="B2324">
        <v>68</v>
      </c>
      <c r="C2324" t="s">
        <v>34</v>
      </c>
      <c r="D2324" s="2">
        <v>45958</v>
      </c>
      <c r="E2324" s="3">
        <f t="shared" si="36"/>
        <v>45931</v>
      </c>
      <c r="F2324" t="s">
        <v>2100</v>
      </c>
      <c r="G2324" t="s">
        <v>122</v>
      </c>
      <c r="H2324" s="4">
        <v>1.34</v>
      </c>
      <c r="I2324" t="s">
        <v>108</v>
      </c>
      <c r="J2324" t="s">
        <v>109</v>
      </c>
      <c r="L2324" s="2">
        <v>45931</v>
      </c>
      <c r="M2324" t="s">
        <v>109</v>
      </c>
      <c r="N2324">
        <v>0</v>
      </c>
      <c r="O2324" t="s">
        <v>111</v>
      </c>
      <c r="P2324" t="s">
        <v>112</v>
      </c>
      <c r="Q2324" t="s">
        <v>113</v>
      </c>
    </row>
    <row r="2325" spans="1:17" x14ac:dyDescent="0.3">
      <c r="A2325" t="s">
        <v>17</v>
      </c>
      <c r="B2325">
        <v>68</v>
      </c>
      <c r="C2325" t="s">
        <v>34</v>
      </c>
      <c r="D2325" s="2">
        <v>45959</v>
      </c>
      <c r="E2325" s="3">
        <f t="shared" si="36"/>
        <v>45931</v>
      </c>
      <c r="F2325" t="s">
        <v>2101</v>
      </c>
      <c r="G2325" t="s">
        <v>122</v>
      </c>
      <c r="H2325" s="4">
        <v>22.24</v>
      </c>
      <c r="I2325" t="s">
        <v>108</v>
      </c>
      <c r="J2325" t="s">
        <v>109</v>
      </c>
      <c r="L2325" s="2">
        <v>45931</v>
      </c>
      <c r="M2325" t="s">
        <v>109</v>
      </c>
      <c r="N2325">
        <v>0</v>
      </c>
      <c r="O2325" t="s">
        <v>111</v>
      </c>
      <c r="P2325" t="s">
        <v>112</v>
      </c>
      <c r="Q2325" t="s">
        <v>113</v>
      </c>
    </row>
    <row r="2326" spans="1:17" x14ac:dyDescent="0.3">
      <c r="A2326" t="s">
        <v>17</v>
      </c>
      <c r="B2326">
        <v>68</v>
      </c>
      <c r="C2326" t="s">
        <v>34</v>
      </c>
      <c r="D2326" s="2">
        <v>45959</v>
      </c>
      <c r="E2326" s="3">
        <f t="shared" si="36"/>
        <v>45931</v>
      </c>
      <c r="F2326" t="s">
        <v>2101</v>
      </c>
      <c r="G2326" t="s">
        <v>122</v>
      </c>
      <c r="H2326" s="4">
        <v>17</v>
      </c>
      <c r="I2326" t="s">
        <v>108</v>
      </c>
      <c r="J2326" t="s">
        <v>109</v>
      </c>
      <c r="L2326" s="2">
        <v>45931</v>
      </c>
      <c r="M2326" t="s">
        <v>109</v>
      </c>
      <c r="N2326">
        <v>0</v>
      </c>
      <c r="O2326" t="s">
        <v>111</v>
      </c>
      <c r="P2326" t="s">
        <v>112</v>
      </c>
      <c r="Q2326" t="s">
        <v>113</v>
      </c>
    </row>
    <row r="2327" spans="1:17" x14ac:dyDescent="0.3">
      <c r="A2327" t="s">
        <v>17</v>
      </c>
      <c r="B2327">
        <v>68</v>
      </c>
      <c r="C2327" t="s">
        <v>34</v>
      </c>
      <c r="D2327" s="2">
        <v>45959</v>
      </c>
      <c r="E2327" s="3">
        <f t="shared" si="36"/>
        <v>45931</v>
      </c>
      <c r="F2327" t="s">
        <v>2101</v>
      </c>
      <c r="G2327" t="s">
        <v>122</v>
      </c>
      <c r="H2327" s="4">
        <v>1.34</v>
      </c>
      <c r="I2327" t="s">
        <v>108</v>
      </c>
      <c r="J2327" t="s">
        <v>109</v>
      </c>
      <c r="L2327" s="2">
        <v>45931</v>
      </c>
      <c r="M2327" t="s">
        <v>109</v>
      </c>
      <c r="N2327">
        <v>0</v>
      </c>
      <c r="O2327" t="s">
        <v>111</v>
      </c>
      <c r="P2327" t="s">
        <v>112</v>
      </c>
      <c r="Q2327" t="s">
        <v>113</v>
      </c>
    </row>
    <row r="2328" spans="1:17" x14ac:dyDescent="0.3">
      <c r="A2328" t="s">
        <v>17</v>
      </c>
      <c r="B2328">
        <v>68</v>
      </c>
      <c r="C2328" t="s">
        <v>34</v>
      </c>
      <c r="D2328" s="2">
        <v>45959</v>
      </c>
      <c r="E2328" s="3">
        <f t="shared" si="36"/>
        <v>45931</v>
      </c>
      <c r="F2328" t="s">
        <v>1936</v>
      </c>
      <c r="H2328" s="4">
        <v>59.5</v>
      </c>
      <c r="I2328" t="s">
        <v>31</v>
      </c>
      <c r="J2328" t="s">
        <v>109</v>
      </c>
      <c r="K2328" t="s">
        <v>2102</v>
      </c>
      <c r="L2328" s="2">
        <v>45931</v>
      </c>
      <c r="M2328" t="s">
        <v>109</v>
      </c>
      <c r="N2328">
        <v>0</v>
      </c>
      <c r="O2328" t="s">
        <v>31</v>
      </c>
      <c r="P2328" t="s">
        <v>112</v>
      </c>
      <c r="Q2328" t="s">
        <v>113</v>
      </c>
    </row>
    <row r="2329" spans="1:17" x14ac:dyDescent="0.3">
      <c r="A2329" t="s">
        <v>17</v>
      </c>
      <c r="B2329">
        <v>68</v>
      </c>
      <c r="C2329" t="s">
        <v>34</v>
      </c>
      <c r="D2329" s="2">
        <v>45960</v>
      </c>
      <c r="E2329" s="3">
        <f t="shared" si="36"/>
        <v>45931</v>
      </c>
      <c r="F2329" t="s">
        <v>2103</v>
      </c>
      <c r="G2329" t="s">
        <v>291</v>
      </c>
      <c r="H2329" s="4">
        <v>477.13</v>
      </c>
      <c r="I2329" t="s">
        <v>47</v>
      </c>
      <c r="J2329" t="s">
        <v>109</v>
      </c>
      <c r="K2329" t="s">
        <v>2104</v>
      </c>
      <c r="L2329" s="2">
        <v>45931</v>
      </c>
      <c r="M2329" t="s">
        <v>109</v>
      </c>
      <c r="N2329">
        <v>0</v>
      </c>
      <c r="O2329" t="s">
        <v>26</v>
      </c>
      <c r="P2329" t="s">
        <v>112</v>
      </c>
      <c r="Q2329" t="s">
        <v>113</v>
      </c>
    </row>
    <row r="2330" spans="1:17" x14ac:dyDescent="0.3">
      <c r="A2330" t="s">
        <v>17</v>
      </c>
      <c r="B2330">
        <v>68</v>
      </c>
      <c r="C2330" t="s">
        <v>34</v>
      </c>
      <c r="D2330" s="2">
        <v>45960</v>
      </c>
      <c r="E2330" s="3">
        <f t="shared" si="36"/>
        <v>45931</v>
      </c>
      <c r="F2330" t="s">
        <v>2103</v>
      </c>
      <c r="G2330" t="s">
        <v>291</v>
      </c>
      <c r="H2330" s="4">
        <v>437.13</v>
      </c>
      <c r="I2330" t="s">
        <v>47</v>
      </c>
      <c r="J2330" t="s">
        <v>109</v>
      </c>
      <c r="K2330" t="s">
        <v>1700</v>
      </c>
      <c r="L2330" s="2">
        <v>45931</v>
      </c>
      <c r="M2330" t="s">
        <v>109</v>
      </c>
      <c r="N2330">
        <v>0</v>
      </c>
      <c r="O2330" t="s">
        <v>26</v>
      </c>
      <c r="P2330" t="s">
        <v>112</v>
      </c>
      <c r="Q2330" t="s">
        <v>113</v>
      </c>
    </row>
    <row r="2331" spans="1:17" x14ac:dyDescent="0.3">
      <c r="A2331" t="s">
        <v>17</v>
      </c>
      <c r="B2331">
        <v>68</v>
      </c>
      <c r="C2331" t="s">
        <v>34</v>
      </c>
      <c r="D2331" s="2">
        <v>45960</v>
      </c>
      <c r="E2331" s="3">
        <f t="shared" si="36"/>
        <v>45931</v>
      </c>
      <c r="F2331" t="s">
        <v>2103</v>
      </c>
      <c r="G2331" t="s">
        <v>291</v>
      </c>
      <c r="H2331" s="4">
        <v>194.94</v>
      </c>
      <c r="I2331" t="s">
        <v>47</v>
      </c>
      <c r="J2331" t="s">
        <v>109</v>
      </c>
      <c r="K2331" t="s">
        <v>2105</v>
      </c>
      <c r="L2331" s="2">
        <v>45931</v>
      </c>
      <c r="M2331" t="s">
        <v>109</v>
      </c>
      <c r="N2331">
        <v>0</v>
      </c>
      <c r="O2331" t="s">
        <v>26</v>
      </c>
      <c r="P2331" t="s">
        <v>112</v>
      </c>
      <c r="Q2331" t="s">
        <v>113</v>
      </c>
    </row>
    <row r="2332" spans="1:17" x14ac:dyDescent="0.3">
      <c r="A2332" t="s">
        <v>17</v>
      </c>
      <c r="B2332">
        <v>68</v>
      </c>
      <c r="C2332" t="s">
        <v>34</v>
      </c>
      <c r="D2332" s="2">
        <v>45960</v>
      </c>
      <c r="E2332" s="3">
        <f t="shared" si="36"/>
        <v>45931</v>
      </c>
      <c r="F2332" t="s">
        <v>2103</v>
      </c>
      <c r="G2332" t="s">
        <v>291</v>
      </c>
      <c r="H2332" s="4">
        <v>51.64</v>
      </c>
      <c r="I2332" t="s">
        <v>47</v>
      </c>
      <c r="J2332" t="s">
        <v>109</v>
      </c>
      <c r="K2332" t="s">
        <v>2106</v>
      </c>
      <c r="L2332" s="2">
        <v>45931</v>
      </c>
      <c r="M2332" t="s">
        <v>109</v>
      </c>
      <c r="N2332">
        <v>0</v>
      </c>
      <c r="O2332" t="s">
        <v>26</v>
      </c>
      <c r="P2332" t="s">
        <v>112</v>
      </c>
      <c r="Q2332" t="s">
        <v>113</v>
      </c>
    </row>
    <row r="2333" spans="1:17" x14ac:dyDescent="0.3">
      <c r="A2333" t="s">
        <v>17</v>
      </c>
      <c r="B2333">
        <v>68</v>
      </c>
      <c r="C2333" t="s">
        <v>34</v>
      </c>
      <c r="D2333" s="2">
        <v>45961</v>
      </c>
      <c r="E2333" s="3">
        <f t="shared" si="36"/>
        <v>45931</v>
      </c>
      <c r="F2333" t="s">
        <v>2107</v>
      </c>
      <c r="G2333" t="s">
        <v>122</v>
      </c>
      <c r="H2333" s="4">
        <v>170.51</v>
      </c>
      <c r="I2333" t="s">
        <v>108</v>
      </c>
      <c r="J2333" t="s">
        <v>109</v>
      </c>
      <c r="K2333" t="s">
        <v>1287</v>
      </c>
      <c r="L2333" s="2">
        <v>45931</v>
      </c>
      <c r="M2333" t="s">
        <v>109</v>
      </c>
      <c r="N2333">
        <v>0</v>
      </c>
      <c r="O2333" t="s">
        <v>111</v>
      </c>
      <c r="P2333" t="s">
        <v>112</v>
      </c>
      <c r="Q2333" t="s">
        <v>113</v>
      </c>
    </row>
    <row r="2334" spans="1:17" x14ac:dyDescent="0.3">
      <c r="A2334" t="s">
        <v>17</v>
      </c>
      <c r="B2334">
        <v>68</v>
      </c>
      <c r="C2334" t="s">
        <v>34</v>
      </c>
      <c r="D2334" s="2">
        <v>45961</v>
      </c>
      <c r="E2334" s="3">
        <f t="shared" si="36"/>
        <v>45931</v>
      </c>
      <c r="F2334" t="s">
        <v>2108</v>
      </c>
      <c r="G2334" t="s">
        <v>122</v>
      </c>
      <c r="H2334" s="4">
        <v>1294.47</v>
      </c>
      <c r="I2334" t="s">
        <v>108</v>
      </c>
      <c r="J2334" t="s">
        <v>109</v>
      </c>
      <c r="K2334" t="s">
        <v>1288</v>
      </c>
      <c r="L2334" s="2">
        <v>45931</v>
      </c>
      <c r="M2334" t="s">
        <v>109</v>
      </c>
      <c r="N2334">
        <v>0</v>
      </c>
      <c r="O2334" t="s">
        <v>111</v>
      </c>
      <c r="P2334" t="s">
        <v>112</v>
      </c>
      <c r="Q2334" t="s">
        <v>113</v>
      </c>
    </row>
    <row r="2335" spans="1:17" x14ac:dyDescent="0.3">
      <c r="A2335" t="s">
        <v>17</v>
      </c>
      <c r="B2335">
        <v>68</v>
      </c>
      <c r="C2335" t="s">
        <v>34</v>
      </c>
      <c r="D2335" s="2">
        <v>45961</v>
      </c>
      <c r="E2335" s="3">
        <f t="shared" si="36"/>
        <v>45931</v>
      </c>
      <c r="F2335">
        <v>1984449988</v>
      </c>
      <c r="G2335" t="s">
        <v>1261</v>
      </c>
      <c r="H2335" s="4">
        <v>196.7</v>
      </c>
      <c r="I2335" t="s">
        <v>108</v>
      </c>
      <c r="J2335" t="s">
        <v>109</v>
      </c>
      <c r="K2335" t="s">
        <v>2109</v>
      </c>
      <c r="L2335" s="2">
        <v>45931</v>
      </c>
      <c r="M2335" t="s">
        <v>109</v>
      </c>
      <c r="N2335">
        <v>0</v>
      </c>
      <c r="O2335" t="s">
        <v>111</v>
      </c>
      <c r="P2335" t="s">
        <v>112</v>
      </c>
      <c r="Q2335" t="s">
        <v>113</v>
      </c>
    </row>
    <row r="2336" spans="1:17" x14ac:dyDescent="0.3">
      <c r="A2336" t="s">
        <v>17</v>
      </c>
      <c r="B2336">
        <v>67</v>
      </c>
      <c r="C2336" t="s">
        <v>28</v>
      </c>
      <c r="D2336" s="2">
        <v>45931</v>
      </c>
      <c r="E2336" s="3">
        <f t="shared" si="36"/>
        <v>45931</v>
      </c>
      <c r="F2336" t="s">
        <v>2110</v>
      </c>
      <c r="G2336" t="s">
        <v>2111</v>
      </c>
      <c r="H2336" s="4">
        <v>9933.16</v>
      </c>
      <c r="I2336" t="s">
        <v>31</v>
      </c>
      <c r="J2336" t="s">
        <v>32</v>
      </c>
      <c r="K2336" t="s">
        <v>2112</v>
      </c>
      <c r="L2336" s="2">
        <v>45931</v>
      </c>
      <c r="M2336" t="s">
        <v>32</v>
      </c>
      <c r="N2336">
        <v>0</v>
      </c>
      <c r="O2336" t="s">
        <v>31</v>
      </c>
      <c r="P2336" t="s">
        <v>28</v>
      </c>
      <c r="Q2336">
        <v>0</v>
      </c>
    </row>
    <row r="2337" spans="1:17" x14ac:dyDescent="0.3">
      <c r="A2337" t="s">
        <v>17</v>
      </c>
      <c r="B2337">
        <v>67</v>
      </c>
      <c r="C2337" t="s">
        <v>28</v>
      </c>
      <c r="D2337" s="2">
        <v>45933</v>
      </c>
      <c r="E2337" s="3">
        <f t="shared" si="36"/>
        <v>45931</v>
      </c>
      <c r="F2337">
        <v>1002542079</v>
      </c>
      <c r="G2337" t="s">
        <v>774</v>
      </c>
      <c r="H2337" s="4">
        <v>2736.58</v>
      </c>
      <c r="I2337" t="s">
        <v>31</v>
      </c>
      <c r="J2337" t="s">
        <v>32</v>
      </c>
      <c r="K2337" t="s">
        <v>2113</v>
      </c>
      <c r="L2337" s="2">
        <v>45931</v>
      </c>
      <c r="M2337" t="s">
        <v>32</v>
      </c>
      <c r="N2337">
        <v>0</v>
      </c>
      <c r="O2337" t="s">
        <v>31</v>
      </c>
      <c r="P2337" t="s">
        <v>28</v>
      </c>
      <c r="Q2337">
        <v>0</v>
      </c>
    </row>
    <row r="2338" spans="1:17" x14ac:dyDescent="0.3">
      <c r="A2338" t="s">
        <v>17</v>
      </c>
      <c r="B2338">
        <v>67</v>
      </c>
      <c r="C2338" t="s">
        <v>28</v>
      </c>
      <c r="D2338" s="2">
        <v>45933</v>
      </c>
      <c r="E2338" s="3">
        <f t="shared" si="36"/>
        <v>45931</v>
      </c>
      <c r="F2338">
        <v>1002542081</v>
      </c>
      <c r="G2338" t="s">
        <v>774</v>
      </c>
      <c r="H2338" s="4">
        <v>1134.04</v>
      </c>
      <c r="I2338" t="s">
        <v>31</v>
      </c>
      <c r="J2338" t="s">
        <v>32</v>
      </c>
      <c r="K2338" t="s">
        <v>2114</v>
      </c>
      <c r="L2338" s="2">
        <v>45931</v>
      </c>
      <c r="M2338" t="s">
        <v>32</v>
      </c>
      <c r="N2338">
        <v>0</v>
      </c>
      <c r="O2338" t="s">
        <v>31</v>
      </c>
      <c r="P2338" t="s">
        <v>28</v>
      </c>
      <c r="Q2338">
        <v>0</v>
      </c>
    </row>
    <row r="2339" spans="1:17" x14ac:dyDescent="0.3">
      <c r="A2339" t="s">
        <v>17</v>
      </c>
      <c r="B2339">
        <v>67</v>
      </c>
      <c r="C2339" t="s">
        <v>28</v>
      </c>
      <c r="D2339" s="2">
        <v>45954</v>
      </c>
      <c r="E2339" s="3">
        <f t="shared" si="36"/>
        <v>45931</v>
      </c>
      <c r="F2339" t="s">
        <v>2115</v>
      </c>
      <c r="G2339" t="s">
        <v>208</v>
      </c>
      <c r="H2339" s="4">
        <v>500</v>
      </c>
      <c r="I2339" t="s">
        <v>31</v>
      </c>
      <c r="J2339" t="s">
        <v>32</v>
      </c>
      <c r="K2339" t="s">
        <v>2116</v>
      </c>
      <c r="L2339" s="2">
        <v>45931</v>
      </c>
      <c r="M2339" t="s">
        <v>32</v>
      </c>
      <c r="N2339">
        <v>0</v>
      </c>
      <c r="O2339" t="s">
        <v>31</v>
      </c>
      <c r="P2339" t="s">
        <v>28</v>
      </c>
      <c r="Q2339">
        <v>0</v>
      </c>
    </row>
    <row r="2340" spans="1:17" x14ac:dyDescent="0.3">
      <c r="A2340" t="s">
        <v>17</v>
      </c>
      <c r="B2340">
        <v>67</v>
      </c>
      <c r="C2340" t="s">
        <v>28</v>
      </c>
      <c r="D2340" s="2">
        <v>45957</v>
      </c>
      <c r="E2340" s="3">
        <f t="shared" si="36"/>
        <v>45931</v>
      </c>
      <c r="F2340" t="s">
        <v>2117</v>
      </c>
      <c r="G2340" t="s">
        <v>205</v>
      </c>
      <c r="H2340" s="4">
        <v>24000</v>
      </c>
      <c r="I2340" t="s">
        <v>31</v>
      </c>
      <c r="J2340" t="s">
        <v>32</v>
      </c>
      <c r="K2340" t="s">
        <v>2118</v>
      </c>
      <c r="L2340" s="2">
        <v>45931</v>
      </c>
      <c r="M2340" t="s">
        <v>32</v>
      </c>
      <c r="N2340">
        <v>0</v>
      </c>
      <c r="O2340" t="s">
        <v>31</v>
      </c>
      <c r="P2340" t="s">
        <v>28</v>
      </c>
      <c r="Q2340">
        <v>0</v>
      </c>
    </row>
    <row r="2341" spans="1:17" x14ac:dyDescent="0.3">
      <c r="A2341" t="s">
        <v>17</v>
      </c>
      <c r="B2341">
        <v>67</v>
      </c>
      <c r="C2341" t="s">
        <v>28</v>
      </c>
      <c r="D2341" s="2">
        <v>45957</v>
      </c>
      <c r="E2341" s="3">
        <f t="shared" si="36"/>
        <v>45931</v>
      </c>
      <c r="F2341" t="s">
        <v>2117</v>
      </c>
      <c r="G2341" t="s">
        <v>205</v>
      </c>
      <c r="H2341" s="4">
        <v>1000</v>
      </c>
      <c r="I2341" t="s">
        <v>31</v>
      </c>
      <c r="J2341" t="s">
        <v>32</v>
      </c>
      <c r="K2341" t="s">
        <v>1874</v>
      </c>
      <c r="L2341" s="2">
        <v>45931</v>
      </c>
      <c r="M2341" t="s">
        <v>32</v>
      </c>
      <c r="N2341">
        <v>0</v>
      </c>
      <c r="O2341" t="s">
        <v>31</v>
      </c>
      <c r="P2341" t="s">
        <v>28</v>
      </c>
      <c r="Q2341">
        <v>0</v>
      </c>
    </row>
    <row r="2342" spans="1:17" x14ac:dyDescent="0.3">
      <c r="A2342" t="s">
        <v>17</v>
      </c>
      <c r="B2342">
        <v>67</v>
      </c>
      <c r="C2342" t="s">
        <v>28</v>
      </c>
      <c r="D2342" s="2">
        <v>45957</v>
      </c>
      <c r="E2342" s="3">
        <f t="shared" si="36"/>
        <v>45931</v>
      </c>
      <c r="F2342" t="s">
        <v>2119</v>
      </c>
      <c r="G2342" t="s">
        <v>259</v>
      </c>
      <c r="H2342" s="4">
        <v>10447.35</v>
      </c>
      <c r="I2342" t="s">
        <v>31</v>
      </c>
      <c r="J2342" t="s">
        <v>32</v>
      </c>
      <c r="K2342" t="s">
        <v>2120</v>
      </c>
      <c r="L2342" s="2">
        <v>45931</v>
      </c>
      <c r="M2342" t="s">
        <v>32</v>
      </c>
      <c r="N2342">
        <v>0</v>
      </c>
      <c r="O2342" t="s">
        <v>31</v>
      </c>
      <c r="P2342" t="s">
        <v>28</v>
      </c>
      <c r="Q2342">
        <v>0</v>
      </c>
    </row>
    <row r="2343" spans="1:17" x14ac:dyDescent="0.3">
      <c r="A2343" t="s">
        <v>17</v>
      </c>
      <c r="B2343">
        <v>67</v>
      </c>
      <c r="C2343" t="s">
        <v>28</v>
      </c>
      <c r="D2343" s="2">
        <v>45931</v>
      </c>
      <c r="E2343" s="3">
        <f t="shared" si="36"/>
        <v>45931</v>
      </c>
      <c r="F2343" t="s">
        <v>2121</v>
      </c>
      <c r="G2343" t="s">
        <v>578</v>
      </c>
      <c r="H2343" s="4">
        <v>18245.25</v>
      </c>
      <c r="I2343" t="s">
        <v>31</v>
      </c>
      <c r="J2343" t="s">
        <v>60</v>
      </c>
      <c r="K2343" t="s">
        <v>2122</v>
      </c>
      <c r="L2343" s="2">
        <v>45931</v>
      </c>
      <c r="M2343" t="s">
        <v>60</v>
      </c>
      <c r="N2343">
        <v>0</v>
      </c>
      <c r="O2343" t="s">
        <v>31</v>
      </c>
      <c r="P2343" t="s">
        <v>28</v>
      </c>
      <c r="Q2343">
        <v>0</v>
      </c>
    </row>
    <row r="2344" spans="1:17" x14ac:dyDescent="0.3">
      <c r="A2344" t="s">
        <v>17</v>
      </c>
      <c r="B2344">
        <v>67</v>
      </c>
      <c r="C2344" t="s">
        <v>28</v>
      </c>
      <c r="D2344" s="2">
        <v>45931</v>
      </c>
      <c r="E2344" s="3">
        <f t="shared" si="36"/>
        <v>45931</v>
      </c>
      <c r="F2344" t="s">
        <v>2123</v>
      </c>
      <c r="G2344" t="s">
        <v>578</v>
      </c>
      <c r="H2344" s="4">
        <v>5</v>
      </c>
      <c r="I2344" t="s">
        <v>31</v>
      </c>
      <c r="J2344" t="s">
        <v>60</v>
      </c>
      <c r="K2344" t="s">
        <v>1709</v>
      </c>
      <c r="L2344" s="2">
        <v>45931</v>
      </c>
      <c r="M2344" t="s">
        <v>60</v>
      </c>
      <c r="N2344">
        <v>0</v>
      </c>
      <c r="O2344" t="s">
        <v>31</v>
      </c>
      <c r="P2344" t="s">
        <v>28</v>
      </c>
      <c r="Q2344">
        <v>0</v>
      </c>
    </row>
    <row r="2345" spans="1:17" x14ac:dyDescent="0.3">
      <c r="A2345" t="s">
        <v>17</v>
      </c>
      <c r="B2345">
        <v>67</v>
      </c>
      <c r="C2345" t="s">
        <v>28</v>
      </c>
      <c r="D2345" s="2">
        <v>45931</v>
      </c>
      <c r="E2345" s="3">
        <f t="shared" si="36"/>
        <v>45931</v>
      </c>
      <c r="F2345" t="s">
        <v>2123</v>
      </c>
      <c r="G2345" t="s">
        <v>578</v>
      </c>
      <c r="H2345" s="4">
        <v>1996.3</v>
      </c>
      <c r="I2345" t="s">
        <v>31</v>
      </c>
      <c r="J2345" t="s">
        <v>60</v>
      </c>
      <c r="K2345" t="s">
        <v>1710</v>
      </c>
      <c r="L2345" s="2">
        <v>45931</v>
      </c>
      <c r="M2345" t="s">
        <v>60</v>
      </c>
      <c r="N2345">
        <v>0</v>
      </c>
      <c r="O2345" t="s">
        <v>31</v>
      </c>
      <c r="P2345" t="s">
        <v>28</v>
      </c>
      <c r="Q2345">
        <v>0</v>
      </c>
    </row>
    <row r="2346" spans="1:17" x14ac:dyDescent="0.3">
      <c r="A2346" t="s">
        <v>17</v>
      </c>
      <c r="B2346">
        <v>67</v>
      </c>
      <c r="C2346" t="s">
        <v>28</v>
      </c>
      <c r="D2346" s="2">
        <v>45931</v>
      </c>
      <c r="E2346" s="3">
        <f t="shared" si="36"/>
        <v>45931</v>
      </c>
      <c r="F2346" t="s">
        <v>2124</v>
      </c>
      <c r="H2346" s="4">
        <v>32.58</v>
      </c>
      <c r="I2346" t="s">
        <v>31</v>
      </c>
      <c r="J2346" t="s">
        <v>60</v>
      </c>
      <c r="L2346" s="2">
        <v>45931</v>
      </c>
      <c r="M2346" t="s">
        <v>60</v>
      </c>
      <c r="N2346">
        <v>0</v>
      </c>
      <c r="O2346" t="s">
        <v>31</v>
      </c>
      <c r="P2346" t="s">
        <v>28</v>
      </c>
      <c r="Q2346">
        <v>0</v>
      </c>
    </row>
    <row r="2347" spans="1:17" x14ac:dyDescent="0.3">
      <c r="A2347" t="s">
        <v>17</v>
      </c>
      <c r="B2347">
        <v>67</v>
      </c>
      <c r="C2347" t="s">
        <v>28</v>
      </c>
      <c r="D2347" s="2">
        <v>45931</v>
      </c>
      <c r="E2347" s="3">
        <f t="shared" si="36"/>
        <v>45931</v>
      </c>
      <c r="F2347" t="s">
        <v>2124</v>
      </c>
      <c r="H2347" s="4">
        <v>1.44</v>
      </c>
      <c r="I2347" t="s">
        <v>31</v>
      </c>
      <c r="J2347" t="s">
        <v>60</v>
      </c>
      <c r="L2347" s="2">
        <v>45931</v>
      </c>
      <c r="M2347" t="s">
        <v>60</v>
      </c>
      <c r="N2347">
        <v>0</v>
      </c>
      <c r="O2347" t="s">
        <v>31</v>
      </c>
      <c r="P2347" t="s">
        <v>28</v>
      </c>
      <c r="Q2347">
        <v>0</v>
      </c>
    </row>
    <row r="2348" spans="1:17" x14ac:dyDescent="0.3">
      <c r="A2348" t="s">
        <v>17</v>
      </c>
      <c r="B2348">
        <v>67</v>
      </c>
      <c r="C2348" t="s">
        <v>28</v>
      </c>
      <c r="D2348" s="2">
        <v>45931</v>
      </c>
      <c r="E2348" s="3">
        <f t="shared" si="36"/>
        <v>45931</v>
      </c>
      <c r="F2348" t="s">
        <v>2124</v>
      </c>
      <c r="H2348" s="4">
        <v>47.65</v>
      </c>
      <c r="I2348" t="s">
        <v>31</v>
      </c>
      <c r="J2348" t="s">
        <v>60</v>
      </c>
      <c r="L2348" s="2">
        <v>45931</v>
      </c>
      <c r="M2348" t="s">
        <v>60</v>
      </c>
      <c r="N2348">
        <v>0</v>
      </c>
      <c r="O2348" t="s">
        <v>31</v>
      </c>
      <c r="P2348" t="s">
        <v>28</v>
      </c>
      <c r="Q2348">
        <v>0</v>
      </c>
    </row>
    <row r="2349" spans="1:17" x14ac:dyDescent="0.3">
      <c r="A2349" t="s">
        <v>17</v>
      </c>
      <c r="B2349">
        <v>67</v>
      </c>
      <c r="C2349" t="s">
        <v>28</v>
      </c>
      <c r="D2349" s="2">
        <v>45931</v>
      </c>
      <c r="E2349" s="3">
        <f t="shared" si="36"/>
        <v>45931</v>
      </c>
      <c r="F2349" t="s">
        <v>2124</v>
      </c>
      <c r="H2349" s="4">
        <v>37.24</v>
      </c>
      <c r="I2349" t="s">
        <v>31</v>
      </c>
      <c r="J2349" t="s">
        <v>60</v>
      </c>
      <c r="L2349" s="2">
        <v>45931</v>
      </c>
      <c r="M2349" t="s">
        <v>60</v>
      </c>
      <c r="N2349">
        <v>0</v>
      </c>
      <c r="O2349" t="s">
        <v>31</v>
      </c>
      <c r="P2349" t="s">
        <v>28</v>
      </c>
      <c r="Q2349">
        <v>0</v>
      </c>
    </row>
    <row r="2350" spans="1:17" x14ac:dyDescent="0.3">
      <c r="A2350" t="s">
        <v>17</v>
      </c>
      <c r="B2350">
        <v>67</v>
      </c>
      <c r="C2350" t="s">
        <v>28</v>
      </c>
      <c r="D2350" s="2">
        <v>45931</v>
      </c>
      <c r="E2350" s="3">
        <f t="shared" si="36"/>
        <v>45931</v>
      </c>
      <c r="F2350" t="s">
        <v>2124</v>
      </c>
      <c r="H2350" s="4">
        <v>17.010000000000002</v>
      </c>
      <c r="I2350" t="s">
        <v>31</v>
      </c>
      <c r="J2350" t="s">
        <v>60</v>
      </c>
      <c r="L2350" s="2">
        <v>45931</v>
      </c>
      <c r="M2350" t="s">
        <v>60</v>
      </c>
      <c r="N2350">
        <v>0</v>
      </c>
      <c r="O2350" t="s">
        <v>31</v>
      </c>
      <c r="P2350" t="s">
        <v>28</v>
      </c>
      <c r="Q2350">
        <v>0</v>
      </c>
    </row>
    <row r="2351" spans="1:17" x14ac:dyDescent="0.3">
      <c r="A2351" t="s">
        <v>17</v>
      </c>
      <c r="B2351">
        <v>67</v>
      </c>
      <c r="C2351" t="s">
        <v>28</v>
      </c>
      <c r="D2351" s="2">
        <v>45931</v>
      </c>
      <c r="E2351" s="3">
        <f t="shared" si="36"/>
        <v>45931</v>
      </c>
      <c r="F2351" t="s">
        <v>2124</v>
      </c>
      <c r="H2351" s="4">
        <v>19.350000000000001</v>
      </c>
      <c r="I2351" t="s">
        <v>31</v>
      </c>
      <c r="J2351" t="s">
        <v>60</v>
      </c>
      <c r="L2351" s="2">
        <v>45931</v>
      </c>
      <c r="M2351" t="s">
        <v>60</v>
      </c>
      <c r="N2351">
        <v>0</v>
      </c>
      <c r="O2351" t="s">
        <v>31</v>
      </c>
      <c r="P2351" t="s">
        <v>28</v>
      </c>
      <c r="Q2351">
        <v>0</v>
      </c>
    </row>
    <row r="2352" spans="1:17" x14ac:dyDescent="0.3">
      <c r="A2352" t="s">
        <v>17</v>
      </c>
      <c r="B2352">
        <v>67</v>
      </c>
      <c r="C2352" t="s">
        <v>28</v>
      </c>
      <c r="D2352" s="2">
        <v>45931</v>
      </c>
      <c r="E2352" s="3">
        <f t="shared" si="36"/>
        <v>45931</v>
      </c>
      <c r="F2352" t="s">
        <v>2124</v>
      </c>
      <c r="H2352" s="4">
        <v>64.05</v>
      </c>
      <c r="I2352" t="s">
        <v>31</v>
      </c>
      <c r="J2352" t="s">
        <v>60</v>
      </c>
      <c r="L2352" s="2">
        <v>45931</v>
      </c>
      <c r="M2352" t="s">
        <v>60</v>
      </c>
      <c r="N2352">
        <v>0</v>
      </c>
      <c r="O2352" t="s">
        <v>31</v>
      </c>
      <c r="P2352" t="s">
        <v>28</v>
      </c>
      <c r="Q2352">
        <v>0</v>
      </c>
    </row>
    <row r="2353" spans="1:17" x14ac:dyDescent="0.3">
      <c r="A2353" t="s">
        <v>17</v>
      </c>
      <c r="B2353">
        <v>67</v>
      </c>
      <c r="C2353" t="s">
        <v>28</v>
      </c>
      <c r="D2353" s="2">
        <v>45931</v>
      </c>
      <c r="E2353" s="3">
        <f t="shared" si="36"/>
        <v>45931</v>
      </c>
      <c r="F2353" t="s">
        <v>2124</v>
      </c>
      <c r="H2353" s="4">
        <v>54.27</v>
      </c>
      <c r="I2353" t="s">
        <v>31</v>
      </c>
      <c r="J2353" t="s">
        <v>60</v>
      </c>
      <c r="L2353" s="2">
        <v>45931</v>
      </c>
      <c r="M2353" t="s">
        <v>60</v>
      </c>
      <c r="N2353">
        <v>0</v>
      </c>
      <c r="O2353" t="s">
        <v>31</v>
      </c>
      <c r="P2353" t="s">
        <v>28</v>
      </c>
      <c r="Q2353">
        <v>0</v>
      </c>
    </row>
    <row r="2354" spans="1:17" x14ac:dyDescent="0.3">
      <c r="A2354" t="s">
        <v>17</v>
      </c>
      <c r="B2354">
        <v>67</v>
      </c>
      <c r="C2354" t="s">
        <v>28</v>
      </c>
      <c r="D2354" s="2">
        <v>45933</v>
      </c>
      <c r="E2354" s="3">
        <f t="shared" si="36"/>
        <v>45931</v>
      </c>
      <c r="F2354" t="s">
        <v>2125</v>
      </c>
      <c r="H2354" s="4">
        <v>-14.18</v>
      </c>
      <c r="I2354" t="s">
        <v>31</v>
      </c>
      <c r="J2354" t="s">
        <v>60</v>
      </c>
      <c r="L2354" s="2">
        <v>45931</v>
      </c>
      <c r="M2354" t="s">
        <v>60</v>
      </c>
      <c r="N2354">
        <v>0</v>
      </c>
      <c r="O2354" t="s">
        <v>31</v>
      </c>
      <c r="P2354" t="s">
        <v>28</v>
      </c>
      <c r="Q2354">
        <v>0</v>
      </c>
    </row>
    <row r="2355" spans="1:17" x14ac:dyDescent="0.3">
      <c r="A2355" t="s">
        <v>17</v>
      </c>
      <c r="B2355">
        <v>67</v>
      </c>
      <c r="C2355" t="s">
        <v>28</v>
      </c>
      <c r="D2355" s="2">
        <v>45933</v>
      </c>
      <c r="E2355" s="3">
        <f t="shared" si="36"/>
        <v>45931</v>
      </c>
      <c r="F2355" t="s">
        <v>2125</v>
      </c>
      <c r="H2355" s="4">
        <v>-16.12</v>
      </c>
      <c r="I2355" t="s">
        <v>31</v>
      </c>
      <c r="J2355" t="s">
        <v>60</v>
      </c>
      <c r="L2355" s="2">
        <v>45931</v>
      </c>
      <c r="M2355" t="s">
        <v>60</v>
      </c>
      <c r="N2355">
        <v>0</v>
      </c>
      <c r="O2355" t="s">
        <v>31</v>
      </c>
      <c r="P2355" t="s">
        <v>28</v>
      </c>
      <c r="Q2355">
        <v>0</v>
      </c>
    </row>
    <row r="2356" spans="1:17" x14ac:dyDescent="0.3">
      <c r="A2356" t="s">
        <v>17</v>
      </c>
      <c r="B2356">
        <v>67</v>
      </c>
      <c r="C2356" t="s">
        <v>28</v>
      </c>
      <c r="D2356" s="2">
        <v>45933</v>
      </c>
      <c r="E2356" s="3">
        <f t="shared" si="36"/>
        <v>45931</v>
      </c>
      <c r="F2356" t="s">
        <v>2125</v>
      </c>
      <c r="H2356" s="4">
        <v>-53.38</v>
      </c>
      <c r="I2356" t="s">
        <v>31</v>
      </c>
      <c r="J2356" t="s">
        <v>60</v>
      </c>
      <c r="L2356" s="2">
        <v>45931</v>
      </c>
      <c r="M2356" t="s">
        <v>60</v>
      </c>
      <c r="N2356">
        <v>0</v>
      </c>
      <c r="O2356" t="s">
        <v>31</v>
      </c>
      <c r="P2356" t="s">
        <v>28</v>
      </c>
      <c r="Q2356">
        <v>0</v>
      </c>
    </row>
    <row r="2357" spans="1:17" x14ac:dyDescent="0.3">
      <c r="A2357" t="s">
        <v>17</v>
      </c>
      <c r="B2357">
        <v>67</v>
      </c>
      <c r="C2357" t="s">
        <v>28</v>
      </c>
      <c r="D2357" s="2">
        <v>45933</v>
      </c>
      <c r="E2357" s="3">
        <f t="shared" si="36"/>
        <v>45931</v>
      </c>
      <c r="F2357" t="s">
        <v>2125</v>
      </c>
      <c r="H2357" s="4">
        <v>-45.22</v>
      </c>
      <c r="I2357" t="s">
        <v>31</v>
      </c>
      <c r="J2357" t="s">
        <v>60</v>
      </c>
      <c r="L2357" s="2">
        <v>45931</v>
      </c>
      <c r="M2357" t="s">
        <v>60</v>
      </c>
      <c r="N2357">
        <v>0</v>
      </c>
      <c r="O2357" t="s">
        <v>31</v>
      </c>
      <c r="P2357" t="s">
        <v>28</v>
      </c>
      <c r="Q2357">
        <v>0</v>
      </c>
    </row>
    <row r="2358" spans="1:17" x14ac:dyDescent="0.3">
      <c r="A2358" t="s">
        <v>17</v>
      </c>
      <c r="B2358">
        <v>67</v>
      </c>
      <c r="C2358" t="s">
        <v>28</v>
      </c>
      <c r="D2358" s="2">
        <v>45933</v>
      </c>
      <c r="E2358" s="3">
        <f t="shared" si="36"/>
        <v>45931</v>
      </c>
      <c r="F2358" t="s">
        <v>2125</v>
      </c>
      <c r="H2358" s="4">
        <v>-27.15</v>
      </c>
      <c r="I2358" t="s">
        <v>31</v>
      </c>
      <c r="J2358" t="s">
        <v>60</v>
      </c>
      <c r="L2358" s="2">
        <v>45931</v>
      </c>
      <c r="M2358" t="s">
        <v>60</v>
      </c>
      <c r="N2358">
        <v>0</v>
      </c>
      <c r="O2358" t="s">
        <v>31</v>
      </c>
      <c r="P2358" t="s">
        <v>28</v>
      </c>
      <c r="Q2358">
        <v>0</v>
      </c>
    </row>
    <row r="2359" spans="1:17" x14ac:dyDescent="0.3">
      <c r="A2359" t="s">
        <v>17</v>
      </c>
      <c r="B2359">
        <v>67</v>
      </c>
      <c r="C2359" t="s">
        <v>28</v>
      </c>
      <c r="D2359" s="2">
        <v>45933</v>
      </c>
      <c r="E2359" s="3">
        <f t="shared" si="36"/>
        <v>45931</v>
      </c>
      <c r="F2359" t="s">
        <v>2125</v>
      </c>
      <c r="H2359" s="4">
        <v>-1.2</v>
      </c>
      <c r="I2359" t="s">
        <v>31</v>
      </c>
      <c r="J2359" t="s">
        <v>60</v>
      </c>
      <c r="L2359" s="2">
        <v>45931</v>
      </c>
      <c r="M2359" t="s">
        <v>60</v>
      </c>
      <c r="N2359">
        <v>0</v>
      </c>
      <c r="O2359" t="s">
        <v>31</v>
      </c>
      <c r="P2359" t="s">
        <v>28</v>
      </c>
      <c r="Q2359">
        <v>0</v>
      </c>
    </row>
    <row r="2360" spans="1:17" x14ac:dyDescent="0.3">
      <c r="A2360" t="s">
        <v>17</v>
      </c>
      <c r="B2360">
        <v>67</v>
      </c>
      <c r="C2360" t="s">
        <v>28</v>
      </c>
      <c r="D2360" s="2">
        <v>45933</v>
      </c>
      <c r="E2360" s="3">
        <f t="shared" si="36"/>
        <v>45931</v>
      </c>
      <c r="F2360" t="s">
        <v>2125</v>
      </c>
      <c r="H2360" s="4">
        <v>-39.71</v>
      </c>
      <c r="I2360" t="s">
        <v>31</v>
      </c>
      <c r="J2360" t="s">
        <v>60</v>
      </c>
      <c r="L2360" s="2">
        <v>45931</v>
      </c>
      <c r="M2360" t="s">
        <v>60</v>
      </c>
      <c r="N2360">
        <v>0</v>
      </c>
      <c r="O2360" t="s">
        <v>31</v>
      </c>
      <c r="P2360" t="s">
        <v>28</v>
      </c>
      <c r="Q2360">
        <v>0</v>
      </c>
    </row>
    <row r="2361" spans="1:17" x14ac:dyDescent="0.3">
      <c r="A2361" t="s">
        <v>17</v>
      </c>
      <c r="B2361">
        <v>67</v>
      </c>
      <c r="C2361" t="s">
        <v>28</v>
      </c>
      <c r="D2361" s="2">
        <v>45933</v>
      </c>
      <c r="E2361" s="3">
        <f t="shared" si="36"/>
        <v>45931</v>
      </c>
      <c r="F2361" t="s">
        <v>2125</v>
      </c>
      <c r="H2361" s="4">
        <v>-31.03</v>
      </c>
      <c r="I2361" t="s">
        <v>31</v>
      </c>
      <c r="J2361" t="s">
        <v>60</v>
      </c>
      <c r="L2361" s="2">
        <v>45931</v>
      </c>
      <c r="M2361" t="s">
        <v>60</v>
      </c>
      <c r="N2361">
        <v>0</v>
      </c>
      <c r="O2361" t="s">
        <v>31</v>
      </c>
      <c r="P2361" t="s">
        <v>28</v>
      </c>
      <c r="Q2361">
        <v>0</v>
      </c>
    </row>
    <row r="2362" spans="1:17" x14ac:dyDescent="0.3">
      <c r="A2362" t="s">
        <v>17</v>
      </c>
      <c r="B2362">
        <v>67</v>
      </c>
      <c r="C2362" t="s">
        <v>28</v>
      </c>
      <c r="D2362" s="2">
        <v>45947</v>
      </c>
      <c r="E2362" s="3">
        <f t="shared" si="36"/>
        <v>45931</v>
      </c>
      <c r="F2362" t="s">
        <v>2126</v>
      </c>
      <c r="H2362" s="4">
        <v>-39.71</v>
      </c>
      <c r="I2362" t="s">
        <v>31</v>
      </c>
      <c r="J2362" t="s">
        <v>60</v>
      </c>
      <c r="L2362" s="2">
        <v>45931</v>
      </c>
      <c r="M2362" t="s">
        <v>60</v>
      </c>
      <c r="N2362">
        <v>0</v>
      </c>
      <c r="O2362" t="s">
        <v>31</v>
      </c>
      <c r="P2362" t="s">
        <v>28</v>
      </c>
      <c r="Q2362">
        <v>0</v>
      </c>
    </row>
    <row r="2363" spans="1:17" x14ac:dyDescent="0.3">
      <c r="A2363" t="s">
        <v>17</v>
      </c>
      <c r="B2363">
        <v>67</v>
      </c>
      <c r="C2363" t="s">
        <v>28</v>
      </c>
      <c r="D2363" s="2">
        <v>45947</v>
      </c>
      <c r="E2363" s="3">
        <f t="shared" si="36"/>
        <v>45931</v>
      </c>
      <c r="F2363" t="s">
        <v>2126</v>
      </c>
      <c r="H2363" s="4">
        <v>-31.03</v>
      </c>
      <c r="I2363" t="s">
        <v>31</v>
      </c>
      <c r="J2363" t="s">
        <v>60</v>
      </c>
      <c r="L2363" s="2">
        <v>45931</v>
      </c>
      <c r="M2363" t="s">
        <v>60</v>
      </c>
      <c r="N2363">
        <v>0</v>
      </c>
      <c r="O2363" t="s">
        <v>31</v>
      </c>
      <c r="P2363" t="s">
        <v>28</v>
      </c>
      <c r="Q2363">
        <v>0</v>
      </c>
    </row>
    <row r="2364" spans="1:17" x14ac:dyDescent="0.3">
      <c r="A2364" t="s">
        <v>17</v>
      </c>
      <c r="B2364">
        <v>67</v>
      </c>
      <c r="C2364" t="s">
        <v>28</v>
      </c>
      <c r="D2364" s="2">
        <v>45947</v>
      </c>
      <c r="E2364" s="3">
        <f t="shared" si="36"/>
        <v>45931</v>
      </c>
      <c r="F2364" t="s">
        <v>2126</v>
      </c>
      <c r="H2364" s="4">
        <v>-14.18</v>
      </c>
      <c r="I2364" t="s">
        <v>31</v>
      </c>
      <c r="J2364" t="s">
        <v>60</v>
      </c>
      <c r="L2364" s="2">
        <v>45931</v>
      </c>
      <c r="M2364" t="s">
        <v>60</v>
      </c>
      <c r="N2364">
        <v>0</v>
      </c>
      <c r="O2364" t="s">
        <v>31</v>
      </c>
      <c r="P2364" t="s">
        <v>28</v>
      </c>
      <c r="Q2364">
        <v>0</v>
      </c>
    </row>
    <row r="2365" spans="1:17" x14ac:dyDescent="0.3">
      <c r="A2365" t="s">
        <v>17</v>
      </c>
      <c r="B2365">
        <v>67</v>
      </c>
      <c r="C2365" t="s">
        <v>28</v>
      </c>
      <c r="D2365" s="2">
        <v>45947</v>
      </c>
      <c r="E2365" s="3">
        <f t="shared" si="36"/>
        <v>45931</v>
      </c>
      <c r="F2365" t="s">
        <v>2126</v>
      </c>
      <c r="H2365" s="4">
        <v>-16.12</v>
      </c>
      <c r="I2365" t="s">
        <v>31</v>
      </c>
      <c r="J2365" t="s">
        <v>60</v>
      </c>
      <c r="L2365" s="2">
        <v>45931</v>
      </c>
      <c r="M2365" t="s">
        <v>60</v>
      </c>
      <c r="N2365">
        <v>0</v>
      </c>
      <c r="O2365" t="s">
        <v>31</v>
      </c>
      <c r="P2365" t="s">
        <v>28</v>
      </c>
      <c r="Q2365">
        <v>0</v>
      </c>
    </row>
    <row r="2366" spans="1:17" x14ac:dyDescent="0.3">
      <c r="A2366" t="s">
        <v>17</v>
      </c>
      <c r="B2366">
        <v>67</v>
      </c>
      <c r="C2366" t="s">
        <v>28</v>
      </c>
      <c r="D2366" s="2">
        <v>45947</v>
      </c>
      <c r="E2366" s="3">
        <f t="shared" si="36"/>
        <v>45931</v>
      </c>
      <c r="F2366" t="s">
        <v>2126</v>
      </c>
      <c r="H2366" s="4">
        <v>-53.38</v>
      </c>
      <c r="I2366" t="s">
        <v>31</v>
      </c>
      <c r="J2366" t="s">
        <v>60</v>
      </c>
      <c r="L2366" s="2">
        <v>45931</v>
      </c>
      <c r="M2366" t="s">
        <v>60</v>
      </c>
      <c r="N2366">
        <v>0</v>
      </c>
      <c r="O2366" t="s">
        <v>31</v>
      </c>
      <c r="P2366" t="s">
        <v>28</v>
      </c>
      <c r="Q2366">
        <v>0</v>
      </c>
    </row>
    <row r="2367" spans="1:17" x14ac:dyDescent="0.3">
      <c r="A2367" t="s">
        <v>17</v>
      </c>
      <c r="B2367">
        <v>67</v>
      </c>
      <c r="C2367" t="s">
        <v>28</v>
      </c>
      <c r="D2367" s="2">
        <v>45947</v>
      </c>
      <c r="E2367" s="3">
        <f t="shared" si="36"/>
        <v>45931</v>
      </c>
      <c r="F2367" t="s">
        <v>2126</v>
      </c>
      <c r="H2367" s="4">
        <v>-45.22</v>
      </c>
      <c r="I2367" t="s">
        <v>31</v>
      </c>
      <c r="J2367" t="s">
        <v>60</v>
      </c>
      <c r="L2367" s="2">
        <v>45931</v>
      </c>
      <c r="M2367" t="s">
        <v>60</v>
      </c>
      <c r="N2367">
        <v>0</v>
      </c>
      <c r="O2367" t="s">
        <v>31</v>
      </c>
      <c r="P2367" t="s">
        <v>28</v>
      </c>
      <c r="Q2367">
        <v>0</v>
      </c>
    </row>
    <row r="2368" spans="1:17" x14ac:dyDescent="0.3">
      <c r="A2368" t="s">
        <v>17</v>
      </c>
      <c r="B2368">
        <v>67</v>
      </c>
      <c r="C2368" t="s">
        <v>28</v>
      </c>
      <c r="D2368" s="2">
        <v>45947</v>
      </c>
      <c r="E2368" s="3">
        <f t="shared" si="36"/>
        <v>45931</v>
      </c>
      <c r="F2368" t="s">
        <v>2126</v>
      </c>
      <c r="H2368" s="4">
        <v>-27.15</v>
      </c>
      <c r="I2368" t="s">
        <v>31</v>
      </c>
      <c r="J2368" t="s">
        <v>60</v>
      </c>
      <c r="L2368" s="2">
        <v>45931</v>
      </c>
      <c r="M2368" t="s">
        <v>60</v>
      </c>
      <c r="N2368">
        <v>0</v>
      </c>
      <c r="O2368" t="s">
        <v>31</v>
      </c>
      <c r="P2368" t="s">
        <v>28</v>
      </c>
      <c r="Q2368">
        <v>0</v>
      </c>
    </row>
    <row r="2369" spans="1:17" x14ac:dyDescent="0.3">
      <c r="A2369" t="s">
        <v>17</v>
      </c>
      <c r="B2369">
        <v>67</v>
      </c>
      <c r="C2369" t="s">
        <v>28</v>
      </c>
      <c r="D2369" s="2">
        <v>45947</v>
      </c>
      <c r="E2369" s="3">
        <f t="shared" si="36"/>
        <v>45931</v>
      </c>
      <c r="F2369" t="s">
        <v>2126</v>
      </c>
      <c r="H2369" s="4">
        <v>-1.2</v>
      </c>
      <c r="I2369" t="s">
        <v>31</v>
      </c>
      <c r="J2369" t="s">
        <v>60</v>
      </c>
      <c r="L2369" s="2">
        <v>45931</v>
      </c>
      <c r="M2369" t="s">
        <v>60</v>
      </c>
      <c r="N2369">
        <v>0</v>
      </c>
      <c r="O2369" t="s">
        <v>31</v>
      </c>
      <c r="P2369" t="s">
        <v>28</v>
      </c>
      <c r="Q2369">
        <v>0</v>
      </c>
    </row>
    <row r="2370" spans="1:17" x14ac:dyDescent="0.3">
      <c r="A2370" t="s">
        <v>17</v>
      </c>
      <c r="B2370">
        <v>67</v>
      </c>
      <c r="C2370" t="s">
        <v>28</v>
      </c>
      <c r="D2370" s="2">
        <v>45961</v>
      </c>
      <c r="E2370" s="3">
        <f t="shared" si="36"/>
        <v>45931</v>
      </c>
      <c r="F2370" t="s">
        <v>2127</v>
      </c>
      <c r="H2370" s="4">
        <v>-10.44</v>
      </c>
      <c r="I2370" t="s">
        <v>31</v>
      </c>
      <c r="J2370" t="s">
        <v>60</v>
      </c>
      <c r="L2370" s="2">
        <v>45931</v>
      </c>
      <c r="M2370" t="s">
        <v>60</v>
      </c>
      <c r="N2370">
        <v>0</v>
      </c>
      <c r="O2370" t="s">
        <v>31</v>
      </c>
      <c r="P2370" t="s">
        <v>28</v>
      </c>
      <c r="Q2370">
        <v>0</v>
      </c>
    </row>
    <row r="2371" spans="1:17" x14ac:dyDescent="0.3">
      <c r="A2371" t="s">
        <v>17</v>
      </c>
      <c r="B2371">
        <v>67</v>
      </c>
      <c r="C2371" t="s">
        <v>28</v>
      </c>
      <c r="D2371" s="2">
        <v>45961</v>
      </c>
      <c r="E2371" s="3">
        <f t="shared" ref="E2371:E2434" si="37">IF($D2371="","",DATE(YEAR($D2371),MONTH($D2371),1))</f>
        <v>45931</v>
      </c>
      <c r="F2371" t="s">
        <v>2127</v>
      </c>
      <c r="H2371" s="4">
        <v>-22.6</v>
      </c>
      <c r="I2371" t="s">
        <v>31</v>
      </c>
      <c r="J2371" t="s">
        <v>60</v>
      </c>
      <c r="L2371" s="2">
        <v>45931</v>
      </c>
      <c r="M2371" t="s">
        <v>60</v>
      </c>
      <c r="N2371">
        <v>0</v>
      </c>
      <c r="O2371" t="s">
        <v>31</v>
      </c>
      <c r="P2371" t="s">
        <v>28</v>
      </c>
      <c r="Q2371">
        <v>0</v>
      </c>
    </row>
    <row r="2372" spans="1:17" x14ac:dyDescent="0.3">
      <c r="A2372" t="s">
        <v>17</v>
      </c>
      <c r="B2372">
        <v>67</v>
      </c>
      <c r="C2372" t="s">
        <v>28</v>
      </c>
      <c r="D2372" s="2">
        <v>45961</v>
      </c>
      <c r="E2372" s="3">
        <f t="shared" si="37"/>
        <v>45931</v>
      </c>
      <c r="F2372" t="s">
        <v>2127</v>
      </c>
      <c r="H2372" s="4">
        <v>-13.58</v>
      </c>
      <c r="I2372" t="s">
        <v>31</v>
      </c>
      <c r="J2372" t="s">
        <v>60</v>
      </c>
      <c r="L2372" s="2">
        <v>45931</v>
      </c>
      <c r="M2372" t="s">
        <v>60</v>
      </c>
      <c r="N2372">
        <v>0</v>
      </c>
      <c r="O2372" t="s">
        <v>31</v>
      </c>
      <c r="P2372" t="s">
        <v>28</v>
      </c>
      <c r="Q2372">
        <v>0</v>
      </c>
    </row>
    <row r="2373" spans="1:17" x14ac:dyDescent="0.3">
      <c r="A2373" t="s">
        <v>17</v>
      </c>
      <c r="B2373">
        <v>67</v>
      </c>
      <c r="C2373" t="s">
        <v>28</v>
      </c>
      <c r="D2373" s="2">
        <v>45961</v>
      </c>
      <c r="E2373" s="3">
        <f t="shared" si="37"/>
        <v>45931</v>
      </c>
      <c r="F2373" t="s">
        <v>2127</v>
      </c>
      <c r="H2373" s="4">
        <v>-0.6</v>
      </c>
      <c r="I2373" t="s">
        <v>31</v>
      </c>
      <c r="J2373" t="s">
        <v>60</v>
      </c>
      <c r="L2373" s="2">
        <v>45931</v>
      </c>
      <c r="M2373" t="s">
        <v>60</v>
      </c>
      <c r="N2373">
        <v>0</v>
      </c>
      <c r="O2373" t="s">
        <v>31</v>
      </c>
      <c r="P2373" t="s">
        <v>28</v>
      </c>
      <c r="Q2373">
        <v>0</v>
      </c>
    </row>
    <row r="2374" spans="1:17" x14ac:dyDescent="0.3">
      <c r="A2374" t="s">
        <v>17</v>
      </c>
      <c r="B2374">
        <v>67</v>
      </c>
      <c r="C2374" t="s">
        <v>28</v>
      </c>
      <c r="D2374" s="2">
        <v>45961</v>
      </c>
      <c r="E2374" s="3">
        <f t="shared" si="37"/>
        <v>45931</v>
      </c>
      <c r="F2374" t="s">
        <v>2127</v>
      </c>
      <c r="H2374" s="4">
        <v>-19.850000000000001</v>
      </c>
      <c r="I2374" t="s">
        <v>31</v>
      </c>
      <c r="J2374" t="s">
        <v>60</v>
      </c>
      <c r="L2374" s="2">
        <v>45931</v>
      </c>
      <c r="M2374" t="s">
        <v>60</v>
      </c>
      <c r="N2374">
        <v>0</v>
      </c>
      <c r="O2374" t="s">
        <v>31</v>
      </c>
      <c r="P2374" t="s">
        <v>28</v>
      </c>
      <c r="Q2374">
        <v>0</v>
      </c>
    </row>
    <row r="2375" spans="1:17" x14ac:dyDescent="0.3">
      <c r="A2375" t="s">
        <v>17</v>
      </c>
      <c r="B2375">
        <v>67</v>
      </c>
      <c r="C2375" t="s">
        <v>28</v>
      </c>
      <c r="D2375" s="2">
        <v>45961</v>
      </c>
      <c r="E2375" s="3">
        <f t="shared" si="37"/>
        <v>45931</v>
      </c>
      <c r="F2375" t="s">
        <v>2127</v>
      </c>
      <c r="H2375" s="4">
        <v>-15.52</v>
      </c>
      <c r="I2375" t="s">
        <v>31</v>
      </c>
      <c r="J2375" t="s">
        <v>60</v>
      </c>
      <c r="L2375" s="2">
        <v>45931</v>
      </c>
      <c r="M2375" t="s">
        <v>60</v>
      </c>
      <c r="N2375">
        <v>0</v>
      </c>
      <c r="O2375" t="s">
        <v>31</v>
      </c>
      <c r="P2375" t="s">
        <v>28</v>
      </c>
      <c r="Q2375">
        <v>0</v>
      </c>
    </row>
    <row r="2376" spans="1:17" x14ac:dyDescent="0.3">
      <c r="A2376" t="s">
        <v>17</v>
      </c>
      <c r="B2376">
        <v>67</v>
      </c>
      <c r="C2376" t="s">
        <v>28</v>
      </c>
      <c r="D2376" s="2">
        <v>45961</v>
      </c>
      <c r="E2376" s="3">
        <f t="shared" si="37"/>
        <v>45931</v>
      </c>
      <c r="F2376" t="s">
        <v>2127</v>
      </c>
      <c r="H2376" s="4">
        <v>-7.09</v>
      </c>
      <c r="I2376" t="s">
        <v>31</v>
      </c>
      <c r="J2376" t="s">
        <v>60</v>
      </c>
      <c r="L2376" s="2">
        <v>45931</v>
      </c>
      <c r="M2376" t="s">
        <v>60</v>
      </c>
      <c r="N2376">
        <v>0</v>
      </c>
      <c r="O2376" t="s">
        <v>31</v>
      </c>
      <c r="P2376" t="s">
        <v>28</v>
      </c>
      <c r="Q2376">
        <v>0</v>
      </c>
    </row>
    <row r="2377" spans="1:17" x14ac:dyDescent="0.3">
      <c r="A2377" t="s">
        <v>17</v>
      </c>
      <c r="B2377">
        <v>67</v>
      </c>
      <c r="C2377" t="s">
        <v>28</v>
      </c>
      <c r="D2377" s="2">
        <v>45961</v>
      </c>
      <c r="E2377" s="3">
        <f t="shared" si="37"/>
        <v>45931</v>
      </c>
      <c r="F2377" t="s">
        <v>2127</v>
      </c>
      <c r="H2377" s="4">
        <v>-8.06</v>
      </c>
      <c r="I2377" t="s">
        <v>31</v>
      </c>
      <c r="J2377" t="s">
        <v>60</v>
      </c>
      <c r="L2377" s="2">
        <v>45931</v>
      </c>
      <c r="M2377" t="s">
        <v>60</v>
      </c>
      <c r="N2377">
        <v>0</v>
      </c>
      <c r="O2377" t="s">
        <v>31</v>
      </c>
      <c r="P2377" t="s">
        <v>28</v>
      </c>
      <c r="Q2377">
        <v>0</v>
      </c>
    </row>
    <row r="2378" spans="1:17" x14ac:dyDescent="0.3">
      <c r="A2378" t="s">
        <v>17</v>
      </c>
      <c r="B2378">
        <v>67</v>
      </c>
      <c r="C2378" t="s">
        <v>28</v>
      </c>
      <c r="D2378" s="2">
        <v>45961</v>
      </c>
      <c r="E2378" s="3">
        <f t="shared" si="37"/>
        <v>45931</v>
      </c>
      <c r="F2378" t="s">
        <v>2128</v>
      </c>
      <c r="H2378" s="4">
        <v>1062.5</v>
      </c>
      <c r="I2378" t="s">
        <v>31</v>
      </c>
      <c r="J2378" t="s">
        <v>60</v>
      </c>
      <c r="K2378" t="s">
        <v>339</v>
      </c>
      <c r="L2378" s="2">
        <v>45931</v>
      </c>
      <c r="M2378" t="s">
        <v>60</v>
      </c>
      <c r="N2378">
        <v>0</v>
      </c>
      <c r="O2378" t="s">
        <v>31</v>
      </c>
      <c r="P2378" t="s">
        <v>28</v>
      </c>
      <c r="Q2378">
        <v>0</v>
      </c>
    </row>
    <row r="2379" spans="1:17" x14ac:dyDescent="0.3">
      <c r="A2379" t="s">
        <v>17</v>
      </c>
      <c r="B2379">
        <v>67</v>
      </c>
      <c r="C2379" t="s">
        <v>28</v>
      </c>
      <c r="D2379" s="2">
        <v>45961</v>
      </c>
      <c r="E2379" s="3">
        <f t="shared" si="37"/>
        <v>45931</v>
      </c>
      <c r="F2379" t="s">
        <v>2129</v>
      </c>
      <c r="H2379" s="4">
        <v>777.15</v>
      </c>
      <c r="I2379" t="s">
        <v>31</v>
      </c>
      <c r="J2379" t="s">
        <v>60</v>
      </c>
      <c r="K2379" t="s">
        <v>1883</v>
      </c>
      <c r="L2379" s="2">
        <v>45931</v>
      </c>
      <c r="M2379" t="s">
        <v>60</v>
      </c>
      <c r="N2379">
        <v>0</v>
      </c>
      <c r="O2379" t="s">
        <v>31</v>
      </c>
      <c r="P2379" t="s">
        <v>28</v>
      </c>
      <c r="Q2379">
        <v>0</v>
      </c>
    </row>
    <row r="2380" spans="1:17" x14ac:dyDescent="0.3">
      <c r="A2380" t="s">
        <v>17</v>
      </c>
      <c r="B2380">
        <v>67</v>
      </c>
      <c r="C2380" t="s">
        <v>28</v>
      </c>
      <c r="D2380" s="2">
        <v>45961</v>
      </c>
      <c r="E2380" s="3">
        <f t="shared" si="37"/>
        <v>45931</v>
      </c>
      <c r="F2380" t="s">
        <v>2130</v>
      </c>
      <c r="H2380" s="4">
        <v>428.3</v>
      </c>
      <c r="I2380" t="s">
        <v>31</v>
      </c>
      <c r="J2380" t="s">
        <v>60</v>
      </c>
      <c r="K2380" t="s">
        <v>1123</v>
      </c>
      <c r="L2380" s="2">
        <v>45931</v>
      </c>
      <c r="M2380" t="s">
        <v>60</v>
      </c>
      <c r="N2380">
        <v>0</v>
      </c>
      <c r="O2380" t="s">
        <v>31</v>
      </c>
      <c r="P2380" t="s">
        <v>28</v>
      </c>
      <c r="Q2380">
        <v>0</v>
      </c>
    </row>
    <row r="2381" spans="1:17" x14ac:dyDescent="0.3">
      <c r="A2381" t="s">
        <v>17</v>
      </c>
      <c r="B2381">
        <v>67</v>
      </c>
      <c r="C2381" t="s">
        <v>28</v>
      </c>
      <c r="D2381" s="2">
        <v>45961</v>
      </c>
      <c r="E2381" s="3">
        <f t="shared" si="37"/>
        <v>45931</v>
      </c>
      <c r="F2381" t="s">
        <v>2131</v>
      </c>
      <c r="H2381" s="4">
        <v>-20.88</v>
      </c>
      <c r="I2381" t="s">
        <v>31</v>
      </c>
      <c r="J2381" t="s">
        <v>60</v>
      </c>
      <c r="L2381" s="2">
        <v>45931</v>
      </c>
      <c r="M2381" t="s">
        <v>60</v>
      </c>
      <c r="N2381">
        <v>0</v>
      </c>
      <c r="O2381" t="s">
        <v>31</v>
      </c>
      <c r="P2381" t="s">
        <v>28</v>
      </c>
      <c r="Q2381">
        <v>0</v>
      </c>
    </row>
    <row r="2382" spans="1:17" x14ac:dyDescent="0.3">
      <c r="A2382" t="s">
        <v>17</v>
      </c>
      <c r="B2382">
        <v>67</v>
      </c>
      <c r="C2382" t="s">
        <v>28</v>
      </c>
      <c r="D2382" s="2">
        <v>45961</v>
      </c>
      <c r="E2382" s="3">
        <f t="shared" si="37"/>
        <v>45931</v>
      </c>
      <c r="F2382" t="s">
        <v>2131</v>
      </c>
      <c r="H2382" s="4">
        <v>-27.15</v>
      </c>
      <c r="I2382" t="s">
        <v>31</v>
      </c>
      <c r="J2382" t="s">
        <v>60</v>
      </c>
      <c r="L2382" s="2">
        <v>45931</v>
      </c>
      <c r="M2382" t="s">
        <v>60</v>
      </c>
      <c r="N2382">
        <v>0</v>
      </c>
      <c r="O2382" t="s">
        <v>31</v>
      </c>
      <c r="P2382" t="s">
        <v>28</v>
      </c>
      <c r="Q2382">
        <v>0</v>
      </c>
    </row>
    <row r="2383" spans="1:17" x14ac:dyDescent="0.3">
      <c r="A2383" t="s">
        <v>17</v>
      </c>
      <c r="B2383">
        <v>67</v>
      </c>
      <c r="C2383" t="s">
        <v>28</v>
      </c>
      <c r="D2383" s="2">
        <v>45961</v>
      </c>
      <c r="E2383" s="3">
        <f t="shared" si="37"/>
        <v>45931</v>
      </c>
      <c r="F2383" t="s">
        <v>2131</v>
      </c>
      <c r="H2383" s="4">
        <v>-1.2</v>
      </c>
      <c r="I2383" t="s">
        <v>31</v>
      </c>
      <c r="J2383" t="s">
        <v>60</v>
      </c>
      <c r="L2383" s="2">
        <v>45931</v>
      </c>
      <c r="M2383" t="s">
        <v>60</v>
      </c>
      <c r="N2383">
        <v>0</v>
      </c>
      <c r="O2383" t="s">
        <v>31</v>
      </c>
      <c r="P2383" t="s">
        <v>28</v>
      </c>
      <c r="Q2383">
        <v>0</v>
      </c>
    </row>
    <row r="2384" spans="1:17" x14ac:dyDescent="0.3">
      <c r="A2384" t="s">
        <v>17</v>
      </c>
      <c r="B2384">
        <v>67</v>
      </c>
      <c r="C2384" t="s">
        <v>28</v>
      </c>
      <c r="D2384" s="2">
        <v>45961</v>
      </c>
      <c r="E2384" s="3">
        <f t="shared" si="37"/>
        <v>45931</v>
      </c>
      <c r="F2384" t="s">
        <v>2131</v>
      </c>
      <c r="H2384" s="4">
        <v>-39.71</v>
      </c>
      <c r="I2384" t="s">
        <v>31</v>
      </c>
      <c r="J2384" t="s">
        <v>60</v>
      </c>
      <c r="L2384" s="2">
        <v>45931</v>
      </c>
      <c r="M2384" t="s">
        <v>60</v>
      </c>
      <c r="N2384">
        <v>0</v>
      </c>
      <c r="O2384" t="s">
        <v>31</v>
      </c>
      <c r="P2384" t="s">
        <v>28</v>
      </c>
      <c r="Q2384">
        <v>0</v>
      </c>
    </row>
    <row r="2385" spans="1:17" x14ac:dyDescent="0.3">
      <c r="A2385" t="s">
        <v>17</v>
      </c>
      <c r="B2385">
        <v>67</v>
      </c>
      <c r="C2385" t="s">
        <v>28</v>
      </c>
      <c r="D2385" s="2">
        <v>45961</v>
      </c>
      <c r="E2385" s="3">
        <f t="shared" si="37"/>
        <v>45931</v>
      </c>
      <c r="F2385" t="s">
        <v>2131</v>
      </c>
      <c r="H2385" s="4">
        <v>-31.03</v>
      </c>
      <c r="I2385" t="s">
        <v>31</v>
      </c>
      <c r="J2385" t="s">
        <v>60</v>
      </c>
      <c r="L2385" s="2">
        <v>45931</v>
      </c>
      <c r="M2385" t="s">
        <v>60</v>
      </c>
      <c r="N2385">
        <v>0</v>
      </c>
      <c r="O2385" t="s">
        <v>31</v>
      </c>
      <c r="P2385" t="s">
        <v>28</v>
      </c>
      <c r="Q2385">
        <v>0</v>
      </c>
    </row>
    <row r="2386" spans="1:17" x14ac:dyDescent="0.3">
      <c r="A2386" t="s">
        <v>17</v>
      </c>
      <c r="B2386">
        <v>67</v>
      </c>
      <c r="C2386" t="s">
        <v>28</v>
      </c>
      <c r="D2386" s="2">
        <v>45961</v>
      </c>
      <c r="E2386" s="3">
        <f t="shared" si="37"/>
        <v>45931</v>
      </c>
      <c r="F2386" t="s">
        <v>2131</v>
      </c>
      <c r="H2386" s="4">
        <v>-14.18</v>
      </c>
      <c r="I2386" t="s">
        <v>31</v>
      </c>
      <c r="J2386" t="s">
        <v>60</v>
      </c>
      <c r="L2386" s="2">
        <v>45931</v>
      </c>
      <c r="M2386" t="s">
        <v>60</v>
      </c>
      <c r="N2386">
        <v>0</v>
      </c>
      <c r="O2386" t="s">
        <v>31</v>
      </c>
      <c r="P2386" t="s">
        <v>28</v>
      </c>
      <c r="Q2386">
        <v>0</v>
      </c>
    </row>
    <row r="2387" spans="1:17" x14ac:dyDescent="0.3">
      <c r="A2387" t="s">
        <v>17</v>
      </c>
      <c r="B2387">
        <v>67</v>
      </c>
      <c r="C2387" t="s">
        <v>28</v>
      </c>
      <c r="D2387" s="2">
        <v>45961</v>
      </c>
      <c r="E2387" s="3">
        <f t="shared" si="37"/>
        <v>45931</v>
      </c>
      <c r="F2387" t="s">
        <v>2131</v>
      </c>
      <c r="H2387" s="4">
        <v>-16.12</v>
      </c>
      <c r="I2387" t="s">
        <v>31</v>
      </c>
      <c r="J2387" t="s">
        <v>60</v>
      </c>
      <c r="L2387" s="2">
        <v>45931</v>
      </c>
      <c r="M2387" t="s">
        <v>60</v>
      </c>
      <c r="N2387">
        <v>0</v>
      </c>
      <c r="O2387" t="s">
        <v>31</v>
      </c>
      <c r="P2387" t="s">
        <v>28</v>
      </c>
      <c r="Q2387">
        <v>0</v>
      </c>
    </row>
    <row r="2388" spans="1:17" x14ac:dyDescent="0.3">
      <c r="A2388" t="s">
        <v>17</v>
      </c>
      <c r="B2388">
        <v>67</v>
      </c>
      <c r="C2388" t="s">
        <v>28</v>
      </c>
      <c r="D2388" s="2">
        <v>45961</v>
      </c>
      <c r="E2388" s="3">
        <f t="shared" si="37"/>
        <v>45931</v>
      </c>
      <c r="F2388" t="s">
        <v>2131</v>
      </c>
      <c r="H2388" s="4">
        <v>-45.22</v>
      </c>
      <c r="I2388" t="s">
        <v>31</v>
      </c>
      <c r="J2388" t="s">
        <v>60</v>
      </c>
      <c r="L2388" s="2">
        <v>45931</v>
      </c>
      <c r="M2388" t="s">
        <v>60</v>
      </c>
      <c r="N2388">
        <v>0</v>
      </c>
      <c r="O2388" t="s">
        <v>31</v>
      </c>
      <c r="P2388" t="s">
        <v>28</v>
      </c>
      <c r="Q2388">
        <v>0</v>
      </c>
    </row>
    <row r="2389" spans="1:17" x14ac:dyDescent="0.3">
      <c r="A2389" t="s">
        <v>17</v>
      </c>
      <c r="B2389">
        <v>67</v>
      </c>
      <c r="C2389" t="s">
        <v>28</v>
      </c>
      <c r="D2389" s="2">
        <v>45931</v>
      </c>
      <c r="E2389" s="3">
        <f t="shared" si="37"/>
        <v>45931</v>
      </c>
      <c r="F2389" t="s">
        <v>2132</v>
      </c>
      <c r="G2389" t="s">
        <v>1726</v>
      </c>
      <c r="H2389" s="4">
        <v>10000</v>
      </c>
      <c r="I2389" t="s">
        <v>21</v>
      </c>
      <c r="J2389" t="s">
        <v>74</v>
      </c>
      <c r="K2389" t="s">
        <v>2133</v>
      </c>
      <c r="L2389" s="2">
        <v>45931</v>
      </c>
      <c r="M2389" t="s">
        <v>76</v>
      </c>
      <c r="N2389" t="s">
        <v>25</v>
      </c>
      <c r="O2389" t="s">
        <v>81</v>
      </c>
      <c r="P2389" t="s">
        <v>28</v>
      </c>
      <c r="Q2389">
        <v>0</v>
      </c>
    </row>
    <row r="2390" spans="1:17" x14ac:dyDescent="0.3">
      <c r="A2390" t="s">
        <v>17</v>
      </c>
      <c r="B2390">
        <v>67</v>
      </c>
      <c r="C2390" t="s">
        <v>28</v>
      </c>
      <c r="D2390" s="2">
        <v>45933</v>
      </c>
      <c r="E2390" s="3">
        <f t="shared" si="37"/>
        <v>45931</v>
      </c>
      <c r="F2390">
        <v>101800357770</v>
      </c>
      <c r="G2390" t="s">
        <v>369</v>
      </c>
      <c r="H2390" s="4">
        <v>543.66999999999996</v>
      </c>
      <c r="I2390" t="s">
        <v>31</v>
      </c>
      <c r="J2390" t="s">
        <v>74</v>
      </c>
      <c r="K2390" t="s">
        <v>1488</v>
      </c>
      <c r="L2390" s="2">
        <v>45931</v>
      </c>
      <c r="M2390" t="s">
        <v>76</v>
      </c>
      <c r="N2390">
        <v>0</v>
      </c>
      <c r="O2390" t="s">
        <v>31</v>
      </c>
      <c r="P2390" t="s">
        <v>28</v>
      </c>
      <c r="Q2390">
        <v>0</v>
      </c>
    </row>
    <row r="2391" spans="1:17" x14ac:dyDescent="0.3">
      <c r="A2391" t="s">
        <v>17</v>
      </c>
      <c r="B2391">
        <v>67</v>
      </c>
      <c r="C2391" t="s">
        <v>28</v>
      </c>
      <c r="D2391" s="2">
        <v>45934</v>
      </c>
      <c r="E2391" s="3">
        <f t="shared" si="37"/>
        <v>45931</v>
      </c>
      <c r="F2391" t="s">
        <v>2134</v>
      </c>
      <c r="G2391" t="s">
        <v>101</v>
      </c>
      <c r="H2391" s="4">
        <v>74.930000000000007</v>
      </c>
      <c r="I2391" t="s">
        <v>31</v>
      </c>
      <c r="J2391" t="s">
        <v>74</v>
      </c>
      <c r="K2391" t="s">
        <v>1889</v>
      </c>
      <c r="L2391" s="2">
        <v>45931</v>
      </c>
      <c r="M2391" t="s">
        <v>76</v>
      </c>
      <c r="N2391">
        <v>0</v>
      </c>
      <c r="O2391" t="s">
        <v>31</v>
      </c>
      <c r="P2391" t="s">
        <v>28</v>
      </c>
      <c r="Q2391">
        <v>0</v>
      </c>
    </row>
    <row r="2392" spans="1:17" x14ac:dyDescent="0.3">
      <c r="A2392" t="s">
        <v>17</v>
      </c>
      <c r="B2392">
        <v>67</v>
      </c>
      <c r="C2392" t="s">
        <v>28</v>
      </c>
      <c r="D2392" s="2">
        <v>45934</v>
      </c>
      <c r="E2392" s="3">
        <f t="shared" si="37"/>
        <v>45931</v>
      </c>
      <c r="F2392" t="s">
        <v>2134</v>
      </c>
      <c r="G2392" t="s">
        <v>101</v>
      </c>
      <c r="H2392" s="4">
        <v>1494</v>
      </c>
      <c r="I2392" t="s">
        <v>104</v>
      </c>
      <c r="J2392" t="s">
        <v>74</v>
      </c>
      <c r="K2392" t="s">
        <v>1489</v>
      </c>
      <c r="L2392" s="2">
        <v>45931</v>
      </c>
      <c r="M2392" t="s">
        <v>76</v>
      </c>
      <c r="N2392">
        <v>0</v>
      </c>
      <c r="O2392" t="s">
        <v>104</v>
      </c>
      <c r="P2392" t="s">
        <v>28</v>
      </c>
      <c r="Q2392">
        <v>0</v>
      </c>
    </row>
    <row r="2393" spans="1:17" x14ac:dyDescent="0.3">
      <c r="A2393" t="s">
        <v>17</v>
      </c>
      <c r="B2393">
        <v>67</v>
      </c>
      <c r="C2393" t="s">
        <v>28</v>
      </c>
      <c r="D2393" s="2">
        <v>45934</v>
      </c>
      <c r="E2393" s="3">
        <f t="shared" si="37"/>
        <v>45931</v>
      </c>
      <c r="F2393" t="s">
        <v>2134</v>
      </c>
      <c r="G2393" t="s">
        <v>101</v>
      </c>
      <c r="H2393" s="4">
        <v>1779.84</v>
      </c>
      <c r="I2393" t="s">
        <v>31</v>
      </c>
      <c r="J2393" t="s">
        <v>74</v>
      </c>
      <c r="K2393" t="s">
        <v>1491</v>
      </c>
      <c r="L2393" s="2">
        <v>45931</v>
      </c>
      <c r="M2393" t="s">
        <v>76</v>
      </c>
      <c r="N2393">
        <v>0</v>
      </c>
      <c r="O2393" t="s">
        <v>31</v>
      </c>
      <c r="P2393" t="s">
        <v>28</v>
      </c>
      <c r="Q2393">
        <v>0</v>
      </c>
    </row>
    <row r="2394" spans="1:17" x14ac:dyDescent="0.3">
      <c r="A2394" t="s">
        <v>17</v>
      </c>
      <c r="B2394">
        <v>67</v>
      </c>
      <c r="C2394" t="s">
        <v>28</v>
      </c>
      <c r="D2394" s="2">
        <v>45934</v>
      </c>
      <c r="E2394" s="3">
        <f t="shared" si="37"/>
        <v>45931</v>
      </c>
      <c r="F2394" t="s">
        <v>2134</v>
      </c>
      <c r="G2394" t="s">
        <v>101</v>
      </c>
      <c r="H2394" s="4">
        <v>75.91</v>
      </c>
      <c r="I2394" t="s">
        <v>31</v>
      </c>
      <c r="J2394" t="s">
        <v>74</v>
      </c>
      <c r="K2394" t="s">
        <v>1889</v>
      </c>
      <c r="L2394" s="2">
        <v>45931</v>
      </c>
      <c r="M2394" t="s">
        <v>76</v>
      </c>
      <c r="N2394">
        <v>0</v>
      </c>
      <c r="O2394" t="s">
        <v>31</v>
      </c>
      <c r="P2394" t="s">
        <v>28</v>
      </c>
      <c r="Q2394">
        <v>0</v>
      </c>
    </row>
    <row r="2395" spans="1:17" x14ac:dyDescent="0.3">
      <c r="A2395" t="s">
        <v>17</v>
      </c>
      <c r="B2395">
        <v>67</v>
      </c>
      <c r="C2395" t="s">
        <v>28</v>
      </c>
      <c r="D2395" s="2">
        <v>45951</v>
      </c>
      <c r="E2395" s="3">
        <f t="shared" si="37"/>
        <v>45931</v>
      </c>
      <c r="F2395" t="s">
        <v>1725</v>
      </c>
      <c r="G2395" t="s">
        <v>1726</v>
      </c>
      <c r="H2395" s="4">
        <v>-10000</v>
      </c>
      <c r="I2395" t="s">
        <v>21</v>
      </c>
      <c r="J2395" t="s">
        <v>74</v>
      </c>
      <c r="K2395" t="s">
        <v>1887</v>
      </c>
      <c r="L2395" s="2">
        <v>45931</v>
      </c>
      <c r="M2395" t="s">
        <v>76</v>
      </c>
      <c r="N2395" t="s">
        <v>25</v>
      </c>
      <c r="O2395" t="s">
        <v>81</v>
      </c>
      <c r="P2395" t="s">
        <v>28</v>
      </c>
      <c r="Q2395">
        <v>0</v>
      </c>
    </row>
    <row r="2396" spans="1:17" x14ac:dyDescent="0.3">
      <c r="A2396" t="s">
        <v>17</v>
      </c>
      <c r="B2396">
        <v>67</v>
      </c>
      <c r="C2396" t="s">
        <v>28</v>
      </c>
      <c r="D2396" s="2">
        <v>45958</v>
      </c>
      <c r="E2396" s="3">
        <f t="shared" si="37"/>
        <v>45931</v>
      </c>
      <c r="F2396" t="s">
        <v>1924</v>
      </c>
      <c r="G2396" t="s">
        <v>158</v>
      </c>
      <c r="H2396" s="4">
        <v>58.76</v>
      </c>
      <c r="I2396" t="s">
        <v>159</v>
      </c>
      <c r="J2396" t="s">
        <v>74</v>
      </c>
      <c r="K2396" t="s">
        <v>2135</v>
      </c>
      <c r="L2396" s="2">
        <v>45931</v>
      </c>
      <c r="M2396" t="s">
        <v>76</v>
      </c>
      <c r="N2396">
        <v>0</v>
      </c>
      <c r="O2396" t="s">
        <v>159</v>
      </c>
      <c r="P2396" t="s">
        <v>28</v>
      </c>
      <c r="Q2396">
        <v>0</v>
      </c>
    </row>
    <row r="2397" spans="1:17" x14ac:dyDescent="0.3">
      <c r="A2397" t="s">
        <v>17</v>
      </c>
      <c r="B2397">
        <v>67</v>
      </c>
      <c r="C2397" t="s">
        <v>28</v>
      </c>
      <c r="D2397" s="2">
        <v>45958</v>
      </c>
      <c r="E2397" s="3">
        <f t="shared" si="37"/>
        <v>45931</v>
      </c>
      <c r="F2397" t="s">
        <v>1924</v>
      </c>
      <c r="G2397" t="s">
        <v>158</v>
      </c>
      <c r="H2397" s="4">
        <v>108.86</v>
      </c>
      <c r="I2397" t="s">
        <v>159</v>
      </c>
      <c r="J2397" t="s">
        <v>74</v>
      </c>
      <c r="K2397" t="s">
        <v>2136</v>
      </c>
      <c r="L2397" s="2">
        <v>45931</v>
      </c>
      <c r="M2397" t="s">
        <v>76</v>
      </c>
      <c r="N2397">
        <v>0</v>
      </c>
      <c r="O2397" t="s">
        <v>159</v>
      </c>
      <c r="P2397" t="s">
        <v>28</v>
      </c>
      <c r="Q2397">
        <v>0</v>
      </c>
    </row>
    <row r="2398" spans="1:17" x14ac:dyDescent="0.3">
      <c r="A2398" t="s">
        <v>17</v>
      </c>
      <c r="B2398">
        <v>67</v>
      </c>
      <c r="C2398" t="s">
        <v>28</v>
      </c>
      <c r="D2398" s="2">
        <v>45958</v>
      </c>
      <c r="E2398" s="3">
        <f t="shared" si="37"/>
        <v>45931</v>
      </c>
      <c r="F2398" t="s">
        <v>1924</v>
      </c>
      <c r="G2398" t="s">
        <v>158</v>
      </c>
      <c r="H2398" s="4">
        <v>21.78</v>
      </c>
      <c r="I2398" t="s">
        <v>159</v>
      </c>
      <c r="J2398" t="s">
        <v>74</v>
      </c>
      <c r="K2398" t="s">
        <v>994</v>
      </c>
      <c r="L2398" s="2">
        <v>45931</v>
      </c>
      <c r="M2398" t="s">
        <v>76</v>
      </c>
      <c r="N2398">
        <v>0</v>
      </c>
      <c r="O2398" t="s">
        <v>159</v>
      </c>
      <c r="P2398" t="s">
        <v>28</v>
      </c>
      <c r="Q2398">
        <v>0</v>
      </c>
    </row>
    <row r="2399" spans="1:17" x14ac:dyDescent="0.3">
      <c r="A2399" t="s">
        <v>17</v>
      </c>
      <c r="B2399">
        <v>67</v>
      </c>
      <c r="C2399" t="s">
        <v>28</v>
      </c>
      <c r="D2399" s="2">
        <v>45958</v>
      </c>
      <c r="E2399" s="3">
        <f t="shared" si="37"/>
        <v>45931</v>
      </c>
      <c r="F2399" t="s">
        <v>1924</v>
      </c>
      <c r="G2399" t="s">
        <v>158</v>
      </c>
      <c r="H2399" s="4">
        <v>108.86</v>
      </c>
      <c r="I2399" t="s">
        <v>159</v>
      </c>
      <c r="J2399" t="s">
        <v>74</v>
      </c>
      <c r="K2399" t="s">
        <v>2137</v>
      </c>
      <c r="L2399" s="2">
        <v>45931</v>
      </c>
      <c r="M2399" t="s">
        <v>76</v>
      </c>
      <c r="N2399">
        <v>0</v>
      </c>
      <c r="O2399" t="s">
        <v>159</v>
      </c>
      <c r="P2399" t="s">
        <v>28</v>
      </c>
      <c r="Q2399">
        <v>0</v>
      </c>
    </row>
    <row r="2400" spans="1:17" x14ac:dyDescent="0.3">
      <c r="A2400" t="s">
        <v>17</v>
      </c>
      <c r="B2400">
        <v>67</v>
      </c>
      <c r="C2400" t="s">
        <v>28</v>
      </c>
      <c r="D2400" s="2">
        <v>45961</v>
      </c>
      <c r="E2400" s="3">
        <f t="shared" si="37"/>
        <v>45931</v>
      </c>
      <c r="F2400" t="s">
        <v>1938</v>
      </c>
      <c r="H2400" s="4">
        <v>550</v>
      </c>
      <c r="I2400" t="s">
        <v>47</v>
      </c>
      <c r="J2400" t="s">
        <v>74</v>
      </c>
      <c r="K2400" t="s">
        <v>2138</v>
      </c>
      <c r="L2400" s="2">
        <v>45931</v>
      </c>
      <c r="M2400" t="s">
        <v>76</v>
      </c>
      <c r="N2400">
        <v>0</v>
      </c>
      <c r="O2400" t="s">
        <v>26</v>
      </c>
      <c r="P2400" t="s">
        <v>28</v>
      </c>
      <c r="Q2400">
        <v>0</v>
      </c>
    </row>
    <row r="2401" spans="1:17" x14ac:dyDescent="0.3">
      <c r="A2401" t="s">
        <v>17</v>
      </c>
      <c r="B2401">
        <v>67</v>
      </c>
      <c r="C2401" t="s">
        <v>28</v>
      </c>
      <c r="D2401" s="2">
        <v>45961</v>
      </c>
      <c r="E2401" s="3">
        <f t="shared" si="37"/>
        <v>45931</v>
      </c>
      <c r="F2401" t="s">
        <v>1927</v>
      </c>
      <c r="H2401" s="4">
        <v>15.92</v>
      </c>
      <c r="I2401" t="s">
        <v>31</v>
      </c>
      <c r="J2401" t="s">
        <v>74</v>
      </c>
      <c r="K2401" t="s">
        <v>247</v>
      </c>
      <c r="L2401" s="2">
        <v>45931</v>
      </c>
      <c r="M2401" t="s">
        <v>76</v>
      </c>
      <c r="N2401">
        <v>0</v>
      </c>
      <c r="O2401" t="s">
        <v>31</v>
      </c>
      <c r="P2401" t="s">
        <v>28</v>
      </c>
      <c r="Q2401">
        <v>0</v>
      </c>
    </row>
    <row r="2402" spans="1:17" x14ac:dyDescent="0.3">
      <c r="A2402" t="s">
        <v>17</v>
      </c>
      <c r="B2402">
        <v>67</v>
      </c>
      <c r="C2402" t="s">
        <v>28</v>
      </c>
      <c r="D2402" s="2">
        <v>45961</v>
      </c>
      <c r="E2402" s="3">
        <f t="shared" si="37"/>
        <v>45931</v>
      </c>
      <c r="F2402" t="s">
        <v>1927</v>
      </c>
      <c r="H2402" s="4">
        <v>7.38</v>
      </c>
      <c r="I2402" t="s">
        <v>31</v>
      </c>
      <c r="J2402" t="s">
        <v>74</v>
      </c>
      <c r="K2402" t="s">
        <v>247</v>
      </c>
      <c r="L2402" s="2">
        <v>45931</v>
      </c>
      <c r="M2402" t="s">
        <v>76</v>
      </c>
      <c r="N2402">
        <v>0</v>
      </c>
      <c r="O2402" t="s">
        <v>31</v>
      </c>
      <c r="P2402" t="s">
        <v>28</v>
      </c>
      <c r="Q2402">
        <v>0</v>
      </c>
    </row>
    <row r="2403" spans="1:17" x14ac:dyDescent="0.3">
      <c r="A2403" t="s">
        <v>17</v>
      </c>
      <c r="B2403">
        <v>67</v>
      </c>
      <c r="C2403" t="s">
        <v>28</v>
      </c>
      <c r="D2403" s="2">
        <v>45961</v>
      </c>
      <c r="E2403" s="3">
        <f t="shared" si="37"/>
        <v>45931</v>
      </c>
      <c r="F2403" t="s">
        <v>1927</v>
      </c>
      <c r="H2403" s="4">
        <v>108.88</v>
      </c>
      <c r="I2403" t="s">
        <v>31</v>
      </c>
      <c r="J2403" t="s">
        <v>74</v>
      </c>
      <c r="K2403" t="s">
        <v>2139</v>
      </c>
      <c r="L2403" s="2">
        <v>45931</v>
      </c>
      <c r="M2403" t="s">
        <v>76</v>
      </c>
      <c r="N2403">
        <v>0</v>
      </c>
      <c r="O2403" t="s">
        <v>31</v>
      </c>
      <c r="P2403" t="s">
        <v>28</v>
      </c>
      <c r="Q2403">
        <v>0</v>
      </c>
    </row>
    <row r="2404" spans="1:17" x14ac:dyDescent="0.3">
      <c r="A2404" t="s">
        <v>17</v>
      </c>
      <c r="B2404">
        <v>67</v>
      </c>
      <c r="C2404" t="s">
        <v>28</v>
      </c>
      <c r="D2404" s="2">
        <v>45961</v>
      </c>
      <c r="E2404" s="3">
        <f t="shared" si="37"/>
        <v>45931</v>
      </c>
      <c r="F2404" t="s">
        <v>1927</v>
      </c>
      <c r="H2404" s="4">
        <v>163.31</v>
      </c>
      <c r="I2404" t="s">
        <v>31</v>
      </c>
      <c r="J2404" t="s">
        <v>74</v>
      </c>
      <c r="K2404" t="s">
        <v>247</v>
      </c>
      <c r="L2404" s="2">
        <v>45931</v>
      </c>
      <c r="M2404" t="s">
        <v>76</v>
      </c>
      <c r="N2404">
        <v>0</v>
      </c>
      <c r="O2404" t="s">
        <v>31</v>
      </c>
      <c r="P2404" t="s">
        <v>28</v>
      </c>
      <c r="Q2404">
        <v>0</v>
      </c>
    </row>
    <row r="2405" spans="1:17" x14ac:dyDescent="0.3">
      <c r="A2405" t="s">
        <v>17</v>
      </c>
      <c r="B2405">
        <v>67</v>
      </c>
      <c r="C2405" t="s">
        <v>28</v>
      </c>
      <c r="D2405" s="2">
        <v>45961</v>
      </c>
      <c r="E2405" s="3">
        <f t="shared" si="37"/>
        <v>45931</v>
      </c>
      <c r="F2405" t="s">
        <v>2140</v>
      </c>
      <c r="H2405" s="4">
        <v>2582.46</v>
      </c>
      <c r="I2405" t="s">
        <v>31</v>
      </c>
      <c r="J2405" t="s">
        <v>74</v>
      </c>
      <c r="K2405" t="s">
        <v>1100</v>
      </c>
      <c r="L2405" s="2">
        <v>45931</v>
      </c>
      <c r="M2405" t="s">
        <v>76</v>
      </c>
      <c r="N2405">
        <v>0</v>
      </c>
      <c r="O2405" t="s">
        <v>31</v>
      </c>
      <c r="P2405" t="s">
        <v>28</v>
      </c>
      <c r="Q2405">
        <v>0</v>
      </c>
    </row>
    <row r="2406" spans="1:17" x14ac:dyDescent="0.3">
      <c r="A2406" t="s">
        <v>17</v>
      </c>
      <c r="B2406">
        <v>67</v>
      </c>
      <c r="C2406" t="s">
        <v>28</v>
      </c>
      <c r="D2406" s="2">
        <v>45961</v>
      </c>
      <c r="E2406" s="3">
        <f t="shared" si="37"/>
        <v>45931</v>
      </c>
      <c r="F2406" t="s">
        <v>2141</v>
      </c>
      <c r="H2406" s="4">
        <v>226.82</v>
      </c>
      <c r="I2406" t="s">
        <v>31</v>
      </c>
      <c r="J2406" t="s">
        <v>74</v>
      </c>
      <c r="K2406" t="s">
        <v>355</v>
      </c>
      <c r="L2406" s="2">
        <v>45931</v>
      </c>
      <c r="M2406" t="s">
        <v>76</v>
      </c>
      <c r="N2406">
        <v>0</v>
      </c>
      <c r="O2406" t="s">
        <v>31</v>
      </c>
      <c r="P2406" t="s">
        <v>28</v>
      </c>
      <c r="Q2406">
        <v>0</v>
      </c>
    </row>
    <row r="2407" spans="1:17" x14ac:dyDescent="0.3">
      <c r="A2407" t="s">
        <v>17</v>
      </c>
      <c r="B2407">
        <v>67</v>
      </c>
      <c r="C2407" t="s">
        <v>28</v>
      </c>
      <c r="D2407" s="2">
        <v>45961</v>
      </c>
      <c r="E2407" s="3">
        <f t="shared" si="37"/>
        <v>45931</v>
      </c>
      <c r="F2407" t="s">
        <v>2142</v>
      </c>
      <c r="H2407" s="4">
        <v>3179.22</v>
      </c>
      <c r="I2407" t="s">
        <v>31</v>
      </c>
      <c r="J2407" t="s">
        <v>74</v>
      </c>
      <c r="K2407" t="s">
        <v>1098</v>
      </c>
      <c r="L2407" s="2">
        <v>45931</v>
      </c>
      <c r="M2407" t="s">
        <v>76</v>
      </c>
      <c r="N2407">
        <v>0</v>
      </c>
      <c r="O2407" t="s">
        <v>31</v>
      </c>
      <c r="P2407" t="s">
        <v>28</v>
      </c>
      <c r="Q2407">
        <v>0</v>
      </c>
    </row>
    <row r="2408" spans="1:17" x14ac:dyDescent="0.3">
      <c r="A2408" t="s">
        <v>17</v>
      </c>
      <c r="B2408">
        <v>67</v>
      </c>
      <c r="C2408" t="s">
        <v>28</v>
      </c>
      <c r="D2408" s="2">
        <v>45961</v>
      </c>
      <c r="E2408" s="3">
        <f t="shared" si="37"/>
        <v>45931</v>
      </c>
      <c r="F2408" t="s">
        <v>2143</v>
      </c>
      <c r="H2408" s="4">
        <v>9.99</v>
      </c>
      <c r="I2408" t="s">
        <v>31</v>
      </c>
      <c r="J2408" t="s">
        <v>74</v>
      </c>
      <c r="K2408" t="s">
        <v>1494</v>
      </c>
      <c r="L2408" s="2">
        <v>45931</v>
      </c>
      <c r="M2408" t="s">
        <v>76</v>
      </c>
      <c r="N2408">
        <v>0</v>
      </c>
      <c r="O2408" t="s">
        <v>31</v>
      </c>
      <c r="P2408" t="s">
        <v>28</v>
      </c>
      <c r="Q2408">
        <v>0</v>
      </c>
    </row>
    <row r="2409" spans="1:17" x14ac:dyDescent="0.3">
      <c r="A2409" t="s">
        <v>17</v>
      </c>
      <c r="B2409">
        <v>67</v>
      </c>
      <c r="C2409" t="s">
        <v>28</v>
      </c>
      <c r="D2409" s="2">
        <v>45961</v>
      </c>
      <c r="E2409" s="3">
        <f t="shared" si="37"/>
        <v>45931</v>
      </c>
      <c r="F2409" t="s">
        <v>2144</v>
      </c>
      <c r="H2409" s="4">
        <v>411.58</v>
      </c>
      <c r="I2409" t="s">
        <v>31</v>
      </c>
      <c r="J2409" t="s">
        <v>74</v>
      </c>
      <c r="K2409" t="s">
        <v>1501</v>
      </c>
      <c r="L2409" s="2">
        <v>45931</v>
      </c>
      <c r="M2409" t="s">
        <v>76</v>
      </c>
      <c r="N2409">
        <v>0</v>
      </c>
      <c r="O2409" t="s">
        <v>31</v>
      </c>
      <c r="P2409" t="s">
        <v>28</v>
      </c>
      <c r="Q2409">
        <v>0</v>
      </c>
    </row>
    <row r="2410" spans="1:17" x14ac:dyDescent="0.3">
      <c r="A2410" t="s">
        <v>17</v>
      </c>
      <c r="B2410">
        <v>67</v>
      </c>
      <c r="C2410" t="s">
        <v>28</v>
      </c>
      <c r="D2410" s="2">
        <v>45961</v>
      </c>
      <c r="E2410" s="3">
        <f t="shared" si="37"/>
        <v>45931</v>
      </c>
      <c r="F2410" t="s">
        <v>2145</v>
      </c>
      <c r="H2410" s="4">
        <v>421.69</v>
      </c>
      <c r="I2410" t="s">
        <v>31</v>
      </c>
      <c r="J2410" t="s">
        <v>74</v>
      </c>
      <c r="K2410" t="s">
        <v>1895</v>
      </c>
      <c r="L2410" s="2">
        <v>45931</v>
      </c>
      <c r="M2410" t="s">
        <v>76</v>
      </c>
      <c r="N2410">
        <v>0</v>
      </c>
      <c r="O2410" t="s">
        <v>31</v>
      </c>
      <c r="P2410" t="s">
        <v>28</v>
      </c>
      <c r="Q2410">
        <v>0</v>
      </c>
    </row>
    <row r="2411" spans="1:17" x14ac:dyDescent="0.3">
      <c r="A2411" t="s">
        <v>17</v>
      </c>
      <c r="B2411">
        <v>67</v>
      </c>
      <c r="C2411" t="s">
        <v>28</v>
      </c>
      <c r="D2411" s="2">
        <v>45961</v>
      </c>
      <c r="E2411" s="3">
        <f t="shared" si="37"/>
        <v>45931</v>
      </c>
      <c r="F2411" t="s">
        <v>2146</v>
      </c>
      <c r="H2411" s="4">
        <v>8296.51</v>
      </c>
      <c r="I2411" t="s">
        <v>31</v>
      </c>
      <c r="J2411" t="s">
        <v>74</v>
      </c>
      <c r="K2411" t="s">
        <v>2147</v>
      </c>
      <c r="L2411" s="2">
        <v>45931</v>
      </c>
      <c r="M2411" t="s">
        <v>76</v>
      </c>
      <c r="N2411">
        <v>0</v>
      </c>
      <c r="O2411" t="s">
        <v>31</v>
      </c>
      <c r="P2411" t="s">
        <v>28</v>
      </c>
      <c r="Q2411">
        <v>0</v>
      </c>
    </row>
    <row r="2412" spans="1:17" x14ac:dyDescent="0.3">
      <c r="A2412" t="s">
        <v>17</v>
      </c>
      <c r="B2412">
        <v>67</v>
      </c>
      <c r="C2412" t="s">
        <v>28</v>
      </c>
      <c r="D2412" s="2">
        <v>45961</v>
      </c>
      <c r="E2412" s="3">
        <f t="shared" si="37"/>
        <v>45931</v>
      </c>
      <c r="F2412" t="s">
        <v>2148</v>
      </c>
      <c r="H2412" s="4">
        <v>2268.23</v>
      </c>
      <c r="I2412" t="s">
        <v>47</v>
      </c>
      <c r="J2412" t="s">
        <v>74</v>
      </c>
      <c r="K2412" t="s">
        <v>1108</v>
      </c>
      <c r="L2412" s="2">
        <v>45931</v>
      </c>
      <c r="M2412" t="s">
        <v>76</v>
      </c>
      <c r="N2412">
        <v>0</v>
      </c>
      <c r="O2412" t="s">
        <v>26</v>
      </c>
      <c r="P2412" t="s">
        <v>28</v>
      </c>
      <c r="Q2412">
        <v>0</v>
      </c>
    </row>
    <row r="2413" spans="1:17" x14ac:dyDescent="0.3">
      <c r="A2413" t="s">
        <v>17</v>
      </c>
      <c r="B2413">
        <v>67</v>
      </c>
      <c r="C2413" t="s">
        <v>28</v>
      </c>
      <c r="D2413" s="2">
        <v>45961</v>
      </c>
      <c r="E2413" s="3">
        <f t="shared" si="37"/>
        <v>45931</v>
      </c>
      <c r="F2413" t="s">
        <v>2149</v>
      </c>
      <c r="H2413" s="4">
        <v>41.67</v>
      </c>
      <c r="I2413" t="s">
        <v>47</v>
      </c>
      <c r="J2413" t="s">
        <v>74</v>
      </c>
      <c r="K2413" t="s">
        <v>2150</v>
      </c>
      <c r="L2413" s="2">
        <v>45931</v>
      </c>
      <c r="M2413" t="s">
        <v>76</v>
      </c>
      <c r="N2413">
        <v>0</v>
      </c>
      <c r="O2413" t="s">
        <v>26</v>
      </c>
      <c r="P2413" t="s">
        <v>28</v>
      </c>
      <c r="Q2413">
        <v>0</v>
      </c>
    </row>
    <row r="2414" spans="1:17" x14ac:dyDescent="0.3">
      <c r="A2414" t="s">
        <v>17</v>
      </c>
      <c r="B2414">
        <v>68</v>
      </c>
      <c r="C2414" t="s">
        <v>34</v>
      </c>
      <c r="D2414" s="2">
        <v>45931</v>
      </c>
      <c r="E2414" s="3">
        <f t="shared" si="37"/>
        <v>45931</v>
      </c>
      <c r="F2414" t="s">
        <v>1994</v>
      </c>
      <c r="G2414" t="s">
        <v>40</v>
      </c>
      <c r="H2414" s="4">
        <v>515.11</v>
      </c>
      <c r="I2414" t="s">
        <v>31</v>
      </c>
      <c r="J2414" t="s">
        <v>37</v>
      </c>
      <c r="K2414" t="s">
        <v>2151</v>
      </c>
      <c r="L2414" s="2">
        <v>45931</v>
      </c>
      <c r="M2414" t="s">
        <v>37</v>
      </c>
      <c r="N2414">
        <v>0</v>
      </c>
      <c r="O2414" t="s">
        <v>31</v>
      </c>
      <c r="P2414" t="s">
        <v>34</v>
      </c>
      <c r="Q2414">
        <v>0</v>
      </c>
    </row>
    <row r="2415" spans="1:17" x14ac:dyDescent="0.3">
      <c r="A2415" t="s">
        <v>17</v>
      </c>
      <c r="B2415">
        <v>68</v>
      </c>
      <c r="C2415" t="s">
        <v>34</v>
      </c>
      <c r="D2415" s="2">
        <v>45931</v>
      </c>
      <c r="E2415" s="3">
        <f t="shared" si="37"/>
        <v>45931</v>
      </c>
      <c r="F2415" t="s">
        <v>2152</v>
      </c>
      <c r="G2415" t="s">
        <v>36</v>
      </c>
      <c r="H2415" s="4">
        <v>5.33</v>
      </c>
      <c r="I2415" t="s">
        <v>31</v>
      </c>
      <c r="J2415" t="s">
        <v>37</v>
      </c>
      <c r="K2415" t="s">
        <v>1276</v>
      </c>
      <c r="L2415" s="2">
        <v>45931</v>
      </c>
      <c r="M2415" t="s">
        <v>37</v>
      </c>
      <c r="N2415">
        <v>0</v>
      </c>
      <c r="O2415" t="s">
        <v>31</v>
      </c>
      <c r="P2415" t="s">
        <v>34</v>
      </c>
      <c r="Q2415">
        <v>0</v>
      </c>
    </row>
    <row r="2416" spans="1:17" x14ac:dyDescent="0.3">
      <c r="A2416" t="s">
        <v>17</v>
      </c>
      <c r="B2416">
        <v>68</v>
      </c>
      <c r="C2416" t="s">
        <v>34</v>
      </c>
      <c r="D2416" s="2">
        <v>45931</v>
      </c>
      <c r="E2416" s="3">
        <f t="shared" si="37"/>
        <v>45931</v>
      </c>
      <c r="F2416" t="s">
        <v>2152</v>
      </c>
      <c r="G2416" t="s">
        <v>36</v>
      </c>
      <c r="H2416" s="4">
        <v>25</v>
      </c>
      <c r="I2416" t="s">
        <v>31</v>
      </c>
      <c r="J2416" t="s">
        <v>37</v>
      </c>
      <c r="K2416" t="s">
        <v>1902</v>
      </c>
      <c r="L2416" s="2">
        <v>45931</v>
      </c>
      <c r="M2416" t="s">
        <v>37</v>
      </c>
      <c r="N2416">
        <v>0</v>
      </c>
      <c r="O2416" t="s">
        <v>31</v>
      </c>
      <c r="P2416" t="s">
        <v>34</v>
      </c>
      <c r="Q2416">
        <v>0</v>
      </c>
    </row>
    <row r="2417" spans="1:17" x14ac:dyDescent="0.3">
      <c r="A2417" t="s">
        <v>17</v>
      </c>
      <c r="B2417">
        <v>68</v>
      </c>
      <c r="C2417" t="s">
        <v>34</v>
      </c>
      <c r="D2417" s="2">
        <v>45931</v>
      </c>
      <c r="E2417" s="3">
        <f t="shared" si="37"/>
        <v>45931</v>
      </c>
      <c r="F2417" t="s">
        <v>2152</v>
      </c>
      <c r="G2417" t="s">
        <v>36</v>
      </c>
      <c r="H2417" s="4">
        <v>35</v>
      </c>
      <c r="I2417" t="s">
        <v>31</v>
      </c>
      <c r="J2417" t="s">
        <v>37</v>
      </c>
      <c r="K2417" t="s">
        <v>1901</v>
      </c>
      <c r="L2417" s="2">
        <v>45931</v>
      </c>
      <c r="M2417" t="s">
        <v>37</v>
      </c>
      <c r="N2417">
        <v>0</v>
      </c>
      <c r="O2417" t="s">
        <v>31</v>
      </c>
      <c r="P2417" t="s">
        <v>34</v>
      </c>
      <c r="Q2417">
        <v>0</v>
      </c>
    </row>
    <row r="2418" spans="1:17" x14ac:dyDescent="0.3">
      <c r="A2418" t="s">
        <v>17</v>
      </c>
      <c r="B2418">
        <v>68</v>
      </c>
      <c r="C2418" t="s">
        <v>34</v>
      </c>
      <c r="D2418" s="2">
        <v>45931</v>
      </c>
      <c r="E2418" s="3">
        <f t="shared" si="37"/>
        <v>45931</v>
      </c>
      <c r="F2418" t="s">
        <v>2153</v>
      </c>
      <c r="H2418" s="4">
        <v>-515.11</v>
      </c>
      <c r="I2418" t="s">
        <v>31</v>
      </c>
      <c r="J2418" t="s">
        <v>37</v>
      </c>
      <c r="K2418" t="s">
        <v>1905</v>
      </c>
      <c r="L2418" s="2">
        <v>45931</v>
      </c>
      <c r="M2418" t="s">
        <v>37</v>
      </c>
      <c r="N2418">
        <v>0</v>
      </c>
      <c r="O2418" t="s">
        <v>31</v>
      </c>
      <c r="P2418" t="s">
        <v>34</v>
      </c>
      <c r="Q2418">
        <v>0</v>
      </c>
    </row>
    <row r="2419" spans="1:17" x14ac:dyDescent="0.3">
      <c r="A2419" t="s">
        <v>17</v>
      </c>
      <c r="B2419">
        <v>68</v>
      </c>
      <c r="C2419" t="s">
        <v>34</v>
      </c>
      <c r="D2419" s="2">
        <v>45957</v>
      </c>
      <c r="E2419" s="3">
        <f t="shared" si="37"/>
        <v>45931</v>
      </c>
      <c r="F2419" s="5">
        <v>45931</v>
      </c>
      <c r="G2419" t="s">
        <v>43</v>
      </c>
      <c r="H2419" s="4">
        <v>270.36</v>
      </c>
      <c r="I2419" t="s">
        <v>31</v>
      </c>
      <c r="J2419" t="s">
        <v>37</v>
      </c>
      <c r="K2419" t="s">
        <v>1734</v>
      </c>
      <c r="L2419" s="2">
        <v>45931</v>
      </c>
      <c r="M2419" t="s">
        <v>37</v>
      </c>
      <c r="N2419">
        <v>0</v>
      </c>
      <c r="O2419" t="s">
        <v>31</v>
      </c>
      <c r="P2419" t="s">
        <v>34</v>
      </c>
      <c r="Q2419">
        <v>0</v>
      </c>
    </row>
    <row r="2420" spans="1:17" x14ac:dyDescent="0.3">
      <c r="A2420" t="s">
        <v>17</v>
      </c>
      <c r="B2420">
        <v>68</v>
      </c>
      <c r="C2420" t="s">
        <v>34</v>
      </c>
      <c r="D2420" s="2">
        <v>45961</v>
      </c>
      <c r="E2420" s="3">
        <f t="shared" si="37"/>
        <v>45931</v>
      </c>
      <c r="F2420" t="s">
        <v>2154</v>
      </c>
      <c r="H2420" s="4">
        <v>479.83</v>
      </c>
      <c r="I2420" t="s">
        <v>31</v>
      </c>
      <c r="J2420" t="s">
        <v>37</v>
      </c>
      <c r="K2420" t="s">
        <v>2155</v>
      </c>
      <c r="L2420" s="2">
        <v>45931</v>
      </c>
      <c r="M2420" t="s">
        <v>37</v>
      </c>
      <c r="N2420">
        <v>0</v>
      </c>
      <c r="O2420" t="s">
        <v>31</v>
      </c>
      <c r="P2420" t="s">
        <v>34</v>
      </c>
      <c r="Q2420">
        <v>0</v>
      </c>
    </row>
    <row r="2421" spans="1:17" x14ac:dyDescent="0.3">
      <c r="A2421" t="s">
        <v>17</v>
      </c>
      <c r="B2421">
        <v>65</v>
      </c>
      <c r="C2421" t="s">
        <v>54</v>
      </c>
      <c r="D2421" s="2">
        <v>45944</v>
      </c>
      <c r="E2421" s="3">
        <f t="shared" si="37"/>
        <v>45931</v>
      </c>
      <c r="F2421">
        <v>42021506</v>
      </c>
      <c r="G2421" t="s">
        <v>154</v>
      </c>
      <c r="H2421" s="4">
        <v>740.48</v>
      </c>
      <c r="I2421" t="s">
        <v>31</v>
      </c>
      <c r="J2421" t="s">
        <v>155</v>
      </c>
      <c r="K2421" t="s">
        <v>2156</v>
      </c>
      <c r="L2421" s="2">
        <v>45931</v>
      </c>
      <c r="M2421" t="s">
        <v>155</v>
      </c>
      <c r="N2421">
        <v>0</v>
      </c>
      <c r="O2421" t="s">
        <v>31</v>
      </c>
      <c r="P2421" t="s">
        <v>54</v>
      </c>
      <c r="Q2421">
        <v>0</v>
      </c>
    </row>
    <row r="2422" spans="1:17" x14ac:dyDescent="0.3">
      <c r="A2422" t="s">
        <v>17</v>
      </c>
      <c r="B2422">
        <v>65</v>
      </c>
      <c r="C2422" t="s">
        <v>54</v>
      </c>
      <c r="D2422" s="2">
        <v>45961</v>
      </c>
      <c r="E2422" s="3">
        <f t="shared" si="37"/>
        <v>45931</v>
      </c>
      <c r="F2422" t="s">
        <v>1996</v>
      </c>
      <c r="H2422" s="4">
        <v>-606</v>
      </c>
      <c r="I2422" t="s">
        <v>31</v>
      </c>
      <c r="J2422" t="s">
        <v>155</v>
      </c>
      <c r="L2422" s="2">
        <v>45931</v>
      </c>
      <c r="M2422" t="s">
        <v>155</v>
      </c>
      <c r="N2422">
        <v>0</v>
      </c>
      <c r="O2422" t="s">
        <v>31</v>
      </c>
      <c r="P2422" t="s">
        <v>54</v>
      </c>
      <c r="Q2422">
        <v>0</v>
      </c>
    </row>
    <row r="2423" spans="1:17" x14ac:dyDescent="0.3">
      <c r="A2423" t="s">
        <v>17</v>
      </c>
      <c r="B2423">
        <v>67</v>
      </c>
      <c r="C2423" t="s">
        <v>28</v>
      </c>
      <c r="D2423" s="2">
        <v>45961</v>
      </c>
      <c r="E2423" s="3">
        <f t="shared" si="37"/>
        <v>45931</v>
      </c>
      <c r="F2423" t="s">
        <v>2157</v>
      </c>
      <c r="H2423" s="4">
        <v>175</v>
      </c>
      <c r="I2423" t="s">
        <v>108</v>
      </c>
      <c r="J2423" t="s">
        <v>352</v>
      </c>
      <c r="K2423" t="s">
        <v>2158</v>
      </c>
      <c r="L2423" s="2">
        <v>45931</v>
      </c>
      <c r="M2423" t="s">
        <v>352</v>
      </c>
      <c r="N2423">
        <v>0</v>
      </c>
      <c r="O2423" t="s">
        <v>111</v>
      </c>
      <c r="P2423" t="s">
        <v>28</v>
      </c>
      <c r="Q2423">
        <v>0</v>
      </c>
    </row>
    <row r="2424" spans="1:17" x14ac:dyDescent="0.3">
      <c r="A2424" t="s">
        <v>17</v>
      </c>
      <c r="B2424">
        <v>68</v>
      </c>
      <c r="C2424" t="s">
        <v>34</v>
      </c>
      <c r="D2424" s="2">
        <v>45961</v>
      </c>
      <c r="E2424" s="3">
        <f t="shared" si="37"/>
        <v>45931</v>
      </c>
      <c r="F2424" t="s">
        <v>2159</v>
      </c>
      <c r="H2424" s="4">
        <v>5000</v>
      </c>
      <c r="I2424" t="s">
        <v>21</v>
      </c>
      <c r="J2424" t="s">
        <v>726</v>
      </c>
      <c r="K2424" t="s">
        <v>2160</v>
      </c>
      <c r="L2424" s="2">
        <v>45931</v>
      </c>
      <c r="M2424" t="s">
        <v>726</v>
      </c>
      <c r="N2424" t="s">
        <v>25</v>
      </c>
      <c r="O2424" t="s">
        <v>81</v>
      </c>
      <c r="P2424" t="s">
        <v>34</v>
      </c>
      <c r="Q2424">
        <v>0</v>
      </c>
    </row>
    <row r="2425" spans="1:17" x14ac:dyDescent="0.3">
      <c r="A2425" t="s">
        <v>17</v>
      </c>
      <c r="B2425">
        <v>67</v>
      </c>
      <c r="C2425" t="s">
        <v>28</v>
      </c>
      <c r="D2425" s="2">
        <v>45934</v>
      </c>
      <c r="E2425" s="3">
        <f t="shared" si="37"/>
        <v>45931</v>
      </c>
      <c r="F2425" t="s">
        <v>2134</v>
      </c>
      <c r="G2425" t="s">
        <v>101</v>
      </c>
      <c r="H2425" s="4">
        <v>1.1399999999999999</v>
      </c>
      <c r="I2425" t="s">
        <v>31</v>
      </c>
      <c r="J2425" t="s">
        <v>64</v>
      </c>
      <c r="K2425" t="s">
        <v>1166</v>
      </c>
      <c r="L2425" s="2">
        <v>45931</v>
      </c>
      <c r="M2425" t="s">
        <v>64</v>
      </c>
      <c r="N2425">
        <v>0</v>
      </c>
      <c r="O2425" t="s">
        <v>31</v>
      </c>
      <c r="P2425" t="s">
        <v>28</v>
      </c>
      <c r="Q2425">
        <v>0</v>
      </c>
    </row>
    <row r="2426" spans="1:17" x14ac:dyDescent="0.3">
      <c r="A2426" t="s">
        <v>17</v>
      </c>
      <c r="B2426">
        <v>67</v>
      </c>
      <c r="C2426" t="s">
        <v>28</v>
      </c>
      <c r="D2426" s="2">
        <v>45934</v>
      </c>
      <c r="E2426" s="3">
        <f t="shared" si="37"/>
        <v>45931</v>
      </c>
      <c r="F2426" t="s">
        <v>2134</v>
      </c>
      <c r="G2426" t="s">
        <v>101</v>
      </c>
      <c r="H2426" s="4">
        <v>1.1200000000000001</v>
      </c>
      <c r="I2426" t="s">
        <v>31</v>
      </c>
      <c r="J2426" t="s">
        <v>64</v>
      </c>
      <c r="K2426" t="s">
        <v>1166</v>
      </c>
      <c r="L2426" s="2">
        <v>45931</v>
      </c>
      <c r="M2426" t="s">
        <v>64</v>
      </c>
      <c r="N2426">
        <v>0</v>
      </c>
      <c r="O2426" t="s">
        <v>31</v>
      </c>
      <c r="P2426" t="s">
        <v>28</v>
      </c>
      <c r="Q2426">
        <v>0</v>
      </c>
    </row>
    <row r="2427" spans="1:17" x14ac:dyDescent="0.3">
      <c r="A2427" t="s">
        <v>17</v>
      </c>
      <c r="B2427">
        <v>67</v>
      </c>
      <c r="C2427" t="s">
        <v>28</v>
      </c>
      <c r="D2427" s="2">
        <v>45945</v>
      </c>
      <c r="E2427" s="3">
        <f t="shared" si="37"/>
        <v>45931</v>
      </c>
      <c r="F2427" t="s">
        <v>2161</v>
      </c>
      <c r="H2427" s="4">
        <v>592.88</v>
      </c>
      <c r="I2427" t="s">
        <v>31</v>
      </c>
      <c r="J2427" t="s">
        <v>64</v>
      </c>
      <c r="K2427" t="s">
        <v>168</v>
      </c>
      <c r="L2427" s="2">
        <v>45931</v>
      </c>
      <c r="M2427" t="s">
        <v>64</v>
      </c>
      <c r="N2427">
        <v>0</v>
      </c>
      <c r="O2427" t="s">
        <v>31</v>
      </c>
      <c r="P2427" t="s">
        <v>28</v>
      </c>
      <c r="Q2427">
        <v>0</v>
      </c>
    </row>
    <row r="2428" spans="1:17" x14ac:dyDescent="0.3">
      <c r="A2428" t="s">
        <v>17</v>
      </c>
      <c r="B2428">
        <v>68</v>
      </c>
      <c r="C2428" t="s">
        <v>34</v>
      </c>
      <c r="D2428" s="2">
        <v>45940</v>
      </c>
      <c r="E2428" s="3">
        <f t="shared" si="37"/>
        <v>45931</v>
      </c>
      <c r="F2428" t="s">
        <v>2162</v>
      </c>
      <c r="H2428" s="4">
        <v>54</v>
      </c>
      <c r="I2428" t="s">
        <v>31</v>
      </c>
      <c r="J2428" t="s">
        <v>613</v>
      </c>
      <c r="K2428" t="s">
        <v>2163</v>
      </c>
      <c r="L2428" s="2">
        <v>45931</v>
      </c>
      <c r="M2428" t="s">
        <v>613</v>
      </c>
      <c r="N2428">
        <v>0</v>
      </c>
      <c r="O2428" t="s">
        <v>31</v>
      </c>
      <c r="P2428" t="s">
        <v>34</v>
      </c>
      <c r="Q2428">
        <v>0</v>
      </c>
    </row>
    <row r="2429" spans="1:17" x14ac:dyDescent="0.3">
      <c r="A2429" t="s">
        <v>17</v>
      </c>
      <c r="B2429">
        <v>68</v>
      </c>
      <c r="C2429" t="s">
        <v>34</v>
      </c>
      <c r="D2429" s="2">
        <v>45944</v>
      </c>
      <c r="E2429" s="3">
        <f t="shared" si="37"/>
        <v>45931</v>
      </c>
      <c r="F2429" t="s">
        <v>2164</v>
      </c>
      <c r="H2429" s="4">
        <v>138</v>
      </c>
      <c r="I2429" t="s">
        <v>31</v>
      </c>
      <c r="J2429" t="s">
        <v>613</v>
      </c>
      <c r="K2429" t="s">
        <v>2165</v>
      </c>
      <c r="L2429" s="2">
        <v>45931</v>
      </c>
      <c r="M2429" t="s">
        <v>613</v>
      </c>
      <c r="N2429">
        <v>0</v>
      </c>
      <c r="O2429" t="s">
        <v>31</v>
      </c>
      <c r="P2429" t="s">
        <v>34</v>
      </c>
      <c r="Q2429">
        <v>0</v>
      </c>
    </row>
    <row r="2430" spans="1:17" x14ac:dyDescent="0.3">
      <c r="A2430" t="s">
        <v>17</v>
      </c>
      <c r="B2430">
        <v>68</v>
      </c>
      <c r="C2430" t="s">
        <v>34</v>
      </c>
      <c r="D2430" s="2">
        <v>45944</v>
      </c>
      <c r="E2430" s="3">
        <f t="shared" si="37"/>
        <v>45931</v>
      </c>
      <c r="F2430" t="s">
        <v>2166</v>
      </c>
      <c r="H2430" s="4">
        <v>2380</v>
      </c>
      <c r="I2430" t="s">
        <v>31</v>
      </c>
      <c r="J2430" t="s">
        <v>613</v>
      </c>
      <c r="K2430" t="s">
        <v>2167</v>
      </c>
      <c r="L2430" s="2">
        <v>45931</v>
      </c>
      <c r="M2430" t="s">
        <v>613</v>
      </c>
      <c r="N2430">
        <v>0</v>
      </c>
      <c r="O2430" t="s">
        <v>31</v>
      </c>
      <c r="P2430" t="s">
        <v>34</v>
      </c>
      <c r="Q2430">
        <v>0</v>
      </c>
    </row>
    <row r="2431" spans="1:17" x14ac:dyDescent="0.3">
      <c r="A2431" t="s">
        <v>17</v>
      </c>
      <c r="B2431">
        <v>68</v>
      </c>
      <c r="C2431" t="s">
        <v>34</v>
      </c>
      <c r="D2431" s="2">
        <v>45944</v>
      </c>
      <c r="E2431" s="3">
        <f t="shared" si="37"/>
        <v>45931</v>
      </c>
      <c r="F2431" t="s">
        <v>2168</v>
      </c>
      <c r="H2431" s="4">
        <v>50</v>
      </c>
      <c r="I2431" t="s">
        <v>31</v>
      </c>
      <c r="J2431" t="s">
        <v>613</v>
      </c>
      <c r="K2431" t="s">
        <v>2169</v>
      </c>
      <c r="L2431" s="2">
        <v>45931</v>
      </c>
      <c r="M2431" t="s">
        <v>613</v>
      </c>
      <c r="N2431">
        <v>0</v>
      </c>
      <c r="O2431" t="s">
        <v>31</v>
      </c>
      <c r="P2431" t="s">
        <v>34</v>
      </c>
      <c r="Q2431">
        <v>0</v>
      </c>
    </row>
    <row r="2432" spans="1:17" x14ac:dyDescent="0.3">
      <c r="A2432" t="s">
        <v>17</v>
      </c>
      <c r="B2432">
        <v>68</v>
      </c>
      <c r="C2432" t="s">
        <v>34</v>
      </c>
      <c r="D2432" s="2">
        <v>45944</v>
      </c>
      <c r="E2432" s="3">
        <f t="shared" si="37"/>
        <v>45931</v>
      </c>
      <c r="F2432" t="s">
        <v>2170</v>
      </c>
      <c r="H2432" s="4">
        <v>27</v>
      </c>
      <c r="I2432" t="s">
        <v>31</v>
      </c>
      <c r="J2432" t="s">
        <v>613</v>
      </c>
      <c r="K2432" t="s">
        <v>2171</v>
      </c>
      <c r="L2432" s="2">
        <v>45931</v>
      </c>
      <c r="M2432" t="s">
        <v>613</v>
      </c>
      <c r="N2432">
        <v>0</v>
      </c>
      <c r="O2432" t="s">
        <v>31</v>
      </c>
      <c r="P2432" t="s">
        <v>34</v>
      </c>
      <c r="Q2432">
        <v>0</v>
      </c>
    </row>
    <row r="2433" spans="1:17" x14ac:dyDescent="0.3">
      <c r="A2433" t="s">
        <v>17</v>
      </c>
      <c r="B2433">
        <v>68</v>
      </c>
      <c r="C2433" t="s">
        <v>34</v>
      </c>
      <c r="D2433" s="2">
        <v>45944</v>
      </c>
      <c r="E2433" s="3">
        <f t="shared" si="37"/>
        <v>45931</v>
      </c>
      <c r="F2433" t="s">
        <v>2172</v>
      </c>
      <c r="H2433" s="4">
        <v>217</v>
      </c>
      <c r="I2433" t="s">
        <v>31</v>
      </c>
      <c r="J2433" t="s">
        <v>613</v>
      </c>
      <c r="K2433" t="s">
        <v>2173</v>
      </c>
      <c r="L2433" s="2">
        <v>45931</v>
      </c>
      <c r="M2433" t="s">
        <v>613</v>
      </c>
      <c r="N2433">
        <v>0</v>
      </c>
      <c r="O2433" t="s">
        <v>31</v>
      </c>
      <c r="P2433" t="s">
        <v>34</v>
      </c>
      <c r="Q2433">
        <v>0</v>
      </c>
    </row>
    <row r="2434" spans="1:17" x14ac:dyDescent="0.3">
      <c r="A2434" t="s">
        <v>17</v>
      </c>
      <c r="B2434">
        <v>68</v>
      </c>
      <c r="C2434" t="s">
        <v>34</v>
      </c>
      <c r="D2434" s="2">
        <v>45944</v>
      </c>
      <c r="E2434" s="3">
        <f t="shared" si="37"/>
        <v>45931</v>
      </c>
      <c r="F2434" t="s">
        <v>2174</v>
      </c>
      <c r="H2434" s="4">
        <v>-184.72</v>
      </c>
      <c r="I2434" t="s">
        <v>31</v>
      </c>
      <c r="J2434" t="s">
        <v>613</v>
      </c>
      <c r="K2434" t="s">
        <v>2175</v>
      </c>
      <c r="L2434" s="2">
        <v>45931</v>
      </c>
      <c r="M2434" t="s">
        <v>613</v>
      </c>
      <c r="N2434">
        <v>0</v>
      </c>
      <c r="O2434" t="s">
        <v>31</v>
      </c>
      <c r="P2434" t="s">
        <v>34</v>
      </c>
      <c r="Q2434">
        <v>0</v>
      </c>
    </row>
    <row r="2435" spans="1:17" x14ac:dyDescent="0.3">
      <c r="A2435" t="s">
        <v>17</v>
      </c>
      <c r="B2435">
        <v>68</v>
      </c>
      <c r="C2435" t="s">
        <v>34</v>
      </c>
      <c r="D2435" s="2">
        <v>45946</v>
      </c>
      <c r="E2435" s="3">
        <f t="shared" ref="E2435:E2498" si="38">IF($D2435="","",DATE(YEAR($D2435),MONTH($D2435),1))</f>
        <v>45931</v>
      </c>
      <c r="F2435" t="s">
        <v>2176</v>
      </c>
      <c r="H2435" s="4">
        <v>71</v>
      </c>
      <c r="I2435" t="s">
        <v>31</v>
      </c>
      <c r="J2435" t="s">
        <v>613</v>
      </c>
      <c r="K2435" t="s">
        <v>2177</v>
      </c>
      <c r="L2435" s="2">
        <v>45931</v>
      </c>
      <c r="M2435" t="s">
        <v>613</v>
      </c>
      <c r="N2435">
        <v>0</v>
      </c>
      <c r="O2435" t="s">
        <v>31</v>
      </c>
      <c r="P2435" t="s">
        <v>34</v>
      </c>
      <c r="Q2435">
        <v>0</v>
      </c>
    </row>
    <row r="2436" spans="1:17" x14ac:dyDescent="0.3">
      <c r="A2436" t="s">
        <v>17</v>
      </c>
      <c r="B2436">
        <v>68</v>
      </c>
      <c r="C2436" t="s">
        <v>34</v>
      </c>
      <c r="D2436" s="2">
        <v>45950</v>
      </c>
      <c r="E2436" s="3">
        <f t="shared" si="38"/>
        <v>45931</v>
      </c>
      <c r="F2436" t="s">
        <v>2178</v>
      </c>
      <c r="G2436" t="s">
        <v>2179</v>
      </c>
      <c r="H2436" s="4">
        <v>-9325.82</v>
      </c>
      <c r="I2436" t="s">
        <v>31</v>
      </c>
      <c r="J2436" t="s">
        <v>613</v>
      </c>
      <c r="K2436" t="s">
        <v>2180</v>
      </c>
      <c r="L2436" s="2">
        <v>45931</v>
      </c>
      <c r="M2436" t="s">
        <v>613</v>
      </c>
      <c r="N2436">
        <v>0</v>
      </c>
      <c r="O2436" t="s">
        <v>31</v>
      </c>
      <c r="P2436" t="s">
        <v>34</v>
      </c>
      <c r="Q2436">
        <v>0</v>
      </c>
    </row>
    <row r="2437" spans="1:17" x14ac:dyDescent="0.3">
      <c r="A2437" t="s">
        <v>17</v>
      </c>
      <c r="B2437">
        <v>68</v>
      </c>
      <c r="C2437" t="s">
        <v>34</v>
      </c>
      <c r="D2437" s="2">
        <v>45951</v>
      </c>
      <c r="E2437" s="3">
        <f t="shared" si="38"/>
        <v>45931</v>
      </c>
      <c r="F2437" t="s">
        <v>2181</v>
      </c>
      <c r="H2437" s="4">
        <v>-27.18</v>
      </c>
      <c r="I2437" t="s">
        <v>31</v>
      </c>
      <c r="J2437" t="s">
        <v>613</v>
      </c>
      <c r="K2437" t="s">
        <v>2182</v>
      </c>
      <c r="L2437" s="2">
        <v>45931</v>
      </c>
      <c r="M2437" t="s">
        <v>613</v>
      </c>
      <c r="N2437">
        <v>0</v>
      </c>
      <c r="O2437" t="s">
        <v>31</v>
      </c>
      <c r="P2437" t="s">
        <v>34</v>
      </c>
      <c r="Q2437">
        <v>0</v>
      </c>
    </row>
    <row r="2438" spans="1:17" x14ac:dyDescent="0.3">
      <c r="A2438" t="s">
        <v>17</v>
      </c>
      <c r="B2438">
        <v>68</v>
      </c>
      <c r="C2438" t="s">
        <v>34</v>
      </c>
      <c r="D2438" s="2">
        <v>45954</v>
      </c>
      <c r="E2438" s="3">
        <f t="shared" si="38"/>
        <v>45931</v>
      </c>
      <c r="F2438" t="s">
        <v>2183</v>
      </c>
      <c r="H2438" s="4">
        <v>184.72</v>
      </c>
      <c r="I2438" t="s">
        <v>31</v>
      </c>
      <c r="J2438" t="s">
        <v>613</v>
      </c>
      <c r="K2438" t="s">
        <v>2184</v>
      </c>
      <c r="L2438" s="2">
        <v>45931</v>
      </c>
      <c r="M2438" t="s">
        <v>613</v>
      </c>
      <c r="N2438">
        <v>0</v>
      </c>
      <c r="O2438" t="s">
        <v>31</v>
      </c>
      <c r="P2438" t="s">
        <v>34</v>
      </c>
      <c r="Q2438">
        <v>0</v>
      </c>
    </row>
    <row r="2439" spans="1:17" x14ac:dyDescent="0.3">
      <c r="A2439" t="s">
        <v>17</v>
      </c>
      <c r="B2439">
        <v>68</v>
      </c>
      <c r="C2439" t="s">
        <v>34</v>
      </c>
      <c r="D2439" s="2">
        <v>45957</v>
      </c>
      <c r="E2439" s="3">
        <f t="shared" si="38"/>
        <v>45931</v>
      </c>
      <c r="F2439" t="s">
        <v>2185</v>
      </c>
      <c r="H2439" s="4">
        <v>-18.89</v>
      </c>
      <c r="I2439" t="s">
        <v>31</v>
      </c>
      <c r="J2439" t="s">
        <v>613</v>
      </c>
      <c r="K2439" t="s">
        <v>802</v>
      </c>
      <c r="L2439" s="2">
        <v>45931</v>
      </c>
      <c r="M2439" t="s">
        <v>613</v>
      </c>
      <c r="N2439">
        <v>0</v>
      </c>
      <c r="O2439" t="s">
        <v>31</v>
      </c>
      <c r="P2439" t="s">
        <v>34</v>
      </c>
      <c r="Q2439">
        <v>0</v>
      </c>
    </row>
    <row r="2440" spans="1:17" x14ac:dyDescent="0.3">
      <c r="A2440" t="s">
        <v>17</v>
      </c>
      <c r="B2440">
        <v>69</v>
      </c>
      <c r="C2440" t="s">
        <v>297</v>
      </c>
      <c r="D2440" s="2">
        <v>45961</v>
      </c>
      <c r="E2440" s="3">
        <f t="shared" si="38"/>
        <v>45931</v>
      </c>
      <c r="F2440" t="s">
        <v>2186</v>
      </c>
      <c r="H2440" s="4">
        <v>24.41</v>
      </c>
      <c r="I2440" t="s">
        <v>31</v>
      </c>
      <c r="J2440" t="s">
        <v>360</v>
      </c>
      <c r="L2440" s="2">
        <v>45931</v>
      </c>
      <c r="M2440" t="s">
        <v>361</v>
      </c>
      <c r="N2440">
        <v>0</v>
      </c>
      <c r="O2440" t="s">
        <v>31</v>
      </c>
      <c r="P2440" t="s">
        <v>297</v>
      </c>
      <c r="Q2440">
        <v>0</v>
      </c>
    </row>
    <row r="2441" spans="1:17" x14ac:dyDescent="0.3">
      <c r="A2441" t="s">
        <v>17</v>
      </c>
      <c r="B2441">
        <v>69</v>
      </c>
      <c r="C2441" t="s">
        <v>297</v>
      </c>
      <c r="D2441" s="2">
        <v>45961</v>
      </c>
      <c r="E2441" s="3">
        <f t="shared" si="38"/>
        <v>45931</v>
      </c>
      <c r="F2441" t="s">
        <v>2186</v>
      </c>
      <c r="H2441" s="4">
        <v>27.5</v>
      </c>
      <c r="I2441" t="s">
        <v>108</v>
      </c>
      <c r="J2441" t="s">
        <v>360</v>
      </c>
      <c r="L2441" s="2">
        <v>45931</v>
      </c>
      <c r="M2441" t="s">
        <v>361</v>
      </c>
      <c r="N2441">
        <v>0</v>
      </c>
      <c r="O2441" t="s">
        <v>111</v>
      </c>
      <c r="P2441" t="s">
        <v>297</v>
      </c>
      <c r="Q2441">
        <v>0</v>
      </c>
    </row>
    <row r="2442" spans="1:17" x14ac:dyDescent="0.3">
      <c r="A2442" t="s">
        <v>17</v>
      </c>
      <c r="B2442">
        <v>69</v>
      </c>
      <c r="C2442" t="s">
        <v>297</v>
      </c>
      <c r="D2442" s="2">
        <v>45961</v>
      </c>
      <c r="E2442" s="3">
        <f t="shared" si="38"/>
        <v>45931</v>
      </c>
      <c r="F2442" t="s">
        <v>2186</v>
      </c>
      <c r="H2442" s="4">
        <v>141.36000000000001</v>
      </c>
      <c r="I2442" t="s">
        <v>31</v>
      </c>
      <c r="J2442" t="s">
        <v>349</v>
      </c>
      <c r="L2442" s="2">
        <v>45931</v>
      </c>
      <c r="M2442" t="s">
        <v>350</v>
      </c>
      <c r="N2442">
        <v>0</v>
      </c>
      <c r="O2442" t="s">
        <v>31</v>
      </c>
      <c r="P2442" t="s">
        <v>297</v>
      </c>
      <c r="Q2442">
        <v>0</v>
      </c>
    </row>
    <row r="2443" spans="1:17" x14ac:dyDescent="0.3">
      <c r="A2443" t="s">
        <v>17</v>
      </c>
      <c r="B2443">
        <v>69</v>
      </c>
      <c r="C2443" t="s">
        <v>297</v>
      </c>
      <c r="D2443" s="2">
        <v>45961</v>
      </c>
      <c r="E2443" s="3">
        <f t="shared" si="38"/>
        <v>45931</v>
      </c>
      <c r="F2443" t="s">
        <v>2186</v>
      </c>
      <c r="H2443" s="4">
        <v>259.97000000000003</v>
      </c>
      <c r="I2443" t="s">
        <v>137</v>
      </c>
      <c r="J2443" t="s">
        <v>349</v>
      </c>
      <c r="L2443" s="2">
        <v>45931</v>
      </c>
      <c r="M2443" t="s">
        <v>350</v>
      </c>
      <c r="N2443" t="s">
        <v>141</v>
      </c>
      <c r="O2443" t="s">
        <v>141</v>
      </c>
      <c r="P2443" t="s">
        <v>297</v>
      </c>
      <c r="Q2443">
        <v>0</v>
      </c>
    </row>
    <row r="2444" spans="1:17" x14ac:dyDescent="0.3">
      <c r="A2444" t="s">
        <v>17</v>
      </c>
      <c r="B2444">
        <v>69</v>
      </c>
      <c r="C2444" t="s">
        <v>297</v>
      </c>
      <c r="D2444" s="2">
        <v>45961</v>
      </c>
      <c r="E2444" s="3">
        <f t="shared" si="38"/>
        <v>45931</v>
      </c>
      <c r="F2444" t="s">
        <v>2186</v>
      </c>
      <c r="H2444" s="4">
        <v>589.29999999999995</v>
      </c>
      <c r="I2444" t="s">
        <v>31</v>
      </c>
      <c r="J2444" t="s">
        <v>346</v>
      </c>
      <c r="L2444" s="2">
        <v>45931</v>
      </c>
      <c r="M2444" t="s">
        <v>347</v>
      </c>
      <c r="N2444">
        <v>0</v>
      </c>
      <c r="O2444" t="s">
        <v>31</v>
      </c>
      <c r="P2444" t="s">
        <v>297</v>
      </c>
      <c r="Q2444">
        <v>0</v>
      </c>
    </row>
    <row r="2445" spans="1:17" x14ac:dyDescent="0.3">
      <c r="A2445" t="s">
        <v>17</v>
      </c>
      <c r="B2445">
        <v>69</v>
      </c>
      <c r="C2445" t="s">
        <v>297</v>
      </c>
      <c r="D2445" s="2">
        <v>45961</v>
      </c>
      <c r="E2445" s="3">
        <f t="shared" si="38"/>
        <v>45931</v>
      </c>
      <c r="F2445" t="s">
        <v>2186</v>
      </c>
      <c r="H2445" s="4">
        <v>216.66</v>
      </c>
      <c r="I2445" t="s">
        <v>104</v>
      </c>
      <c r="J2445" t="s">
        <v>346</v>
      </c>
      <c r="L2445" s="2">
        <v>45931</v>
      </c>
      <c r="M2445" t="s">
        <v>347</v>
      </c>
      <c r="N2445">
        <v>0</v>
      </c>
      <c r="O2445" t="s">
        <v>104</v>
      </c>
      <c r="P2445" t="s">
        <v>297</v>
      </c>
      <c r="Q2445">
        <v>0</v>
      </c>
    </row>
    <row r="2446" spans="1:17" x14ac:dyDescent="0.3">
      <c r="A2446" t="s">
        <v>17</v>
      </c>
      <c r="B2446">
        <v>69</v>
      </c>
      <c r="C2446" t="s">
        <v>297</v>
      </c>
      <c r="D2446" s="2">
        <v>45961</v>
      </c>
      <c r="E2446" s="3">
        <f t="shared" si="38"/>
        <v>45931</v>
      </c>
      <c r="F2446" t="s">
        <v>2186</v>
      </c>
      <c r="H2446" s="4">
        <v>228.04</v>
      </c>
      <c r="I2446" t="s">
        <v>21</v>
      </c>
      <c r="J2446" t="s">
        <v>346</v>
      </c>
      <c r="L2446" s="2">
        <v>45931</v>
      </c>
      <c r="M2446" t="s">
        <v>347</v>
      </c>
      <c r="N2446" t="s">
        <v>25</v>
      </c>
      <c r="O2446" t="s">
        <v>81</v>
      </c>
      <c r="P2446" t="s">
        <v>297</v>
      </c>
      <c r="Q2446">
        <v>0</v>
      </c>
    </row>
    <row r="2447" spans="1:17" x14ac:dyDescent="0.3">
      <c r="A2447" t="s">
        <v>17</v>
      </c>
      <c r="B2447">
        <v>69</v>
      </c>
      <c r="C2447" t="s">
        <v>297</v>
      </c>
      <c r="D2447" s="2">
        <v>45961</v>
      </c>
      <c r="E2447" s="3">
        <f t="shared" si="38"/>
        <v>45931</v>
      </c>
      <c r="F2447" t="s">
        <v>2186</v>
      </c>
      <c r="H2447" s="4">
        <v>66.72</v>
      </c>
      <c r="I2447" t="s">
        <v>159</v>
      </c>
      <c r="J2447" t="s">
        <v>346</v>
      </c>
      <c r="L2447" s="2">
        <v>45931</v>
      </c>
      <c r="M2447" t="s">
        <v>347</v>
      </c>
      <c r="N2447">
        <v>0</v>
      </c>
      <c r="O2447" t="s">
        <v>159</v>
      </c>
      <c r="P2447" t="s">
        <v>297</v>
      </c>
      <c r="Q2447">
        <v>0</v>
      </c>
    </row>
    <row r="2448" spans="1:17" x14ac:dyDescent="0.3">
      <c r="A2448" t="s">
        <v>17</v>
      </c>
      <c r="B2448">
        <v>69</v>
      </c>
      <c r="C2448" t="s">
        <v>297</v>
      </c>
      <c r="D2448" s="2">
        <v>45961</v>
      </c>
      <c r="E2448" s="3">
        <f t="shared" si="38"/>
        <v>45931</v>
      </c>
      <c r="F2448" t="s">
        <v>2186</v>
      </c>
      <c r="H2448" s="4">
        <v>149.81</v>
      </c>
      <c r="I2448" t="s">
        <v>47</v>
      </c>
      <c r="J2448" t="s">
        <v>346</v>
      </c>
      <c r="L2448" s="2">
        <v>45931</v>
      </c>
      <c r="M2448" t="s">
        <v>347</v>
      </c>
      <c r="N2448">
        <v>0</v>
      </c>
      <c r="O2448" t="s">
        <v>26</v>
      </c>
      <c r="P2448" t="s">
        <v>297</v>
      </c>
      <c r="Q2448">
        <v>0</v>
      </c>
    </row>
    <row r="2449" spans="1:17" x14ac:dyDescent="0.3">
      <c r="A2449" t="s">
        <v>17</v>
      </c>
      <c r="B2449">
        <v>69</v>
      </c>
      <c r="C2449" t="s">
        <v>297</v>
      </c>
      <c r="D2449" s="2">
        <v>45961</v>
      </c>
      <c r="E2449" s="3">
        <f t="shared" si="38"/>
        <v>45931</v>
      </c>
      <c r="F2449" t="s">
        <v>2186</v>
      </c>
      <c r="H2449" s="4">
        <v>65.48</v>
      </c>
      <c r="I2449" t="s">
        <v>348</v>
      </c>
      <c r="J2449" t="s">
        <v>346</v>
      </c>
      <c r="L2449" s="2">
        <v>45931</v>
      </c>
      <c r="M2449" t="s">
        <v>347</v>
      </c>
      <c r="N2449">
        <v>0</v>
      </c>
      <c r="O2449" t="s">
        <v>348</v>
      </c>
      <c r="P2449" t="s">
        <v>297</v>
      </c>
      <c r="Q2449">
        <v>0</v>
      </c>
    </row>
    <row r="2450" spans="1:17" x14ac:dyDescent="0.3">
      <c r="A2450" t="s">
        <v>17</v>
      </c>
      <c r="B2450">
        <v>69</v>
      </c>
      <c r="C2450" t="s">
        <v>297</v>
      </c>
      <c r="D2450" s="2">
        <v>45961</v>
      </c>
      <c r="E2450" s="3">
        <f t="shared" si="38"/>
        <v>45931</v>
      </c>
      <c r="F2450" t="s">
        <v>2186</v>
      </c>
      <c r="H2450" s="4">
        <v>156.94</v>
      </c>
      <c r="I2450" t="s">
        <v>108</v>
      </c>
      <c r="J2450" t="s">
        <v>346</v>
      </c>
      <c r="L2450" s="2">
        <v>45931</v>
      </c>
      <c r="M2450" t="s">
        <v>347</v>
      </c>
      <c r="N2450">
        <v>0</v>
      </c>
      <c r="O2450" t="s">
        <v>111</v>
      </c>
      <c r="P2450" t="s">
        <v>297</v>
      </c>
      <c r="Q2450">
        <v>0</v>
      </c>
    </row>
    <row r="2451" spans="1:17" x14ac:dyDescent="0.3">
      <c r="A2451" t="s">
        <v>17</v>
      </c>
      <c r="B2451">
        <v>69</v>
      </c>
      <c r="C2451" t="s">
        <v>297</v>
      </c>
      <c r="D2451" s="2">
        <v>45961</v>
      </c>
      <c r="E2451" s="3">
        <f t="shared" si="38"/>
        <v>45931</v>
      </c>
      <c r="F2451" t="s">
        <v>2186</v>
      </c>
      <c r="H2451" s="4">
        <v>113.67</v>
      </c>
      <c r="I2451" t="s">
        <v>137</v>
      </c>
      <c r="J2451" t="s">
        <v>346</v>
      </c>
      <c r="L2451" s="2">
        <v>45931</v>
      </c>
      <c r="M2451" t="s">
        <v>347</v>
      </c>
      <c r="N2451" t="s">
        <v>141</v>
      </c>
      <c r="O2451" t="s">
        <v>141</v>
      </c>
      <c r="P2451" t="s">
        <v>297</v>
      </c>
      <c r="Q2451">
        <v>0</v>
      </c>
    </row>
    <row r="2452" spans="1:17" x14ac:dyDescent="0.3">
      <c r="A2452" t="s">
        <v>17</v>
      </c>
      <c r="B2452">
        <v>69</v>
      </c>
      <c r="C2452" t="s">
        <v>297</v>
      </c>
      <c r="D2452" s="2">
        <v>45961</v>
      </c>
      <c r="E2452" s="3">
        <f t="shared" si="38"/>
        <v>45931</v>
      </c>
      <c r="F2452" t="s">
        <v>2187</v>
      </c>
      <c r="H2452" s="4">
        <v>1954.72</v>
      </c>
      <c r="I2452" t="s">
        <v>31</v>
      </c>
      <c r="J2452" t="s">
        <v>299</v>
      </c>
      <c r="K2452" t="s">
        <v>300</v>
      </c>
      <c r="L2452" s="2">
        <v>45931</v>
      </c>
      <c r="M2452" t="s">
        <v>301</v>
      </c>
      <c r="N2452">
        <v>0</v>
      </c>
      <c r="O2452" t="s">
        <v>31</v>
      </c>
      <c r="P2452" t="s">
        <v>297</v>
      </c>
      <c r="Q2452">
        <v>0</v>
      </c>
    </row>
    <row r="2453" spans="1:17" x14ac:dyDescent="0.3">
      <c r="A2453" t="s">
        <v>17</v>
      </c>
      <c r="B2453">
        <v>65</v>
      </c>
      <c r="C2453" t="s">
        <v>54</v>
      </c>
      <c r="D2453" s="2">
        <v>45961</v>
      </c>
      <c r="E2453" s="3">
        <f t="shared" si="38"/>
        <v>45931</v>
      </c>
      <c r="F2453" t="s">
        <v>1996</v>
      </c>
      <c r="H2453" s="4">
        <v>23940.66</v>
      </c>
      <c r="I2453" t="s">
        <v>31</v>
      </c>
      <c r="J2453" t="s">
        <v>296</v>
      </c>
      <c r="L2453" s="2">
        <v>45931</v>
      </c>
      <c r="M2453" t="s">
        <v>296</v>
      </c>
      <c r="N2453">
        <v>0</v>
      </c>
      <c r="O2453" t="s">
        <v>31</v>
      </c>
      <c r="P2453" t="s">
        <v>54</v>
      </c>
      <c r="Q2453">
        <v>0</v>
      </c>
    </row>
    <row r="2454" spans="1:17" x14ac:dyDescent="0.3">
      <c r="A2454" t="s">
        <v>17</v>
      </c>
      <c r="B2454">
        <v>65</v>
      </c>
      <c r="C2454" t="s">
        <v>54</v>
      </c>
      <c r="D2454" s="2">
        <v>45961</v>
      </c>
      <c r="E2454" s="3">
        <f t="shared" si="38"/>
        <v>45931</v>
      </c>
      <c r="F2454" t="s">
        <v>1996</v>
      </c>
      <c r="H2454" s="4">
        <v>594.52</v>
      </c>
      <c r="I2454" t="s">
        <v>31</v>
      </c>
      <c r="J2454" t="s">
        <v>296</v>
      </c>
      <c r="L2454" s="2">
        <v>45931</v>
      </c>
      <c r="M2454" t="s">
        <v>296</v>
      </c>
      <c r="N2454">
        <v>0</v>
      </c>
      <c r="O2454" t="s">
        <v>31</v>
      </c>
      <c r="P2454" t="s">
        <v>54</v>
      </c>
      <c r="Q2454">
        <v>0</v>
      </c>
    </row>
    <row r="2455" spans="1:17" x14ac:dyDescent="0.3">
      <c r="A2455" t="s">
        <v>17</v>
      </c>
      <c r="B2455">
        <v>64</v>
      </c>
      <c r="C2455" t="s">
        <v>83</v>
      </c>
      <c r="D2455" s="2">
        <v>45969</v>
      </c>
      <c r="E2455" s="3">
        <f t="shared" si="38"/>
        <v>45962</v>
      </c>
      <c r="F2455" t="s">
        <v>2188</v>
      </c>
      <c r="H2455" s="4">
        <v>41.61</v>
      </c>
      <c r="I2455" t="s">
        <v>31</v>
      </c>
      <c r="J2455" t="s">
        <v>91</v>
      </c>
      <c r="K2455" t="s">
        <v>2189</v>
      </c>
      <c r="L2455" s="2">
        <v>45962</v>
      </c>
      <c r="M2455" t="s">
        <v>93</v>
      </c>
      <c r="N2455">
        <v>0</v>
      </c>
      <c r="O2455" t="s">
        <v>31</v>
      </c>
      <c r="P2455" t="s">
        <v>83</v>
      </c>
      <c r="Q2455">
        <v>0</v>
      </c>
    </row>
    <row r="2456" spans="1:17" x14ac:dyDescent="0.3">
      <c r="A2456" t="s">
        <v>17</v>
      </c>
      <c r="B2456">
        <v>64</v>
      </c>
      <c r="C2456" t="s">
        <v>83</v>
      </c>
      <c r="D2456" s="2">
        <v>45969</v>
      </c>
      <c r="E2456" s="3">
        <f t="shared" si="38"/>
        <v>45962</v>
      </c>
      <c r="F2456" t="s">
        <v>2188</v>
      </c>
      <c r="H2456" s="4">
        <v>29.11</v>
      </c>
      <c r="I2456" t="s">
        <v>31</v>
      </c>
      <c r="J2456" t="s">
        <v>91</v>
      </c>
      <c r="K2456" t="s">
        <v>2190</v>
      </c>
      <c r="L2456" s="2">
        <v>45962</v>
      </c>
      <c r="M2456" t="s">
        <v>93</v>
      </c>
      <c r="N2456">
        <v>0</v>
      </c>
      <c r="O2456" t="s">
        <v>31</v>
      </c>
      <c r="P2456" t="s">
        <v>83</v>
      </c>
      <c r="Q2456">
        <v>0</v>
      </c>
    </row>
    <row r="2457" spans="1:17" x14ac:dyDescent="0.3">
      <c r="A2457" t="s">
        <v>17</v>
      </c>
      <c r="B2457">
        <v>64</v>
      </c>
      <c r="C2457" t="s">
        <v>83</v>
      </c>
      <c r="D2457" s="2">
        <v>45969</v>
      </c>
      <c r="E2457" s="3">
        <f t="shared" si="38"/>
        <v>45962</v>
      </c>
      <c r="F2457" t="s">
        <v>2188</v>
      </c>
      <c r="H2457" s="4">
        <v>144.87</v>
      </c>
      <c r="I2457" t="s">
        <v>31</v>
      </c>
      <c r="J2457" t="s">
        <v>91</v>
      </c>
      <c r="K2457" t="s">
        <v>2191</v>
      </c>
      <c r="L2457" s="2">
        <v>45962</v>
      </c>
      <c r="M2457" t="s">
        <v>93</v>
      </c>
      <c r="N2457">
        <v>0</v>
      </c>
      <c r="O2457" t="s">
        <v>31</v>
      </c>
      <c r="P2457" t="s">
        <v>83</v>
      </c>
      <c r="Q2457">
        <v>0</v>
      </c>
    </row>
    <row r="2458" spans="1:17" x14ac:dyDescent="0.3">
      <c r="A2458" t="s">
        <v>17</v>
      </c>
      <c r="B2458">
        <v>64</v>
      </c>
      <c r="C2458" t="s">
        <v>83</v>
      </c>
      <c r="D2458" s="2">
        <v>45969</v>
      </c>
      <c r="E2458" s="3">
        <f t="shared" si="38"/>
        <v>45962</v>
      </c>
      <c r="F2458" t="s">
        <v>2188</v>
      </c>
      <c r="H2458" s="4">
        <v>79.98</v>
      </c>
      <c r="I2458" t="s">
        <v>31</v>
      </c>
      <c r="J2458" t="s">
        <v>91</v>
      </c>
      <c r="K2458" t="s">
        <v>2192</v>
      </c>
      <c r="L2458" s="2">
        <v>45962</v>
      </c>
      <c r="M2458" t="s">
        <v>93</v>
      </c>
      <c r="N2458">
        <v>0</v>
      </c>
      <c r="O2458" t="s">
        <v>31</v>
      </c>
      <c r="P2458" t="s">
        <v>83</v>
      </c>
      <c r="Q2458">
        <v>0</v>
      </c>
    </row>
    <row r="2459" spans="1:17" x14ac:dyDescent="0.3">
      <c r="A2459" t="s">
        <v>17</v>
      </c>
      <c r="B2459">
        <v>64</v>
      </c>
      <c r="C2459" t="s">
        <v>83</v>
      </c>
      <c r="D2459" s="2">
        <v>45969</v>
      </c>
      <c r="E2459" s="3">
        <f t="shared" si="38"/>
        <v>45962</v>
      </c>
      <c r="F2459" t="s">
        <v>2188</v>
      </c>
      <c r="H2459" s="4">
        <v>18.29</v>
      </c>
      <c r="I2459" t="s">
        <v>31</v>
      </c>
      <c r="J2459" t="s">
        <v>91</v>
      </c>
      <c r="K2459" t="s">
        <v>2193</v>
      </c>
      <c r="L2459" s="2">
        <v>45962</v>
      </c>
      <c r="M2459" t="s">
        <v>93</v>
      </c>
      <c r="N2459">
        <v>0</v>
      </c>
      <c r="O2459" t="s">
        <v>31</v>
      </c>
      <c r="P2459" t="s">
        <v>83</v>
      </c>
      <c r="Q2459">
        <v>0</v>
      </c>
    </row>
    <row r="2460" spans="1:17" x14ac:dyDescent="0.3">
      <c r="A2460" t="s">
        <v>17</v>
      </c>
      <c r="B2460">
        <v>64</v>
      </c>
      <c r="C2460" t="s">
        <v>83</v>
      </c>
      <c r="D2460" s="2">
        <v>45971</v>
      </c>
      <c r="E2460" s="3">
        <f t="shared" si="38"/>
        <v>45962</v>
      </c>
      <c r="F2460" t="s">
        <v>2194</v>
      </c>
      <c r="H2460" s="4">
        <v>30.27</v>
      </c>
      <c r="I2460" t="s">
        <v>159</v>
      </c>
      <c r="J2460" t="s">
        <v>91</v>
      </c>
      <c r="K2460" t="s">
        <v>2195</v>
      </c>
      <c r="L2460" s="2">
        <v>45962</v>
      </c>
      <c r="M2460" t="s">
        <v>93</v>
      </c>
      <c r="N2460">
        <v>0</v>
      </c>
      <c r="O2460" t="s">
        <v>159</v>
      </c>
      <c r="P2460" t="s">
        <v>83</v>
      </c>
      <c r="Q2460">
        <v>0</v>
      </c>
    </row>
    <row r="2461" spans="1:17" x14ac:dyDescent="0.3">
      <c r="A2461" t="s">
        <v>17</v>
      </c>
      <c r="B2461">
        <v>64</v>
      </c>
      <c r="C2461" t="s">
        <v>83</v>
      </c>
      <c r="D2461" s="2">
        <v>45971</v>
      </c>
      <c r="E2461" s="3">
        <f t="shared" si="38"/>
        <v>45962</v>
      </c>
      <c r="F2461" t="s">
        <v>2194</v>
      </c>
      <c r="G2461" t="s">
        <v>158</v>
      </c>
      <c r="H2461" s="4">
        <v>193.37</v>
      </c>
      <c r="I2461" t="s">
        <v>159</v>
      </c>
      <c r="J2461" t="s">
        <v>91</v>
      </c>
      <c r="K2461" t="s">
        <v>1766</v>
      </c>
      <c r="L2461" s="2">
        <v>45962</v>
      </c>
      <c r="M2461" t="s">
        <v>93</v>
      </c>
      <c r="N2461">
        <v>0</v>
      </c>
      <c r="O2461" t="s">
        <v>159</v>
      </c>
      <c r="P2461" t="s">
        <v>83</v>
      </c>
      <c r="Q2461">
        <v>0</v>
      </c>
    </row>
    <row r="2462" spans="1:17" x14ac:dyDescent="0.3">
      <c r="A2462" t="s">
        <v>17</v>
      </c>
      <c r="B2462">
        <v>64</v>
      </c>
      <c r="C2462" t="s">
        <v>83</v>
      </c>
      <c r="D2462" s="2">
        <v>45971</v>
      </c>
      <c r="E2462" s="3">
        <f t="shared" si="38"/>
        <v>45962</v>
      </c>
      <c r="F2462" t="s">
        <v>2196</v>
      </c>
      <c r="G2462" t="s">
        <v>174</v>
      </c>
      <c r="H2462" s="4">
        <v>150.19999999999999</v>
      </c>
      <c r="I2462" t="s">
        <v>31</v>
      </c>
      <c r="J2462" t="s">
        <v>91</v>
      </c>
      <c r="K2462" t="s">
        <v>1201</v>
      </c>
      <c r="L2462" s="2">
        <v>45962</v>
      </c>
      <c r="M2462" t="s">
        <v>93</v>
      </c>
      <c r="N2462">
        <v>0</v>
      </c>
      <c r="O2462" t="s">
        <v>31</v>
      </c>
      <c r="P2462" t="s">
        <v>83</v>
      </c>
      <c r="Q2462">
        <v>0</v>
      </c>
    </row>
    <row r="2463" spans="1:17" x14ac:dyDescent="0.3">
      <c r="A2463" t="s">
        <v>17</v>
      </c>
      <c r="B2463">
        <v>64</v>
      </c>
      <c r="C2463" t="s">
        <v>83</v>
      </c>
      <c r="D2463" s="2">
        <v>45971</v>
      </c>
      <c r="E2463" s="3">
        <f t="shared" si="38"/>
        <v>45962</v>
      </c>
      <c r="F2463" t="s">
        <v>2196</v>
      </c>
      <c r="G2463" t="s">
        <v>174</v>
      </c>
      <c r="H2463" s="4">
        <v>60.18</v>
      </c>
      <c r="I2463" t="s">
        <v>31</v>
      </c>
      <c r="J2463" t="s">
        <v>91</v>
      </c>
      <c r="K2463" t="s">
        <v>1201</v>
      </c>
      <c r="L2463" s="2">
        <v>45962</v>
      </c>
      <c r="M2463" t="s">
        <v>93</v>
      </c>
      <c r="N2463">
        <v>0</v>
      </c>
      <c r="O2463" t="s">
        <v>31</v>
      </c>
      <c r="P2463" t="s">
        <v>83</v>
      </c>
      <c r="Q2463">
        <v>0</v>
      </c>
    </row>
    <row r="2464" spans="1:17" x14ac:dyDescent="0.3">
      <c r="A2464" t="s">
        <v>17</v>
      </c>
      <c r="B2464">
        <v>64</v>
      </c>
      <c r="C2464" t="s">
        <v>83</v>
      </c>
      <c r="D2464" s="2">
        <v>45971</v>
      </c>
      <c r="E2464" s="3">
        <f t="shared" si="38"/>
        <v>45962</v>
      </c>
      <c r="F2464" t="s">
        <v>2196</v>
      </c>
      <c r="H2464" s="4">
        <v>28.98</v>
      </c>
      <c r="I2464" t="s">
        <v>31</v>
      </c>
      <c r="J2464" t="s">
        <v>91</v>
      </c>
      <c r="K2464" t="s">
        <v>2192</v>
      </c>
      <c r="L2464" s="2">
        <v>45962</v>
      </c>
      <c r="M2464" t="s">
        <v>93</v>
      </c>
      <c r="N2464">
        <v>0</v>
      </c>
      <c r="O2464" t="s">
        <v>31</v>
      </c>
      <c r="P2464" t="s">
        <v>83</v>
      </c>
      <c r="Q2464">
        <v>0</v>
      </c>
    </row>
    <row r="2465" spans="1:17" x14ac:dyDescent="0.3">
      <c r="A2465" t="s">
        <v>17</v>
      </c>
      <c r="B2465">
        <v>64</v>
      </c>
      <c r="C2465" t="s">
        <v>83</v>
      </c>
      <c r="D2465" s="2">
        <v>45971</v>
      </c>
      <c r="E2465" s="3">
        <f t="shared" si="38"/>
        <v>45962</v>
      </c>
      <c r="F2465" t="s">
        <v>2196</v>
      </c>
      <c r="H2465" s="4">
        <v>39.83</v>
      </c>
      <c r="I2465" t="s">
        <v>137</v>
      </c>
      <c r="J2465" t="s">
        <v>91</v>
      </c>
      <c r="K2465" t="s">
        <v>2197</v>
      </c>
      <c r="L2465" s="2">
        <v>45962</v>
      </c>
      <c r="M2465" t="s">
        <v>93</v>
      </c>
      <c r="N2465" t="s">
        <v>141</v>
      </c>
      <c r="O2465" t="s">
        <v>141</v>
      </c>
      <c r="P2465" t="s">
        <v>83</v>
      </c>
      <c r="Q2465">
        <v>0</v>
      </c>
    </row>
    <row r="2466" spans="1:17" x14ac:dyDescent="0.3">
      <c r="A2466" t="s">
        <v>17</v>
      </c>
      <c r="B2466">
        <v>64</v>
      </c>
      <c r="C2466" t="s">
        <v>83</v>
      </c>
      <c r="D2466" s="2">
        <v>45975</v>
      </c>
      <c r="E2466" s="3">
        <f t="shared" si="38"/>
        <v>45962</v>
      </c>
      <c r="F2466" t="s">
        <v>2198</v>
      </c>
      <c r="G2466" t="s">
        <v>1227</v>
      </c>
      <c r="H2466" s="4">
        <v>355.96</v>
      </c>
      <c r="I2466" t="s">
        <v>31</v>
      </c>
      <c r="J2466" t="s">
        <v>91</v>
      </c>
      <c r="K2466" t="s">
        <v>1524</v>
      </c>
      <c r="L2466" s="2">
        <v>45962</v>
      </c>
      <c r="M2466" t="s">
        <v>93</v>
      </c>
      <c r="N2466">
        <v>0</v>
      </c>
      <c r="O2466" t="s">
        <v>31</v>
      </c>
      <c r="P2466" t="s">
        <v>83</v>
      </c>
      <c r="Q2466">
        <v>0</v>
      </c>
    </row>
    <row r="2467" spans="1:17" x14ac:dyDescent="0.3">
      <c r="A2467" t="s">
        <v>17</v>
      </c>
      <c r="B2467">
        <v>64</v>
      </c>
      <c r="C2467" t="s">
        <v>83</v>
      </c>
      <c r="D2467" s="2">
        <v>45985</v>
      </c>
      <c r="E2467" s="3">
        <f t="shared" si="38"/>
        <v>45962</v>
      </c>
      <c r="F2467" t="s">
        <v>2199</v>
      </c>
      <c r="G2467" t="s">
        <v>1334</v>
      </c>
      <c r="H2467" s="4">
        <v>39.03</v>
      </c>
      <c r="I2467" t="s">
        <v>31</v>
      </c>
      <c r="J2467" t="s">
        <v>91</v>
      </c>
      <c r="K2467" t="s">
        <v>2200</v>
      </c>
      <c r="L2467" s="2">
        <v>45962</v>
      </c>
      <c r="M2467" t="s">
        <v>93</v>
      </c>
      <c r="N2467">
        <v>0</v>
      </c>
      <c r="O2467" t="s">
        <v>31</v>
      </c>
      <c r="P2467" t="s">
        <v>83</v>
      </c>
      <c r="Q2467">
        <v>0</v>
      </c>
    </row>
    <row r="2468" spans="1:17" x14ac:dyDescent="0.3">
      <c r="A2468" t="s">
        <v>17</v>
      </c>
      <c r="B2468">
        <v>64</v>
      </c>
      <c r="C2468" t="s">
        <v>83</v>
      </c>
      <c r="D2468" s="2">
        <v>45985</v>
      </c>
      <c r="E2468" s="3">
        <f t="shared" si="38"/>
        <v>45962</v>
      </c>
      <c r="F2468" t="s">
        <v>2199</v>
      </c>
      <c r="G2468" t="s">
        <v>1334</v>
      </c>
      <c r="H2468" s="4">
        <v>188.47</v>
      </c>
      <c r="I2468" t="s">
        <v>31</v>
      </c>
      <c r="J2468" t="s">
        <v>91</v>
      </c>
      <c r="K2468" t="s">
        <v>2201</v>
      </c>
      <c r="L2468" s="2">
        <v>45962</v>
      </c>
      <c r="M2468" t="s">
        <v>93</v>
      </c>
      <c r="N2468">
        <v>0</v>
      </c>
      <c r="O2468" t="s">
        <v>31</v>
      </c>
      <c r="P2468" t="s">
        <v>83</v>
      </c>
      <c r="Q2468">
        <v>0</v>
      </c>
    </row>
    <row r="2469" spans="1:17" x14ac:dyDescent="0.3">
      <c r="A2469" t="s">
        <v>17</v>
      </c>
      <c r="B2469">
        <v>64</v>
      </c>
      <c r="C2469" t="s">
        <v>83</v>
      </c>
      <c r="D2469" s="2">
        <v>45985</v>
      </c>
      <c r="E2469" s="3">
        <f t="shared" si="38"/>
        <v>45962</v>
      </c>
      <c r="F2469" t="s">
        <v>2199</v>
      </c>
      <c r="G2469" t="s">
        <v>1334</v>
      </c>
      <c r="H2469" s="4">
        <v>13.61</v>
      </c>
      <c r="I2469" t="s">
        <v>31</v>
      </c>
      <c r="J2469" t="s">
        <v>91</v>
      </c>
      <c r="K2469" t="s">
        <v>2202</v>
      </c>
      <c r="L2469" s="2">
        <v>45962</v>
      </c>
      <c r="M2469" t="s">
        <v>93</v>
      </c>
      <c r="N2469">
        <v>0</v>
      </c>
      <c r="O2469" t="s">
        <v>31</v>
      </c>
      <c r="P2469" t="s">
        <v>83</v>
      </c>
      <c r="Q2469">
        <v>0</v>
      </c>
    </row>
    <row r="2470" spans="1:17" x14ac:dyDescent="0.3">
      <c r="A2470" t="s">
        <v>17</v>
      </c>
      <c r="B2470">
        <v>64</v>
      </c>
      <c r="C2470" t="s">
        <v>83</v>
      </c>
      <c r="D2470" s="2">
        <v>45985</v>
      </c>
      <c r="E2470" s="3">
        <f t="shared" si="38"/>
        <v>45962</v>
      </c>
      <c r="F2470" t="s">
        <v>2199</v>
      </c>
      <c r="G2470" t="s">
        <v>1334</v>
      </c>
      <c r="H2470" s="4">
        <v>102.2</v>
      </c>
      <c r="I2470" t="s">
        <v>31</v>
      </c>
      <c r="J2470" t="s">
        <v>91</v>
      </c>
      <c r="K2470" t="s">
        <v>2203</v>
      </c>
      <c r="L2470" s="2">
        <v>45962</v>
      </c>
      <c r="M2470" t="s">
        <v>93</v>
      </c>
      <c r="N2470">
        <v>0</v>
      </c>
      <c r="O2470" t="s">
        <v>31</v>
      </c>
      <c r="P2470" t="s">
        <v>83</v>
      </c>
      <c r="Q2470">
        <v>0</v>
      </c>
    </row>
    <row r="2471" spans="1:17" x14ac:dyDescent="0.3">
      <c r="A2471" t="s">
        <v>17</v>
      </c>
      <c r="B2471">
        <v>64</v>
      </c>
      <c r="C2471" t="s">
        <v>83</v>
      </c>
      <c r="D2471" s="2">
        <v>45985</v>
      </c>
      <c r="E2471" s="3">
        <f t="shared" si="38"/>
        <v>45962</v>
      </c>
      <c r="F2471" t="s">
        <v>2199</v>
      </c>
      <c r="G2471" t="s">
        <v>1334</v>
      </c>
      <c r="H2471" s="4">
        <v>24.1</v>
      </c>
      <c r="I2471" t="s">
        <v>31</v>
      </c>
      <c r="J2471" t="s">
        <v>91</v>
      </c>
      <c r="K2471" t="s">
        <v>2204</v>
      </c>
      <c r="L2471" s="2">
        <v>45962</v>
      </c>
      <c r="M2471" t="s">
        <v>93</v>
      </c>
      <c r="N2471">
        <v>0</v>
      </c>
      <c r="O2471" t="s">
        <v>31</v>
      </c>
      <c r="P2471" t="s">
        <v>83</v>
      </c>
      <c r="Q2471">
        <v>0</v>
      </c>
    </row>
    <row r="2472" spans="1:17" x14ac:dyDescent="0.3">
      <c r="A2472" t="s">
        <v>17</v>
      </c>
      <c r="B2472">
        <v>64</v>
      </c>
      <c r="C2472" t="s">
        <v>83</v>
      </c>
      <c r="D2472" s="2">
        <v>45973</v>
      </c>
      <c r="E2472" s="3">
        <f t="shared" si="38"/>
        <v>45962</v>
      </c>
      <c r="F2472" t="s">
        <v>2205</v>
      </c>
      <c r="G2472" t="s">
        <v>1039</v>
      </c>
      <c r="H2472" s="4">
        <v>201.48</v>
      </c>
      <c r="I2472" t="s">
        <v>137</v>
      </c>
      <c r="J2472" t="s">
        <v>530</v>
      </c>
      <c r="K2472" t="s">
        <v>2206</v>
      </c>
      <c r="L2472" s="2">
        <v>45962</v>
      </c>
      <c r="M2472" t="s">
        <v>531</v>
      </c>
      <c r="N2472" t="s">
        <v>141</v>
      </c>
      <c r="O2472" t="s">
        <v>141</v>
      </c>
      <c r="P2472" t="s">
        <v>83</v>
      </c>
      <c r="Q2472">
        <v>0</v>
      </c>
    </row>
    <row r="2473" spans="1:17" x14ac:dyDescent="0.3">
      <c r="A2473" t="s">
        <v>17</v>
      </c>
      <c r="B2473">
        <v>64</v>
      </c>
      <c r="C2473" t="s">
        <v>83</v>
      </c>
      <c r="D2473" s="2">
        <v>45973</v>
      </c>
      <c r="E2473" s="3">
        <f t="shared" si="38"/>
        <v>45962</v>
      </c>
      <c r="F2473" t="s">
        <v>2205</v>
      </c>
      <c r="G2473" t="s">
        <v>1039</v>
      </c>
      <c r="H2473" s="4">
        <v>202.73</v>
      </c>
      <c r="I2473" t="s">
        <v>137</v>
      </c>
      <c r="J2473" t="s">
        <v>530</v>
      </c>
      <c r="K2473" t="s">
        <v>2206</v>
      </c>
      <c r="L2473" s="2">
        <v>45962</v>
      </c>
      <c r="M2473" t="s">
        <v>531</v>
      </c>
      <c r="N2473" t="s">
        <v>141</v>
      </c>
      <c r="O2473" t="s">
        <v>141</v>
      </c>
      <c r="P2473" t="s">
        <v>83</v>
      </c>
      <c r="Q2473">
        <v>0</v>
      </c>
    </row>
    <row r="2474" spans="1:17" x14ac:dyDescent="0.3">
      <c r="A2474" t="s">
        <v>17</v>
      </c>
      <c r="B2474">
        <v>64</v>
      </c>
      <c r="C2474" t="s">
        <v>83</v>
      </c>
      <c r="D2474" s="2">
        <v>45973</v>
      </c>
      <c r="E2474" s="3">
        <f t="shared" si="38"/>
        <v>45962</v>
      </c>
      <c r="F2474" t="s">
        <v>2205</v>
      </c>
      <c r="G2474" t="s">
        <v>1039</v>
      </c>
      <c r="H2474" s="4">
        <v>178.49</v>
      </c>
      <c r="I2474" t="s">
        <v>137</v>
      </c>
      <c r="J2474" t="s">
        <v>530</v>
      </c>
      <c r="K2474" t="s">
        <v>2207</v>
      </c>
      <c r="L2474" s="2">
        <v>45962</v>
      </c>
      <c r="M2474" t="s">
        <v>531</v>
      </c>
      <c r="N2474" t="s">
        <v>141</v>
      </c>
      <c r="O2474" t="s">
        <v>141</v>
      </c>
      <c r="P2474" t="s">
        <v>83</v>
      </c>
      <c r="Q2474">
        <v>0</v>
      </c>
    </row>
    <row r="2475" spans="1:17" x14ac:dyDescent="0.3">
      <c r="A2475" t="s">
        <v>17</v>
      </c>
      <c r="B2475">
        <v>64</v>
      </c>
      <c r="C2475" t="s">
        <v>83</v>
      </c>
      <c r="D2475" s="2">
        <v>45991</v>
      </c>
      <c r="E2475" s="3">
        <f t="shared" si="38"/>
        <v>45962</v>
      </c>
      <c r="F2475" t="s">
        <v>2208</v>
      </c>
      <c r="H2475" s="4">
        <v>356.97</v>
      </c>
      <c r="I2475" t="s">
        <v>31</v>
      </c>
      <c r="J2475" t="s">
        <v>530</v>
      </c>
      <c r="K2475" t="s">
        <v>2209</v>
      </c>
      <c r="L2475" s="2">
        <v>45962</v>
      </c>
      <c r="M2475" t="s">
        <v>531</v>
      </c>
      <c r="N2475">
        <v>0</v>
      </c>
      <c r="O2475" t="s">
        <v>31</v>
      </c>
      <c r="P2475" t="s">
        <v>83</v>
      </c>
      <c r="Q2475">
        <v>0</v>
      </c>
    </row>
    <row r="2476" spans="1:17" x14ac:dyDescent="0.3">
      <c r="A2476" t="s">
        <v>17</v>
      </c>
      <c r="B2476">
        <v>64</v>
      </c>
      <c r="C2476" t="s">
        <v>83</v>
      </c>
      <c r="D2476" s="2">
        <v>45986</v>
      </c>
      <c r="E2476" s="3">
        <f t="shared" si="38"/>
        <v>45962</v>
      </c>
      <c r="F2476" t="s">
        <v>2210</v>
      </c>
      <c r="H2476" s="4">
        <v>2</v>
      </c>
      <c r="I2476" t="s">
        <v>31</v>
      </c>
      <c r="J2476" t="s">
        <v>84</v>
      </c>
      <c r="K2476" t="s">
        <v>2211</v>
      </c>
      <c r="L2476" s="2">
        <v>45962</v>
      </c>
      <c r="M2476" t="s">
        <v>86</v>
      </c>
      <c r="N2476">
        <v>0</v>
      </c>
      <c r="O2476" t="s">
        <v>31</v>
      </c>
      <c r="P2476" t="s">
        <v>83</v>
      </c>
      <c r="Q2476">
        <v>0</v>
      </c>
    </row>
    <row r="2477" spans="1:17" x14ac:dyDescent="0.3">
      <c r="A2477" t="s">
        <v>17</v>
      </c>
      <c r="B2477">
        <v>64</v>
      </c>
      <c r="C2477" t="s">
        <v>83</v>
      </c>
      <c r="D2477" s="2">
        <v>45986</v>
      </c>
      <c r="E2477" s="3">
        <f t="shared" si="38"/>
        <v>45962</v>
      </c>
      <c r="F2477" t="s">
        <v>2210</v>
      </c>
      <c r="H2477" s="4">
        <v>1.5</v>
      </c>
      <c r="I2477" t="s">
        <v>31</v>
      </c>
      <c r="J2477" t="s">
        <v>84</v>
      </c>
      <c r="K2477" t="s">
        <v>2211</v>
      </c>
      <c r="L2477" s="2">
        <v>45962</v>
      </c>
      <c r="M2477" t="s">
        <v>86</v>
      </c>
      <c r="N2477">
        <v>0</v>
      </c>
      <c r="O2477" t="s">
        <v>31</v>
      </c>
      <c r="P2477" t="s">
        <v>83</v>
      </c>
      <c r="Q2477">
        <v>0</v>
      </c>
    </row>
    <row r="2478" spans="1:17" x14ac:dyDescent="0.3">
      <c r="A2478" t="s">
        <v>17</v>
      </c>
      <c r="B2478">
        <v>64</v>
      </c>
      <c r="C2478" t="s">
        <v>83</v>
      </c>
      <c r="D2478" s="2">
        <v>45986</v>
      </c>
      <c r="E2478" s="3">
        <f t="shared" si="38"/>
        <v>45962</v>
      </c>
      <c r="F2478" t="s">
        <v>2210</v>
      </c>
      <c r="H2478" s="4">
        <v>23.44</v>
      </c>
      <c r="I2478" t="s">
        <v>31</v>
      </c>
      <c r="J2478" t="s">
        <v>84</v>
      </c>
      <c r="K2478" t="s">
        <v>2211</v>
      </c>
      <c r="L2478" s="2">
        <v>45962</v>
      </c>
      <c r="M2478" t="s">
        <v>86</v>
      </c>
      <c r="N2478">
        <v>0</v>
      </c>
      <c r="O2478" t="s">
        <v>31</v>
      </c>
      <c r="P2478" t="s">
        <v>83</v>
      </c>
      <c r="Q2478">
        <v>0</v>
      </c>
    </row>
    <row r="2479" spans="1:17" x14ac:dyDescent="0.3">
      <c r="A2479" t="s">
        <v>17</v>
      </c>
      <c r="B2479">
        <v>64</v>
      </c>
      <c r="C2479" t="s">
        <v>83</v>
      </c>
      <c r="D2479" s="2">
        <v>45986</v>
      </c>
      <c r="E2479" s="3">
        <f t="shared" si="38"/>
        <v>45962</v>
      </c>
      <c r="F2479" t="s">
        <v>2210</v>
      </c>
      <c r="H2479" s="4">
        <v>35.409999999999997</v>
      </c>
      <c r="I2479" t="s">
        <v>31</v>
      </c>
      <c r="J2479" t="s">
        <v>84</v>
      </c>
      <c r="K2479" t="s">
        <v>2211</v>
      </c>
      <c r="L2479" s="2">
        <v>45962</v>
      </c>
      <c r="M2479" t="s">
        <v>86</v>
      </c>
      <c r="N2479">
        <v>0</v>
      </c>
      <c r="O2479" t="s">
        <v>31</v>
      </c>
      <c r="P2479" t="s">
        <v>83</v>
      </c>
      <c r="Q2479">
        <v>0</v>
      </c>
    </row>
    <row r="2480" spans="1:17" x14ac:dyDescent="0.3">
      <c r="A2480" t="s">
        <v>17</v>
      </c>
      <c r="B2480">
        <v>64</v>
      </c>
      <c r="C2480" t="s">
        <v>83</v>
      </c>
      <c r="D2480" s="2">
        <v>45986</v>
      </c>
      <c r="E2480" s="3">
        <f t="shared" si="38"/>
        <v>45962</v>
      </c>
      <c r="F2480" t="s">
        <v>2210</v>
      </c>
      <c r="H2480" s="4">
        <v>399</v>
      </c>
      <c r="I2480" t="s">
        <v>31</v>
      </c>
      <c r="J2480" t="s">
        <v>84</v>
      </c>
      <c r="K2480" t="s">
        <v>2211</v>
      </c>
      <c r="L2480" s="2">
        <v>45962</v>
      </c>
      <c r="M2480" t="s">
        <v>86</v>
      </c>
      <c r="N2480">
        <v>0</v>
      </c>
      <c r="O2480" t="s">
        <v>31</v>
      </c>
      <c r="P2480" t="s">
        <v>83</v>
      </c>
      <c r="Q2480">
        <v>0</v>
      </c>
    </row>
    <row r="2481" spans="1:17" x14ac:dyDescent="0.3">
      <c r="A2481" t="s">
        <v>17</v>
      </c>
      <c r="B2481">
        <v>64</v>
      </c>
      <c r="C2481" t="s">
        <v>83</v>
      </c>
      <c r="D2481" s="2">
        <v>45973</v>
      </c>
      <c r="E2481" s="3">
        <f t="shared" si="38"/>
        <v>45962</v>
      </c>
      <c r="F2481" t="s">
        <v>2205</v>
      </c>
      <c r="G2481" t="s">
        <v>1039</v>
      </c>
      <c r="H2481" s="4">
        <v>10.75</v>
      </c>
      <c r="I2481" t="s">
        <v>137</v>
      </c>
      <c r="J2481" t="s">
        <v>87</v>
      </c>
      <c r="K2481" t="s">
        <v>2212</v>
      </c>
      <c r="L2481" s="2">
        <v>45962</v>
      </c>
      <c r="M2481" t="s">
        <v>89</v>
      </c>
      <c r="N2481" t="s">
        <v>141</v>
      </c>
      <c r="O2481" t="s">
        <v>141</v>
      </c>
      <c r="P2481" t="s">
        <v>83</v>
      </c>
      <c r="Q2481">
        <v>0</v>
      </c>
    </row>
    <row r="2482" spans="1:17" x14ac:dyDescent="0.3">
      <c r="A2482" t="s">
        <v>17</v>
      </c>
      <c r="B2482">
        <v>64</v>
      </c>
      <c r="C2482" t="s">
        <v>83</v>
      </c>
      <c r="D2482" s="2">
        <v>45973</v>
      </c>
      <c r="E2482" s="3">
        <f t="shared" si="38"/>
        <v>45962</v>
      </c>
      <c r="F2482" t="s">
        <v>2205</v>
      </c>
      <c r="G2482" t="s">
        <v>1039</v>
      </c>
      <c r="H2482" s="4">
        <v>29</v>
      </c>
      <c r="I2482" t="s">
        <v>137</v>
      </c>
      <c r="J2482" t="s">
        <v>87</v>
      </c>
      <c r="K2482" t="s">
        <v>2212</v>
      </c>
      <c r="L2482" s="2">
        <v>45962</v>
      </c>
      <c r="M2482" t="s">
        <v>89</v>
      </c>
      <c r="N2482" t="s">
        <v>141</v>
      </c>
      <c r="O2482" t="s">
        <v>141</v>
      </c>
      <c r="P2482" t="s">
        <v>83</v>
      </c>
      <c r="Q2482">
        <v>0</v>
      </c>
    </row>
    <row r="2483" spans="1:17" x14ac:dyDescent="0.3">
      <c r="A2483" t="s">
        <v>17</v>
      </c>
      <c r="B2483">
        <v>64</v>
      </c>
      <c r="C2483" t="s">
        <v>83</v>
      </c>
      <c r="D2483" s="2">
        <v>45973</v>
      </c>
      <c r="E2483" s="3">
        <f t="shared" si="38"/>
        <v>45962</v>
      </c>
      <c r="F2483" t="s">
        <v>2205</v>
      </c>
      <c r="G2483" t="s">
        <v>1039</v>
      </c>
      <c r="H2483" s="4">
        <v>29</v>
      </c>
      <c r="I2483" t="s">
        <v>137</v>
      </c>
      <c r="J2483" t="s">
        <v>87</v>
      </c>
      <c r="K2483" t="s">
        <v>2212</v>
      </c>
      <c r="L2483" s="2">
        <v>45962</v>
      </c>
      <c r="M2483" t="s">
        <v>89</v>
      </c>
      <c r="N2483" t="s">
        <v>141</v>
      </c>
      <c r="O2483" t="s">
        <v>141</v>
      </c>
      <c r="P2483" t="s">
        <v>83</v>
      </c>
      <c r="Q2483">
        <v>0</v>
      </c>
    </row>
    <row r="2484" spans="1:17" x14ac:dyDescent="0.3">
      <c r="A2484" t="s">
        <v>17</v>
      </c>
      <c r="B2484">
        <v>64</v>
      </c>
      <c r="C2484" t="s">
        <v>83</v>
      </c>
      <c r="D2484" s="2">
        <v>45973</v>
      </c>
      <c r="E2484" s="3">
        <f t="shared" si="38"/>
        <v>45962</v>
      </c>
      <c r="F2484" t="s">
        <v>2205</v>
      </c>
      <c r="G2484" t="s">
        <v>1039</v>
      </c>
      <c r="H2484" s="4">
        <v>29</v>
      </c>
      <c r="I2484" t="s">
        <v>137</v>
      </c>
      <c r="J2484" t="s">
        <v>87</v>
      </c>
      <c r="K2484" t="s">
        <v>2212</v>
      </c>
      <c r="L2484" s="2">
        <v>45962</v>
      </c>
      <c r="M2484" t="s">
        <v>89</v>
      </c>
      <c r="N2484" t="s">
        <v>141</v>
      </c>
      <c r="O2484" t="s">
        <v>141</v>
      </c>
      <c r="P2484" t="s">
        <v>83</v>
      </c>
      <c r="Q2484">
        <v>0</v>
      </c>
    </row>
    <row r="2485" spans="1:17" x14ac:dyDescent="0.3">
      <c r="A2485" t="s">
        <v>17</v>
      </c>
      <c r="B2485">
        <v>64</v>
      </c>
      <c r="C2485" t="s">
        <v>83</v>
      </c>
      <c r="D2485" s="2">
        <v>45973</v>
      </c>
      <c r="E2485" s="3">
        <f t="shared" si="38"/>
        <v>45962</v>
      </c>
      <c r="F2485" t="s">
        <v>2205</v>
      </c>
      <c r="G2485" t="s">
        <v>1039</v>
      </c>
      <c r="H2485" s="4">
        <v>25.25</v>
      </c>
      <c r="I2485" t="s">
        <v>137</v>
      </c>
      <c r="J2485" t="s">
        <v>87</v>
      </c>
      <c r="K2485" t="s">
        <v>2212</v>
      </c>
      <c r="L2485" s="2">
        <v>45962</v>
      </c>
      <c r="M2485" t="s">
        <v>89</v>
      </c>
      <c r="N2485" t="s">
        <v>141</v>
      </c>
      <c r="O2485" t="s">
        <v>141</v>
      </c>
      <c r="P2485" t="s">
        <v>83</v>
      </c>
      <c r="Q2485">
        <v>0</v>
      </c>
    </row>
    <row r="2486" spans="1:17" x14ac:dyDescent="0.3">
      <c r="A2486" t="s">
        <v>17</v>
      </c>
      <c r="B2486">
        <v>64</v>
      </c>
      <c r="C2486" t="s">
        <v>83</v>
      </c>
      <c r="D2486" s="2">
        <v>45973</v>
      </c>
      <c r="E2486" s="3">
        <f t="shared" si="38"/>
        <v>45962</v>
      </c>
      <c r="F2486" t="s">
        <v>2205</v>
      </c>
      <c r="G2486" t="s">
        <v>1039</v>
      </c>
      <c r="H2486" s="4">
        <v>287</v>
      </c>
      <c r="I2486" t="s">
        <v>137</v>
      </c>
      <c r="J2486" t="s">
        <v>87</v>
      </c>
      <c r="K2486" t="s">
        <v>2213</v>
      </c>
      <c r="L2486" s="2">
        <v>45962</v>
      </c>
      <c r="M2486" t="s">
        <v>89</v>
      </c>
      <c r="N2486" t="s">
        <v>141</v>
      </c>
      <c r="O2486" t="s">
        <v>141</v>
      </c>
      <c r="P2486" t="s">
        <v>83</v>
      </c>
      <c r="Q2486">
        <v>0</v>
      </c>
    </row>
    <row r="2487" spans="1:17" x14ac:dyDescent="0.3">
      <c r="A2487" t="s">
        <v>17</v>
      </c>
      <c r="B2487">
        <v>64</v>
      </c>
      <c r="C2487" t="s">
        <v>83</v>
      </c>
      <c r="D2487" s="2">
        <v>45973</v>
      </c>
      <c r="E2487" s="3">
        <f t="shared" si="38"/>
        <v>45962</v>
      </c>
      <c r="F2487" t="s">
        <v>2205</v>
      </c>
      <c r="G2487" t="s">
        <v>1039</v>
      </c>
      <c r="H2487" s="4">
        <v>10.75</v>
      </c>
      <c r="I2487" t="s">
        <v>137</v>
      </c>
      <c r="J2487" t="s">
        <v>87</v>
      </c>
      <c r="K2487" t="s">
        <v>2212</v>
      </c>
      <c r="L2487" s="2">
        <v>45962</v>
      </c>
      <c r="M2487" t="s">
        <v>89</v>
      </c>
      <c r="N2487" t="s">
        <v>141</v>
      </c>
      <c r="O2487" t="s">
        <v>141</v>
      </c>
      <c r="P2487" t="s">
        <v>83</v>
      </c>
      <c r="Q2487">
        <v>0</v>
      </c>
    </row>
    <row r="2488" spans="1:17" x14ac:dyDescent="0.3">
      <c r="A2488" t="s">
        <v>17</v>
      </c>
      <c r="B2488">
        <v>64</v>
      </c>
      <c r="C2488" t="s">
        <v>83</v>
      </c>
      <c r="D2488" s="2">
        <v>45973</v>
      </c>
      <c r="E2488" s="3">
        <f t="shared" si="38"/>
        <v>45962</v>
      </c>
      <c r="F2488" t="s">
        <v>2205</v>
      </c>
      <c r="G2488" t="s">
        <v>1039</v>
      </c>
      <c r="H2488" s="4">
        <v>14.5</v>
      </c>
      <c r="I2488" t="s">
        <v>137</v>
      </c>
      <c r="J2488" t="s">
        <v>87</v>
      </c>
      <c r="K2488" t="s">
        <v>2212</v>
      </c>
      <c r="L2488" s="2">
        <v>45962</v>
      </c>
      <c r="M2488" t="s">
        <v>89</v>
      </c>
      <c r="N2488" t="s">
        <v>141</v>
      </c>
      <c r="O2488" t="s">
        <v>141</v>
      </c>
      <c r="P2488" t="s">
        <v>83</v>
      </c>
      <c r="Q2488">
        <v>0</v>
      </c>
    </row>
    <row r="2489" spans="1:17" x14ac:dyDescent="0.3">
      <c r="A2489" t="s">
        <v>17</v>
      </c>
      <c r="B2489">
        <v>64</v>
      </c>
      <c r="C2489" t="s">
        <v>83</v>
      </c>
      <c r="D2489" s="2">
        <v>45973</v>
      </c>
      <c r="E2489" s="3">
        <f t="shared" si="38"/>
        <v>45962</v>
      </c>
      <c r="F2489" t="s">
        <v>2205</v>
      </c>
      <c r="G2489" t="s">
        <v>1039</v>
      </c>
      <c r="H2489" s="4">
        <v>29</v>
      </c>
      <c r="I2489" t="s">
        <v>137</v>
      </c>
      <c r="J2489" t="s">
        <v>87</v>
      </c>
      <c r="K2489" t="s">
        <v>2212</v>
      </c>
      <c r="L2489" s="2">
        <v>45962</v>
      </c>
      <c r="M2489" t="s">
        <v>89</v>
      </c>
      <c r="N2489" t="s">
        <v>141</v>
      </c>
      <c r="O2489" t="s">
        <v>141</v>
      </c>
      <c r="P2489" t="s">
        <v>83</v>
      </c>
      <c r="Q2489">
        <v>0</v>
      </c>
    </row>
    <row r="2490" spans="1:17" x14ac:dyDescent="0.3">
      <c r="A2490" t="s">
        <v>17</v>
      </c>
      <c r="B2490">
        <v>64</v>
      </c>
      <c r="C2490" t="s">
        <v>83</v>
      </c>
      <c r="D2490" s="2">
        <v>45986</v>
      </c>
      <c r="E2490" s="3">
        <f t="shared" si="38"/>
        <v>45962</v>
      </c>
      <c r="F2490" t="s">
        <v>2210</v>
      </c>
      <c r="H2490" s="4">
        <v>65.88</v>
      </c>
      <c r="I2490" t="s">
        <v>31</v>
      </c>
      <c r="J2490" t="s">
        <v>87</v>
      </c>
      <c r="K2490" t="s">
        <v>2214</v>
      </c>
      <c r="L2490" s="2">
        <v>45962</v>
      </c>
      <c r="M2490" t="s">
        <v>89</v>
      </c>
      <c r="N2490">
        <v>0</v>
      </c>
      <c r="O2490" t="s">
        <v>31</v>
      </c>
      <c r="P2490" t="s">
        <v>83</v>
      </c>
      <c r="Q2490">
        <v>0</v>
      </c>
    </row>
    <row r="2491" spans="1:17" x14ac:dyDescent="0.3">
      <c r="A2491" t="s">
        <v>17</v>
      </c>
      <c r="B2491">
        <v>64</v>
      </c>
      <c r="C2491" t="s">
        <v>83</v>
      </c>
      <c r="D2491" s="2">
        <v>45986</v>
      </c>
      <c r="E2491" s="3">
        <f t="shared" si="38"/>
        <v>45962</v>
      </c>
      <c r="F2491" t="s">
        <v>2210</v>
      </c>
      <c r="H2491" s="4">
        <v>34.270000000000003</v>
      </c>
      <c r="I2491" t="s">
        <v>31</v>
      </c>
      <c r="J2491" t="s">
        <v>87</v>
      </c>
      <c r="K2491" t="s">
        <v>2215</v>
      </c>
      <c r="L2491" s="2">
        <v>45962</v>
      </c>
      <c r="M2491" t="s">
        <v>89</v>
      </c>
      <c r="N2491">
        <v>0</v>
      </c>
      <c r="O2491" t="s">
        <v>31</v>
      </c>
      <c r="P2491" t="s">
        <v>83</v>
      </c>
      <c r="Q2491">
        <v>0</v>
      </c>
    </row>
    <row r="2492" spans="1:17" x14ac:dyDescent="0.3">
      <c r="A2492" t="s">
        <v>17</v>
      </c>
      <c r="B2492">
        <v>64</v>
      </c>
      <c r="C2492" t="s">
        <v>83</v>
      </c>
      <c r="D2492" s="2">
        <v>45986</v>
      </c>
      <c r="E2492" s="3">
        <f t="shared" si="38"/>
        <v>45962</v>
      </c>
      <c r="F2492" t="s">
        <v>2210</v>
      </c>
      <c r="H2492" s="4">
        <v>57.86</v>
      </c>
      <c r="I2492" t="s">
        <v>31</v>
      </c>
      <c r="J2492" t="s">
        <v>87</v>
      </c>
      <c r="K2492" t="s">
        <v>2216</v>
      </c>
      <c r="L2492" s="2">
        <v>45962</v>
      </c>
      <c r="M2492" t="s">
        <v>89</v>
      </c>
      <c r="N2492">
        <v>0</v>
      </c>
      <c r="O2492" t="s">
        <v>31</v>
      </c>
      <c r="P2492" t="s">
        <v>83</v>
      </c>
      <c r="Q2492">
        <v>0</v>
      </c>
    </row>
    <row r="2493" spans="1:17" x14ac:dyDescent="0.3">
      <c r="A2493" t="s">
        <v>17</v>
      </c>
      <c r="B2493">
        <v>64</v>
      </c>
      <c r="C2493" t="s">
        <v>83</v>
      </c>
      <c r="D2493" s="2">
        <v>45986</v>
      </c>
      <c r="E2493" s="3">
        <f t="shared" si="38"/>
        <v>45962</v>
      </c>
      <c r="F2493" t="s">
        <v>2210</v>
      </c>
      <c r="H2493" s="4">
        <v>33.89</v>
      </c>
      <c r="I2493" t="s">
        <v>31</v>
      </c>
      <c r="J2493" t="s">
        <v>87</v>
      </c>
      <c r="K2493" t="s">
        <v>2217</v>
      </c>
      <c r="L2493" s="2">
        <v>45962</v>
      </c>
      <c r="M2493" t="s">
        <v>89</v>
      </c>
      <c r="N2493">
        <v>0</v>
      </c>
      <c r="O2493" t="s">
        <v>31</v>
      </c>
      <c r="P2493" t="s">
        <v>83</v>
      </c>
      <c r="Q2493">
        <v>0</v>
      </c>
    </row>
    <row r="2494" spans="1:17" x14ac:dyDescent="0.3">
      <c r="A2494" t="s">
        <v>17</v>
      </c>
      <c r="B2494">
        <v>64</v>
      </c>
      <c r="C2494" t="s">
        <v>83</v>
      </c>
      <c r="D2494" s="2">
        <v>45986</v>
      </c>
      <c r="E2494" s="3">
        <f t="shared" si="38"/>
        <v>45962</v>
      </c>
      <c r="F2494" t="s">
        <v>2210</v>
      </c>
      <c r="H2494" s="4">
        <v>48.74</v>
      </c>
      <c r="I2494" t="s">
        <v>31</v>
      </c>
      <c r="J2494" t="s">
        <v>87</v>
      </c>
      <c r="K2494" t="s">
        <v>2218</v>
      </c>
      <c r="L2494" s="2">
        <v>45962</v>
      </c>
      <c r="M2494" t="s">
        <v>89</v>
      </c>
      <c r="N2494">
        <v>0</v>
      </c>
      <c r="O2494" t="s">
        <v>31</v>
      </c>
      <c r="P2494" t="s">
        <v>83</v>
      </c>
      <c r="Q2494">
        <v>0</v>
      </c>
    </row>
    <row r="2495" spans="1:17" x14ac:dyDescent="0.3">
      <c r="A2495" t="s">
        <v>17</v>
      </c>
      <c r="B2495">
        <v>64</v>
      </c>
      <c r="C2495" t="s">
        <v>83</v>
      </c>
      <c r="D2495" s="2">
        <v>45986</v>
      </c>
      <c r="E2495" s="3">
        <f t="shared" si="38"/>
        <v>45962</v>
      </c>
      <c r="F2495" t="s">
        <v>2210</v>
      </c>
      <c r="H2495" s="4">
        <v>46.89</v>
      </c>
      <c r="I2495" t="s">
        <v>31</v>
      </c>
      <c r="J2495" t="s">
        <v>87</v>
      </c>
      <c r="K2495" t="s">
        <v>2219</v>
      </c>
      <c r="L2495" s="2">
        <v>45962</v>
      </c>
      <c r="M2495" t="s">
        <v>89</v>
      </c>
      <c r="N2495">
        <v>0</v>
      </c>
      <c r="O2495" t="s">
        <v>31</v>
      </c>
      <c r="P2495" t="s">
        <v>83</v>
      </c>
      <c r="Q2495">
        <v>0</v>
      </c>
    </row>
    <row r="2496" spans="1:17" x14ac:dyDescent="0.3">
      <c r="A2496" t="s">
        <v>17</v>
      </c>
      <c r="B2496">
        <v>67</v>
      </c>
      <c r="C2496" t="s">
        <v>28</v>
      </c>
      <c r="D2496" s="2">
        <v>45962</v>
      </c>
      <c r="E2496" s="3">
        <f t="shared" si="38"/>
        <v>45962</v>
      </c>
      <c r="F2496">
        <v>21047</v>
      </c>
      <c r="G2496" t="s">
        <v>52</v>
      </c>
      <c r="H2496" s="4">
        <v>18.899999999999999</v>
      </c>
      <c r="I2496" t="s">
        <v>31</v>
      </c>
      <c r="J2496" t="s">
        <v>48</v>
      </c>
      <c r="K2496" t="s">
        <v>1339</v>
      </c>
      <c r="L2496" s="2">
        <v>45962</v>
      </c>
      <c r="M2496" t="s">
        <v>50</v>
      </c>
      <c r="N2496">
        <v>0</v>
      </c>
      <c r="O2496" t="s">
        <v>31</v>
      </c>
      <c r="P2496" t="s">
        <v>28</v>
      </c>
      <c r="Q2496">
        <v>0</v>
      </c>
    </row>
    <row r="2497" spans="1:17" x14ac:dyDescent="0.3">
      <c r="A2497" t="s">
        <v>17</v>
      </c>
      <c r="B2497">
        <v>67</v>
      </c>
      <c r="C2497" t="s">
        <v>28</v>
      </c>
      <c r="D2497" s="2">
        <v>45962</v>
      </c>
      <c r="E2497" s="3">
        <f t="shared" si="38"/>
        <v>45962</v>
      </c>
      <c r="F2497">
        <v>21047</v>
      </c>
      <c r="G2497" t="s">
        <v>52</v>
      </c>
      <c r="H2497" s="4">
        <v>640</v>
      </c>
      <c r="I2497" t="s">
        <v>31</v>
      </c>
      <c r="J2497" t="s">
        <v>48</v>
      </c>
      <c r="K2497" t="s">
        <v>1340</v>
      </c>
      <c r="L2497" s="2">
        <v>45962</v>
      </c>
      <c r="M2497" t="s">
        <v>50</v>
      </c>
      <c r="N2497">
        <v>0</v>
      </c>
      <c r="O2497" t="s">
        <v>31</v>
      </c>
      <c r="P2497" t="s">
        <v>28</v>
      </c>
      <c r="Q2497">
        <v>0</v>
      </c>
    </row>
    <row r="2498" spans="1:17" x14ac:dyDescent="0.3">
      <c r="A2498" t="s">
        <v>17</v>
      </c>
      <c r="B2498">
        <v>67</v>
      </c>
      <c r="C2498" t="s">
        <v>28</v>
      </c>
      <c r="D2498" s="2">
        <v>45962</v>
      </c>
      <c r="E2498" s="3">
        <f t="shared" si="38"/>
        <v>45962</v>
      </c>
      <c r="F2498">
        <v>21047</v>
      </c>
      <c r="G2498" t="s">
        <v>52</v>
      </c>
      <c r="H2498" s="4">
        <v>9</v>
      </c>
      <c r="I2498" t="s">
        <v>31</v>
      </c>
      <c r="J2498" t="s">
        <v>48</v>
      </c>
      <c r="K2498" t="s">
        <v>1341</v>
      </c>
      <c r="L2498" s="2">
        <v>45962</v>
      </c>
      <c r="M2498" t="s">
        <v>50</v>
      </c>
      <c r="N2498">
        <v>0</v>
      </c>
      <c r="O2498" t="s">
        <v>31</v>
      </c>
      <c r="P2498" t="s">
        <v>28</v>
      </c>
      <c r="Q2498">
        <v>0</v>
      </c>
    </row>
    <row r="2499" spans="1:17" x14ac:dyDescent="0.3">
      <c r="A2499" t="s">
        <v>17</v>
      </c>
      <c r="B2499">
        <v>67</v>
      </c>
      <c r="C2499" t="s">
        <v>28</v>
      </c>
      <c r="D2499" s="2">
        <v>45962</v>
      </c>
      <c r="E2499" s="3">
        <f t="shared" ref="E2499:E2562" si="39">IF($D2499="","",DATE(YEAR($D2499),MONTH($D2499),1))</f>
        <v>45962</v>
      </c>
      <c r="F2499">
        <v>21047</v>
      </c>
      <c r="G2499" t="s">
        <v>52</v>
      </c>
      <c r="H2499" s="4">
        <v>125</v>
      </c>
      <c r="I2499" t="s">
        <v>31</v>
      </c>
      <c r="J2499" t="s">
        <v>48</v>
      </c>
      <c r="K2499" t="s">
        <v>1342</v>
      </c>
      <c r="L2499" s="2">
        <v>45962</v>
      </c>
      <c r="M2499" t="s">
        <v>50</v>
      </c>
      <c r="N2499">
        <v>0</v>
      </c>
      <c r="O2499" t="s">
        <v>31</v>
      </c>
      <c r="P2499" t="s">
        <v>28</v>
      </c>
      <c r="Q2499">
        <v>0</v>
      </c>
    </row>
    <row r="2500" spans="1:17" x14ac:dyDescent="0.3">
      <c r="A2500" t="s">
        <v>17</v>
      </c>
      <c r="B2500">
        <v>67</v>
      </c>
      <c r="C2500" t="s">
        <v>28</v>
      </c>
      <c r="D2500" s="2">
        <v>45962</v>
      </c>
      <c r="E2500" s="3">
        <f t="shared" si="39"/>
        <v>45962</v>
      </c>
      <c r="F2500">
        <v>21047</v>
      </c>
      <c r="G2500" t="s">
        <v>52</v>
      </c>
      <c r="H2500" s="4">
        <v>2500</v>
      </c>
      <c r="I2500" t="s">
        <v>31</v>
      </c>
      <c r="J2500" t="s">
        <v>48</v>
      </c>
      <c r="K2500" t="s">
        <v>1343</v>
      </c>
      <c r="L2500" s="2">
        <v>45962</v>
      </c>
      <c r="M2500" t="s">
        <v>50</v>
      </c>
      <c r="N2500">
        <v>0</v>
      </c>
      <c r="O2500" t="s">
        <v>31</v>
      </c>
      <c r="P2500" t="s">
        <v>28</v>
      </c>
      <c r="Q2500">
        <v>0</v>
      </c>
    </row>
    <row r="2501" spans="1:17" x14ac:dyDescent="0.3">
      <c r="A2501" t="s">
        <v>17</v>
      </c>
      <c r="B2501">
        <v>67</v>
      </c>
      <c r="C2501" t="s">
        <v>28</v>
      </c>
      <c r="D2501" s="2">
        <v>45972</v>
      </c>
      <c r="E2501" s="3">
        <f t="shared" si="39"/>
        <v>45962</v>
      </c>
      <c r="F2501">
        <v>27787</v>
      </c>
      <c r="G2501" t="s">
        <v>673</v>
      </c>
      <c r="H2501" s="4">
        <v>45.47</v>
      </c>
      <c r="I2501" t="s">
        <v>47</v>
      </c>
      <c r="J2501" t="s">
        <v>48</v>
      </c>
      <c r="K2501" t="s">
        <v>2220</v>
      </c>
      <c r="L2501" s="2">
        <v>45962</v>
      </c>
      <c r="M2501" t="s">
        <v>50</v>
      </c>
      <c r="N2501">
        <v>0</v>
      </c>
      <c r="O2501" t="s">
        <v>26</v>
      </c>
      <c r="P2501" t="s">
        <v>28</v>
      </c>
      <c r="Q2501">
        <v>0</v>
      </c>
    </row>
    <row r="2502" spans="1:17" x14ac:dyDescent="0.3">
      <c r="A2502" t="s">
        <v>17</v>
      </c>
      <c r="B2502">
        <v>67</v>
      </c>
      <c r="C2502" t="s">
        <v>28</v>
      </c>
      <c r="D2502" s="2">
        <v>45972</v>
      </c>
      <c r="E2502" s="3">
        <f t="shared" si="39"/>
        <v>45962</v>
      </c>
      <c r="F2502">
        <v>27787</v>
      </c>
      <c r="G2502" t="s">
        <v>673</v>
      </c>
      <c r="H2502" s="4">
        <v>2.06</v>
      </c>
      <c r="I2502" t="s">
        <v>47</v>
      </c>
      <c r="J2502" t="s">
        <v>48</v>
      </c>
      <c r="K2502" t="s">
        <v>2221</v>
      </c>
      <c r="L2502" s="2">
        <v>45962</v>
      </c>
      <c r="M2502" t="s">
        <v>50</v>
      </c>
      <c r="N2502">
        <v>0</v>
      </c>
      <c r="O2502" t="s">
        <v>26</v>
      </c>
      <c r="P2502" t="s">
        <v>28</v>
      </c>
      <c r="Q2502">
        <v>0</v>
      </c>
    </row>
    <row r="2503" spans="1:17" x14ac:dyDescent="0.3">
      <c r="A2503" t="s">
        <v>17</v>
      </c>
      <c r="B2503">
        <v>67</v>
      </c>
      <c r="C2503" t="s">
        <v>28</v>
      </c>
      <c r="D2503" s="2">
        <v>45972</v>
      </c>
      <c r="E2503" s="3">
        <f t="shared" si="39"/>
        <v>45962</v>
      </c>
      <c r="F2503">
        <v>27787</v>
      </c>
      <c r="G2503" t="s">
        <v>673</v>
      </c>
      <c r="H2503" s="4">
        <v>23.55</v>
      </c>
      <c r="I2503" t="s">
        <v>47</v>
      </c>
      <c r="J2503" t="s">
        <v>48</v>
      </c>
      <c r="K2503" t="s">
        <v>2222</v>
      </c>
      <c r="L2503" s="2">
        <v>45962</v>
      </c>
      <c r="M2503" t="s">
        <v>50</v>
      </c>
      <c r="N2503">
        <v>0</v>
      </c>
      <c r="O2503" t="s">
        <v>26</v>
      </c>
      <c r="P2503" t="s">
        <v>28</v>
      </c>
      <c r="Q2503">
        <v>0</v>
      </c>
    </row>
    <row r="2504" spans="1:17" x14ac:dyDescent="0.3">
      <c r="A2504" t="s">
        <v>17</v>
      </c>
      <c r="B2504">
        <v>67</v>
      </c>
      <c r="C2504" t="s">
        <v>28</v>
      </c>
      <c r="D2504" s="2">
        <v>45972</v>
      </c>
      <c r="E2504" s="3">
        <f t="shared" si="39"/>
        <v>45962</v>
      </c>
      <c r="F2504">
        <v>27787</v>
      </c>
      <c r="G2504" t="s">
        <v>673</v>
      </c>
      <c r="H2504" s="4">
        <v>24.65</v>
      </c>
      <c r="I2504" t="s">
        <v>47</v>
      </c>
      <c r="J2504" t="s">
        <v>48</v>
      </c>
      <c r="K2504" t="s">
        <v>2223</v>
      </c>
      <c r="L2504" s="2">
        <v>45962</v>
      </c>
      <c r="M2504" t="s">
        <v>50</v>
      </c>
      <c r="N2504">
        <v>0</v>
      </c>
      <c r="O2504" t="s">
        <v>26</v>
      </c>
      <c r="P2504" t="s">
        <v>28</v>
      </c>
      <c r="Q2504">
        <v>0</v>
      </c>
    </row>
    <row r="2505" spans="1:17" x14ac:dyDescent="0.3">
      <c r="A2505" t="s">
        <v>17</v>
      </c>
      <c r="B2505">
        <v>67</v>
      </c>
      <c r="C2505" t="s">
        <v>28</v>
      </c>
      <c r="D2505" s="2">
        <v>45972</v>
      </c>
      <c r="E2505" s="3">
        <f t="shared" si="39"/>
        <v>45962</v>
      </c>
      <c r="F2505">
        <v>27787</v>
      </c>
      <c r="G2505" t="s">
        <v>673</v>
      </c>
      <c r="H2505" s="4">
        <v>24.65</v>
      </c>
      <c r="I2505" t="s">
        <v>47</v>
      </c>
      <c r="J2505" t="s">
        <v>48</v>
      </c>
      <c r="K2505" t="s">
        <v>2224</v>
      </c>
      <c r="L2505" s="2">
        <v>45962</v>
      </c>
      <c r="M2505" t="s">
        <v>50</v>
      </c>
      <c r="N2505">
        <v>0</v>
      </c>
      <c r="O2505" t="s">
        <v>26</v>
      </c>
      <c r="P2505" t="s">
        <v>28</v>
      </c>
      <c r="Q2505">
        <v>0</v>
      </c>
    </row>
    <row r="2506" spans="1:17" x14ac:dyDescent="0.3">
      <c r="A2506" t="s">
        <v>17</v>
      </c>
      <c r="B2506">
        <v>67</v>
      </c>
      <c r="C2506" t="s">
        <v>28</v>
      </c>
      <c r="D2506" s="2">
        <v>45972</v>
      </c>
      <c r="E2506" s="3">
        <f t="shared" si="39"/>
        <v>45962</v>
      </c>
      <c r="F2506">
        <v>27787</v>
      </c>
      <c r="G2506" t="s">
        <v>673</v>
      </c>
      <c r="H2506" s="4">
        <v>19.100000000000001</v>
      </c>
      <c r="I2506" t="s">
        <v>47</v>
      </c>
      <c r="J2506" t="s">
        <v>48</v>
      </c>
      <c r="K2506" t="s">
        <v>2225</v>
      </c>
      <c r="L2506" s="2">
        <v>45962</v>
      </c>
      <c r="M2506" t="s">
        <v>50</v>
      </c>
      <c r="N2506">
        <v>0</v>
      </c>
      <c r="O2506" t="s">
        <v>26</v>
      </c>
      <c r="P2506" t="s">
        <v>28</v>
      </c>
      <c r="Q2506">
        <v>0</v>
      </c>
    </row>
    <row r="2507" spans="1:17" x14ac:dyDescent="0.3">
      <c r="A2507" t="s">
        <v>17</v>
      </c>
      <c r="B2507">
        <v>67</v>
      </c>
      <c r="C2507" t="s">
        <v>28</v>
      </c>
      <c r="D2507" s="2">
        <v>45972</v>
      </c>
      <c r="E2507" s="3">
        <f t="shared" si="39"/>
        <v>45962</v>
      </c>
      <c r="F2507">
        <v>27787</v>
      </c>
      <c r="G2507" t="s">
        <v>673</v>
      </c>
      <c r="H2507" s="4">
        <v>1.68</v>
      </c>
      <c r="I2507" t="s">
        <v>47</v>
      </c>
      <c r="J2507" t="s">
        <v>48</v>
      </c>
      <c r="K2507" t="s">
        <v>2226</v>
      </c>
      <c r="L2507" s="2">
        <v>45962</v>
      </c>
      <c r="M2507" t="s">
        <v>50</v>
      </c>
      <c r="N2507">
        <v>0</v>
      </c>
      <c r="O2507" t="s">
        <v>26</v>
      </c>
      <c r="P2507" t="s">
        <v>28</v>
      </c>
      <c r="Q2507">
        <v>0</v>
      </c>
    </row>
    <row r="2508" spans="1:17" x14ac:dyDescent="0.3">
      <c r="A2508" t="s">
        <v>17</v>
      </c>
      <c r="B2508">
        <v>67</v>
      </c>
      <c r="C2508" t="s">
        <v>28</v>
      </c>
      <c r="D2508" s="2">
        <v>45972</v>
      </c>
      <c r="E2508" s="3">
        <f t="shared" si="39"/>
        <v>45962</v>
      </c>
      <c r="F2508">
        <v>27787</v>
      </c>
      <c r="G2508" t="s">
        <v>673</v>
      </c>
      <c r="H2508" s="4">
        <v>24.65</v>
      </c>
      <c r="I2508" t="s">
        <v>47</v>
      </c>
      <c r="J2508" t="s">
        <v>48</v>
      </c>
      <c r="K2508" t="s">
        <v>2227</v>
      </c>
      <c r="L2508" s="2">
        <v>45962</v>
      </c>
      <c r="M2508" t="s">
        <v>50</v>
      </c>
      <c r="N2508">
        <v>0</v>
      </c>
      <c r="O2508" t="s">
        <v>26</v>
      </c>
      <c r="P2508" t="s">
        <v>28</v>
      </c>
      <c r="Q2508">
        <v>0</v>
      </c>
    </row>
    <row r="2509" spans="1:17" x14ac:dyDescent="0.3">
      <c r="A2509" t="s">
        <v>17</v>
      </c>
      <c r="B2509">
        <v>67</v>
      </c>
      <c r="C2509" t="s">
        <v>28</v>
      </c>
      <c r="D2509" s="2">
        <v>45972</v>
      </c>
      <c r="E2509" s="3">
        <f t="shared" si="39"/>
        <v>45962</v>
      </c>
      <c r="F2509">
        <v>27787</v>
      </c>
      <c r="G2509" t="s">
        <v>673</v>
      </c>
      <c r="H2509" s="4">
        <v>1.68</v>
      </c>
      <c r="I2509" t="s">
        <v>47</v>
      </c>
      <c r="J2509" t="s">
        <v>48</v>
      </c>
      <c r="K2509" t="s">
        <v>2228</v>
      </c>
      <c r="L2509" s="2">
        <v>45962</v>
      </c>
      <c r="M2509" t="s">
        <v>50</v>
      </c>
      <c r="N2509">
        <v>0</v>
      </c>
      <c r="O2509" t="s">
        <v>26</v>
      </c>
      <c r="P2509" t="s">
        <v>28</v>
      </c>
      <c r="Q2509">
        <v>0</v>
      </c>
    </row>
    <row r="2510" spans="1:17" x14ac:dyDescent="0.3">
      <c r="A2510" t="s">
        <v>17</v>
      </c>
      <c r="B2510">
        <v>67</v>
      </c>
      <c r="C2510" t="s">
        <v>28</v>
      </c>
      <c r="D2510" s="2">
        <v>45972</v>
      </c>
      <c r="E2510" s="3">
        <f t="shared" si="39"/>
        <v>45962</v>
      </c>
      <c r="F2510">
        <v>27787</v>
      </c>
      <c r="G2510" t="s">
        <v>673</v>
      </c>
      <c r="H2510" s="4">
        <v>19.100000000000001</v>
      </c>
      <c r="I2510" t="s">
        <v>47</v>
      </c>
      <c r="J2510" t="s">
        <v>48</v>
      </c>
      <c r="K2510" t="s">
        <v>2229</v>
      </c>
      <c r="L2510" s="2">
        <v>45962</v>
      </c>
      <c r="M2510" t="s">
        <v>50</v>
      </c>
      <c r="N2510">
        <v>0</v>
      </c>
      <c r="O2510" t="s">
        <v>26</v>
      </c>
      <c r="P2510" t="s">
        <v>28</v>
      </c>
      <c r="Q2510">
        <v>0</v>
      </c>
    </row>
    <row r="2511" spans="1:17" x14ac:dyDescent="0.3">
      <c r="A2511" t="s">
        <v>17</v>
      </c>
      <c r="B2511">
        <v>67</v>
      </c>
      <c r="C2511" t="s">
        <v>28</v>
      </c>
      <c r="D2511" s="2">
        <v>45972</v>
      </c>
      <c r="E2511" s="3">
        <f t="shared" si="39"/>
        <v>45962</v>
      </c>
      <c r="F2511">
        <v>27787</v>
      </c>
      <c r="G2511" t="s">
        <v>673</v>
      </c>
      <c r="H2511" s="4">
        <v>24.65</v>
      </c>
      <c r="I2511" t="s">
        <v>47</v>
      </c>
      <c r="J2511" t="s">
        <v>48</v>
      </c>
      <c r="K2511" t="s">
        <v>2230</v>
      </c>
      <c r="L2511" s="2">
        <v>45962</v>
      </c>
      <c r="M2511" t="s">
        <v>50</v>
      </c>
      <c r="N2511">
        <v>0</v>
      </c>
      <c r="O2511" t="s">
        <v>26</v>
      </c>
      <c r="P2511" t="s">
        <v>28</v>
      </c>
      <c r="Q2511">
        <v>0</v>
      </c>
    </row>
    <row r="2512" spans="1:17" x14ac:dyDescent="0.3">
      <c r="A2512" t="s">
        <v>17</v>
      </c>
      <c r="B2512">
        <v>67</v>
      </c>
      <c r="C2512" t="s">
        <v>28</v>
      </c>
      <c r="D2512" s="2">
        <v>45972</v>
      </c>
      <c r="E2512" s="3">
        <f t="shared" si="39"/>
        <v>45962</v>
      </c>
      <c r="F2512">
        <v>27787</v>
      </c>
      <c r="G2512" t="s">
        <v>673</v>
      </c>
      <c r="H2512" s="4">
        <v>2.48</v>
      </c>
      <c r="I2512" t="s">
        <v>47</v>
      </c>
      <c r="J2512" t="s">
        <v>48</v>
      </c>
      <c r="K2512" t="s">
        <v>2231</v>
      </c>
      <c r="L2512" s="2">
        <v>45962</v>
      </c>
      <c r="M2512" t="s">
        <v>50</v>
      </c>
      <c r="N2512">
        <v>0</v>
      </c>
      <c r="O2512" t="s">
        <v>26</v>
      </c>
      <c r="P2512" t="s">
        <v>28</v>
      </c>
      <c r="Q2512">
        <v>0</v>
      </c>
    </row>
    <row r="2513" spans="1:17" x14ac:dyDescent="0.3">
      <c r="A2513" t="s">
        <v>17</v>
      </c>
      <c r="B2513">
        <v>67</v>
      </c>
      <c r="C2513" t="s">
        <v>28</v>
      </c>
      <c r="D2513" s="2">
        <v>45972</v>
      </c>
      <c r="E2513" s="3">
        <f t="shared" si="39"/>
        <v>45962</v>
      </c>
      <c r="F2513">
        <v>27787</v>
      </c>
      <c r="G2513" t="s">
        <v>673</v>
      </c>
      <c r="H2513" s="4">
        <v>19.100000000000001</v>
      </c>
      <c r="I2513" t="s">
        <v>47</v>
      </c>
      <c r="J2513" t="s">
        <v>48</v>
      </c>
      <c r="K2513" t="s">
        <v>2232</v>
      </c>
      <c r="L2513" s="2">
        <v>45962</v>
      </c>
      <c r="M2513" t="s">
        <v>50</v>
      </c>
      <c r="N2513">
        <v>0</v>
      </c>
      <c r="O2513" t="s">
        <v>26</v>
      </c>
      <c r="P2513" t="s">
        <v>28</v>
      </c>
      <c r="Q2513">
        <v>0</v>
      </c>
    </row>
    <row r="2514" spans="1:17" x14ac:dyDescent="0.3">
      <c r="A2514" t="s">
        <v>17</v>
      </c>
      <c r="B2514">
        <v>67</v>
      </c>
      <c r="C2514" t="s">
        <v>28</v>
      </c>
      <c r="D2514" s="2">
        <v>45972</v>
      </c>
      <c r="E2514" s="3">
        <f t="shared" si="39"/>
        <v>45962</v>
      </c>
      <c r="F2514">
        <v>27787</v>
      </c>
      <c r="G2514" t="s">
        <v>673</v>
      </c>
      <c r="H2514" s="4">
        <v>38.65</v>
      </c>
      <c r="I2514" t="s">
        <v>47</v>
      </c>
      <c r="J2514" t="s">
        <v>48</v>
      </c>
      <c r="K2514" t="s">
        <v>2233</v>
      </c>
      <c r="L2514" s="2">
        <v>45962</v>
      </c>
      <c r="M2514" t="s">
        <v>50</v>
      </c>
      <c r="N2514">
        <v>0</v>
      </c>
      <c r="O2514" t="s">
        <v>26</v>
      </c>
      <c r="P2514" t="s">
        <v>28</v>
      </c>
      <c r="Q2514">
        <v>0</v>
      </c>
    </row>
    <row r="2515" spans="1:17" x14ac:dyDescent="0.3">
      <c r="A2515" t="s">
        <v>17</v>
      </c>
      <c r="B2515">
        <v>67</v>
      </c>
      <c r="C2515" t="s">
        <v>28</v>
      </c>
      <c r="D2515" s="2">
        <v>45972</v>
      </c>
      <c r="E2515" s="3">
        <f t="shared" si="39"/>
        <v>45962</v>
      </c>
      <c r="F2515">
        <v>27787</v>
      </c>
      <c r="G2515" t="s">
        <v>673</v>
      </c>
      <c r="H2515" s="4">
        <v>32.200000000000003</v>
      </c>
      <c r="I2515" t="s">
        <v>47</v>
      </c>
      <c r="J2515" t="s">
        <v>48</v>
      </c>
      <c r="K2515" t="s">
        <v>2234</v>
      </c>
      <c r="L2515" s="2">
        <v>45962</v>
      </c>
      <c r="M2515" t="s">
        <v>50</v>
      </c>
      <c r="N2515">
        <v>0</v>
      </c>
      <c r="O2515" t="s">
        <v>26</v>
      </c>
      <c r="P2515" t="s">
        <v>28</v>
      </c>
      <c r="Q2515">
        <v>0</v>
      </c>
    </row>
    <row r="2516" spans="1:17" x14ac:dyDescent="0.3">
      <c r="A2516" t="s">
        <v>17</v>
      </c>
      <c r="B2516">
        <v>67</v>
      </c>
      <c r="C2516" t="s">
        <v>28</v>
      </c>
      <c r="D2516" s="2">
        <v>45972</v>
      </c>
      <c r="E2516" s="3">
        <f t="shared" si="39"/>
        <v>45962</v>
      </c>
      <c r="F2516">
        <v>27787</v>
      </c>
      <c r="G2516" t="s">
        <v>673</v>
      </c>
      <c r="H2516" s="4">
        <v>300</v>
      </c>
      <c r="I2516" t="s">
        <v>47</v>
      </c>
      <c r="J2516" t="s">
        <v>48</v>
      </c>
      <c r="K2516" t="s">
        <v>1350</v>
      </c>
      <c r="L2516" s="2">
        <v>45962</v>
      </c>
      <c r="M2516" t="s">
        <v>50</v>
      </c>
      <c r="N2516">
        <v>0</v>
      </c>
      <c r="O2516" t="s">
        <v>26</v>
      </c>
      <c r="P2516" t="s">
        <v>28</v>
      </c>
      <c r="Q2516">
        <v>0</v>
      </c>
    </row>
    <row r="2517" spans="1:17" x14ac:dyDescent="0.3">
      <c r="A2517" t="s">
        <v>17</v>
      </c>
      <c r="B2517">
        <v>67</v>
      </c>
      <c r="C2517" t="s">
        <v>28</v>
      </c>
      <c r="D2517" s="2">
        <v>45972</v>
      </c>
      <c r="E2517" s="3">
        <f t="shared" si="39"/>
        <v>45962</v>
      </c>
      <c r="F2517">
        <v>27787</v>
      </c>
      <c r="G2517" t="s">
        <v>673</v>
      </c>
      <c r="H2517" s="4">
        <v>300</v>
      </c>
      <c r="I2517" t="s">
        <v>47</v>
      </c>
      <c r="J2517" t="s">
        <v>48</v>
      </c>
      <c r="K2517" t="s">
        <v>1351</v>
      </c>
      <c r="L2517" s="2">
        <v>45962</v>
      </c>
      <c r="M2517" t="s">
        <v>50</v>
      </c>
      <c r="N2517">
        <v>0</v>
      </c>
      <c r="O2517" t="s">
        <v>26</v>
      </c>
      <c r="P2517" t="s">
        <v>28</v>
      </c>
      <c r="Q2517">
        <v>0</v>
      </c>
    </row>
    <row r="2518" spans="1:17" x14ac:dyDescent="0.3">
      <c r="A2518" t="s">
        <v>17</v>
      </c>
      <c r="B2518">
        <v>67</v>
      </c>
      <c r="C2518" t="s">
        <v>28</v>
      </c>
      <c r="D2518" s="2">
        <v>45972</v>
      </c>
      <c r="E2518" s="3">
        <f t="shared" si="39"/>
        <v>45962</v>
      </c>
      <c r="F2518">
        <v>27787</v>
      </c>
      <c r="G2518" t="s">
        <v>673</v>
      </c>
      <c r="H2518" s="4">
        <v>500</v>
      </c>
      <c r="I2518" t="s">
        <v>47</v>
      </c>
      <c r="J2518" t="s">
        <v>48</v>
      </c>
      <c r="K2518" t="s">
        <v>1353</v>
      </c>
      <c r="L2518" s="2">
        <v>45962</v>
      </c>
      <c r="M2518" t="s">
        <v>50</v>
      </c>
      <c r="N2518">
        <v>0</v>
      </c>
      <c r="O2518" t="s">
        <v>26</v>
      </c>
      <c r="P2518" t="s">
        <v>28</v>
      </c>
      <c r="Q2518">
        <v>0</v>
      </c>
    </row>
    <row r="2519" spans="1:17" x14ac:dyDescent="0.3">
      <c r="A2519" t="s">
        <v>17</v>
      </c>
      <c r="B2519">
        <v>67</v>
      </c>
      <c r="C2519" t="s">
        <v>28</v>
      </c>
      <c r="D2519" s="2">
        <v>45972</v>
      </c>
      <c r="E2519" s="3">
        <f t="shared" si="39"/>
        <v>45962</v>
      </c>
      <c r="F2519">
        <v>27787</v>
      </c>
      <c r="G2519" t="s">
        <v>673</v>
      </c>
      <c r="H2519" s="4">
        <v>10000</v>
      </c>
      <c r="I2519" t="s">
        <v>47</v>
      </c>
      <c r="J2519" t="s">
        <v>48</v>
      </c>
      <c r="K2519" t="s">
        <v>2235</v>
      </c>
      <c r="L2519" s="2">
        <v>45962</v>
      </c>
      <c r="M2519" t="s">
        <v>50</v>
      </c>
      <c r="N2519">
        <v>0</v>
      </c>
      <c r="O2519" t="s">
        <v>26</v>
      </c>
      <c r="P2519" t="s">
        <v>28</v>
      </c>
      <c r="Q2519">
        <v>0</v>
      </c>
    </row>
    <row r="2520" spans="1:17" x14ac:dyDescent="0.3">
      <c r="A2520" t="s">
        <v>17</v>
      </c>
      <c r="B2520">
        <v>67</v>
      </c>
      <c r="C2520" t="s">
        <v>28</v>
      </c>
      <c r="D2520" s="2">
        <v>45982</v>
      </c>
      <c r="E2520" s="3">
        <f t="shared" si="39"/>
        <v>45962</v>
      </c>
      <c r="F2520" t="s">
        <v>2236</v>
      </c>
      <c r="G2520" t="s">
        <v>280</v>
      </c>
      <c r="H2520" s="4">
        <v>2650</v>
      </c>
      <c r="I2520" t="s">
        <v>47</v>
      </c>
      <c r="J2520" t="s">
        <v>48</v>
      </c>
      <c r="K2520" t="s">
        <v>2237</v>
      </c>
      <c r="L2520" s="2">
        <v>45962</v>
      </c>
      <c r="M2520" t="s">
        <v>50</v>
      </c>
      <c r="N2520">
        <v>0</v>
      </c>
      <c r="O2520" t="s">
        <v>26</v>
      </c>
      <c r="P2520" t="s">
        <v>28</v>
      </c>
      <c r="Q2520">
        <v>0</v>
      </c>
    </row>
    <row r="2521" spans="1:17" x14ac:dyDescent="0.3">
      <c r="A2521" t="s">
        <v>17</v>
      </c>
      <c r="B2521">
        <v>67</v>
      </c>
      <c r="C2521" t="s">
        <v>28</v>
      </c>
      <c r="D2521" s="2">
        <v>45982</v>
      </c>
      <c r="E2521" s="3">
        <f t="shared" si="39"/>
        <v>45962</v>
      </c>
      <c r="F2521" t="s">
        <v>2238</v>
      </c>
      <c r="G2521" t="s">
        <v>280</v>
      </c>
      <c r="H2521" s="4">
        <v>11500</v>
      </c>
      <c r="I2521" t="s">
        <v>47</v>
      </c>
      <c r="J2521" t="s">
        <v>48</v>
      </c>
      <c r="K2521" t="s">
        <v>2239</v>
      </c>
      <c r="L2521" s="2">
        <v>45962</v>
      </c>
      <c r="M2521" t="s">
        <v>50</v>
      </c>
      <c r="N2521">
        <v>0</v>
      </c>
      <c r="O2521" t="s">
        <v>26</v>
      </c>
      <c r="P2521" t="s">
        <v>28</v>
      </c>
      <c r="Q2521">
        <v>0</v>
      </c>
    </row>
    <row r="2522" spans="1:17" x14ac:dyDescent="0.3">
      <c r="A2522" t="s">
        <v>17</v>
      </c>
      <c r="B2522">
        <v>67</v>
      </c>
      <c r="C2522" t="s">
        <v>28</v>
      </c>
      <c r="D2522" s="2">
        <v>45991</v>
      </c>
      <c r="E2522" s="3">
        <f t="shared" si="39"/>
        <v>45962</v>
      </c>
      <c r="F2522">
        <v>1126154</v>
      </c>
      <c r="G2522" t="s">
        <v>283</v>
      </c>
      <c r="H2522" s="4">
        <v>134.25</v>
      </c>
      <c r="I2522" t="s">
        <v>31</v>
      </c>
      <c r="J2522" t="s">
        <v>48</v>
      </c>
      <c r="K2522" t="s">
        <v>2240</v>
      </c>
      <c r="L2522" s="2">
        <v>45962</v>
      </c>
      <c r="M2522" t="s">
        <v>50</v>
      </c>
      <c r="N2522">
        <v>0</v>
      </c>
      <c r="O2522" t="s">
        <v>31</v>
      </c>
      <c r="P2522" t="s">
        <v>28</v>
      </c>
      <c r="Q2522">
        <v>0</v>
      </c>
    </row>
    <row r="2523" spans="1:17" x14ac:dyDescent="0.3">
      <c r="A2523" t="s">
        <v>17</v>
      </c>
      <c r="B2523">
        <v>67</v>
      </c>
      <c r="C2523" t="s">
        <v>28</v>
      </c>
      <c r="D2523" s="2">
        <v>45991</v>
      </c>
      <c r="E2523" s="3">
        <f t="shared" si="39"/>
        <v>45962</v>
      </c>
      <c r="F2523">
        <v>1126154</v>
      </c>
      <c r="G2523" t="s">
        <v>283</v>
      </c>
      <c r="H2523" s="4">
        <v>13.75</v>
      </c>
      <c r="I2523" t="s">
        <v>31</v>
      </c>
      <c r="J2523" t="s">
        <v>48</v>
      </c>
      <c r="K2523" t="s">
        <v>2241</v>
      </c>
      <c r="L2523" s="2">
        <v>45962</v>
      </c>
      <c r="M2523" t="s">
        <v>50</v>
      </c>
      <c r="N2523">
        <v>0</v>
      </c>
      <c r="O2523" t="s">
        <v>31</v>
      </c>
      <c r="P2523" t="s">
        <v>28</v>
      </c>
      <c r="Q2523">
        <v>0</v>
      </c>
    </row>
    <row r="2524" spans="1:17" x14ac:dyDescent="0.3">
      <c r="A2524" t="s">
        <v>17</v>
      </c>
      <c r="B2524">
        <v>67</v>
      </c>
      <c r="C2524" t="s">
        <v>28</v>
      </c>
      <c r="D2524" s="2">
        <v>45991</v>
      </c>
      <c r="E2524" s="3">
        <f t="shared" si="39"/>
        <v>45962</v>
      </c>
      <c r="F2524">
        <v>1126154</v>
      </c>
      <c r="G2524" t="s">
        <v>283</v>
      </c>
      <c r="H2524" s="4">
        <v>27</v>
      </c>
      <c r="I2524" t="s">
        <v>31</v>
      </c>
      <c r="J2524" t="s">
        <v>48</v>
      </c>
      <c r="K2524" t="s">
        <v>2242</v>
      </c>
      <c r="L2524" s="2">
        <v>45962</v>
      </c>
      <c r="M2524" t="s">
        <v>50</v>
      </c>
      <c r="N2524">
        <v>0</v>
      </c>
      <c r="O2524" t="s">
        <v>31</v>
      </c>
      <c r="P2524" t="s">
        <v>28</v>
      </c>
      <c r="Q2524">
        <v>0</v>
      </c>
    </row>
    <row r="2525" spans="1:17" x14ac:dyDescent="0.3">
      <c r="A2525" t="s">
        <v>17</v>
      </c>
      <c r="B2525">
        <v>67</v>
      </c>
      <c r="C2525" t="s">
        <v>28</v>
      </c>
      <c r="D2525" s="2">
        <v>45991</v>
      </c>
      <c r="E2525" s="3">
        <f t="shared" si="39"/>
        <v>45962</v>
      </c>
      <c r="F2525" t="s">
        <v>2243</v>
      </c>
      <c r="H2525" s="4">
        <v>833.33</v>
      </c>
      <c r="I2525" t="s">
        <v>31</v>
      </c>
      <c r="J2525" t="s">
        <v>48</v>
      </c>
      <c r="K2525" t="s">
        <v>937</v>
      </c>
      <c r="L2525" s="2">
        <v>45962</v>
      </c>
      <c r="M2525" t="s">
        <v>50</v>
      </c>
      <c r="N2525">
        <v>0</v>
      </c>
      <c r="O2525" t="s">
        <v>31</v>
      </c>
      <c r="P2525" t="s">
        <v>28</v>
      </c>
      <c r="Q2525">
        <v>0</v>
      </c>
    </row>
    <row r="2526" spans="1:17" x14ac:dyDescent="0.3">
      <c r="A2526" t="s">
        <v>17</v>
      </c>
      <c r="B2526">
        <v>63</v>
      </c>
      <c r="C2526" t="s">
        <v>18</v>
      </c>
      <c r="D2526" s="2">
        <v>45987</v>
      </c>
      <c r="E2526" s="3">
        <f t="shared" si="39"/>
        <v>45962</v>
      </c>
      <c r="F2526" t="s">
        <v>2244</v>
      </c>
      <c r="G2526" t="s">
        <v>2245</v>
      </c>
      <c r="H2526" s="4">
        <v>4218</v>
      </c>
      <c r="I2526" t="s">
        <v>47</v>
      </c>
      <c r="J2526" t="s">
        <v>272</v>
      </c>
      <c r="L2526" s="2">
        <v>45962</v>
      </c>
      <c r="M2526" t="s">
        <v>272</v>
      </c>
      <c r="N2526">
        <v>0</v>
      </c>
      <c r="O2526" t="s">
        <v>26</v>
      </c>
      <c r="P2526" t="s">
        <v>18</v>
      </c>
      <c r="Q2526" t="s">
        <v>274</v>
      </c>
    </row>
    <row r="2527" spans="1:17" x14ac:dyDescent="0.3">
      <c r="A2527" t="s">
        <v>17</v>
      </c>
      <c r="B2527">
        <v>63</v>
      </c>
      <c r="C2527" t="s">
        <v>18</v>
      </c>
      <c r="D2527" s="2">
        <v>45991</v>
      </c>
      <c r="E2527" s="3">
        <f t="shared" si="39"/>
        <v>45962</v>
      </c>
      <c r="F2527" t="s">
        <v>2246</v>
      </c>
      <c r="H2527" s="4">
        <v>28833.33</v>
      </c>
      <c r="I2527" t="s">
        <v>47</v>
      </c>
      <c r="J2527" t="s">
        <v>272</v>
      </c>
      <c r="K2527" t="s">
        <v>1782</v>
      </c>
      <c r="L2527" s="2">
        <v>45962</v>
      </c>
      <c r="M2527" t="s">
        <v>272</v>
      </c>
      <c r="N2527">
        <v>0</v>
      </c>
      <c r="O2527" t="s">
        <v>26</v>
      </c>
      <c r="P2527" t="s">
        <v>18</v>
      </c>
      <c r="Q2527" t="s">
        <v>274</v>
      </c>
    </row>
    <row r="2528" spans="1:17" x14ac:dyDescent="0.3">
      <c r="A2528" t="s">
        <v>17</v>
      </c>
      <c r="B2528">
        <v>63</v>
      </c>
      <c r="C2528" t="s">
        <v>18</v>
      </c>
      <c r="D2528" s="2">
        <v>45962</v>
      </c>
      <c r="E2528" s="3">
        <f t="shared" si="39"/>
        <v>45962</v>
      </c>
      <c r="F2528">
        <v>1278</v>
      </c>
      <c r="G2528" t="s">
        <v>2247</v>
      </c>
      <c r="H2528" s="4">
        <v>5000</v>
      </c>
      <c r="I2528" t="s">
        <v>47</v>
      </c>
      <c r="J2528" t="s">
        <v>331</v>
      </c>
      <c r="K2528" t="s">
        <v>2248</v>
      </c>
      <c r="L2528" s="2">
        <v>45962</v>
      </c>
      <c r="M2528" t="s">
        <v>333</v>
      </c>
      <c r="N2528">
        <v>0</v>
      </c>
      <c r="O2528" t="s">
        <v>26</v>
      </c>
      <c r="P2528" t="s">
        <v>18</v>
      </c>
      <c r="Q2528" t="s">
        <v>18</v>
      </c>
    </row>
    <row r="2529" spans="1:17" x14ac:dyDescent="0.3">
      <c r="A2529" t="s">
        <v>17</v>
      </c>
      <c r="B2529">
        <v>63</v>
      </c>
      <c r="C2529" t="s">
        <v>18</v>
      </c>
      <c r="D2529" s="2">
        <v>45962</v>
      </c>
      <c r="E2529" s="3">
        <f t="shared" si="39"/>
        <v>45962</v>
      </c>
      <c r="F2529" t="s">
        <v>2249</v>
      </c>
      <c r="H2529" s="4">
        <v>-3333.33</v>
      </c>
      <c r="I2529" t="s">
        <v>47</v>
      </c>
      <c r="J2529" t="s">
        <v>331</v>
      </c>
      <c r="K2529" t="s">
        <v>1969</v>
      </c>
      <c r="L2529" s="2">
        <v>45962</v>
      </c>
      <c r="M2529" t="s">
        <v>333</v>
      </c>
      <c r="N2529">
        <v>0</v>
      </c>
      <c r="O2529" t="s">
        <v>26</v>
      </c>
      <c r="P2529" t="s">
        <v>18</v>
      </c>
      <c r="Q2529" t="s">
        <v>18</v>
      </c>
    </row>
    <row r="2530" spans="1:17" x14ac:dyDescent="0.3">
      <c r="A2530" t="s">
        <v>17</v>
      </c>
      <c r="B2530">
        <v>63</v>
      </c>
      <c r="C2530" t="s">
        <v>18</v>
      </c>
      <c r="D2530" s="2">
        <v>45965</v>
      </c>
      <c r="E2530" s="3">
        <f t="shared" si="39"/>
        <v>45962</v>
      </c>
      <c r="F2530">
        <v>31</v>
      </c>
      <c r="G2530" t="s">
        <v>2250</v>
      </c>
      <c r="H2530" s="4">
        <v>1200</v>
      </c>
      <c r="I2530" t="s">
        <v>47</v>
      </c>
      <c r="J2530" t="s">
        <v>331</v>
      </c>
      <c r="K2530" t="s">
        <v>2251</v>
      </c>
      <c r="L2530" s="2">
        <v>45962</v>
      </c>
      <c r="M2530" t="s">
        <v>333</v>
      </c>
      <c r="N2530">
        <v>0</v>
      </c>
      <c r="O2530" t="s">
        <v>26</v>
      </c>
      <c r="P2530" t="s">
        <v>18</v>
      </c>
      <c r="Q2530" t="s">
        <v>18</v>
      </c>
    </row>
    <row r="2531" spans="1:17" x14ac:dyDescent="0.3">
      <c r="A2531" t="s">
        <v>17</v>
      </c>
      <c r="B2531">
        <v>63</v>
      </c>
      <c r="C2531" t="s">
        <v>18</v>
      </c>
      <c r="D2531" s="2">
        <v>45985</v>
      </c>
      <c r="E2531" s="3">
        <f t="shared" si="39"/>
        <v>45962</v>
      </c>
      <c r="F2531">
        <v>33</v>
      </c>
      <c r="G2531" t="s">
        <v>2250</v>
      </c>
      <c r="H2531" s="4">
        <v>1200</v>
      </c>
      <c r="I2531" t="s">
        <v>47</v>
      </c>
      <c r="J2531" t="s">
        <v>331</v>
      </c>
      <c r="K2531" t="s">
        <v>2252</v>
      </c>
      <c r="L2531" s="2">
        <v>45962</v>
      </c>
      <c r="M2531" t="s">
        <v>333</v>
      </c>
      <c r="N2531">
        <v>0</v>
      </c>
      <c r="O2531" t="s">
        <v>26</v>
      </c>
      <c r="P2531" t="s">
        <v>18</v>
      </c>
      <c r="Q2531" t="s">
        <v>18</v>
      </c>
    </row>
    <row r="2532" spans="1:17" x14ac:dyDescent="0.3">
      <c r="A2532" t="s">
        <v>17</v>
      </c>
      <c r="B2532">
        <v>63</v>
      </c>
      <c r="C2532" t="s">
        <v>18</v>
      </c>
      <c r="D2532" s="2">
        <v>45991</v>
      </c>
      <c r="E2532" s="3">
        <f t="shared" si="39"/>
        <v>45962</v>
      </c>
      <c r="F2532" t="s">
        <v>2253</v>
      </c>
      <c r="H2532" s="4">
        <v>6666.66</v>
      </c>
      <c r="I2532" t="s">
        <v>47</v>
      </c>
      <c r="J2532" t="s">
        <v>331</v>
      </c>
      <c r="K2532" t="s">
        <v>2254</v>
      </c>
      <c r="L2532" s="2">
        <v>45962</v>
      </c>
      <c r="M2532" t="s">
        <v>333</v>
      </c>
      <c r="N2532">
        <v>0</v>
      </c>
      <c r="O2532" t="s">
        <v>26</v>
      </c>
      <c r="P2532" t="s">
        <v>18</v>
      </c>
      <c r="Q2532" t="s">
        <v>18</v>
      </c>
    </row>
    <row r="2533" spans="1:17" x14ac:dyDescent="0.3">
      <c r="A2533" t="s">
        <v>17</v>
      </c>
      <c r="B2533">
        <v>63</v>
      </c>
      <c r="C2533" t="s">
        <v>18</v>
      </c>
      <c r="D2533" s="2">
        <v>45968</v>
      </c>
      <c r="E2533" s="3">
        <f t="shared" si="39"/>
        <v>45962</v>
      </c>
      <c r="F2533">
        <v>838163</v>
      </c>
      <c r="G2533" t="s">
        <v>125</v>
      </c>
      <c r="H2533" s="4">
        <v>55</v>
      </c>
      <c r="I2533" t="s">
        <v>108</v>
      </c>
      <c r="J2533" t="s">
        <v>22</v>
      </c>
      <c r="K2533" t="s">
        <v>1791</v>
      </c>
      <c r="L2533" s="2">
        <v>45962</v>
      </c>
      <c r="M2533" t="s">
        <v>24</v>
      </c>
      <c r="N2533">
        <v>0</v>
      </c>
      <c r="O2533" t="s">
        <v>26</v>
      </c>
      <c r="P2533" t="s">
        <v>18</v>
      </c>
      <c r="Q2533" t="s">
        <v>27</v>
      </c>
    </row>
    <row r="2534" spans="1:17" x14ac:dyDescent="0.3">
      <c r="A2534" t="s">
        <v>17</v>
      </c>
      <c r="B2534">
        <v>63</v>
      </c>
      <c r="C2534" t="s">
        <v>18</v>
      </c>
      <c r="D2534" s="2">
        <v>45968</v>
      </c>
      <c r="E2534" s="3">
        <f t="shared" si="39"/>
        <v>45962</v>
      </c>
      <c r="F2534">
        <v>838163</v>
      </c>
      <c r="G2534" t="s">
        <v>125</v>
      </c>
      <c r="H2534" s="4">
        <v>275</v>
      </c>
      <c r="I2534" t="s">
        <v>108</v>
      </c>
      <c r="J2534" t="s">
        <v>22</v>
      </c>
      <c r="K2534" t="s">
        <v>2255</v>
      </c>
      <c r="L2534" s="2">
        <v>45962</v>
      </c>
      <c r="M2534" t="s">
        <v>24</v>
      </c>
      <c r="N2534">
        <v>0</v>
      </c>
      <c r="O2534" t="s">
        <v>26</v>
      </c>
      <c r="P2534" t="s">
        <v>18</v>
      </c>
      <c r="Q2534" t="s">
        <v>27</v>
      </c>
    </row>
    <row r="2535" spans="1:17" x14ac:dyDescent="0.3">
      <c r="A2535" t="s">
        <v>17</v>
      </c>
      <c r="B2535">
        <v>63</v>
      </c>
      <c r="C2535" t="s">
        <v>18</v>
      </c>
      <c r="D2535" s="2">
        <v>45974</v>
      </c>
      <c r="E2535" s="3">
        <f t="shared" si="39"/>
        <v>45962</v>
      </c>
      <c r="F2535">
        <v>838666</v>
      </c>
      <c r="G2535" t="s">
        <v>125</v>
      </c>
      <c r="H2535" s="4">
        <v>82.5</v>
      </c>
      <c r="I2535" t="s">
        <v>108</v>
      </c>
      <c r="J2535" t="s">
        <v>22</v>
      </c>
      <c r="K2535" t="s">
        <v>1559</v>
      </c>
      <c r="L2535" s="2">
        <v>45962</v>
      </c>
      <c r="M2535" t="s">
        <v>24</v>
      </c>
      <c r="N2535">
        <v>0</v>
      </c>
      <c r="O2535" t="s">
        <v>26</v>
      </c>
      <c r="P2535" t="s">
        <v>18</v>
      </c>
      <c r="Q2535" t="s">
        <v>27</v>
      </c>
    </row>
    <row r="2536" spans="1:17" x14ac:dyDescent="0.3">
      <c r="A2536" t="s">
        <v>17</v>
      </c>
      <c r="B2536">
        <v>63</v>
      </c>
      <c r="C2536" t="s">
        <v>18</v>
      </c>
      <c r="D2536" s="2">
        <v>45974</v>
      </c>
      <c r="E2536" s="3">
        <f t="shared" si="39"/>
        <v>45962</v>
      </c>
      <c r="F2536">
        <v>838666</v>
      </c>
      <c r="G2536" t="s">
        <v>125</v>
      </c>
      <c r="H2536" s="4">
        <v>412.5</v>
      </c>
      <c r="I2536" t="s">
        <v>108</v>
      </c>
      <c r="J2536" t="s">
        <v>22</v>
      </c>
      <c r="K2536" t="s">
        <v>2256</v>
      </c>
      <c r="L2536" s="2">
        <v>45962</v>
      </c>
      <c r="M2536" t="s">
        <v>24</v>
      </c>
      <c r="N2536">
        <v>0</v>
      </c>
      <c r="O2536" t="s">
        <v>26</v>
      </c>
      <c r="P2536" t="s">
        <v>18</v>
      </c>
      <c r="Q2536" t="s">
        <v>27</v>
      </c>
    </row>
    <row r="2537" spans="1:17" x14ac:dyDescent="0.3">
      <c r="A2537" t="s">
        <v>17</v>
      </c>
      <c r="B2537">
        <v>63</v>
      </c>
      <c r="C2537" t="s">
        <v>18</v>
      </c>
      <c r="D2537" s="2">
        <v>45980</v>
      </c>
      <c r="E2537" s="3">
        <f t="shared" si="39"/>
        <v>45962</v>
      </c>
      <c r="F2537" t="s">
        <v>2257</v>
      </c>
      <c r="G2537" t="s">
        <v>439</v>
      </c>
      <c r="H2537" s="4">
        <v>17</v>
      </c>
      <c r="I2537" t="s">
        <v>137</v>
      </c>
      <c r="J2537" t="s">
        <v>22</v>
      </c>
      <c r="K2537" t="s">
        <v>2257</v>
      </c>
      <c r="L2537" s="2">
        <v>45962</v>
      </c>
      <c r="M2537" t="s">
        <v>24</v>
      </c>
      <c r="N2537" t="s">
        <v>141</v>
      </c>
      <c r="O2537" t="s">
        <v>26</v>
      </c>
      <c r="P2537" t="s">
        <v>18</v>
      </c>
      <c r="Q2537" t="s">
        <v>27</v>
      </c>
    </row>
    <row r="2538" spans="1:17" x14ac:dyDescent="0.3">
      <c r="A2538" t="s">
        <v>17</v>
      </c>
      <c r="B2538">
        <v>63</v>
      </c>
      <c r="C2538" t="s">
        <v>18</v>
      </c>
      <c r="D2538" s="2">
        <v>45981</v>
      </c>
      <c r="E2538" s="3">
        <f t="shared" si="39"/>
        <v>45962</v>
      </c>
      <c r="F2538">
        <v>839202</v>
      </c>
      <c r="G2538" t="s">
        <v>125</v>
      </c>
      <c r="H2538" s="4">
        <v>110</v>
      </c>
      <c r="I2538" t="s">
        <v>108</v>
      </c>
      <c r="J2538" t="s">
        <v>22</v>
      </c>
      <c r="K2538" t="s">
        <v>2258</v>
      </c>
      <c r="L2538" s="2">
        <v>45962</v>
      </c>
      <c r="M2538" t="s">
        <v>24</v>
      </c>
      <c r="N2538">
        <v>0</v>
      </c>
      <c r="O2538" t="s">
        <v>26</v>
      </c>
      <c r="P2538" t="s">
        <v>18</v>
      </c>
      <c r="Q2538" t="s">
        <v>27</v>
      </c>
    </row>
    <row r="2539" spans="1:17" x14ac:dyDescent="0.3">
      <c r="A2539" t="s">
        <v>17</v>
      </c>
      <c r="B2539">
        <v>63</v>
      </c>
      <c r="C2539" t="s">
        <v>18</v>
      </c>
      <c r="D2539" s="2">
        <v>45981</v>
      </c>
      <c r="E2539" s="3">
        <f t="shared" si="39"/>
        <v>45962</v>
      </c>
      <c r="F2539">
        <v>839202</v>
      </c>
      <c r="G2539" t="s">
        <v>125</v>
      </c>
      <c r="H2539" s="4">
        <v>550</v>
      </c>
      <c r="I2539" t="s">
        <v>108</v>
      </c>
      <c r="J2539" t="s">
        <v>22</v>
      </c>
      <c r="K2539" t="s">
        <v>2259</v>
      </c>
      <c r="L2539" s="2">
        <v>45962</v>
      </c>
      <c r="M2539" t="s">
        <v>24</v>
      </c>
      <c r="N2539">
        <v>0</v>
      </c>
      <c r="O2539" t="s">
        <v>26</v>
      </c>
      <c r="P2539" t="s">
        <v>18</v>
      </c>
      <c r="Q2539" t="s">
        <v>27</v>
      </c>
    </row>
    <row r="2540" spans="1:17" x14ac:dyDescent="0.3">
      <c r="A2540" t="s">
        <v>17</v>
      </c>
      <c r="B2540">
        <v>63</v>
      </c>
      <c r="C2540" t="s">
        <v>18</v>
      </c>
      <c r="D2540" s="2">
        <v>45991</v>
      </c>
      <c r="E2540" s="3">
        <f t="shared" si="39"/>
        <v>45962</v>
      </c>
      <c r="F2540" t="s">
        <v>2260</v>
      </c>
      <c r="H2540" s="4">
        <v>67365.38</v>
      </c>
      <c r="I2540" t="s">
        <v>47</v>
      </c>
      <c r="J2540" t="s">
        <v>326</v>
      </c>
      <c r="K2540" t="s">
        <v>2261</v>
      </c>
      <c r="L2540" s="2">
        <v>45962</v>
      </c>
      <c r="M2540" t="s">
        <v>328</v>
      </c>
      <c r="N2540">
        <v>0</v>
      </c>
      <c r="O2540" t="s">
        <v>26</v>
      </c>
      <c r="P2540" t="s">
        <v>18</v>
      </c>
      <c r="Q2540" t="s">
        <v>329</v>
      </c>
    </row>
    <row r="2541" spans="1:17" x14ac:dyDescent="0.3">
      <c r="A2541" t="s">
        <v>17</v>
      </c>
      <c r="B2541">
        <v>67</v>
      </c>
      <c r="C2541" t="s">
        <v>28</v>
      </c>
      <c r="D2541" s="2">
        <v>45968</v>
      </c>
      <c r="E2541" s="3">
        <f t="shared" si="39"/>
        <v>45962</v>
      </c>
      <c r="F2541" t="s">
        <v>2262</v>
      </c>
      <c r="G2541" t="s">
        <v>67</v>
      </c>
      <c r="H2541" s="4">
        <v>299.91000000000003</v>
      </c>
      <c r="I2541" t="s">
        <v>31</v>
      </c>
      <c r="J2541" t="s">
        <v>68</v>
      </c>
      <c r="K2541" t="s">
        <v>2263</v>
      </c>
      <c r="L2541" s="2">
        <v>45962</v>
      </c>
      <c r="M2541" t="s">
        <v>68</v>
      </c>
      <c r="N2541">
        <v>0</v>
      </c>
      <c r="O2541" t="s">
        <v>31</v>
      </c>
      <c r="P2541" t="s">
        <v>28</v>
      </c>
      <c r="Q2541">
        <v>0</v>
      </c>
    </row>
    <row r="2542" spans="1:17" x14ac:dyDescent="0.3">
      <c r="A2542" t="s">
        <v>17</v>
      </c>
      <c r="B2542">
        <v>67</v>
      </c>
      <c r="C2542" t="s">
        <v>28</v>
      </c>
      <c r="D2542" s="2">
        <v>45973</v>
      </c>
      <c r="E2542" s="3">
        <f t="shared" si="39"/>
        <v>45962</v>
      </c>
      <c r="F2542" t="s">
        <v>2264</v>
      </c>
      <c r="G2542" t="s">
        <v>119</v>
      </c>
      <c r="H2542" s="4">
        <v>435</v>
      </c>
      <c r="I2542" t="s">
        <v>31</v>
      </c>
      <c r="J2542" t="s">
        <v>68</v>
      </c>
      <c r="K2542" t="s">
        <v>1567</v>
      </c>
      <c r="L2542" s="2">
        <v>45962</v>
      </c>
      <c r="M2542" t="s">
        <v>68</v>
      </c>
      <c r="N2542">
        <v>0</v>
      </c>
      <c r="O2542" t="s">
        <v>31</v>
      </c>
      <c r="P2542" t="s">
        <v>28</v>
      </c>
      <c r="Q2542">
        <v>0</v>
      </c>
    </row>
    <row r="2543" spans="1:17" x14ac:dyDescent="0.3">
      <c r="A2543" t="s">
        <v>17</v>
      </c>
      <c r="B2543">
        <v>67</v>
      </c>
      <c r="C2543" t="s">
        <v>28</v>
      </c>
      <c r="D2543" s="2">
        <v>45980</v>
      </c>
      <c r="E2543" s="3">
        <f t="shared" si="39"/>
        <v>45962</v>
      </c>
      <c r="F2543" t="s">
        <v>2265</v>
      </c>
      <c r="G2543" t="s">
        <v>119</v>
      </c>
      <c r="H2543" s="4">
        <v>1495</v>
      </c>
      <c r="I2543" t="s">
        <v>31</v>
      </c>
      <c r="J2543" t="s">
        <v>68</v>
      </c>
      <c r="K2543" t="s">
        <v>1567</v>
      </c>
      <c r="L2543" s="2">
        <v>45962</v>
      </c>
      <c r="M2543" t="s">
        <v>68</v>
      </c>
      <c r="N2543">
        <v>0</v>
      </c>
      <c r="O2543" t="s">
        <v>31</v>
      </c>
      <c r="P2543" t="s">
        <v>28</v>
      </c>
      <c r="Q2543">
        <v>0</v>
      </c>
    </row>
    <row r="2544" spans="1:17" x14ac:dyDescent="0.3">
      <c r="A2544" t="s">
        <v>17</v>
      </c>
      <c r="B2544">
        <v>67</v>
      </c>
      <c r="C2544" t="s">
        <v>28</v>
      </c>
      <c r="D2544" s="2">
        <v>45982</v>
      </c>
      <c r="E2544" s="3">
        <f t="shared" si="39"/>
        <v>45962</v>
      </c>
      <c r="F2544" t="s">
        <v>2266</v>
      </c>
      <c r="G2544" t="s">
        <v>67</v>
      </c>
      <c r="H2544" s="4">
        <v>468.5</v>
      </c>
      <c r="I2544" t="s">
        <v>31</v>
      </c>
      <c r="J2544" t="s">
        <v>68</v>
      </c>
      <c r="K2544" t="s">
        <v>2267</v>
      </c>
      <c r="L2544" s="2">
        <v>45962</v>
      </c>
      <c r="M2544" t="s">
        <v>68</v>
      </c>
      <c r="N2544">
        <v>0</v>
      </c>
      <c r="O2544" t="s">
        <v>31</v>
      </c>
      <c r="P2544" t="s">
        <v>28</v>
      </c>
      <c r="Q2544">
        <v>0</v>
      </c>
    </row>
    <row r="2545" spans="1:17" x14ac:dyDescent="0.3">
      <c r="A2545" t="s">
        <v>17</v>
      </c>
      <c r="B2545">
        <v>67</v>
      </c>
      <c r="C2545" t="s">
        <v>28</v>
      </c>
      <c r="D2545" s="2">
        <v>45987</v>
      </c>
      <c r="E2545" s="3">
        <f t="shared" si="39"/>
        <v>45962</v>
      </c>
      <c r="F2545" t="s">
        <v>2268</v>
      </c>
      <c r="G2545" t="s">
        <v>119</v>
      </c>
      <c r="H2545" s="4">
        <v>1238.75</v>
      </c>
      <c r="I2545" t="s">
        <v>31</v>
      </c>
      <c r="J2545" t="s">
        <v>68</v>
      </c>
      <c r="K2545" t="s">
        <v>1567</v>
      </c>
      <c r="L2545" s="2">
        <v>45962</v>
      </c>
      <c r="M2545" t="s">
        <v>68</v>
      </c>
      <c r="N2545">
        <v>0</v>
      </c>
      <c r="O2545" t="s">
        <v>31</v>
      </c>
      <c r="P2545" t="s">
        <v>28</v>
      </c>
      <c r="Q2545">
        <v>0</v>
      </c>
    </row>
    <row r="2546" spans="1:17" x14ac:dyDescent="0.3">
      <c r="A2546" t="s">
        <v>17</v>
      </c>
      <c r="B2546">
        <v>67</v>
      </c>
      <c r="C2546" t="s">
        <v>28</v>
      </c>
      <c r="D2546" s="2">
        <v>45991</v>
      </c>
      <c r="E2546" s="3">
        <f t="shared" si="39"/>
        <v>45962</v>
      </c>
      <c r="F2546" t="s">
        <v>2269</v>
      </c>
      <c r="G2546" t="s">
        <v>119</v>
      </c>
      <c r="H2546" s="4">
        <v>1231.25</v>
      </c>
      <c r="I2546" t="s">
        <v>31</v>
      </c>
      <c r="J2546" t="s">
        <v>68</v>
      </c>
      <c r="K2546" t="s">
        <v>1567</v>
      </c>
      <c r="L2546" s="2">
        <v>45962</v>
      </c>
      <c r="M2546" t="s">
        <v>68</v>
      </c>
      <c r="N2546">
        <v>0</v>
      </c>
      <c r="O2546" t="s">
        <v>31</v>
      </c>
      <c r="P2546" t="s">
        <v>28</v>
      </c>
      <c r="Q2546">
        <v>0</v>
      </c>
    </row>
    <row r="2547" spans="1:17" x14ac:dyDescent="0.3">
      <c r="A2547" t="s">
        <v>17</v>
      </c>
      <c r="B2547">
        <v>65</v>
      </c>
      <c r="C2547" t="s">
        <v>54</v>
      </c>
      <c r="D2547" s="2">
        <v>45962</v>
      </c>
      <c r="E2547" s="3">
        <f t="shared" si="39"/>
        <v>45962</v>
      </c>
      <c r="F2547" t="s">
        <v>2270</v>
      </c>
      <c r="G2547" t="s">
        <v>40</v>
      </c>
      <c r="H2547" s="4">
        <v>30113.77</v>
      </c>
      <c r="I2547" t="s">
        <v>31</v>
      </c>
      <c r="J2547" t="s">
        <v>55</v>
      </c>
      <c r="K2547" t="s">
        <v>2271</v>
      </c>
      <c r="L2547" s="2">
        <v>45962</v>
      </c>
      <c r="M2547" t="s">
        <v>55</v>
      </c>
      <c r="N2547">
        <v>0</v>
      </c>
      <c r="O2547" t="s">
        <v>31</v>
      </c>
      <c r="P2547" t="s">
        <v>54</v>
      </c>
      <c r="Q2547">
        <v>0</v>
      </c>
    </row>
    <row r="2548" spans="1:17" x14ac:dyDescent="0.3">
      <c r="A2548" t="s">
        <v>17</v>
      </c>
      <c r="B2548">
        <v>65</v>
      </c>
      <c r="C2548" t="s">
        <v>54</v>
      </c>
      <c r="D2548" s="2">
        <v>45991</v>
      </c>
      <c r="E2548" s="3">
        <f t="shared" si="39"/>
        <v>45962</v>
      </c>
      <c r="F2548" t="s">
        <v>2272</v>
      </c>
      <c r="H2548" s="4">
        <v>-30113.77</v>
      </c>
      <c r="I2548" t="s">
        <v>31</v>
      </c>
      <c r="J2548" t="s">
        <v>55</v>
      </c>
      <c r="L2548" s="2">
        <v>45962</v>
      </c>
      <c r="M2548" t="s">
        <v>55</v>
      </c>
      <c r="N2548">
        <v>0</v>
      </c>
      <c r="O2548" t="s">
        <v>31</v>
      </c>
      <c r="P2548" t="s">
        <v>54</v>
      </c>
      <c r="Q2548">
        <v>0</v>
      </c>
    </row>
    <row r="2549" spans="1:17" x14ac:dyDescent="0.3">
      <c r="A2549" t="s">
        <v>17</v>
      </c>
      <c r="B2549">
        <v>68</v>
      </c>
      <c r="C2549" t="s">
        <v>34</v>
      </c>
      <c r="D2549" s="2">
        <v>45962</v>
      </c>
      <c r="E2549" s="3">
        <f t="shared" si="39"/>
        <v>45962</v>
      </c>
      <c r="F2549" t="s">
        <v>2273</v>
      </c>
      <c r="G2549" t="s">
        <v>2274</v>
      </c>
      <c r="H2549" s="4">
        <v>179.17</v>
      </c>
      <c r="I2549" t="s">
        <v>137</v>
      </c>
      <c r="J2549" t="s">
        <v>79</v>
      </c>
      <c r="K2549" t="s">
        <v>2275</v>
      </c>
      <c r="L2549" s="2">
        <v>45962</v>
      </c>
      <c r="M2549" t="s">
        <v>79</v>
      </c>
      <c r="N2549" t="s">
        <v>141</v>
      </c>
      <c r="O2549" t="s">
        <v>141</v>
      </c>
      <c r="P2549" t="s">
        <v>34</v>
      </c>
      <c r="Q2549">
        <v>0</v>
      </c>
    </row>
    <row r="2550" spans="1:17" x14ac:dyDescent="0.3">
      <c r="A2550" t="s">
        <v>17</v>
      </c>
      <c r="B2550">
        <v>68</v>
      </c>
      <c r="C2550" t="s">
        <v>34</v>
      </c>
      <c r="D2550" s="2">
        <v>45962</v>
      </c>
      <c r="E2550" s="3">
        <f t="shared" si="39"/>
        <v>45962</v>
      </c>
      <c r="F2550" t="s">
        <v>2276</v>
      </c>
      <c r="G2550" t="s">
        <v>2274</v>
      </c>
      <c r="H2550" s="4">
        <v>89.58</v>
      </c>
      <c r="I2550" t="s">
        <v>137</v>
      </c>
      <c r="J2550" t="s">
        <v>79</v>
      </c>
      <c r="K2550" t="s">
        <v>2275</v>
      </c>
      <c r="L2550" s="2">
        <v>45962</v>
      </c>
      <c r="M2550" t="s">
        <v>79</v>
      </c>
      <c r="N2550" t="s">
        <v>141</v>
      </c>
      <c r="O2550" t="s">
        <v>141</v>
      </c>
      <c r="P2550" t="s">
        <v>34</v>
      </c>
      <c r="Q2550">
        <v>0</v>
      </c>
    </row>
    <row r="2551" spans="1:17" x14ac:dyDescent="0.3">
      <c r="A2551" t="s">
        <v>17</v>
      </c>
      <c r="B2551">
        <v>68</v>
      </c>
      <c r="C2551" t="s">
        <v>34</v>
      </c>
      <c r="D2551" s="2">
        <v>45962</v>
      </c>
      <c r="E2551" s="3">
        <f t="shared" si="39"/>
        <v>45962</v>
      </c>
      <c r="F2551" t="s">
        <v>2277</v>
      </c>
      <c r="G2551" t="s">
        <v>2274</v>
      </c>
      <c r="H2551" s="4">
        <v>45.65</v>
      </c>
      <c r="I2551" t="s">
        <v>137</v>
      </c>
      <c r="J2551" t="s">
        <v>79</v>
      </c>
      <c r="K2551" t="s">
        <v>2278</v>
      </c>
      <c r="L2551" s="2">
        <v>45962</v>
      </c>
      <c r="M2551" t="s">
        <v>79</v>
      </c>
      <c r="N2551" t="s">
        <v>141</v>
      </c>
      <c r="O2551" t="s">
        <v>141</v>
      </c>
      <c r="P2551" t="s">
        <v>34</v>
      </c>
      <c r="Q2551">
        <v>0</v>
      </c>
    </row>
    <row r="2552" spans="1:17" x14ac:dyDescent="0.3">
      <c r="A2552" t="s">
        <v>17</v>
      </c>
      <c r="B2552">
        <v>68</v>
      </c>
      <c r="C2552" t="s">
        <v>34</v>
      </c>
      <c r="D2552" s="2">
        <v>45962</v>
      </c>
      <c r="E2552" s="3">
        <f t="shared" si="39"/>
        <v>45962</v>
      </c>
      <c r="F2552" t="s">
        <v>2277</v>
      </c>
      <c r="G2552" t="s">
        <v>2274</v>
      </c>
      <c r="H2552" s="4">
        <v>32.9</v>
      </c>
      <c r="I2552" t="s">
        <v>137</v>
      </c>
      <c r="J2552" t="s">
        <v>79</v>
      </c>
      <c r="K2552" t="s">
        <v>2279</v>
      </c>
      <c r="L2552" s="2">
        <v>45962</v>
      </c>
      <c r="M2552" t="s">
        <v>79</v>
      </c>
      <c r="N2552" t="s">
        <v>141</v>
      </c>
      <c r="O2552" t="s">
        <v>141</v>
      </c>
      <c r="P2552" t="s">
        <v>34</v>
      </c>
      <c r="Q2552">
        <v>0</v>
      </c>
    </row>
    <row r="2553" spans="1:17" x14ac:dyDescent="0.3">
      <c r="A2553" t="s">
        <v>17</v>
      </c>
      <c r="B2553">
        <v>68</v>
      </c>
      <c r="C2553" t="s">
        <v>34</v>
      </c>
      <c r="D2553" s="2">
        <v>45962</v>
      </c>
      <c r="E2553" s="3">
        <f t="shared" si="39"/>
        <v>45962</v>
      </c>
      <c r="F2553" t="s">
        <v>2280</v>
      </c>
      <c r="G2553" t="s">
        <v>2274</v>
      </c>
      <c r="H2553" s="4">
        <v>91.31</v>
      </c>
      <c r="I2553" t="s">
        <v>137</v>
      </c>
      <c r="J2553" t="s">
        <v>79</v>
      </c>
      <c r="K2553" t="s">
        <v>2281</v>
      </c>
      <c r="L2553" s="2">
        <v>45962</v>
      </c>
      <c r="M2553" t="s">
        <v>79</v>
      </c>
      <c r="N2553" t="s">
        <v>141</v>
      </c>
      <c r="O2553" t="s">
        <v>141</v>
      </c>
      <c r="P2553" t="s">
        <v>34</v>
      </c>
      <c r="Q2553">
        <v>0</v>
      </c>
    </row>
    <row r="2554" spans="1:17" x14ac:dyDescent="0.3">
      <c r="A2554" t="s">
        <v>17</v>
      </c>
      <c r="B2554">
        <v>68</v>
      </c>
      <c r="C2554" t="s">
        <v>34</v>
      </c>
      <c r="D2554" s="2">
        <v>45962</v>
      </c>
      <c r="E2554" s="3">
        <f t="shared" si="39"/>
        <v>45962</v>
      </c>
      <c r="F2554" t="s">
        <v>2280</v>
      </c>
      <c r="G2554" t="s">
        <v>2274</v>
      </c>
      <c r="H2554" s="4">
        <v>65.8</v>
      </c>
      <c r="I2554" t="s">
        <v>137</v>
      </c>
      <c r="J2554" t="s">
        <v>79</v>
      </c>
      <c r="K2554" t="s">
        <v>2282</v>
      </c>
      <c r="L2554" s="2">
        <v>45962</v>
      </c>
      <c r="M2554" t="s">
        <v>79</v>
      </c>
      <c r="N2554" t="s">
        <v>141</v>
      </c>
      <c r="O2554" t="s">
        <v>141</v>
      </c>
      <c r="P2554" t="s">
        <v>34</v>
      </c>
      <c r="Q2554">
        <v>0</v>
      </c>
    </row>
    <row r="2555" spans="1:17" x14ac:dyDescent="0.3">
      <c r="A2555" t="s">
        <v>17</v>
      </c>
      <c r="B2555">
        <v>68</v>
      </c>
      <c r="C2555" t="s">
        <v>34</v>
      </c>
      <c r="D2555" s="2">
        <v>45966</v>
      </c>
      <c r="E2555" s="3">
        <f t="shared" si="39"/>
        <v>45962</v>
      </c>
      <c r="F2555" t="s">
        <v>2283</v>
      </c>
      <c r="H2555" s="4">
        <v>-2808.81</v>
      </c>
      <c r="I2555" t="s">
        <v>31</v>
      </c>
      <c r="J2555" t="s">
        <v>79</v>
      </c>
      <c r="K2555" t="s">
        <v>2284</v>
      </c>
      <c r="L2555" s="2">
        <v>45962</v>
      </c>
      <c r="M2555" t="s">
        <v>79</v>
      </c>
      <c r="N2555">
        <v>0</v>
      </c>
      <c r="O2555" t="s">
        <v>31</v>
      </c>
      <c r="P2555" t="s">
        <v>34</v>
      </c>
      <c r="Q2555">
        <v>0</v>
      </c>
    </row>
    <row r="2556" spans="1:17" x14ac:dyDescent="0.3">
      <c r="A2556" t="s">
        <v>17</v>
      </c>
      <c r="B2556">
        <v>68</v>
      </c>
      <c r="C2556" t="s">
        <v>34</v>
      </c>
      <c r="D2556" s="2">
        <v>45971</v>
      </c>
      <c r="E2556" s="3">
        <f t="shared" si="39"/>
        <v>45962</v>
      </c>
      <c r="F2556">
        <v>15347</v>
      </c>
      <c r="G2556" t="s">
        <v>131</v>
      </c>
      <c r="H2556" s="4">
        <v>84.31</v>
      </c>
      <c r="I2556" t="s">
        <v>31</v>
      </c>
      <c r="J2556" t="s">
        <v>79</v>
      </c>
      <c r="K2556" t="s">
        <v>1276</v>
      </c>
      <c r="L2556" s="2">
        <v>45962</v>
      </c>
      <c r="M2556" t="s">
        <v>79</v>
      </c>
      <c r="N2556">
        <v>0</v>
      </c>
      <c r="O2556" t="s">
        <v>31</v>
      </c>
      <c r="P2556" t="s">
        <v>34</v>
      </c>
      <c r="Q2556">
        <v>0</v>
      </c>
    </row>
    <row r="2557" spans="1:17" x14ac:dyDescent="0.3">
      <c r="A2557" t="s">
        <v>17</v>
      </c>
      <c r="B2557">
        <v>68</v>
      </c>
      <c r="C2557" t="s">
        <v>34</v>
      </c>
      <c r="D2557" s="2">
        <v>45971</v>
      </c>
      <c r="E2557" s="3">
        <f t="shared" si="39"/>
        <v>45962</v>
      </c>
      <c r="F2557">
        <v>15347</v>
      </c>
      <c r="G2557" t="s">
        <v>131</v>
      </c>
      <c r="H2557" s="4">
        <v>950</v>
      </c>
      <c r="I2557" t="s">
        <v>31</v>
      </c>
      <c r="J2557" t="s">
        <v>79</v>
      </c>
      <c r="K2557" t="s">
        <v>1406</v>
      </c>
      <c r="L2557" s="2">
        <v>45962</v>
      </c>
      <c r="M2557" t="s">
        <v>79</v>
      </c>
      <c r="N2557">
        <v>0</v>
      </c>
      <c r="O2557" t="s">
        <v>31</v>
      </c>
      <c r="P2557" t="s">
        <v>34</v>
      </c>
      <c r="Q2557">
        <v>0</v>
      </c>
    </row>
    <row r="2558" spans="1:17" x14ac:dyDescent="0.3">
      <c r="A2558" t="s">
        <v>17</v>
      </c>
      <c r="B2558">
        <v>68</v>
      </c>
      <c r="C2558" t="s">
        <v>34</v>
      </c>
      <c r="D2558" s="2">
        <v>45971</v>
      </c>
      <c r="E2558" s="3">
        <f t="shared" si="39"/>
        <v>45962</v>
      </c>
      <c r="F2558" t="s">
        <v>2194</v>
      </c>
      <c r="H2558" s="4">
        <v>250</v>
      </c>
      <c r="I2558" t="s">
        <v>159</v>
      </c>
      <c r="J2558" t="s">
        <v>79</v>
      </c>
      <c r="K2558" t="s">
        <v>2285</v>
      </c>
      <c r="L2558" s="2">
        <v>45962</v>
      </c>
      <c r="M2558" t="s">
        <v>79</v>
      </c>
      <c r="N2558">
        <v>0</v>
      </c>
      <c r="O2558" t="s">
        <v>159</v>
      </c>
      <c r="P2558" t="s">
        <v>34</v>
      </c>
      <c r="Q2558">
        <v>0</v>
      </c>
    </row>
    <row r="2559" spans="1:17" x14ac:dyDescent="0.3">
      <c r="A2559" t="s">
        <v>17</v>
      </c>
      <c r="B2559">
        <v>68</v>
      </c>
      <c r="C2559" t="s">
        <v>34</v>
      </c>
      <c r="D2559" s="2">
        <v>45975</v>
      </c>
      <c r="E2559" s="3">
        <f t="shared" si="39"/>
        <v>45962</v>
      </c>
      <c r="F2559" t="s">
        <v>2198</v>
      </c>
      <c r="G2559" t="s">
        <v>1227</v>
      </c>
      <c r="H2559" s="4">
        <v>42.2</v>
      </c>
      <c r="I2559" t="s">
        <v>47</v>
      </c>
      <c r="J2559" t="s">
        <v>79</v>
      </c>
      <c r="K2559" t="s">
        <v>2286</v>
      </c>
      <c r="L2559" s="2">
        <v>45962</v>
      </c>
      <c r="M2559" t="s">
        <v>79</v>
      </c>
      <c r="N2559">
        <v>0</v>
      </c>
      <c r="O2559" t="s">
        <v>26</v>
      </c>
      <c r="P2559" t="s">
        <v>34</v>
      </c>
      <c r="Q2559">
        <v>0</v>
      </c>
    </row>
    <row r="2560" spans="1:17" x14ac:dyDescent="0.3">
      <c r="A2560" t="s">
        <v>17</v>
      </c>
      <c r="B2560">
        <v>68</v>
      </c>
      <c r="C2560" t="s">
        <v>34</v>
      </c>
      <c r="D2560" s="2">
        <v>45975</v>
      </c>
      <c r="E2560" s="3">
        <f t="shared" si="39"/>
        <v>45962</v>
      </c>
      <c r="F2560" t="s">
        <v>2198</v>
      </c>
      <c r="G2560" t="s">
        <v>1227</v>
      </c>
      <c r="H2560" s="4">
        <v>178.67</v>
      </c>
      <c r="I2560" t="s">
        <v>47</v>
      </c>
      <c r="J2560" t="s">
        <v>79</v>
      </c>
      <c r="K2560" t="s">
        <v>2286</v>
      </c>
      <c r="L2560" s="2">
        <v>45962</v>
      </c>
      <c r="M2560" t="s">
        <v>79</v>
      </c>
      <c r="N2560">
        <v>0</v>
      </c>
      <c r="O2560" t="s">
        <v>26</v>
      </c>
      <c r="P2560" t="s">
        <v>34</v>
      </c>
      <c r="Q2560">
        <v>0</v>
      </c>
    </row>
    <row r="2561" spans="1:17" x14ac:dyDescent="0.3">
      <c r="A2561" t="s">
        <v>17</v>
      </c>
      <c r="B2561">
        <v>68</v>
      </c>
      <c r="C2561" t="s">
        <v>34</v>
      </c>
      <c r="D2561" s="2">
        <v>45975</v>
      </c>
      <c r="E2561" s="3">
        <f t="shared" si="39"/>
        <v>45962</v>
      </c>
      <c r="F2561" t="s">
        <v>2198</v>
      </c>
      <c r="G2561" t="s">
        <v>1227</v>
      </c>
      <c r="H2561" s="4">
        <v>166.86</v>
      </c>
      <c r="I2561" t="s">
        <v>47</v>
      </c>
      <c r="J2561" t="s">
        <v>79</v>
      </c>
      <c r="K2561" t="s">
        <v>2287</v>
      </c>
      <c r="L2561" s="2">
        <v>45962</v>
      </c>
      <c r="M2561" t="s">
        <v>79</v>
      </c>
      <c r="N2561">
        <v>0</v>
      </c>
      <c r="O2561" t="s">
        <v>26</v>
      </c>
      <c r="P2561" t="s">
        <v>34</v>
      </c>
      <c r="Q2561">
        <v>0</v>
      </c>
    </row>
    <row r="2562" spans="1:17" x14ac:dyDescent="0.3">
      <c r="A2562" t="s">
        <v>17</v>
      </c>
      <c r="B2562">
        <v>68</v>
      </c>
      <c r="C2562" t="s">
        <v>34</v>
      </c>
      <c r="D2562" s="2">
        <v>45975</v>
      </c>
      <c r="E2562" s="3">
        <f t="shared" si="39"/>
        <v>45962</v>
      </c>
      <c r="F2562" t="s">
        <v>2198</v>
      </c>
      <c r="G2562" t="s">
        <v>1227</v>
      </c>
      <c r="H2562" s="4">
        <v>402.28</v>
      </c>
      <c r="I2562" t="s">
        <v>47</v>
      </c>
      <c r="J2562" t="s">
        <v>79</v>
      </c>
      <c r="K2562" t="s">
        <v>2286</v>
      </c>
      <c r="L2562" s="2">
        <v>45962</v>
      </c>
      <c r="M2562" t="s">
        <v>79</v>
      </c>
      <c r="N2562">
        <v>0</v>
      </c>
      <c r="O2562" t="s">
        <v>26</v>
      </c>
      <c r="P2562" t="s">
        <v>34</v>
      </c>
      <c r="Q2562">
        <v>0</v>
      </c>
    </row>
    <row r="2563" spans="1:17" x14ac:dyDescent="0.3">
      <c r="A2563" t="s">
        <v>17</v>
      </c>
      <c r="B2563">
        <v>68</v>
      </c>
      <c r="C2563" t="s">
        <v>34</v>
      </c>
      <c r="D2563" s="2">
        <v>45980</v>
      </c>
      <c r="E2563" s="3">
        <f t="shared" ref="E2563:E2626" si="40">IF($D2563="","",DATE(YEAR($D2563),MONTH($D2563),1))</f>
        <v>45962</v>
      </c>
      <c r="F2563" t="s">
        <v>2288</v>
      </c>
      <c r="G2563" t="s">
        <v>491</v>
      </c>
      <c r="H2563" s="4">
        <v>938.64</v>
      </c>
      <c r="I2563" t="s">
        <v>31</v>
      </c>
      <c r="J2563" t="s">
        <v>79</v>
      </c>
      <c r="K2563" t="s">
        <v>2289</v>
      </c>
      <c r="L2563" s="2">
        <v>45962</v>
      </c>
      <c r="M2563" t="s">
        <v>79</v>
      </c>
      <c r="N2563">
        <v>0</v>
      </c>
      <c r="O2563" t="s">
        <v>31</v>
      </c>
      <c r="P2563" t="s">
        <v>34</v>
      </c>
      <c r="Q2563">
        <v>0</v>
      </c>
    </row>
    <row r="2564" spans="1:17" x14ac:dyDescent="0.3">
      <c r="A2564" t="s">
        <v>17</v>
      </c>
      <c r="B2564">
        <v>68</v>
      </c>
      <c r="C2564" t="s">
        <v>34</v>
      </c>
      <c r="D2564" s="2">
        <v>45991</v>
      </c>
      <c r="E2564" s="3">
        <f t="shared" si="40"/>
        <v>45962</v>
      </c>
      <c r="F2564" t="s">
        <v>2290</v>
      </c>
      <c r="G2564" t="s">
        <v>266</v>
      </c>
      <c r="H2564" s="4">
        <v>583.5</v>
      </c>
      <c r="I2564" t="s">
        <v>31</v>
      </c>
      <c r="J2564" t="s">
        <v>79</v>
      </c>
      <c r="K2564" t="s">
        <v>2291</v>
      </c>
      <c r="L2564" s="2">
        <v>45962</v>
      </c>
      <c r="M2564" t="s">
        <v>79</v>
      </c>
      <c r="N2564">
        <v>0</v>
      </c>
      <c r="O2564" t="s">
        <v>31</v>
      </c>
      <c r="P2564" t="s">
        <v>34</v>
      </c>
      <c r="Q2564">
        <v>0</v>
      </c>
    </row>
    <row r="2565" spans="1:17" x14ac:dyDescent="0.3">
      <c r="A2565" t="s">
        <v>17</v>
      </c>
      <c r="B2565">
        <v>68</v>
      </c>
      <c r="C2565" t="s">
        <v>34</v>
      </c>
      <c r="D2565" s="2">
        <v>45991</v>
      </c>
      <c r="E2565" s="3">
        <f t="shared" si="40"/>
        <v>45962</v>
      </c>
      <c r="F2565" t="s">
        <v>2292</v>
      </c>
      <c r="H2565" s="4">
        <v>1304.32</v>
      </c>
      <c r="I2565" t="s">
        <v>47</v>
      </c>
      <c r="J2565" t="s">
        <v>79</v>
      </c>
      <c r="K2565" t="s">
        <v>2293</v>
      </c>
      <c r="L2565" s="2">
        <v>45962</v>
      </c>
      <c r="M2565" t="s">
        <v>79</v>
      </c>
      <c r="N2565">
        <v>0</v>
      </c>
      <c r="O2565" t="s">
        <v>26</v>
      </c>
      <c r="P2565" t="s">
        <v>34</v>
      </c>
      <c r="Q2565">
        <v>0</v>
      </c>
    </row>
    <row r="2566" spans="1:17" x14ac:dyDescent="0.3">
      <c r="A2566" t="s">
        <v>17</v>
      </c>
      <c r="B2566">
        <v>68</v>
      </c>
      <c r="C2566" t="s">
        <v>34</v>
      </c>
      <c r="D2566" s="2">
        <v>45991</v>
      </c>
      <c r="E2566" s="3">
        <f t="shared" si="40"/>
        <v>45962</v>
      </c>
      <c r="F2566" t="s">
        <v>2292</v>
      </c>
      <c r="H2566" s="4">
        <v>-1304.32</v>
      </c>
      <c r="I2566" t="s">
        <v>47</v>
      </c>
      <c r="J2566" t="s">
        <v>79</v>
      </c>
      <c r="K2566" t="s">
        <v>2294</v>
      </c>
      <c r="L2566" s="2">
        <v>45962</v>
      </c>
      <c r="M2566" t="s">
        <v>79</v>
      </c>
      <c r="N2566">
        <v>0</v>
      </c>
      <c r="O2566" t="s">
        <v>26</v>
      </c>
      <c r="P2566" t="s">
        <v>34</v>
      </c>
      <c r="Q2566">
        <v>0</v>
      </c>
    </row>
    <row r="2567" spans="1:17" x14ac:dyDescent="0.3">
      <c r="A2567" t="s">
        <v>17</v>
      </c>
      <c r="B2567">
        <v>68</v>
      </c>
      <c r="C2567" t="s">
        <v>34</v>
      </c>
      <c r="D2567" s="2">
        <v>45991</v>
      </c>
      <c r="E2567" s="3">
        <f t="shared" si="40"/>
        <v>45962</v>
      </c>
      <c r="F2567" t="s">
        <v>2295</v>
      </c>
      <c r="H2567" s="4">
        <v>0</v>
      </c>
      <c r="I2567" t="s">
        <v>21</v>
      </c>
      <c r="J2567" t="s">
        <v>79</v>
      </c>
      <c r="K2567" t="s">
        <v>320</v>
      </c>
      <c r="L2567" s="2">
        <v>45962</v>
      </c>
      <c r="M2567" t="s">
        <v>79</v>
      </c>
      <c r="N2567" t="s">
        <v>25</v>
      </c>
      <c r="O2567" t="s">
        <v>81</v>
      </c>
      <c r="P2567" t="s">
        <v>34</v>
      </c>
      <c r="Q2567">
        <v>0</v>
      </c>
    </row>
    <row r="2568" spans="1:17" x14ac:dyDescent="0.3">
      <c r="A2568" t="s">
        <v>17</v>
      </c>
      <c r="B2568">
        <v>66</v>
      </c>
      <c r="C2568" t="s">
        <v>134</v>
      </c>
      <c r="D2568" s="2">
        <v>45966</v>
      </c>
      <c r="E2568" s="3">
        <f t="shared" si="40"/>
        <v>45962</v>
      </c>
      <c r="F2568" t="s">
        <v>2296</v>
      </c>
      <c r="G2568" t="s">
        <v>254</v>
      </c>
      <c r="H2568" s="4">
        <v>300</v>
      </c>
      <c r="I2568" t="s">
        <v>108</v>
      </c>
      <c r="J2568" t="s">
        <v>255</v>
      </c>
      <c r="K2568" t="s">
        <v>2297</v>
      </c>
      <c r="L2568" s="2">
        <v>45962</v>
      </c>
      <c r="M2568" t="s">
        <v>257</v>
      </c>
      <c r="N2568">
        <v>0</v>
      </c>
      <c r="O2568" t="s">
        <v>111</v>
      </c>
      <c r="P2568" t="s">
        <v>134</v>
      </c>
      <c r="Q2568">
        <v>0</v>
      </c>
    </row>
    <row r="2569" spans="1:17" x14ac:dyDescent="0.3">
      <c r="A2569" t="s">
        <v>17</v>
      </c>
      <c r="B2569">
        <v>66</v>
      </c>
      <c r="C2569" t="s">
        <v>134</v>
      </c>
      <c r="D2569" s="2">
        <v>45966</v>
      </c>
      <c r="E2569" s="3">
        <f t="shared" si="40"/>
        <v>45962</v>
      </c>
      <c r="F2569" t="s">
        <v>2296</v>
      </c>
      <c r="G2569" t="s">
        <v>254</v>
      </c>
      <c r="H2569" s="4">
        <v>300</v>
      </c>
      <c r="I2569" t="s">
        <v>108</v>
      </c>
      <c r="J2569" t="s">
        <v>255</v>
      </c>
      <c r="K2569" t="s">
        <v>2298</v>
      </c>
      <c r="L2569" s="2">
        <v>45962</v>
      </c>
      <c r="M2569" t="s">
        <v>257</v>
      </c>
      <c r="N2569">
        <v>0</v>
      </c>
      <c r="O2569" t="s">
        <v>111</v>
      </c>
      <c r="P2569" t="s">
        <v>134</v>
      </c>
      <c r="Q2569">
        <v>0</v>
      </c>
    </row>
    <row r="2570" spans="1:17" x14ac:dyDescent="0.3">
      <c r="A2570" t="s">
        <v>17</v>
      </c>
      <c r="B2570">
        <v>66</v>
      </c>
      <c r="C2570" t="s">
        <v>134</v>
      </c>
      <c r="D2570" s="2">
        <v>45966</v>
      </c>
      <c r="E2570" s="3">
        <f t="shared" si="40"/>
        <v>45962</v>
      </c>
      <c r="F2570" t="s">
        <v>2296</v>
      </c>
      <c r="G2570" t="s">
        <v>254</v>
      </c>
      <c r="H2570" s="4">
        <v>150</v>
      </c>
      <c r="I2570" t="s">
        <v>108</v>
      </c>
      <c r="J2570" t="s">
        <v>255</v>
      </c>
      <c r="K2570" t="s">
        <v>2299</v>
      </c>
      <c r="L2570" s="2">
        <v>45962</v>
      </c>
      <c r="M2570" t="s">
        <v>257</v>
      </c>
      <c r="N2570">
        <v>0</v>
      </c>
      <c r="O2570" t="s">
        <v>111</v>
      </c>
      <c r="P2570" t="s">
        <v>134</v>
      </c>
      <c r="Q2570">
        <v>0</v>
      </c>
    </row>
    <row r="2571" spans="1:17" x14ac:dyDescent="0.3">
      <c r="A2571" t="s">
        <v>17</v>
      </c>
      <c r="B2571">
        <v>68</v>
      </c>
      <c r="C2571" t="s">
        <v>34</v>
      </c>
      <c r="D2571" s="2">
        <v>45965</v>
      </c>
      <c r="E2571" s="3">
        <f t="shared" si="40"/>
        <v>45962</v>
      </c>
      <c r="F2571" t="s">
        <v>2300</v>
      </c>
      <c r="G2571" t="s">
        <v>122</v>
      </c>
      <c r="H2571" s="4">
        <v>16.05</v>
      </c>
      <c r="I2571" t="s">
        <v>104</v>
      </c>
      <c r="J2571" t="s">
        <v>109</v>
      </c>
      <c r="L2571" s="2">
        <v>45962</v>
      </c>
      <c r="M2571" t="s">
        <v>109</v>
      </c>
      <c r="N2571">
        <v>0</v>
      </c>
      <c r="O2571" t="s">
        <v>104</v>
      </c>
      <c r="P2571" t="s">
        <v>112</v>
      </c>
      <c r="Q2571" t="s">
        <v>113</v>
      </c>
    </row>
    <row r="2572" spans="1:17" x14ac:dyDescent="0.3">
      <c r="A2572" t="s">
        <v>17</v>
      </c>
      <c r="B2572">
        <v>68</v>
      </c>
      <c r="C2572" t="s">
        <v>34</v>
      </c>
      <c r="D2572" s="2">
        <v>45965</v>
      </c>
      <c r="E2572" s="3">
        <f t="shared" si="40"/>
        <v>45962</v>
      </c>
      <c r="F2572" t="s">
        <v>2300</v>
      </c>
      <c r="G2572" t="s">
        <v>122</v>
      </c>
      <c r="H2572" s="4">
        <v>17</v>
      </c>
      <c r="I2572" t="s">
        <v>104</v>
      </c>
      <c r="J2572" t="s">
        <v>109</v>
      </c>
      <c r="K2572" t="s">
        <v>1455</v>
      </c>
      <c r="L2572" s="2">
        <v>45962</v>
      </c>
      <c r="M2572" t="s">
        <v>109</v>
      </c>
      <c r="N2572">
        <v>0</v>
      </c>
      <c r="O2572" t="s">
        <v>104</v>
      </c>
      <c r="P2572" t="s">
        <v>112</v>
      </c>
      <c r="Q2572" t="s">
        <v>113</v>
      </c>
    </row>
    <row r="2573" spans="1:17" x14ac:dyDescent="0.3">
      <c r="A2573" t="s">
        <v>17</v>
      </c>
      <c r="B2573">
        <v>68</v>
      </c>
      <c r="C2573" t="s">
        <v>34</v>
      </c>
      <c r="D2573" s="2">
        <v>45965</v>
      </c>
      <c r="E2573" s="3">
        <f t="shared" si="40"/>
        <v>45962</v>
      </c>
      <c r="F2573" t="s">
        <v>2300</v>
      </c>
      <c r="G2573" t="s">
        <v>122</v>
      </c>
      <c r="H2573" s="4">
        <v>1.34</v>
      </c>
      <c r="I2573" t="s">
        <v>104</v>
      </c>
      <c r="J2573" t="s">
        <v>109</v>
      </c>
      <c r="K2573" t="s">
        <v>1665</v>
      </c>
      <c r="L2573" s="2">
        <v>45962</v>
      </c>
      <c r="M2573" t="s">
        <v>109</v>
      </c>
      <c r="N2573">
        <v>0</v>
      </c>
      <c r="O2573" t="s">
        <v>104</v>
      </c>
      <c r="P2573" t="s">
        <v>112</v>
      </c>
      <c r="Q2573" t="s">
        <v>113</v>
      </c>
    </row>
    <row r="2574" spans="1:17" x14ac:dyDescent="0.3">
      <c r="A2574" t="s">
        <v>17</v>
      </c>
      <c r="B2574">
        <v>68</v>
      </c>
      <c r="C2574" t="s">
        <v>34</v>
      </c>
      <c r="D2574" s="2">
        <v>45965</v>
      </c>
      <c r="E2574" s="3">
        <f t="shared" si="40"/>
        <v>45962</v>
      </c>
      <c r="F2574" t="s">
        <v>2301</v>
      </c>
      <c r="G2574" t="s">
        <v>122</v>
      </c>
      <c r="H2574" s="4">
        <v>7.9</v>
      </c>
      <c r="I2574" t="s">
        <v>108</v>
      </c>
      <c r="J2574" t="s">
        <v>109</v>
      </c>
      <c r="L2574" s="2">
        <v>45962</v>
      </c>
      <c r="M2574" t="s">
        <v>109</v>
      </c>
      <c r="N2574">
        <v>0</v>
      </c>
      <c r="O2574" t="s">
        <v>111</v>
      </c>
      <c r="P2574" t="s">
        <v>112</v>
      </c>
      <c r="Q2574" t="s">
        <v>113</v>
      </c>
    </row>
    <row r="2575" spans="1:17" x14ac:dyDescent="0.3">
      <c r="A2575" t="s">
        <v>17</v>
      </c>
      <c r="B2575">
        <v>68</v>
      </c>
      <c r="C2575" t="s">
        <v>34</v>
      </c>
      <c r="D2575" s="2">
        <v>45965</v>
      </c>
      <c r="E2575" s="3">
        <f t="shared" si="40"/>
        <v>45962</v>
      </c>
      <c r="F2575" t="s">
        <v>2301</v>
      </c>
      <c r="G2575" t="s">
        <v>122</v>
      </c>
      <c r="H2575" s="4">
        <v>17</v>
      </c>
      <c r="I2575" t="s">
        <v>108</v>
      </c>
      <c r="J2575" t="s">
        <v>109</v>
      </c>
      <c r="L2575" s="2">
        <v>45962</v>
      </c>
      <c r="M2575" t="s">
        <v>109</v>
      </c>
      <c r="N2575">
        <v>0</v>
      </c>
      <c r="O2575" t="s">
        <v>111</v>
      </c>
      <c r="P2575" t="s">
        <v>112</v>
      </c>
      <c r="Q2575" t="s">
        <v>113</v>
      </c>
    </row>
    <row r="2576" spans="1:17" x14ac:dyDescent="0.3">
      <c r="A2576" t="s">
        <v>17</v>
      </c>
      <c r="B2576">
        <v>68</v>
      </c>
      <c r="C2576" t="s">
        <v>34</v>
      </c>
      <c r="D2576" s="2">
        <v>45965</v>
      </c>
      <c r="E2576" s="3">
        <f t="shared" si="40"/>
        <v>45962</v>
      </c>
      <c r="F2576" t="s">
        <v>2301</v>
      </c>
      <c r="G2576" t="s">
        <v>122</v>
      </c>
      <c r="H2576" s="4">
        <v>1.34</v>
      </c>
      <c r="I2576" t="s">
        <v>108</v>
      </c>
      <c r="J2576" t="s">
        <v>109</v>
      </c>
      <c r="L2576" s="2">
        <v>45962</v>
      </c>
      <c r="M2576" t="s">
        <v>109</v>
      </c>
      <c r="N2576">
        <v>0</v>
      </c>
      <c r="O2576" t="s">
        <v>111</v>
      </c>
      <c r="P2576" t="s">
        <v>112</v>
      </c>
      <c r="Q2576" t="s">
        <v>113</v>
      </c>
    </row>
    <row r="2577" spans="1:17" x14ac:dyDescent="0.3">
      <c r="A2577" t="s">
        <v>17</v>
      </c>
      <c r="B2577">
        <v>68</v>
      </c>
      <c r="C2577" t="s">
        <v>34</v>
      </c>
      <c r="D2577" s="2">
        <v>45966</v>
      </c>
      <c r="E2577" s="3">
        <f t="shared" si="40"/>
        <v>45962</v>
      </c>
      <c r="F2577" t="s">
        <v>2302</v>
      </c>
      <c r="G2577" t="s">
        <v>122</v>
      </c>
      <c r="H2577" s="4">
        <v>1.69</v>
      </c>
      <c r="I2577" t="s">
        <v>108</v>
      </c>
      <c r="J2577" t="s">
        <v>109</v>
      </c>
      <c r="L2577" s="2">
        <v>45962</v>
      </c>
      <c r="M2577" t="s">
        <v>109</v>
      </c>
      <c r="N2577">
        <v>0</v>
      </c>
      <c r="O2577" t="s">
        <v>111</v>
      </c>
      <c r="P2577" t="s">
        <v>112</v>
      </c>
      <c r="Q2577" t="s">
        <v>113</v>
      </c>
    </row>
    <row r="2578" spans="1:17" x14ac:dyDescent="0.3">
      <c r="A2578" t="s">
        <v>17</v>
      </c>
      <c r="B2578">
        <v>68</v>
      </c>
      <c r="C2578" t="s">
        <v>34</v>
      </c>
      <c r="D2578" s="2">
        <v>45966</v>
      </c>
      <c r="E2578" s="3">
        <f t="shared" si="40"/>
        <v>45962</v>
      </c>
      <c r="F2578" t="s">
        <v>2302</v>
      </c>
      <c r="G2578" t="s">
        <v>122</v>
      </c>
      <c r="H2578" s="4">
        <v>17</v>
      </c>
      <c r="I2578" t="s">
        <v>108</v>
      </c>
      <c r="J2578" t="s">
        <v>109</v>
      </c>
      <c r="L2578" s="2">
        <v>45962</v>
      </c>
      <c r="M2578" t="s">
        <v>109</v>
      </c>
      <c r="N2578">
        <v>0</v>
      </c>
      <c r="O2578" t="s">
        <v>111</v>
      </c>
      <c r="P2578" t="s">
        <v>112</v>
      </c>
      <c r="Q2578" t="s">
        <v>113</v>
      </c>
    </row>
    <row r="2579" spans="1:17" x14ac:dyDescent="0.3">
      <c r="A2579" t="s">
        <v>17</v>
      </c>
      <c r="B2579">
        <v>68</v>
      </c>
      <c r="C2579" t="s">
        <v>34</v>
      </c>
      <c r="D2579" s="2">
        <v>45966</v>
      </c>
      <c r="E2579" s="3">
        <f t="shared" si="40"/>
        <v>45962</v>
      </c>
      <c r="F2579" t="s">
        <v>2302</v>
      </c>
      <c r="G2579" t="s">
        <v>122</v>
      </c>
      <c r="H2579" s="4">
        <v>1.34</v>
      </c>
      <c r="I2579" t="s">
        <v>108</v>
      </c>
      <c r="J2579" t="s">
        <v>109</v>
      </c>
      <c r="L2579" s="2">
        <v>45962</v>
      </c>
      <c r="M2579" t="s">
        <v>109</v>
      </c>
      <c r="N2579">
        <v>0</v>
      </c>
      <c r="O2579" t="s">
        <v>111</v>
      </c>
      <c r="P2579" t="s">
        <v>112</v>
      </c>
      <c r="Q2579" t="s">
        <v>113</v>
      </c>
    </row>
    <row r="2580" spans="1:17" x14ac:dyDescent="0.3">
      <c r="A2580" t="s">
        <v>17</v>
      </c>
      <c r="B2580">
        <v>68</v>
      </c>
      <c r="C2580" t="s">
        <v>34</v>
      </c>
      <c r="D2580" s="2">
        <v>45966</v>
      </c>
      <c r="E2580" s="3">
        <f t="shared" si="40"/>
        <v>45962</v>
      </c>
      <c r="F2580" t="s">
        <v>2303</v>
      </c>
      <c r="G2580" t="s">
        <v>122</v>
      </c>
      <c r="H2580" s="4">
        <v>107.32</v>
      </c>
      <c r="I2580" t="s">
        <v>104</v>
      </c>
      <c r="J2580" t="s">
        <v>109</v>
      </c>
      <c r="K2580" t="s">
        <v>388</v>
      </c>
      <c r="L2580" s="2">
        <v>45962</v>
      </c>
      <c r="M2580" t="s">
        <v>109</v>
      </c>
      <c r="N2580">
        <v>0</v>
      </c>
      <c r="O2580" t="s">
        <v>104</v>
      </c>
      <c r="P2580" t="s">
        <v>112</v>
      </c>
      <c r="Q2580" t="s">
        <v>113</v>
      </c>
    </row>
    <row r="2581" spans="1:17" x14ac:dyDescent="0.3">
      <c r="A2581" t="s">
        <v>17</v>
      </c>
      <c r="B2581">
        <v>68</v>
      </c>
      <c r="C2581" t="s">
        <v>34</v>
      </c>
      <c r="D2581" s="2">
        <v>45966</v>
      </c>
      <c r="E2581" s="3">
        <f t="shared" si="40"/>
        <v>45962</v>
      </c>
      <c r="F2581" t="s">
        <v>2303</v>
      </c>
      <c r="G2581" t="s">
        <v>122</v>
      </c>
      <c r="H2581" s="4">
        <v>310.82</v>
      </c>
      <c r="I2581" t="s">
        <v>108</v>
      </c>
      <c r="J2581" t="s">
        <v>109</v>
      </c>
      <c r="K2581" t="s">
        <v>388</v>
      </c>
      <c r="L2581" s="2">
        <v>45962</v>
      </c>
      <c r="M2581" t="s">
        <v>109</v>
      </c>
      <c r="N2581">
        <v>0</v>
      </c>
      <c r="O2581" t="s">
        <v>111</v>
      </c>
      <c r="P2581" t="s">
        <v>112</v>
      </c>
      <c r="Q2581" t="s">
        <v>113</v>
      </c>
    </row>
    <row r="2582" spans="1:17" x14ac:dyDescent="0.3">
      <c r="A2582" t="s">
        <v>17</v>
      </c>
      <c r="B2582">
        <v>68</v>
      </c>
      <c r="C2582" t="s">
        <v>34</v>
      </c>
      <c r="D2582" s="2">
        <v>45966</v>
      </c>
      <c r="E2582" s="3">
        <f t="shared" si="40"/>
        <v>45962</v>
      </c>
      <c r="F2582" t="s">
        <v>2304</v>
      </c>
      <c r="G2582" t="s">
        <v>107</v>
      </c>
      <c r="H2582" s="4">
        <v>21.31</v>
      </c>
      <c r="I2582" t="s">
        <v>47</v>
      </c>
      <c r="J2582" t="s">
        <v>109</v>
      </c>
      <c r="L2582" s="2">
        <v>45962</v>
      </c>
      <c r="M2582" t="s">
        <v>109</v>
      </c>
      <c r="N2582">
        <v>0</v>
      </c>
      <c r="O2582" t="s">
        <v>26</v>
      </c>
      <c r="P2582" t="s">
        <v>112</v>
      </c>
      <c r="Q2582" t="s">
        <v>113</v>
      </c>
    </row>
    <row r="2583" spans="1:17" x14ac:dyDescent="0.3">
      <c r="A2583" t="s">
        <v>17</v>
      </c>
      <c r="B2583">
        <v>68</v>
      </c>
      <c r="C2583" t="s">
        <v>34</v>
      </c>
      <c r="D2583" s="2">
        <v>45966</v>
      </c>
      <c r="E2583" s="3">
        <f t="shared" si="40"/>
        <v>45962</v>
      </c>
      <c r="F2583" t="s">
        <v>2304</v>
      </c>
      <c r="G2583" t="s">
        <v>107</v>
      </c>
      <c r="H2583" s="4">
        <v>49.55</v>
      </c>
      <c r="I2583" t="s">
        <v>47</v>
      </c>
      <c r="J2583" t="s">
        <v>109</v>
      </c>
      <c r="L2583" s="2">
        <v>45962</v>
      </c>
      <c r="M2583" t="s">
        <v>109</v>
      </c>
      <c r="N2583">
        <v>0</v>
      </c>
      <c r="O2583" t="s">
        <v>26</v>
      </c>
      <c r="P2583" t="s">
        <v>112</v>
      </c>
      <c r="Q2583" t="s">
        <v>113</v>
      </c>
    </row>
    <row r="2584" spans="1:17" x14ac:dyDescent="0.3">
      <c r="A2584" t="s">
        <v>17</v>
      </c>
      <c r="B2584">
        <v>68</v>
      </c>
      <c r="C2584" t="s">
        <v>34</v>
      </c>
      <c r="D2584" s="2">
        <v>45968</v>
      </c>
      <c r="E2584" s="3">
        <f t="shared" si="40"/>
        <v>45962</v>
      </c>
      <c r="F2584" t="s">
        <v>2305</v>
      </c>
      <c r="G2584" t="s">
        <v>122</v>
      </c>
      <c r="H2584" s="4">
        <v>19.66</v>
      </c>
      <c r="I2584" t="s">
        <v>104</v>
      </c>
      <c r="J2584" t="s">
        <v>109</v>
      </c>
      <c r="L2584" s="2">
        <v>45962</v>
      </c>
      <c r="M2584" t="s">
        <v>109</v>
      </c>
      <c r="N2584">
        <v>0</v>
      </c>
      <c r="O2584" t="s">
        <v>104</v>
      </c>
      <c r="P2584" t="s">
        <v>112</v>
      </c>
      <c r="Q2584" t="s">
        <v>113</v>
      </c>
    </row>
    <row r="2585" spans="1:17" x14ac:dyDescent="0.3">
      <c r="A2585" t="s">
        <v>17</v>
      </c>
      <c r="B2585">
        <v>68</v>
      </c>
      <c r="C2585" t="s">
        <v>34</v>
      </c>
      <c r="D2585" s="2">
        <v>45972</v>
      </c>
      <c r="E2585" s="3">
        <f t="shared" si="40"/>
        <v>45962</v>
      </c>
      <c r="F2585" t="s">
        <v>2306</v>
      </c>
      <c r="G2585" t="s">
        <v>122</v>
      </c>
      <c r="H2585" s="4">
        <v>4.72</v>
      </c>
      <c r="I2585" t="s">
        <v>108</v>
      </c>
      <c r="J2585" t="s">
        <v>109</v>
      </c>
      <c r="L2585" s="2">
        <v>45962</v>
      </c>
      <c r="M2585" t="s">
        <v>109</v>
      </c>
      <c r="N2585">
        <v>0</v>
      </c>
      <c r="O2585" t="s">
        <v>111</v>
      </c>
      <c r="P2585" t="s">
        <v>112</v>
      </c>
      <c r="Q2585" t="s">
        <v>113</v>
      </c>
    </row>
    <row r="2586" spans="1:17" x14ac:dyDescent="0.3">
      <c r="A2586" t="s">
        <v>17</v>
      </c>
      <c r="B2586">
        <v>68</v>
      </c>
      <c r="C2586" t="s">
        <v>34</v>
      </c>
      <c r="D2586" s="2">
        <v>45972</v>
      </c>
      <c r="E2586" s="3">
        <f t="shared" si="40"/>
        <v>45962</v>
      </c>
      <c r="F2586" t="s">
        <v>2306</v>
      </c>
      <c r="G2586" t="s">
        <v>122</v>
      </c>
      <c r="H2586" s="4">
        <v>17</v>
      </c>
      <c r="I2586" t="s">
        <v>108</v>
      </c>
      <c r="J2586" t="s">
        <v>109</v>
      </c>
      <c r="L2586" s="2">
        <v>45962</v>
      </c>
      <c r="M2586" t="s">
        <v>109</v>
      </c>
      <c r="N2586">
        <v>0</v>
      </c>
      <c r="O2586" t="s">
        <v>111</v>
      </c>
      <c r="P2586" t="s">
        <v>112</v>
      </c>
      <c r="Q2586" t="s">
        <v>113</v>
      </c>
    </row>
    <row r="2587" spans="1:17" x14ac:dyDescent="0.3">
      <c r="A2587" t="s">
        <v>17</v>
      </c>
      <c r="B2587">
        <v>68</v>
      </c>
      <c r="C2587" t="s">
        <v>34</v>
      </c>
      <c r="D2587" s="2">
        <v>45972</v>
      </c>
      <c r="E2587" s="3">
        <f t="shared" si="40"/>
        <v>45962</v>
      </c>
      <c r="F2587" t="s">
        <v>2306</v>
      </c>
      <c r="G2587" t="s">
        <v>122</v>
      </c>
      <c r="H2587" s="4">
        <v>1.34</v>
      </c>
      <c r="I2587" t="s">
        <v>108</v>
      </c>
      <c r="J2587" t="s">
        <v>109</v>
      </c>
      <c r="L2587" s="2">
        <v>45962</v>
      </c>
      <c r="M2587" t="s">
        <v>109</v>
      </c>
      <c r="N2587">
        <v>0</v>
      </c>
      <c r="O2587" t="s">
        <v>111</v>
      </c>
      <c r="P2587" t="s">
        <v>112</v>
      </c>
      <c r="Q2587" t="s">
        <v>113</v>
      </c>
    </row>
    <row r="2588" spans="1:17" x14ac:dyDescent="0.3">
      <c r="A2588" t="s">
        <v>17</v>
      </c>
      <c r="B2588">
        <v>68</v>
      </c>
      <c r="C2588" t="s">
        <v>34</v>
      </c>
      <c r="D2588" s="2">
        <v>45972</v>
      </c>
      <c r="E2588" s="3">
        <f t="shared" si="40"/>
        <v>45962</v>
      </c>
      <c r="F2588" t="s">
        <v>2307</v>
      </c>
      <c r="G2588" t="s">
        <v>122</v>
      </c>
      <c r="H2588" s="4">
        <v>48.15</v>
      </c>
      <c r="I2588" t="s">
        <v>104</v>
      </c>
      <c r="J2588" t="s">
        <v>109</v>
      </c>
      <c r="L2588" s="2">
        <v>45962</v>
      </c>
      <c r="M2588" t="s">
        <v>109</v>
      </c>
      <c r="N2588">
        <v>0</v>
      </c>
      <c r="O2588" t="s">
        <v>104</v>
      </c>
      <c r="P2588" t="s">
        <v>112</v>
      </c>
      <c r="Q2588" t="s">
        <v>113</v>
      </c>
    </row>
    <row r="2589" spans="1:17" x14ac:dyDescent="0.3">
      <c r="A2589" t="s">
        <v>17</v>
      </c>
      <c r="B2589">
        <v>68</v>
      </c>
      <c r="C2589" t="s">
        <v>34</v>
      </c>
      <c r="D2589" s="2">
        <v>45972</v>
      </c>
      <c r="E2589" s="3">
        <f t="shared" si="40"/>
        <v>45962</v>
      </c>
      <c r="F2589" t="s">
        <v>2307</v>
      </c>
      <c r="G2589" t="s">
        <v>122</v>
      </c>
      <c r="H2589" s="4">
        <v>17</v>
      </c>
      <c r="I2589" t="s">
        <v>104</v>
      </c>
      <c r="J2589" t="s">
        <v>109</v>
      </c>
      <c r="K2589" t="s">
        <v>1455</v>
      </c>
      <c r="L2589" s="2">
        <v>45962</v>
      </c>
      <c r="M2589" t="s">
        <v>109</v>
      </c>
      <c r="N2589">
        <v>0</v>
      </c>
      <c r="O2589" t="s">
        <v>104</v>
      </c>
      <c r="P2589" t="s">
        <v>112</v>
      </c>
      <c r="Q2589" t="s">
        <v>113</v>
      </c>
    </row>
    <row r="2590" spans="1:17" x14ac:dyDescent="0.3">
      <c r="A2590" t="s">
        <v>17</v>
      </c>
      <c r="B2590">
        <v>68</v>
      </c>
      <c r="C2590" t="s">
        <v>34</v>
      </c>
      <c r="D2590" s="2">
        <v>45972</v>
      </c>
      <c r="E2590" s="3">
        <f t="shared" si="40"/>
        <v>45962</v>
      </c>
      <c r="F2590" t="s">
        <v>2307</v>
      </c>
      <c r="G2590" t="s">
        <v>122</v>
      </c>
      <c r="H2590" s="4">
        <v>1.34</v>
      </c>
      <c r="I2590" t="s">
        <v>104</v>
      </c>
      <c r="J2590" t="s">
        <v>109</v>
      </c>
      <c r="K2590" t="s">
        <v>1457</v>
      </c>
      <c r="L2590" s="2">
        <v>45962</v>
      </c>
      <c r="M2590" t="s">
        <v>109</v>
      </c>
      <c r="N2590">
        <v>0</v>
      </c>
      <c r="O2590" t="s">
        <v>104</v>
      </c>
      <c r="P2590" t="s">
        <v>112</v>
      </c>
      <c r="Q2590" t="s">
        <v>113</v>
      </c>
    </row>
    <row r="2591" spans="1:17" x14ac:dyDescent="0.3">
      <c r="A2591" t="s">
        <v>17</v>
      </c>
      <c r="B2591">
        <v>68</v>
      </c>
      <c r="C2591" t="s">
        <v>34</v>
      </c>
      <c r="D2591" s="2">
        <v>45972</v>
      </c>
      <c r="E2591" s="3">
        <f t="shared" si="40"/>
        <v>45962</v>
      </c>
      <c r="F2591" t="s">
        <v>2308</v>
      </c>
      <c r="G2591" t="s">
        <v>122</v>
      </c>
      <c r="H2591" s="4">
        <v>14.6</v>
      </c>
      <c r="I2591" t="s">
        <v>108</v>
      </c>
      <c r="J2591" t="s">
        <v>109</v>
      </c>
      <c r="L2591" s="2">
        <v>45962</v>
      </c>
      <c r="M2591" t="s">
        <v>109</v>
      </c>
      <c r="N2591">
        <v>0</v>
      </c>
      <c r="O2591" t="s">
        <v>111</v>
      </c>
      <c r="P2591" t="s">
        <v>112</v>
      </c>
      <c r="Q2591" t="s">
        <v>113</v>
      </c>
    </row>
    <row r="2592" spans="1:17" x14ac:dyDescent="0.3">
      <c r="A2592" t="s">
        <v>17</v>
      </c>
      <c r="B2592">
        <v>68</v>
      </c>
      <c r="C2592" t="s">
        <v>34</v>
      </c>
      <c r="D2592" s="2">
        <v>45972</v>
      </c>
      <c r="E2592" s="3">
        <f t="shared" si="40"/>
        <v>45962</v>
      </c>
      <c r="F2592" t="s">
        <v>2308</v>
      </c>
      <c r="G2592" t="s">
        <v>122</v>
      </c>
      <c r="H2592" s="4">
        <v>17</v>
      </c>
      <c r="I2592" t="s">
        <v>108</v>
      </c>
      <c r="J2592" t="s">
        <v>109</v>
      </c>
      <c r="L2592" s="2">
        <v>45962</v>
      </c>
      <c r="M2592" t="s">
        <v>109</v>
      </c>
      <c r="N2592">
        <v>0</v>
      </c>
      <c r="O2592" t="s">
        <v>111</v>
      </c>
      <c r="P2592" t="s">
        <v>112</v>
      </c>
      <c r="Q2592" t="s">
        <v>113</v>
      </c>
    </row>
    <row r="2593" spans="1:17" x14ac:dyDescent="0.3">
      <c r="A2593" t="s">
        <v>17</v>
      </c>
      <c r="B2593">
        <v>68</v>
      </c>
      <c r="C2593" t="s">
        <v>34</v>
      </c>
      <c r="D2593" s="2">
        <v>45972</v>
      </c>
      <c r="E2593" s="3">
        <f t="shared" si="40"/>
        <v>45962</v>
      </c>
      <c r="F2593" t="s">
        <v>2308</v>
      </c>
      <c r="G2593" t="s">
        <v>122</v>
      </c>
      <c r="H2593" s="4">
        <v>1.34</v>
      </c>
      <c r="I2593" t="s">
        <v>108</v>
      </c>
      <c r="J2593" t="s">
        <v>109</v>
      </c>
      <c r="K2593" t="s">
        <v>1457</v>
      </c>
      <c r="L2593" s="2">
        <v>45962</v>
      </c>
      <c r="M2593" t="s">
        <v>109</v>
      </c>
      <c r="N2593">
        <v>0</v>
      </c>
      <c r="O2593" t="s">
        <v>111</v>
      </c>
      <c r="P2593" t="s">
        <v>112</v>
      </c>
      <c r="Q2593" t="s">
        <v>113</v>
      </c>
    </row>
    <row r="2594" spans="1:17" x14ac:dyDescent="0.3">
      <c r="A2594" t="s">
        <v>17</v>
      </c>
      <c r="B2594">
        <v>68</v>
      </c>
      <c r="C2594" t="s">
        <v>34</v>
      </c>
      <c r="D2594" s="2">
        <v>45972</v>
      </c>
      <c r="E2594" s="3">
        <f t="shared" si="40"/>
        <v>45962</v>
      </c>
      <c r="F2594" t="s">
        <v>2309</v>
      </c>
      <c r="G2594" t="s">
        <v>107</v>
      </c>
      <c r="H2594" s="4">
        <v>96.18</v>
      </c>
      <c r="I2594" t="s">
        <v>47</v>
      </c>
      <c r="J2594" t="s">
        <v>109</v>
      </c>
      <c r="L2594" s="2">
        <v>45962</v>
      </c>
      <c r="M2594" t="s">
        <v>109</v>
      </c>
      <c r="N2594">
        <v>0</v>
      </c>
      <c r="O2594" t="s">
        <v>26</v>
      </c>
      <c r="P2594" t="s">
        <v>112</v>
      </c>
      <c r="Q2594" t="s">
        <v>113</v>
      </c>
    </row>
    <row r="2595" spans="1:17" x14ac:dyDescent="0.3">
      <c r="A2595" t="s">
        <v>17</v>
      </c>
      <c r="B2595">
        <v>68</v>
      </c>
      <c r="C2595" t="s">
        <v>34</v>
      </c>
      <c r="D2595" s="2">
        <v>45973</v>
      </c>
      <c r="E2595" s="3">
        <f t="shared" si="40"/>
        <v>45962</v>
      </c>
      <c r="F2595" t="s">
        <v>2310</v>
      </c>
      <c r="G2595" t="s">
        <v>122</v>
      </c>
      <c r="H2595" s="4">
        <v>16.05</v>
      </c>
      <c r="I2595" t="s">
        <v>104</v>
      </c>
      <c r="J2595" t="s">
        <v>109</v>
      </c>
      <c r="K2595" t="s">
        <v>2311</v>
      </c>
      <c r="L2595" s="2">
        <v>45962</v>
      </c>
      <c r="M2595" t="s">
        <v>109</v>
      </c>
      <c r="N2595">
        <v>0</v>
      </c>
      <c r="O2595" t="s">
        <v>104</v>
      </c>
      <c r="P2595" t="s">
        <v>112</v>
      </c>
      <c r="Q2595" t="s">
        <v>113</v>
      </c>
    </row>
    <row r="2596" spans="1:17" x14ac:dyDescent="0.3">
      <c r="A2596" t="s">
        <v>17</v>
      </c>
      <c r="B2596">
        <v>68</v>
      </c>
      <c r="C2596" t="s">
        <v>34</v>
      </c>
      <c r="D2596" s="2">
        <v>45973</v>
      </c>
      <c r="E2596" s="3">
        <f t="shared" si="40"/>
        <v>45962</v>
      </c>
      <c r="F2596" t="s">
        <v>2310</v>
      </c>
      <c r="G2596" t="s">
        <v>122</v>
      </c>
      <c r="H2596" s="4">
        <v>17</v>
      </c>
      <c r="I2596" t="s">
        <v>104</v>
      </c>
      <c r="J2596" t="s">
        <v>109</v>
      </c>
      <c r="K2596" t="s">
        <v>1451</v>
      </c>
      <c r="L2596" s="2">
        <v>45962</v>
      </c>
      <c r="M2596" t="s">
        <v>109</v>
      </c>
      <c r="N2596">
        <v>0</v>
      </c>
      <c r="O2596" t="s">
        <v>104</v>
      </c>
      <c r="P2596" t="s">
        <v>112</v>
      </c>
      <c r="Q2596" t="s">
        <v>113</v>
      </c>
    </row>
    <row r="2597" spans="1:17" x14ac:dyDescent="0.3">
      <c r="A2597" t="s">
        <v>17</v>
      </c>
      <c r="B2597">
        <v>68</v>
      </c>
      <c r="C2597" t="s">
        <v>34</v>
      </c>
      <c r="D2597" s="2">
        <v>45973</v>
      </c>
      <c r="E2597" s="3">
        <f t="shared" si="40"/>
        <v>45962</v>
      </c>
      <c r="F2597" t="s">
        <v>2310</v>
      </c>
      <c r="G2597" t="s">
        <v>122</v>
      </c>
      <c r="H2597" s="4">
        <v>1.34</v>
      </c>
      <c r="I2597" t="s">
        <v>104</v>
      </c>
      <c r="J2597" t="s">
        <v>109</v>
      </c>
      <c r="K2597" t="s">
        <v>1457</v>
      </c>
      <c r="L2597" s="2">
        <v>45962</v>
      </c>
      <c r="M2597" t="s">
        <v>109</v>
      </c>
      <c r="N2597">
        <v>0</v>
      </c>
      <c r="O2597" t="s">
        <v>104</v>
      </c>
      <c r="P2597" t="s">
        <v>112</v>
      </c>
      <c r="Q2597" t="s">
        <v>113</v>
      </c>
    </row>
    <row r="2598" spans="1:17" x14ac:dyDescent="0.3">
      <c r="A2598" t="s">
        <v>17</v>
      </c>
      <c r="B2598">
        <v>68</v>
      </c>
      <c r="C2598" t="s">
        <v>34</v>
      </c>
      <c r="D2598" s="2">
        <v>45973</v>
      </c>
      <c r="E2598" s="3">
        <f t="shared" si="40"/>
        <v>45962</v>
      </c>
      <c r="F2598" t="s">
        <v>2312</v>
      </c>
      <c r="G2598" t="s">
        <v>122</v>
      </c>
      <c r="H2598" s="4">
        <v>212.44</v>
      </c>
      <c r="I2598" t="s">
        <v>108</v>
      </c>
      <c r="J2598" t="s">
        <v>109</v>
      </c>
      <c r="K2598" t="s">
        <v>1442</v>
      </c>
      <c r="L2598" s="2">
        <v>45962</v>
      </c>
      <c r="M2598" t="s">
        <v>109</v>
      </c>
      <c r="N2598">
        <v>0</v>
      </c>
      <c r="O2598" t="s">
        <v>111</v>
      </c>
      <c r="P2598" t="s">
        <v>112</v>
      </c>
      <c r="Q2598" t="s">
        <v>113</v>
      </c>
    </row>
    <row r="2599" spans="1:17" x14ac:dyDescent="0.3">
      <c r="A2599" t="s">
        <v>17</v>
      </c>
      <c r="B2599">
        <v>68</v>
      </c>
      <c r="C2599" t="s">
        <v>34</v>
      </c>
      <c r="D2599" s="2">
        <v>45973</v>
      </c>
      <c r="E2599" s="3">
        <f t="shared" si="40"/>
        <v>45962</v>
      </c>
      <c r="F2599" t="s">
        <v>2312</v>
      </c>
      <c r="G2599" t="s">
        <v>122</v>
      </c>
      <c r="H2599" s="4">
        <v>301.33999999999997</v>
      </c>
      <c r="I2599" t="s">
        <v>108</v>
      </c>
      <c r="J2599" t="s">
        <v>109</v>
      </c>
      <c r="K2599" t="s">
        <v>1442</v>
      </c>
      <c r="L2599" s="2">
        <v>45962</v>
      </c>
      <c r="M2599" t="s">
        <v>109</v>
      </c>
      <c r="N2599">
        <v>0</v>
      </c>
      <c r="O2599" t="s">
        <v>111</v>
      </c>
      <c r="P2599" t="s">
        <v>112</v>
      </c>
      <c r="Q2599" t="s">
        <v>113</v>
      </c>
    </row>
    <row r="2600" spans="1:17" x14ac:dyDescent="0.3">
      <c r="A2600" t="s">
        <v>17</v>
      </c>
      <c r="B2600">
        <v>68</v>
      </c>
      <c r="C2600" t="s">
        <v>34</v>
      </c>
      <c r="D2600" s="2">
        <v>45974</v>
      </c>
      <c r="E2600" s="3">
        <f t="shared" si="40"/>
        <v>45962</v>
      </c>
      <c r="F2600" t="s">
        <v>2313</v>
      </c>
      <c r="G2600" t="s">
        <v>291</v>
      </c>
      <c r="H2600" s="4">
        <v>234.94</v>
      </c>
      <c r="I2600" t="s">
        <v>47</v>
      </c>
      <c r="J2600" t="s">
        <v>109</v>
      </c>
      <c r="K2600" t="s">
        <v>292</v>
      </c>
      <c r="L2600" s="2">
        <v>45962</v>
      </c>
      <c r="M2600" t="s">
        <v>109</v>
      </c>
      <c r="N2600">
        <v>0</v>
      </c>
      <c r="O2600" t="s">
        <v>26</v>
      </c>
      <c r="P2600" t="s">
        <v>112</v>
      </c>
      <c r="Q2600" t="s">
        <v>113</v>
      </c>
    </row>
    <row r="2601" spans="1:17" x14ac:dyDescent="0.3">
      <c r="A2601" t="s">
        <v>17</v>
      </c>
      <c r="B2601">
        <v>68</v>
      </c>
      <c r="C2601" t="s">
        <v>34</v>
      </c>
      <c r="D2601" s="2">
        <v>45978</v>
      </c>
      <c r="E2601" s="3">
        <f t="shared" si="40"/>
        <v>45962</v>
      </c>
      <c r="F2601" t="s">
        <v>2314</v>
      </c>
      <c r="G2601" t="s">
        <v>107</v>
      </c>
      <c r="H2601" s="4">
        <v>28.5</v>
      </c>
      <c r="I2601" t="s">
        <v>108</v>
      </c>
      <c r="J2601" t="s">
        <v>109</v>
      </c>
      <c r="K2601" t="s">
        <v>110</v>
      </c>
      <c r="L2601" s="2">
        <v>45962</v>
      </c>
      <c r="M2601" t="s">
        <v>109</v>
      </c>
      <c r="N2601">
        <v>0</v>
      </c>
      <c r="O2601" t="s">
        <v>111</v>
      </c>
      <c r="P2601" t="s">
        <v>112</v>
      </c>
      <c r="Q2601" t="s">
        <v>113</v>
      </c>
    </row>
    <row r="2602" spans="1:17" x14ac:dyDescent="0.3">
      <c r="A2602" t="s">
        <v>17</v>
      </c>
      <c r="B2602">
        <v>68</v>
      </c>
      <c r="C2602" t="s">
        <v>34</v>
      </c>
      <c r="D2602" s="2">
        <v>45979</v>
      </c>
      <c r="E2602" s="3">
        <f t="shared" si="40"/>
        <v>45962</v>
      </c>
      <c r="F2602" t="s">
        <v>2315</v>
      </c>
      <c r="G2602" t="s">
        <v>107</v>
      </c>
      <c r="H2602" s="4">
        <v>71.58</v>
      </c>
      <c r="I2602" t="s">
        <v>31</v>
      </c>
      <c r="J2602" t="s">
        <v>109</v>
      </c>
      <c r="K2602" t="s">
        <v>2316</v>
      </c>
      <c r="L2602" s="2">
        <v>45962</v>
      </c>
      <c r="M2602" t="s">
        <v>109</v>
      </c>
      <c r="N2602">
        <v>0</v>
      </c>
      <c r="O2602" t="s">
        <v>31</v>
      </c>
      <c r="P2602" t="s">
        <v>112</v>
      </c>
      <c r="Q2602" t="s">
        <v>113</v>
      </c>
    </row>
    <row r="2603" spans="1:17" x14ac:dyDescent="0.3">
      <c r="A2603" t="s">
        <v>17</v>
      </c>
      <c r="B2603">
        <v>68</v>
      </c>
      <c r="C2603" t="s">
        <v>34</v>
      </c>
      <c r="D2603" s="2">
        <v>45980</v>
      </c>
      <c r="E2603" s="3">
        <f t="shared" si="40"/>
        <v>45962</v>
      </c>
      <c r="F2603" t="s">
        <v>2317</v>
      </c>
      <c r="G2603" t="s">
        <v>122</v>
      </c>
      <c r="H2603" s="4">
        <v>5.99</v>
      </c>
      <c r="I2603" t="s">
        <v>108</v>
      </c>
      <c r="J2603" t="s">
        <v>109</v>
      </c>
      <c r="L2603" s="2">
        <v>45962</v>
      </c>
      <c r="M2603" t="s">
        <v>109</v>
      </c>
      <c r="N2603">
        <v>0</v>
      </c>
      <c r="O2603" t="s">
        <v>111</v>
      </c>
      <c r="P2603" t="s">
        <v>112</v>
      </c>
      <c r="Q2603" t="s">
        <v>113</v>
      </c>
    </row>
    <row r="2604" spans="1:17" x14ac:dyDescent="0.3">
      <c r="A2604" t="s">
        <v>17</v>
      </c>
      <c r="B2604">
        <v>68</v>
      </c>
      <c r="C2604" t="s">
        <v>34</v>
      </c>
      <c r="D2604" s="2">
        <v>45980</v>
      </c>
      <c r="E2604" s="3">
        <f t="shared" si="40"/>
        <v>45962</v>
      </c>
      <c r="F2604" t="s">
        <v>2317</v>
      </c>
      <c r="G2604" t="s">
        <v>122</v>
      </c>
      <c r="H2604" s="4">
        <v>17</v>
      </c>
      <c r="I2604" t="s">
        <v>108</v>
      </c>
      <c r="J2604" t="s">
        <v>109</v>
      </c>
      <c r="L2604" s="2">
        <v>45962</v>
      </c>
      <c r="M2604" t="s">
        <v>109</v>
      </c>
      <c r="N2604">
        <v>0</v>
      </c>
      <c r="O2604" t="s">
        <v>111</v>
      </c>
      <c r="P2604" t="s">
        <v>112</v>
      </c>
      <c r="Q2604" t="s">
        <v>113</v>
      </c>
    </row>
    <row r="2605" spans="1:17" x14ac:dyDescent="0.3">
      <c r="A2605" t="s">
        <v>17</v>
      </c>
      <c r="B2605">
        <v>68</v>
      </c>
      <c r="C2605" t="s">
        <v>34</v>
      </c>
      <c r="D2605" s="2">
        <v>45980</v>
      </c>
      <c r="E2605" s="3">
        <f t="shared" si="40"/>
        <v>45962</v>
      </c>
      <c r="F2605" t="s">
        <v>2317</v>
      </c>
      <c r="G2605" t="s">
        <v>122</v>
      </c>
      <c r="H2605" s="4">
        <v>1.34</v>
      </c>
      <c r="I2605" t="s">
        <v>108</v>
      </c>
      <c r="J2605" t="s">
        <v>109</v>
      </c>
      <c r="L2605" s="2">
        <v>45962</v>
      </c>
      <c r="M2605" t="s">
        <v>109</v>
      </c>
      <c r="N2605">
        <v>0</v>
      </c>
      <c r="O2605" t="s">
        <v>111</v>
      </c>
      <c r="P2605" t="s">
        <v>112</v>
      </c>
      <c r="Q2605" t="s">
        <v>113</v>
      </c>
    </row>
    <row r="2606" spans="1:17" x14ac:dyDescent="0.3">
      <c r="A2606" t="s">
        <v>17</v>
      </c>
      <c r="B2606">
        <v>68</v>
      </c>
      <c r="C2606" t="s">
        <v>34</v>
      </c>
      <c r="D2606" s="2">
        <v>45980</v>
      </c>
      <c r="E2606" s="3">
        <f t="shared" si="40"/>
        <v>45962</v>
      </c>
      <c r="F2606" t="s">
        <v>2318</v>
      </c>
      <c r="G2606" t="s">
        <v>122</v>
      </c>
      <c r="H2606" s="4">
        <v>425.95</v>
      </c>
      <c r="I2606" t="s">
        <v>104</v>
      </c>
      <c r="J2606" t="s">
        <v>109</v>
      </c>
      <c r="K2606" t="s">
        <v>1442</v>
      </c>
      <c r="L2606" s="2">
        <v>45962</v>
      </c>
      <c r="M2606" t="s">
        <v>109</v>
      </c>
      <c r="N2606">
        <v>0</v>
      </c>
      <c r="O2606" t="s">
        <v>104</v>
      </c>
      <c r="P2606" t="s">
        <v>112</v>
      </c>
      <c r="Q2606" t="s">
        <v>113</v>
      </c>
    </row>
    <row r="2607" spans="1:17" x14ac:dyDescent="0.3">
      <c r="A2607" t="s">
        <v>17</v>
      </c>
      <c r="B2607">
        <v>68</v>
      </c>
      <c r="C2607" t="s">
        <v>34</v>
      </c>
      <c r="D2607" s="2">
        <v>45980</v>
      </c>
      <c r="E2607" s="3">
        <f t="shared" si="40"/>
        <v>45962</v>
      </c>
      <c r="F2607" t="s">
        <v>2318</v>
      </c>
      <c r="G2607" t="s">
        <v>122</v>
      </c>
      <c r="H2607" s="4">
        <v>119.2</v>
      </c>
      <c r="I2607" t="s">
        <v>108</v>
      </c>
      <c r="J2607" t="s">
        <v>109</v>
      </c>
      <c r="K2607" t="s">
        <v>1442</v>
      </c>
      <c r="L2607" s="2">
        <v>45962</v>
      </c>
      <c r="M2607" t="s">
        <v>109</v>
      </c>
      <c r="N2607">
        <v>0</v>
      </c>
      <c r="O2607" t="s">
        <v>111</v>
      </c>
      <c r="P2607" t="s">
        <v>112</v>
      </c>
      <c r="Q2607" t="s">
        <v>113</v>
      </c>
    </row>
    <row r="2608" spans="1:17" x14ac:dyDescent="0.3">
      <c r="A2608" t="s">
        <v>17</v>
      </c>
      <c r="B2608">
        <v>68</v>
      </c>
      <c r="C2608" t="s">
        <v>34</v>
      </c>
      <c r="D2608" s="2">
        <v>45980</v>
      </c>
      <c r="E2608" s="3">
        <f t="shared" si="40"/>
        <v>45962</v>
      </c>
      <c r="F2608" t="s">
        <v>2319</v>
      </c>
      <c r="G2608" t="s">
        <v>122</v>
      </c>
      <c r="H2608" s="4">
        <v>187.24</v>
      </c>
      <c r="I2608" t="s">
        <v>108</v>
      </c>
      <c r="J2608" t="s">
        <v>109</v>
      </c>
      <c r="K2608" t="s">
        <v>662</v>
      </c>
      <c r="L2608" s="2">
        <v>45962</v>
      </c>
      <c r="M2608" t="s">
        <v>109</v>
      </c>
      <c r="N2608">
        <v>0</v>
      </c>
      <c r="O2608" t="s">
        <v>111</v>
      </c>
      <c r="P2608" t="s">
        <v>112</v>
      </c>
      <c r="Q2608" t="s">
        <v>113</v>
      </c>
    </row>
    <row r="2609" spans="1:17" x14ac:dyDescent="0.3">
      <c r="A2609" t="s">
        <v>17</v>
      </c>
      <c r="B2609">
        <v>68</v>
      </c>
      <c r="C2609" t="s">
        <v>34</v>
      </c>
      <c r="D2609" s="2">
        <v>45980</v>
      </c>
      <c r="E2609" s="3">
        <f t="shared" si="40"/>
        <v>45962</v>
      </c>
      <c r="F2609" t="s">
        <v>2320</v>
      </c>
      <c r="G2609" t="s">
        <v>122</v>
      </c>
      <c r="H2609" s="4">
        <v>18.93</v>
      </c>
      <c r="I2609" t="s">
        <v>108</v>
      </c>
      <c r="J2609" t="s">
        <v>109</v>
      </c>
      <c r="K2609" t="s">
        <v>2321</v>
      </c>
      <c r="L2609" s="2">
        <v>45962</v>
      </c>
      <c r="M2609" t="s">
        <v>109</v>
      </c>
      <c r="N2609">
        <v>0</v>
      </c>
      <c r="O2609" t="s">
        <v>111</v>
      </c>
      <c r="P2609" t="s">
        <v>112</v>
      </c>
      <c r="Q2609" t="s">
        <v>113</v>
      </c>
    </row>
    <row r="2610" spans="1:17" x14ac:dyDescent="0.3">
      <c r="A2610" t="s">
        <v>17</v>
      </c>
      <c r="B2610">
        <v>68</v>
      </c>
      <c r="C2610" t="s">
        <v>34</v>
      </c>
      <c r="D2610" s="2">
        <v>45980</v>
      </c>
      <c r="E2610" s="3">
        <f t="shared" si="40"/>
        <v>45962</v>
      </c>
      <c r="F2610" t="s">
        <v>2322</v>
      </c>
      <c r="G2610" t="s">
        <v>122</v>
      </c>
      <c r="H2610" s="4">
        <v>16.05</v>
      </c>
      <c r="I2610" t="s">
        <v>104</v>
      </c>
      <c r="J2610" t="s">
        <v>109</v>
      </c>
      <c r="K2610" t="s">
        <v>2323</v>
      </c>
      <c r="L2610" s="2">
        <v>45962</v>
      </c>
      <c r="M2610" t="s">
        <v>109</v>
      </c>
      <c r="N2610">
        <v>0</v>
      </c>
      <c r="O2610" t="s">
        <v>104</v>
      </c>
      <c r="P2610" t="s">
        <v>112</v>
      </c>
      <c r="Q2610" t="s">
        <v>113</v>
      </c>
    </row>
    <row r="2611" spans="1:17" x14ac:dyDescent="0.3">
      <c r="A2611" t="s">
        <v>17</v>
      </c>
      <c r="B2611">
        <v>68</v>
      </c>
      <c r="C2611" t="s">
        <v>34</v>
      </c>
      <c r="D2611" s="2">
        <v>45980</v>
      </c>
      <c r="E2611" s="3">
        <f t="shared" si="40"/>
        <v>45962</v>
      </c>
      <c r="F2611" t="s">
        <v>2322</v>
      </c>
      <c r="G2611" t="s">
        <v>122</v>
      </c>
      <c r="H2611" s="4">
        <v>17</v>
      </c>
      <c r="I2611" t="s">
        <v>104</v>
      </c>
      <c r="J2611" t="s">
        <v>109</v>
      </c>
      <c r="K2611" t="s">
        <v>1455</v>
      </c>
      <c r="L2611" s="2">
        <v>45962</v>
      </c>
      <c r="M2611" t="s">
        <v>109</v>
      </c>
      <c r="N2611">
        <v>0</v>
      </c>
      <c r="O2611" t="s">
        <v>104</v>
      </c>
      <c r="P2611" t="s">
        <v>112</v>
      </c>
      <c r="Q2611" t="s">
        <v>113</v>
      </c>
    </row>
    <row r="2612" spans="1:17" x14ac:dyDescent="0.3">
      <c r="A2612" t="s">
        <v>17</v>
      </c>
      <c r="B2612">
        <v>68</v>
      </c>
      <c r="C2612" t="s">
        <v>34</v>
      </c>
      <c r="D2612" s="2">
        <v>45980</v>
      </c>
      <c r="E2612" s="3">
        <f t="shared" si="40"/>
        <v>45962</v>
      </c>
      <c r="F2612" t="s">
        <v>2322</v>
      </c>
      <c r="G2612" t="s">
        <v>122</v>
      </c>
      <c r="H2612" s="4">
        <v>1.34</v>
      </c>
      <c r="I2612" t="s">
        <v>104</v>
      </c>
      <c r="J2612" t="s">
        <v>109</v>
      </c>
      <c r="K2612" t="s">
        <v>1452</v>
      </c>
      <c r="L2612" s="2">
        <v>45962</v>
      </c>
      <c r="M2612" t="s">
        <v>109</v>
      </c>
      <c r="N2612">
        <v>0</v>
      </c>
      <c r="O2612" t="s">
        <v>104</v>
      </c>
      <c r="P2612" t="s">
        <v>112</v>
      </c>
      <c r="Q2612" t="s">
        <v>113</v>
      </c>
    </row>
    <row r="2613" spans="1:17" x14ac:dyDescent="0.3">
      <c r="A2613" t="s">
        <v>17</v>
      </c>
      <c r="B2613">
        <v>68</v>
      </c>
      <c r="C2613" t="s">
        <v>34</v>
      </c>
      <c r="D2613" s="2">
        <v>45985</v>
      </c>
      <c r="E2613" s="3">
        <f t="shared" si="40"/>
        <v>45962</v>
      </c>
      <c r="F2613" t="s">
        <v>2324</v>
      </c>
      <c r="G2613" t="s">
        <v>107</v>
      </c>
      <c r="H2613" s="4">
        <v>21.72</v>
      </c>
      <c r="I2613" t="s">
        <v>31</v>
      </c>
      <c r="J2613" t="s">
        <v>109</v>
      </c>
      <c r="K2613" t="s">
        <v>2325</v>
      </c>
      <c r="L2613" s="2">
        <v>45962</v>
      </c>
      <c r="M2613" t="s">
        <v>109</v>
      </c>
      <c r="N2613">
        <v>0</v>
      </c>
      <c r="O2613" t="s">
        <v>31</v>
      </c>
      <c r="P2613" t="s">
        <v>112</v>
      </c>
      <c r="Q2613" t="s">
        <v>113</v>
      </c>
    </row>
    <row r="2614" spans="1:17" x14ac:dyDescent="0.3">
      <c r="A2614" t="s">
        <v>17</v>
      </c>
      <c r="B2614">
        <v>68</v>
      </c>
      <c r="C2614" t="s">
        <v>34</v>
      </c>
      <c r="D2614" s="2">
        <v>45985</v>
      </c>
      <c r="E2614" s="3">
        <f t="shared" si="40"/>
        <v>45962</v>
      </c>
      <c r="F2614" t="s">
        <v>2326</v>
      </c>
      <c r="G2614" t="s">
        <v>107</v>
      </c>
      <c r="H2614" s="4">
        <v>29.41</v>
      </c>
      <c r="I2614" t="s">
        <v>47</v>
      </c>
      <c r="J2614" t="s">
        <v>109</v>
      </c>
      <c r="K2614" t="s">
        <v>2327</v>
      </c>
      <c r="L2614" s="2">
        <v>45962</v>
      </c>
      <c r="M2614" t="s">
        <v>109</v>
      </c>
      <c r="N2614">
        <v>0</v>
      </c>
      <c r="O2614" t="s">
        <v>26</v>
      </c>
      <c r="P2614" t="s">
        <v>112</v>
      </c>
      <c r="Q2614" t="s">
        <v>113</v>
      </c>
    </row>
    <row r="2615" spans="1:17" x14ac:dyDescent="0.3">
      <c r="A2615" t="s">
        <v>17</v>
      </c>
      <c r="B2615">
        <v>68</v>
      </c>
      <c r="C2615" t="s">
        <v>34</v>
      </c>
      <c r="D2615" s="2">
        <v>45986</v>
      </c>
      <c r="E2615" s="3">
        <f t="shared" si="40"/>
        <v>45962</v>
      </c>
      <c r="F2615" t="s">
        <v>2328</v>
      </c>
      <c r="G2615" t="s">
        <v>122</v>
      </c>
      <c r="H2615" s="4">
        <v>20.190000000000001</v>
      </c>
      <c r="I2615" t="s">
        <v>108</v>
      </c>
      <c r="J2615" t="s">
        <v>109</v>
      </c>
      <c r="L2615" s="2">
        <v>45962</v>
      </c>
      <c r="M2615" t="s">
        <v>109</v>
      </c>
      <c r="N2615">
        <v>0</v>
      </c>
      <c r="O2615" t="s">
        <v>111</v>
      </c>
      <c r="P2615" t="s">
        <v>112</v>
      </c>
      <c r="Q2615" t="s">
        <v>113</v>
      </c>
    </row>
    <row r="2616" spans="1:17" x14ac:dyDescent="0.3">
      <c r="A2616" t="s">
        <v>17</v>
      </c>
      <c r="B2616">
        <v>68</v>
      </c>
      <c r="C2616" t="s">
        <v>34</v>
      </c>
      <c r="D2616" s="2">
        <v>45986</v>
      </c>
      <c r="E2616" s="3">
        <f t="shared" si="40"/>
        <v>45962</v>
      </c>
      <c r="F2616" t="s">
        <v>2329</v>
      </c>
      <c r="G2616" t="s">
        <v>122</v>
      </c>
      <c r="H2616" s="4">
        <v>16.68</v>
      </c>
      <c r="I2616" t="s">
        <v>108</v>
      </c>
      <c r="J2616" t="s">
        <v>109</v>
      </c>
      <c r="K2616" t="s">
        <v>2330</v>
      </c>
      <c r="L2616" s="2">
        <v>45962</v>
      </c>
      <c r="M2616" t="s">
        <v>109</v>
      </c>
      <c r="N2616">
        <v>0</v>
      </c>
      <c r="O2616" t="s">
        <v>111</v>
      </c>
      <c r="P2616" t="s">
        <v>112</v>
      </c>
      <c r="Q2616" t="s">
        <v>113</v>
      </c>
    </row>
    <row r="2617" spans="1:17" x14ac:dyDescent="0.3">
      <c r="A2617" t="s">
        <v>17</v>
      </c>
      <c r="B2617">
        <v>68</v>
      </c>
      <c r="C2617" t="s">
        <v>34</v>
      </c>
      <c r="D2617" s="2">
        <v>45986</v>
      </c>
      <c r="E2617" s="3">
        <f t="shared" si="40"/>
        <v>45962</v>
      </c>
      <c r="F2617" t="s">
        <v>2329</v>
      </c>
      <c r="G2617" t="s">
        <v>122</v>
      </c>
      <c r="H2617" s="4">
        <v>17</v>
      </c>
      <c r="I2617" t="s">
        <v>108</v>
      </c>
      <c r="J2617" t="s">
        <v>109</v>
      </c>
      <c r="K2617" t="s">
        <v>2330</v>
      </c>
      <c r="L2617" s="2">
        <v>45962</v>
      </c>
      <c r="M2617" t="s">
        <v>109</v>
      </c>
      <c r="N2617">
        <v>0</v>
      </c>
      <c r="O2617" t="s">
        <v>111</v>
      </c>
      <c r="P2617" t="s">
        <v>112</v>
      </c>
      <c r="Q2617" t="s">
        <v>113</v>
      </c>
    </row>
    <row r="2618" spans="1:17" x14ac:dyDescent="0.3">
      <c r="A2618" t="s">
        <v>17</v>
      </c>
      <c r="B2618">
        <v>68</v>
      </c>
      <c r="C2618" t="s">
        <v>34</v>
      </c>
      <c r="D2618" s="2">
        <v>45986</v>
      </c>
      <c r="E2618" s="3">
        <f t="shared" si="40"/>
        <v>45962</v>
      </c>
      <c r="F2618" t="s">
        <v>2329</v>
      </c>
      <c r="G2618" t="s">
        <v>122</v>
      </c>
      <c r="H2618" s="4">
        <v>1.34</v>
      </c>
      <c r="I2618" t="s">
        <v>108</v>
      </c>
      <c r="J2618" t="s">
        <v>109</v>
      </c>
      <c r="K2618" t="s">
        <v>2330</v>
      </c>
      <c r="L2618" s="2">
        <v>45962</v>
      </c>
      <c r="M2618" t="s">
        <v>109</v>
      </c>
      <c r="N2618">
        <v>0</v>
      </c>
      <c r="O2618" t="s">
        <v>111</v>
      </c>
      <c r="P2618" t="s">
        <v>112</v>
      </c>
      <c r="Q2618" t="s">
        <v>113</v>
      </c>
    </row>
    <row r="2619" spans="1:17" x14ac:dyDescent="0.3">
      <c r="A2619" t="s">
        <v>17</v>
      </c>
      <c r="B2619">
        <v>68</v>
      </c>
      <c r="C2619" t="s">
        <v>34</v>
      </c>
      <c r="D2619" s="2">
        <v>45986</v>
      </c>
      <c r="E2619" s="3">
        <f t="shared" si="40"/>
        <v>45962</v>
      </c>
      <c r="F2619" t="s">
        <v>2331</v>
      </c>
      <c r="G2619" t="s">
        <v>122</v>
      </c>
      <c r="H2619" s="4">
        <v>37.450000000000003</v>
      </c>
      <c r="I2619" t="s">
        <v>104</v>
      </c>
      <c r="J2619" t="s">
        <v>109</v>
      </c>
      <c r="L2619" s="2">
        <v>45962</v>
      </c>
      <c r="M2619" t="s">
        <v>109</v>
      </c>
      <c r="N2619">
        <v>0</v>
      </c>
      <c r="O2619" t="s">
        <v>104</v>
      </c>
      <c r="P2619" t="s">
        <v>112</v>
      </c>
      <c r="Q2619" t="s">
        <v>113</v>
      </c>
    </row>
    <row r="2620" spans="1:17" x14ac:dyDescent="0.3">
      <c r="A2620" t="s">
        <v>17</v>
      </c>
      <c r="B2620">
        <v>68</v>
      </c>
      <c r="C2620" t="s">
        <v>34</v>
      </c>
      <c r="D2620" s="2">
        <v>45986</v>
      </c>
      <c r="E2620" s="3">
        <f t="shared" si="40"/>
        <v>45962</v>
      </c>
      <c r="F2620" t="s">
        <v>2331</v>
      </c>
      <c r="G2620" t="s">
        <v>122</v>
      </c>
      <c r="H2620" s="4">
        <v>17</v>
      </c>
      <c r="I2620" t="s">
        <v>104</v>
      </c>
      <c r="J2620" t="s">
        <v>109</v>
      </c>
      <c r="K2620" t="s">
        <v>1455</v>
      </c>
      <c r="L2620" s="2">
        <v>45962</v>
      </c>
      <c r="M2620" t="s">
        <v>109</v>
      </c>
      <c r="N2620">
        <v>0</v>
      </c>
      <c r="O2620" t="s">
        <v>104</v>
      </c>
      <c r="P2620" t="s">
        <v>112</v>
      </c>
      <c r="Q2620" t="s">
        <v>113</v>
      </c>
    </row>
    <row r="2621" spans="1:17" x14ac:dyDescent="0.3">
      <c r="A2621" t="s">
        <v>17</v>
      </c>
      <c r="B2621">
        <v>68</v>
      </c>
      <c r="C2621" t="s">
        <v>34</v>
      </c>
      <c r="D2621" s="2">
        <v>45986</v>
      </c>
      <c r="E2621" s="3">
        <f t="shared" si="40"/>
        <v>45962</v>
      </c>
      <c r="F2621" t="s">
        <v>2331</v>
      </c>
      <c r="G2621" t="s">
        <v>122</v>
      </c>
      <c r="H2621" s="4">
        <v>1.34</v>
      </c>
      <c r="I2621" t="s">
        <v>104</v>
      </c>
      <c r="J2621" t="s">
        <v>109</v>
      </c>
      <c r="K2621" t="s">
        <v>1457</v>
      </c>
      <c r="L2621" s="2">
        <v>45962</v>
      </c>
      <c r="M2621" t="s">
        <v>109</v>
      </c>
      <c r="N2621">
        <v>0</v>
      </c>
      <c r="O2621" t="s">
        <v>104</v>
      </c>
      <c r="P2621" t="s">
        <v>112</v>
      </c>
      <c r="Q2621" t="s">
        <v>113</v>
      </c>
    </row>
    <row r="2622" spans="1:17" x14ac:dyDescent="0.3">
      <c r="A2622" t="s">
        <v>17</v>
      </c>
      <c r="B2622">
        <v>68</v>
      </c>
      <c r="C2622" t="s">
        <v>34</v>
      </c>
      <c r="D2622" s="2">
        <v>45986</v>
      </c>
      <c r="E2622" s="3">
        <f t="shared" si="40"/>
        <v>45962</v>
      </c>
      <c r="F2622" t="s">
        <v>2332</v>
      </c>
      <c r="G2622" t="s">
        <v>122</v>
      </c>
      <c r="H2622" s="4">
        <v>1.56</v>
      </c>
      <c r="I2622" t="s">
        <v>104</v>
      </c>
      <c r="J2622" t="s">
        <v>109</v>
      </c>
      <c r="K2622" t="s">
        <v>2333</v>
      </c>
      <c r="L2622" s="2">
        <v>45962</v>
      </c>
      <c r="M2622" t="s">
        <v>109</v>
      </c>
      <c r="N2622">
        <v>0</v>
      </c>
      <c r="O2622" t="s">
        <v>104</v>
      </c>
      <c r="P2622" t="s">
        <v>112</v>
      </c>
      <c r="Q2622" t="s">
        <v>113</v>
      </c>
    </row>
    <row r="2623" spans="1:17" x14ac:dyDescent="0.3">
      <c r="A2623" t="s">
        <v>17</v>
      </c>
      <c r="B2623">
        <v>68</v>
      </c>
      <c r="C2623" t="s">
        <v>34</v>
      </c>
      <c r="D2623" s="2">
        <v>45986</v>
      </c>
      <c r="E2623" s="3">
        <f t="shared" si="40"/>
        <v>45962</v>
      </c>
      <c r="F2623" t="s">
        <v>2332</v>
      </c>
      <c r="G2623" t="s">
        <v>122</v>
      </c>
      <c r="H2623" s="4">
        <v>17</v>
      </c>
      <c r="I2623" t="s">
        <v>104</v>
      </c>
      <c r="J2623" t="s">
        <v>109</v>
      </c>
      <c r="K2623" t="s">
        <v>2333</v>
      </c>
      <c r="L2623" s="2">
        <v>45962</v>
      </c>
      <c r="M2623" t="s">
        <v>109</v>
      </c>
      <c r="N2623">
        <v>0</v>
      </c>
      <c r="O2623" t="s">
        <v>104</v>
      </c>
      <c r="P2623" t="s">
        <v>112</v>
      </c>
      <c r="Q2623" t="s">
        <v>113</v>
      </c>
    </row>
    <row r="2624" spans="1:17" x14ac:dyDescent="0.3">
      <c r="A2624" t="s">
        <v>17</v>
      </c>
      <c r="B2624">
        <v>68</v>
      </c>
      <c r="C2624" t="s">
        <v>34</v>
      </c>
      <c r="D2624" s="2">
        <v>45986</v>
      </c>
      <c r="E2624" s="3">
        <f t="shared" si="40"/>
        <v>45962</v>
      </c>
      <c r="F2624" t="s">
        <v>2332</v>
      </c>
      <c r="G2624" t="s">
        <v>122</v>
      </c>
      <c r="H2624" s="4">
        <v>1.34</v>
      </c>
      <c r="I2624" t="s">
        <v>104</v>
      </c>
      <c r="J2624" t="s">
        <v>109</v>
      </c>
      <c r="K2624" t="s">
        <v>2333</v>
      </c>
      <c r="L2624" s="2">
        <v>45962</v>
      </c>
      <c r="M2624" t="s">
        <v>109</v>
      </c>
      <c r="N2624">
        <v>0</v>
      </c>
      <c r="O2624" t="s">
        <v>104</v>
      </c>
      <c r="P2624" t="s">
        <v>112</v>
      </c>
      <c r="Q2624" t="s">
        <v>113</v>
      </c>
    </row>
    <row r="2625" spans="1:17" x14ac:dyDescent="0.3">
      <c r="A2625" t="s">
        <v>17</v>
      </c>
      <c r="B2625">
        <v>68</v>
      </c>
      <c r="C2625" t="s">
        <v>34</v>
      </c>
      <c r="D2625" s="2">
        <v>45986</v>
      </c>
      <c r="E2625" s="3">
        <f t="shared" si="40"/>
        <v>45962</v>
      </c>
      <c r="F2625" t="s">
        <v>2334</v>
      </c>
      <c r="G2625" t="s">
        <v>122</v>
      </c>
      <c r="H2625" s="4">
        <v>10.7</v>
      </c>
      <c r="I2625" t="s">
        <v>104</v>
      </c>
      <c r="J2625" t="s">
        <v>109</v>
      </c>
      <c r="L2625" s="2">
        <v>45962</v>
      </c>
      <c r="M2625" t="s">
        <v>109</v>
      </c>
      <c r="N2625">
        <v>0</v>
      </c>
      <c r="O2625" t="s">
        <v>104</v>
      </c>
      <c r="P2625" t="s">
        <v>112</v>
      </c>
      <c r="Q2625" t="s">
        <v>113</v>
      </c>
    </row>
    <row r="2626" spans="1:17" x14ac:dyDescent="0.3">
      <c r="A2626" t="s">
        <v>17</v>
      </c>
      <c r="B2626">
        <v>68</v>
      </c>
      <c r="C2626" t="s">
        <v>34</v>
      </c>
      <c r="D2626" s="2">
        <v>45986</v>
      </c>
      <c r="E2626" s="3">
        <f t="shared" si="40"/>
        <v>45962</v>
      </c>
      <c r="F2626" t="s">
        <v>2334</v>
      </c>
      <c r="G2626" t="s">
        <v>122</v>
      </c>
      <c r="H2626" s="4">
        <v>17</v>
      </c>
      <c r="I2626" t="s">
        <v>104</v>
      </c>
      <c r="J2626" t="s">
        <v>109</v>
      </c>
      <c r="K2626" t="s">
        <v>1455</v>
      </c>
      <c r="L2626" s="2">
        <v>45962</v>
      </c>
      <c r="M2626" t="s">
        <v>109</v>
      </c>
      <c r="N2626">
        <v>0</v>
      </c>
      <c r="O2626" t="s">
        <v>104</v>
      </c>
      <c r="P2626" t="s">
        <v>112</v>
      </c>
      <c r="Q2626" t="s">
        <v>113</v>
      </c>
    </row>
    <row r="2627" spans="1:17" x14ac:dyDescent="0.3">
      <c r="A2627" t="s">
        <v>17</v>
      </c>
      <c r="B2627">
        <v>68</v>
      </c>
      <c r="C2627" t="s">
        <v>34</v>
      </c>
      <c r="D2627" s="2">
        <v>45986</v>
      </c>
      <c r="E2627" s="3">
        <f t="shared" ref="E2627:E2690" si="41">IF($D2627="","",DATE(YEAR($D2627),MONTH($D2627),1))</f>
        <v>45962</v>
      </c>
      <c r="F2627" t="s">
        <v>2334</v>
      </c>
      <c r="G2627" t="s">
        <v>122</v>
      </c>
      <c r="H2627" s="4">
        <v>1.34</v>
      </c>
      <c r="I2627" t="s">
        <v>104</v>
      </c>
      <c r="J2627" t="s">
        <v>109</v>
      </c>
      <c r="K2627" t="s">
        <v>1457</v>
      </c>
      <c r="L2627" s="2">
        <v>45962</v>
      </c>
      <c r="M2627" t="s">
        <v>109</v>
      </c>
      <c r="N2627">
        <v>0</v>
      </c>
      <c r="O2627" t="s">
        <v>104</v>
      </c>
      <c r="P2627" t="s">
        <v>112</v>
      </c>
      <c r="Q2627" t="s">
        <v>113</v>
      </c>
    </row>
    <row r="2628" spans="1:17" x14ac:dyDescent="0.3">
      <c r="A2628" t="s">
        <v>17</v>
      </c>
      <c r="B2628">
        <v>68</v>
      </c>
      <c r="C2628" t="s">
        <v>34</v>
      </c>
      <c r="D2628" s="2">
        <v>45987</v>
      </c>
      <c r="E2628" s="3">
        <f t="shared" si="41"/>
        <v>45962</v>
      </c>
      <c r="F2628" t="s">
        <v>2335</v>
      </c>
      <c r="G2628" t="s">
        <v>122</v>
      </c>
      <c r="H2628" s="4">
        <v>499.88</v>
      </c>
      <c r="I2628" t="s">
        <v>108</v>
      </c>
      <c r="J2628" t="s">
        <v>109</v>
      </c>
      <c r="K2628" t="s">
        <v>1287</v>
      </c>
      <c r="L2628" s="2">
        <v>45962</v>
      </c>
      <c r="M2628" t="s">
        <v>109</v>
      </c>
      <c r="N2628">
        <v>0</v>
      </c>
      <c r="O2628" t="s">
        <v>111</v>
      </c>
      <c r="P2628" t="s">
        <v>112</v>
      </c>
      <c r="Q2628" t="s">
        <v>113</v>
      </c>
    </row>
    <row r="2629" spans="1:17" x14ac:dyDescent="0.3">
      <c r="A2629" t="s">
        <v>17</v>
      </c>
      <c r="B2629">
        <v>68</v>
      </c>
      <c r="C2629" t="s">
        <v>34</v>
      </c>
      <c r="D2629" s="2">
        <v>45987</v>
      </c>
      <c r="E2629" s="3">
        <f t="shared" si="41"/>
        <v>45962</v>
      </c>
      <c r="F2629" t="s">
        <v>2336</v>
      </c>
      <c r="G2629" t="s">
        <v>122</v>
      </c>
      <c r="H2629" s="4">
        <v>119.85</v>
      </c>
      <c r="I2629" t="s">
        <v>104</v>
      </c>
      <c r="J2629" t="s">
        <v>109</v>
      </c>
      <c r="K2629" t="s">
        <v>1442</v>
      </c>
      <c r="L2629" s="2">
        <v>45962</v>
      </c>
      <c r="M2629" t="s">
        <v>109</v>
      </c>
      <c r="N2629">
        <v>0</v>
      </c>
      <c r="O2629" t="s">
        <v>104</v>
      </c>
      <c r="P2629" t="s">
        <v>112</v>
      </c>
      <c r="Q2629" t="s">
        <v>113</v>
      </c>
    </row>
    <row r="2630" spans="1:17" x14ac:dyDescent="0.3">
      <c r="A2630" t="s">
        <v>17</v>
      </c>
      <c r="B2630">
        <v>68</v>
      </c>
      <c r="C2630" t="s">
        <v>34</v>
      </c>
      <c r="D2630" s="2">
        <v>45987</v>
      </c>
      <c r="E2630" s="3">
        <f t="shared" si="41"/>
        <v>45962</v>
      </c>
      <c r="F2630" t="s">
        <v>2336</v>
      </c>
      <c r="G2630" t="s">
        <v>122</v>
      </c>
      <c r="H2630" s="4">
        <v>483.57</v>
      </c>
      <c r="I2630" t="s">
        <v>108</v>
      </c>
      <c r="J2630" t="s">
        <v>109</v>
      </c>
      <c r="K2630" t="s">
        <v>1442</v>
      </c>
      <c r="L2630" s="2">
        <v>45962</v>
      </c>
      <c r="M2630" t="s">
        <v>109</v>
      </c>
      <c r="N2630">
        <v>0</v>
      </c>
      <c r="O2630" t="s">
        <v>111</v>
      </c>
      <c r="P2630" t="s">
        <v>112</v>
      </c>
      <c r="Q2630" t="s">
        <v>113</v>
      </c>
    </row>
    <row r="2631" spans="1:17" x14ac:dyDescent="0.3">
      <c r="A2631" t="s">
        <v>17</v>
      </c>
      <c r="B2631">
        <v>68</v>
      </c>
      <c r="C2631" t="s">
        <v>34</v>
      </c>
      <c r="D2631" s="2">
        <v>45991</v>
      </c>
      <c r="E2631" s="3">
        <f t="shared" si="41"/>
        <v>45962</v>
      </c>
      <c r="F2631" t="s">
        <v>2292</v>
      </c>
      <c r="H2631" s="4">
        <v>70.760000000000005</v>
      </c>
      <c r="I2631" t="s">
        <v>47</v>
      </c>
      <c r="J2631" t="s">
        <v>109</v>
      </c>
      <c r="K2631" t="s">
        <v>2337</v>
      </c>
      <c r="L2631" s="2">
        <v>45962</v>
      </c>
      <c r="M2631" t="s">
        <v>109</v>
      </c>
      <c r="N2631">
        <v>0</v>
      </c>
      <c r="O2631" t="s">
        <v>26</v>
      </c>
      <c r="P2631" t="s">
        <v>112</v>
      </c>
      <c r="Q2631" t="s">
        <v>113</v>
      </c>
    </row>
    <row r="2632" spans="1:17" x14ac:dyDescent="0.3">
      <c r="A2632" t="s">
        <v>17</v>
      </c>
      <c r="B2632">
        <v>67</v>
      </c>
      <c r="C2632" t="s">
        <v>28</v>
      </c>
      <c r="D2632" s="2">
        <v>45982</v>
      </c>
      <c r="E2632" s="3">
        <f t="shared" si="41"/>
        <v>45962</v>
      </c>
      <c r="F2632" t="s">
        <v>2338</v>
      </c>
      <c r="G2632" t="s">
        <v>205</v>
      </c>
      <c r="H2632" s="4">
        <v>1000</v>
      </c>
      <c r="I2632" t="s">
        <v>31</v>
      </c>
      <c r="J2632" t="s">
        <v>32</v>
      </c>
      <c r="K2632" t="s">
        <v>2339</v>
      </c>
      <c r="L2632" s="2">
        <v>45962</v>
      </c>
      <c r="M2632" t="s">
        <v>32</v>
      </c>
      <c r="N2632">
        <v>0</v>
      </c>
      <c r="O2632" t="s">
        <v>31</v>
      </c>
      <c r="P2632" t="s">
        <v>28</v>
      </c>
      <c r="Q2632">
        <v>0</v>
      </c>
    </row>
    <row r="2633" spans="1:17" x14ac:dyDescent="0.3">
      <c r="A2633" t="s">
        <v>17</v>
      </c>
      <c r="B2633">
        <v>67</v>
      </c>
      <c r="C2633" t="s">
        <v>28</v>
      </c>
      <c r="D2633" s="2">
        <v>45982</v>
      </c>
      <c r="E2633" s="3">
        <f t="shared" si="41"/>
        <v>45962</v>
      </c>
      <c r="F2633" t="s">
        <v>2340</v>
      </c>
      <c r="G2633" t="s">
        <v>208</v>
      </c>
      <c r="H2633" s="4">
        <v>500</v>
      </c>
      <c r="I2633" t="s">
        <v>31</v>
      </c>
      <c r="J2633" t="s">
        <v>32</v>
      </c>
      <c r="K2633" t="s">
        <v>2339</v>
      </c>
      <c r="L2633" s="2">
        <v>45962</v>
      </c>
      <c r="M2633" t="s">
        <v>32</v>
      </c>
      <c r="N2633">
        <v>0</v>
      </c>
      <c r="O2633" t="s">
        <v>31</v>
      </c>
      <c r="P2633" t="s">
        <v>28</v>
      </c>
      <c r="Q2633">
        <v>0</v>
      </c>
    </row>
    <row r="2634" spans="1:17" x14ac:dyDescent="0.3">
      <c r="A2634" t="s">
        <v>17</v>
      </c>
      <c r="B2634">
        <v>67</v>
      </c>
      <c r="C2634" t="s">
        <v>28</v>
      </c>
      <c r="D2634" s="2">
        <v>45991</v>
      </c>
      <c r="E2634" s="3">
        <f t="shared" si="41"/>
        <v>45962</v>
      </c>
      <c r="F2634" t="s">
        <v>2341</v>
      </c>
      <c r="H2634" s="4">
        <v>10000</v>
      </c>
      <c r="I2634" t="s">
        <v>31</v>
      </c>
      <c r="J2634" t="s">
        <v>32</v>
      </c>
      <c r="K2634" t="s">
        <v>2342</v>
      </c>
      <c r="L2634" s="2">
        <v>45962</v>
      </c>
      <c r="M2634" t="s">
        <v>32</v>
      </c>
      <c r="N2634">
        <v>0</v>
      </c>
      <c r="O2634" t="s">
        <v>31</v>
      </c>
      <c r="P2634" t="s">
        <v>28</v>
      </c>
      <c r="Q2634">
        <v>0</v>
      </c>
    </row>
    <row r="2635" spans="1:17" x14ac:dyDescent="0.3">
      <c r="A2635" t="s">
        <v>17</v>
      </c>
      <c r="B2635">
        <v>67</v>
      </c>
      <c r="C2635" t="s">
        <v>28</v>
      </c>
      <c r="D2635" s="2">
        <v>45962</v>
      </c>
      <c r="E2635" s="3">
        <f t="shared" si="41"/>
        <v>45962</v>
      </c>
      <c r="F2635" s="5">
        <v>45962</v>
      </c>
      <c r="G2635" t="s">
        <v>578</v>
      </c>
      <c r="H2635" s="4">
        <v>5</v>
      </c>
      <c r="I2635" t="s">
        <v>31</v>
      </c>
      <c r="J2635" t="s">
        <v>60</v>
      </c>
      <c r="K2635" t="s">
        <v>1709</v>
      </c>
      <c r="L2635" s="2">
        <v>45962</v>
      </c>
      <c r="M2635" t="s">
        <v>60</v>
      </c>
      <c r="N2635">
        <v>0</v>
      </c>
      <c r="O2635" t="s">
        <v>31</v>
      </c>
      <c r="P2635" t="s">
        <v>28</v>
      </c>
      <c r="Q2635">
        <v>0</v>
      </c>
    </row>
    <row r="2636" spans="1:17" x14ac:dyDescent="0.3">
      <c r="A2636" t="s">
        <v>17</v>
      </c>
      <c r="B2636">
        <v>67</v>
      </c>
      <c r="C2636" t="s">
        <v>28</v>
      </c>
      <c r="D2636" s="2">
        <v>45962</v>
      </c>
      <c r="E2636" s="3">
        <f t="shared" si="41"/>
        <v>45962</v>
      </c>
      <c r="F2636" s="5">
        <v>45962</v>
      </c>
      <c r="G2636" t="s">
        <v>578</v>
      </c>
      <c r="H2636" s="4">
        <v>1996.3</v>
      </c>
      <c r="I2636" t="s">
        <v>31</v>
      </c>
      <c r="J2636" t="s">
        <v>60</v>
      </c>
      <c r="K2636" t="s">
        <v>1710</v>
      </c>
      <c r="L2636" s="2">
        <v>45962</v>
      </c>
      <c r="M2636" t="s">
        <v>60</v>
      </c>
      <c r="N2636">
        <v>0</v>
      </c>
      <c r="O2636" t="s">
        <v>31</v>
      </c>
      <c r="P2636" t="s">
        <v>28</v>
      </c>
      <c r="Q2636">
        <v>0</v>
      </c>
    </row>
    <row r="2637" spans="1:17" x14ac:dyDescent="0.3">
      <c r="A2637" t="s">
        <v>17</v>
      </c>
      <c r="B2637">
        <v>67</v>
      </c>
      <c r="C2637" t="s">
        <v>28</v>
      </c>
      <c r="D2637" s="2">
        <v>45962</v>
      </c>
      <c r="E2637" s="3">
        <f t="shared" si="41"/>
        <v>45962</v>
      </c>
      <c r="F2637" t="s">
        <v>2343</v>
      </c>
      <c r="H2637" s="4">
        <v>13.58</v>
      </c>
      <c r="I2637" t="s">
        <v>31</v>
      </c>
      <c r="J2637" t="s">
        <v>60</v>
      </c>
      <c r="L2637" s="2">
        <v>45962</v>
      </c>
      <c r="M2637" t="s">
        <v>60</v>
      </c>
      <c r="N2637">
        <v>0</v>
      </c>
      <c r="O2637" t="s">
        <v>31</v>
      </c>
      <c r="P2637" t="s">
        <v>28</v>
      </c>
      <c r="Q2637">
        <v>0</v>
      </c>
    </row>
    <row r="2638" spans="1:17" x14ac:dyDescent="0.3">
      <c r="A2638" t="s">
        <v>17</v>
      </c>
      <c r="B2638">
        <v>67</v>
      </c>
      <c r="C2638" t="s">
        <v>28</v>
      </c>
      <c r="D2638" s="2">
        <v>45962</v>
      </c>
      <c r="E2638" s="3">
        <f t="shared" si="41"/>
        <v>45962</v>
      </c>
      <c r="F2638" t="s">
        <v>2343</v>
      </c>
      <c r="H2638" s="4">
        <v>22.6</v>
      </c>
      <c r="I2638" t="s">
        <v>31</v>
      </c>
      <c r="J2638" t="s">
        <v>60</v>
      </c>
      <c r="L2638" s="2">
        <v>45962</v>
      </c>
      <c r="M2638" t="s">
        <v>60</v>
      </c>
      <c r="N2638">
        <v>0</v>
      </c>
      <c r="O2638" t="s">
        <v>31</v>
      </c>
      <c r="P2638" t="s">
        <v>28</v>
      </c>
      <c r="Q2638">
        <v>0</v>
      </c>
    </row>
    <row r="2639" spans="1:17" x14ac:dyDescent="0.3">
      <c r="A2639" t="s">
        <v>17</v>
      </c>
      <c r="B2639">
        <v>67</v>
      </c>
      <c r="C2639" t="s">
        <v>28</v>
      </c>
      <c r="D2639" s="2">
        <v>45962</v>
      </c>
      <c r="E2639" s="3">
        <f t="shared" si="41"/>
        <v>45962</v>
      </c>
      <c r="F2639" t="s">
        <v>2343</v>
      </c>
      <c r="H2639" s="4">
        <v>10.44</v>
      </c>
      <c r="I2639" t="s">
        <v>31</v>
      </c>
      <c r="J2639" t="s">
        <v>60</v>
      </c>
      <c r="L2639" s="2">
        <v>45962</v>
      </c>
      <c r="M2639" t="s">
        <v>60</v>
      </c>
      <c r="N2639">
        <v>0</v>
      </c>
      <c r="O2639" t="s">
        <v>31</v>
      </c>
      <c r="P2639" t="s">
        <v>28</v>
      </c>
      <c r="Q2639">
        <v>0</v>
      </c>
    </row>
    <row r="2640" spans="1:17" x14ac:dyDescent="0.3">
      <c r="A2640" t="s">
        <v>17</v>
      </c>
      <c r="B2640">
        <v>67</v>
      </c>
      <c r="C2640" t="s">
        <v>28</v>
      </c>
      <c r="D2640" s="2">
        <v>45962</v>
      </c>
      <c r="E2640" s="3">
        <f t="shared" si="41"/>
        <v>45962</v>
      </c>
      <c r="F2640" t="s">
        <v>2343</v>
      </c>
      <c r="H2640" s="4">
        <v>8.06</v>
      </c>
      <c r="I2640" t="s">
        <v>31</v>
      </c>
      <c r="J2640" t="s">
        <v>60</v>
      </c>
      <c r="L2640" s="2">
        <v>45962</v>
      </c>
      <c r="M2640" t="s">
        <v>60</v>
      </c>
      <c r="N2640">
        <v>0</v>
      </c>
      <c r="O2640" t="s">
        <v>31</v>
      </c>
      <c r="P2640" t="s">
        <v>28</v>
      </c>
      <c r="Q2640">
        <v>0</v>
      </c>
    </row>
    <row r="2641" spans="1:17" x14ac:dyDescent="0.3">
      <c r="A2641" t="s">
        <v>17</v>
      </c>
      <c r="B2641">
        <v>67</v>
      </c>
      <c r="C2641" t="s">
        <v>28</v>
      </c>
      <c r="D2641" s="2">
        <v>45962</v>
      </c>
      <c r="E2641" s="3">
        <f t="shared" si="41"/>
        <v>45962</v>
      </c>
      <c r="F2641" t="s">
        <v>2343</v>
      </c>
      <c r="H2641" s="4">
        <v>7.09</v>
      </c>
      <c r="I2641" t="s">
        <v>31</v>
      </c>
      <c r="J2641" t="s">
        <v>60</v>
      </c>
      <c r="L2641" s="2">
        <v>45962</v>
      </c>
      <c r="M2641" t="s">
        <v>60</v>
      </c>
      <c r="N2641">
        <v>0</v>
      </c>
      <c r="O2641" t="s">
        <v>31</v>
      </c>
      <c r="P2641" t="s">
        <v>28</v>
      </c>
      <c r="Q2641">
        <v>0</v>
      </c>
    </row>
    <row r="2642" spans="1:17" x14ac:dyDescent="0.3">
      <c r="A2642" t="s">
        <v>17</v>
      </c>
      <c r="B2642">
        <v>67</v>
      </c>
      <c r="C2642" t="s">
        <v>28</v>
      </c>
      <c r="D2642" s="2">
        <v>45962</v>
      </c>
      <c r="E2642" s="3">
        <f t="shared" si="41"/>
        <v>45962</v>
      </c>
      <c r="F2642" t="s">
        <v>2343</v>
      </c>
      <c r="H2642" s="4">
        <v>15.52</v>
      </c>
      <c r="I2642" t="s">
        <v>31</v>
      </c>
      <c r="J2642" t="s">
        <v>60</v>
      </c>
      <c r="L2642" s="2">
        <v>45962</v>
      </c>
      <c r="M2642" t="s">
        <v>60</v>
      </c>
      <c r="N2642">
        <v>0</v>
      </c>
      <c r="O2642" t="s">
        <v>31</v>
      </c>
      <c r="P2642" t="s">
        <v>28</v>
      </c>
      <c r="Q2642">
        <v>0</v>
      </c>
    </row>
    <row r="2643" spans="1:17" x14ac:dyDescent="0.3">
      <c r="A2643" t="s">
        <v>17</v>
      </c>
      <c r="B2643">
        <v>67</v>
      </c>
      <c r="C2643" t="s">
        <v>28</v>
      </c>
      <c r="D2643" s="2">
        <v>45962</v>
      </c>
      <c r="E2643" s="3">
        <f t="shared" si="41"/>
        <v>45962</v>
      </c>
      <c r="F2643" t="s">
        <v>2343</v>
      </c>
      <c r="H2643" s="4">
        <v>19.850000000000001</v>
      </c>
      <c r="I2643" t="s">
        <v>31</v>
      </c>
      <c r="J2643" t="s">
        <v>60</v>
      </c>
      <c r="L2643" s="2">
        <v>45962</v>
      </c>
      <c r="M2643" t="s">
        <v>60</v>
      </c>
      <c r="N2643">
        <v>0</v>
      </c>
      <c r="O2643" t="s">
        <v>31</v>
      </c>
      <c r="P2643" t="s">
        <v>28</v>
      </c>
      <c r="Q2643">
        <v>0</v>
      </c>
    </row>
    <row r="2644" spans="1:17" x14ac:dyDescent="0.3">
      <c r="A2644" t="s">
        <v>17</v>
      </c>
      <c r="B2644">
        <v>67</v>
      </c>
      <c r="C2644" t="s">
        <v>28</v>
      </c>
      <c r="D2644" s="2">
        <v>45962</v>
      </c>
      <c r="E2644" s="3">
        <f t="shared" si="41"/>
        <v>45962</v>
      </c>
      <c r="F2644" t="s">
        <v>2343</v>
      </c>
      <c r="H2644" s="4">
        <v>0.6</v>
      </c>
      <c r="I2644" t="s">
        <v>31</v>
      </c>
      <c r="J2644" t="s">
        <v>60</v>
      </c>
      <c r="L2644" s="2">
        <v>45962</v>
      </c>
      <c r="M2644" t="s">
        <v>60</v>
      </c>
      <c r="N2644">
        <v>0</v>
      </c>
      <c r="O2644" t="s">
        <v>31</v>
      </c>
      <c r="P2644" t="s">
        <v>28</v>
      </c>
      <c r="Q2644">
        <v>0</v>
      </c>
    </row>
    <row r="2645" spans="1:17" x14ac:dyDescent="0.3">
      <c r="A2645" t="s">
        <v>17</v>
      </c>
      <c r="B2645">
        <v>67</v>
      </c>
      <c r="C2645" t="s">
        <v>28</v>
      </c>
      <c r="D2645" s="2">
        <v>45975</v>
      </c>
      <c r="E2645" s="3">
        <f t="shared" si="41"/>
        <v>45962</v>
      </c>
      <c r="F2645" t="s">
        <v>2344</v>
      </c>
      <c r="H2645" s="4">
        <v>-16.52</v>
      </c>
      <c r="I2645" t="s">
        <v>31</v>
      </c>
      <c r="J2645" t="s">
        <v>60</v>
      </c>
      <c r="L2645" s="2">
        <v>45962</v>
      </c>
      <c r="M2645" t="s">
        <v>60</v>
      </c>
      <c r="N2645">
        <v>0</v>
      </c>
      <c r="O2645" t="s">
        <v>31</v>
      </c>
      <c r="P2645" t="s">
        <v>28</v>
      </c>
      <c r="Q2645">
        <v>0</v>
      </c>
    </row>
    <row r="2646" spans="1:17" x14ac:dyDescent="0.3">
      <c r="A2646" t="s">
        <v>17</v>
      </c>
      <c r="B2646">
        <v>67</v>
      </c>
      <c r="C2646" t="s">
        <v>28</v>
      </c>
      <c r="D2646" s="2">
        <v>45975</v>
      </c>
      <c r="E2646" s="3">
        <f t="shared" si="41"/>
        <v>45962</v>
      </c>
      <c r="F2646" t="s">
        <v>2344</v>
      </c>
      <c r="H2646" s="4">
        <v>-16.12</v>
      </c>
      <c r="I2646" t="s">
        <v>31</v>
      </c>
      <c r="J2646" t="s">
        <v>60</v>
      </c>
      <c r="L2646" s="2">
        <v>45962</v>
      </c>
      <c r="M2646" t="s">
        <v>60</v>
      </c>
      <c r="N2646">
        <v>0</v>
      </c>
      <c r="O2646" t="s">
        <v>31</v>
      </c>
      <c r="P2646" t="s">
        <v>28</v>
      </c>
      <c r="Q2646">
        <v>0</v>
      </c>
    </row>
    <row r="2647" spans="1:17" x14ac:dyDescent="0.3">
      <c r="A2647" t="s">
        <v>17</v>
      </c>
      <c r="B2647">
        <v>67</v>
      </c>
      <c r="C2647" t="s">
        <v>28</v>
      </c>
      <c r="D2647" s="2">
        <v>45975</v>
      </c>
      <c r="E2647" s="3">
        <f t="shared" si="41"/>
        <v>45962</v>
      </c>
      <c r="F2647" t="s">
        <v>2344</v>
      </c>
      <c r="H2647" s="4">
        <v>-14.18</v>
      </c>
      <c r="I2647" t="s">
        <v>31</v>
      </c>
      <c r="J2647" t="s">
        <v>60</v>
      </c>
      <c r="L2647" s="2">
        <v>45962</v>
      </c>
      <c r="M2647" t="s">
        <v>60</v>
      </c>
      <c r="N2647">
        <v>0</v>
      </c>
      <c r="O2647" t="s">
        <v>31</v>
      </c>
      <c r="P2647" t="s">
        <v>28</v>
      </c>
      <c r="Q2647">
        <v>0</v>
      </c>
    </row>
    <row r="2648" spans="1:17" x14ac:dyDescent="0.3">
      <c r="A2648" t="s">
        <v>17</v>
      </c>
      <c r="B2648">
        <v>67</v>
      </c>
      <c r="C2648" t="s">
        <v>28</v>
      </c>
      <c r="D2648" s="2">
        <v>45975</v>
      </c>
      <c r="E2648" s="3">
        <f t="shared" si="41"/>
        <v>45962</v>
      </c>
      <c r="F2648" t="s">
        <v>2344</v>
      </c>
      <c r="H2648" s="4">
        <v>-31.03</v>
      </c>
      <c r="I2648" t="s">
        <v>31</v>
      </c>
      <c r="J2648" t="s">
        <v>60</v>
      </c>
      <c r="L2648" s="2">
        <v>45962</v>
      </c>
      <c r="M2648" t="s">
        <v>60</v>
      </c>
      <c r="N2648">
        <v>0</v>
      </c>
      <c r="O2648" t="s">
        <v>31</v>
      </c>
      <c r="P2648" t="s">
        <v>28</v>
      </c>
      <c r="Q2648">
        <v>0</v>
      </c>
    </row>
    <row r="2649" spans="1:17" x14ac:dyDescent="0.3">
      <c r="A2649" t="s">
        <v>17</v>
      </c>
      <c r="B2649">
        <v>67</v>
      </c>
      <c r="C2649" t="s">
        <v>28</v>
      </c>
      <c r="D2649" s="2">
        <v>45975</v>
      </c>
      <c r="E2649" s="3">
        <f t="shared" si="41"/>
        <v>45962</v>
      </c>
      <c r="F2649" t="s">
        <v>2344</v>
      </c>
      <c r="H2649" s="4">
        <v>-39.71</v>
      </c>
      <c r="I2649" t="s">
        <v>31</v>
      </c>
      <c r="J2649" t="s">
        <v>60</v>
      </c>
      <c r="L2649" s="2">
        <v>45962</v>
      </c>
      <c r="M2649" t="s">
        <v>60</v>
      </c>
      <c r="N2649">
        <v>0</v>
      </c>
      <c r="O2649" t="s">
        <v>31</v>
      </c>
      <c r="P2649" t="s">
        <v>28</v>
      </c>
      <c r="Q2649">
        <v>0</v>
      </c>
    </row>
    <row r="2650" spans="1:17" x14ac:dyDescent="0.3">
      <c r="A2650" t="s">
        <v>17</v>
      </c>
      <c r="B2650">
        <v>67</v>
      </c>
      <c r="C2650" t="s">
        <v>28</v>
      </c>
      <c r="D2650" s="2">
        <v>45975</v>
      </c>
      <c r="E2650" s="3">
        <f t="shared" si="41"/>
        <v>45962</v>
      </c>
      <c r="F2650" t="s">
        <v>2344</v>
      </c>
      <c r="H2650" s="4">
        <v>-1.2</v>
      </c>
      <c r="I2650" t="s">
        <v>31</v>
      </c>
      <c r="J2650" t="s">
        <v>60</v>
      </c>
      <c r="L2650" s="2">
        <v>45962</v>
      </c>
      <c r="M2650" t="s">
        <v>60</v>
      </c>
      <c r="N2650">
        <v>0</v>
      </c>
      <c r="O2650" t="s">
        <v>31</v>
      </c>
      <c r="P2650" t="s">
        <v>28</v>
      </c>
      <c r="Q2650">
        <v>0</v>
      </c>
    </row>
    <row r="2651" spans="1:17" x14ac:dyDescent="0.3">
      <c r="A2651" t="s">
        <v>17</v>
      </c>
      <c r="B2651">
        <v>67</v>
      </c>
      <c r="C2651" t="s">
        <v>28</v>
      </c>
      <c r="D2651" s="2">
        <v>45975</v>
      </c>
      <c r="E2651" s="3">
        <f t="shared" si="41"/>
        <v>45962</v>
      </c>
      <c r="F2651" t="s">
        <v>2344</v>
      </c>
      <c r="H2651" s="4">
        <v>-27.15</v>
      </c>
      <c r="I2651" t="s">
        <v>31</v>
      </c>
      <c r="J2651" t="s">
        <v>60</v>
      </c>
      <c r="L2651" s="2">
        <v>45962</v>
      </c>
      <c r="M2651" t="s">
        <v>60</v>
      </c>
      <c r="N2651">
        <v>0</v>
      </c>
      <c r="O2651" t="s">
        <v>31</v>
      </c>
      <c r="P2651" t="s">
        <v>28</v>
      </c>
      <c r="Q2651">
        <v>0</v>
      </c>
    </row>
    <row r="2652" spans="1:17" x14ac:dyDescent="0.3">
      <c r="A2652" t="s">
        <v>17</v>
      </c>
      <c r="B2652">
        <v>67</v>
      </c>
      <c r="C2652" t="s">
        <v>28</v>
      </c>
      <c r="D2652" s="2">
        <v>45975</v>
      </c>
      <c r="E2652" s="3">
        <f t="shared" si="41"/>
        <v>45962</v>
      </c>
      <c r="F2652" t="s">
        <v>2344</v>
      </c>
      <c r="H2652" s="4">
        <v>-45.22</v>
      </c>
      <c r="I2652" t="s">
        <v>31</v>
      </c>
      <c r="J2652" t="s">
        <v>60</v>
      </c>
      <c r="L2652" s="2">
        <v>45962</v>
      </c>
      <c r="M2652" t="s">
        <v>60</v>
      </c>
      <c r="N2652">
        <v>0</v>
      </c>
      <c r="O2652" t="s">
        <v>31</v>
      </c>
      <c r="P2652" t="s">
        <v>28</v>
      </c>
      <c r="Q2652">
        <v>0</v>
      </c>
    </row>
    <row r="2653" spans="1:17" x14ac:dyDescent="0.3">
      <c r="A2653" t="s">
        <v>17</v>
      </c>
      <c r="B2653">
        <v>67</v>
      </c>
      <c r="C2653" t="s">
        <v>28</v>
      </c>
      <c r="D2653" s="2">
        <v>45985</v>
      </c>
      <c r="E2653" s="3">
        <f t="shared" si="41"/>
        <v>45962</v>
      </c>
      <c r="F2653" t="s">
        <v>2345</v>
      </c>
      <c r="H2653" s="4">
        <v>-16040.75</v>
      </c>
      <c r="I2653" t="s">
        <v>31</v>
      </c>
      <c r="J2653" t="s">
        <v>60</v>
      </c>
      <c r="K2653" t="s">
        <v>2346</v>
      </c>
      <c r="L2653" s="2">
        <v>45962</v>
      </c>
      <c r="M2653" t="s">
        <v>60</v>
      </c>
      <c r="N2653">
        <v>0</v>
      </c>
      <c r="O2653" t="s">
        <v>31</v>
      </c>
      <c r="P2653" t="s">
        <v>28</v>
      </c>
      <c r="Q2653">
        <v>0</v>
      </c>
    </row>
    <row r="2654" spans="1:17" x14ac:dyDescent="0.3">
      <c r="A2654" t="s">
        <v>17</v>
      </c>
      <c r="B2654">
        <v>67</v>
      </c>
      <c r="C2654" t="s">
        <v>28</v>
      </c>
      <c r="D2654" s="2">
        <v>45989</v>
      </c>
      <c r="E2654" s="3">
        <f t="shared" si="41"/>
        <v>45962</v>
      </c>
      <c r="F2654" t="s">
        <v>2347</v>
      </c>
      <c r="H2654" s="4">
        <v>-16.12</v>
      </c>
      <c r="I2654" t="s">
        <v>31</v>
      </c>
      <c r="J2654" t="s">
        <v>60</v>
      </c>
      <c r="L2654" s="2">
        <v>45962</v>
      </c>
      <c r="M2654" t="s">
        <v>60</v>
      </c>
      <c r="N2654">
        <v>0</v>
      </c>
      <c r="O2654" t="s">
        <v>31</v>
      </c>
      <c r="P2654" t="s">
        <v>28</v>
      </c>
      <c r="Q2654">
        <v>0</v>
      </c>
    </row>
    <row r="2655" spans="1:17" x14ac:dyDescent="0.3">
      <c r="A2655" t="s">
        <v>17</v>
      </c>
      <c r="B2655">
        <v>67</v>
      </c>
      <c r="C2655" t="s">
        <v>28</v>
      </c>
      <c r="D2655" s="2">
        <v>45989</v>
      </c>
      <c r="E2655" s="3">
        <f t="shared" si="41"/>
        <v>45962</v>
      </c>
      <c r="F2655" t="s">
        <v>2347</v>
      </c>
      <c r="H2655" s="4">
        <v>-14.18</v>
      </c>
      <c r="I2655" t="s">
        <v>31</v>
      </c>
      <c r="J2655" t="s">
        <v>60</v>
      </c>
      <c r="L2655" s="2">
        <v>45962</v>
      </c>
      <c r="M2655" t="s">
        <v>60</v>
      </c>
      <c r="N2655">
        <v>0</v>
      </c>
      <c r="O2655" t="s">
        <v>31</v>
      </c>
      <c r="P2655" t="s">
        <v>28</v>
      </c>
      <c r="Q2655">
        <v>0</v>
      </c>
    </row>
    <row r="2656" spans="1:17" x14ac:dyDescent="0.3">
      <c r="A2656" t="s">
        <v>17</v>
      </c>
      <c r="B2656">
        <v>67</v>
      </c>
      <c r="C2656" t="s">
        <v>28</v>
      </c>
      <c r="D2656" s="2">
        <v>45989</v>
      </c>
      <c r="E2656" s="3">
        <f t="shared" si="41"/>
        <v>45962</v>
      </c>
      <c r="F2656" t="s">
        <v>2347</v>
      </c>
      <c r="H2656" s="4">
        <v>-31.03</v>
      </c>
      <c r="I2656" t="s">
        <v>31</v>
      </c>
      <c r="J2656" t="s">
        <v>60</v>
      </c>
      <c r="L2656" s="2">
        <v>45962</v>
      </c>
      <c r="M2656" t="s">
        <v>60</v>
      </c>
      <c r="N2656">
        <v>0</v>
      </c>
      <c r="O2656" t="s">
        <v>31</v>
      </c>
      <c r="P2656" t="s">
        <v>28</v>
      </c>
      <c r="Q2656">
        <v>0</v>
      </c>
    </row>
    <row r="2657" spans="1:17" x14ac:dyDescent="0.3">
      <c r="A2657" t="s">
        <v>17</v>
      </c>
      <c r="B2657">
        <v>67</v>
      </c>
      <c r="C2657" t="s">
        <v>28</v>
      </c>
      <c r="D2657" s="2">
        <v>45989</v>
      </c>
      <c r="E2657" s="3">
        <f t="shared" si="41"/>
        <v>45962</v>
      </c>
      <c r="F2657" t="s">
        <v>2347</v>
      </c>
      <c r="H2657" s="4">
        <v>-39.71</v>
      </c>
      <c r="I2657" t="s">
        <v>31</v>
      </c>
      <c r="J2657" t="s">
        <v>60</v>
      </c>
      <c r="L2657" s="2">
        <v>45962</v>
      </c>
      <c r="M2657" t="s">
        <v>60</v>
      </c>
      <c r="N2657">
        <v>0</v>
      </c>
      <c r="O2657" t="s">
        <v>31</v>
      </c>
      <c r="P2657" t="s">
        <v>28</v>
      </c>
      <c r="Q2657">
        <v>0</v>
      </c>
    </row>
    <row r="2658" spans="1:17" x14ac:dyDescent="0.3">
      <c r="A2658" t="s">
        <v>17</v>
      </c>
      <c r="B2658">
        <v>67</v>
      </c>
      <c r="C2658" t="s">
        <v>28</v>
      </c>
      <c r="D2658" s="2">
        <v>45989</v>
      </c>
      <c r="E2658" s="3">
        <f t="shared" si="41"/>
        <v>45962</v>
      </c>
      <c r="F2658" t="s">
        <v>2347</v>
      </c>
      <c r="H2658" s="4">
        <v>-1.2</v>
      </c>
      <c r="I2658" t="s">
        <v>31</v>
      </c>
      <c r="J2658" t="s">
        <v>60</v>
      </c>
      <c r="L2658" s="2">
        <v>45962</v>
      </c>
      <c r="M2658" t="s">
        <v>60</v>
      </c>
      <c r="N2658">
        <v>0</v>
      </c>
      <c r="O2658" t="s">
        <v>31</v>
      </c>
      <c r="P2658" t="s">
        <v>28</v>
      </c>
      <c r="Q2658">
        <v>0</v>
      </c>
    </row>
    <row r="2659" spans="1:17" x14ac:dyDescent="0.3">
      <c r="A2659" t="s">
        <v>17</v>
      </c>
      <c r="B2659">
        <v>67</v>
      </c>
      <c r="C2659" t="s">
        <v>28</v>
      </c>
      <c r="D2659" s="2">
        <v>45989</v>
      </c>
      <c r="E2659" s="3">
        <f t="shared" si="41"/>
        <v>45962</v>
      </c>
      <c r="F2659" t="s">
        <v>2347</v>
      </c>
      <c r="H2659" s="4">
        <v>-27.15</v>
      </c>
      <c r="I2659" t="s">
        <v>31</v>
      </c>
      <c r="J2659" t="s">
        <v>60</v>
      </c>
      <c r="L2659" s="2">
        <v>45962</v>
      </c>
      <c r="M2659" t="s">
        <v>60</v>
      </c>
      <c r="N2659">
        <v>0</v>
      </c>
      <c r="O2659" t="s">
        <v>31</v>
      </c>
      <c r="P2659" t="s">
        <v>28</v>
      </c>
      <c r="Q2659">
        <v>0</v>
      </c>
    </row>
    <row r="2660" spans="1:17" x14ac:dyDescent="0.3">
      <c r="A2660" t="s">
        <v>17</v>
      </c>
      <c r="B2660">
        <v>67</v>
      </c>
      <c r="C2660" t="s">
        <v>28</v>
      </c>
      <c r="D2660" s="2">
        <v>45989</v>
      </c>
      <c r="E2660" s="3">
        <f t="shared" si="41"/>
        <v>45962</v>
      </c>
      <c r="F2660" t="s">
        <v>2347</v>
      </c>
      <c r="H2660" s="4">
        <v>-45.22</v>
      </c>
      <c r="I2660" t="s">
        <v>31</v>
      </c>
      <c r="J2660" t="s">
        <v>60</v>
      </c>
      <c r="L2660" s="2">
        <v>45962</v>
      </c>
      <c r="M2660" t="s">
        <v>60</v>
      </c>
      <c r="N2660">
        <v>0</v>
      </c>
      <c r="O2660" t="s">
        <v>31</v>
      </c>
      <c r="P2660" t="s">
        <v>28</v>
      </c>
      <c r="Q2660">
        <v>0</v>
      </c>
    </row>
    <row r="2661" spans="1:17" x14ac:dyDescent="0.3">
      <c r="A2661" t="s">
        <v>17</v>
      </c>
      <c r="B2661">
        <v>67</v>
      </c>
      <c r="C2661" t="s">
        <v>28</v>
      </c>
      <c r="D2661" s="2">
        <v>45989</v>
      </c>
      <c r="E2661" s="3">
        <f t="shared" si="41"/>
        <v>45962</v>
      </c>
      <c r="F2661" t="s">
        <v>2347</v>
      </c>
      <c r="H2661" s="4">
        <v>-16.52</v>
      </c>
      <c r="I2661" t="s">
        <v>31</v>
      </c>
      <c r="J2661" t="s">
        <v>60</v>
      </c>
      <c r="L2661" s="2">
        <v>45962</v>
      </c>
      <c r="M2661" t="s">
        <v>60</v>
      </c>
      <c r="N2661">
        <v>0</v>
      </c>
      <c r="O2661" t="s">
        <v>31</v>
      </c>
      <c r="P2661" t="s">
        <v>28</v>
      </c>
      <c r="Q2661">
        <v>0</v>
      </c>
    </row>
    <row r="2662" spans="1:17" x14ac:dyDescent="0.3">
      <c r="A2662" t="s">
        <v>17</v>
      </c>
      <c r="B2662">
        <v>67</v>
      </c>
      <c r="C2662" t="s">
        <v>28</v>
      </c>
      <c r="D2662" s="2">
        <v>45991</v>
      </c>
      <c r="E2662" s="3">
        <f t="shared" si="41"/>
        <v>45962</v>
      </c>
      <c r="F2662" t="s">
        <v>2348</v>
      </c>
      <c r="H2662" s="4">
        <v>-8.26</v>
      </c>
      <c r="I2662" t="s">
        <v>31</v>
      </c>
      <c r="J2662" t="s">
        <v>60</v>
      </c>
      <c r="L2662" s="2">
        <v>45962</v>
      </c>
      <c r="M2662" t="s">
        <v>60</v>
      </c>
      <c r="N2662">
        <v>0</v>
      </c>
      <c r="O2662" t="s">
        <v>31</v>
      </c>
      <c r="P2662" t="s">
        <v>28</v>
      </c>
      <c r="Q2662">
        <v>0</v>
      </c>
    </row>
    <row r="2663" spans="1:17" x14ac:dyDescent="0.3">
      <c r="A2663" t="s">
        <v>17</v>
      </c>
      <c r="B2663">
        <v>67</v>
      </c>
      <c r="C2663" t="s">
        <v>28</v>
      </c>
      <c r="D2663" s="2">
        <v>45991</v>
      </c>
      <c r="E2663" s="3">
        <f t="shared" si="41"/>
        <v>45962</v>
      </c>
      <c r="F2663" t="s">
        <v>2348</v>
      </c>
      <c r="H2663" s="4">
        <v>-22.61</v>
      </c>
      <c r="I2663" t="s">
        <v>31</v>
      </c>
      <c r="J2663" t="s">
        <v>60</v>
      </c>
      <c r="L2663" s="2">
        <v>45962</v>
      </c>
      <c r="M2663" t="s">
        <v>60</v>
      </c>
      <c r="N2663">
        <v>0</v>
      </c>
      <c r="O2663" t="s">
        <v>31</v>
      </c>
      <c r="P2663" t="s">
        <v>28</v>
      </c>
      <c r="Q2663">
        <v>0</v>
      </c>
    </row>
    <row r="2664" spans="1:17" x14ac:dyDescent="0.3">
      <c r="A2664" t="s">
        <v>17</v>
      </c>
      <c r="B2664">
        <v>67</v>
      </c>
      <c r="C2664" t="s">
        <v>28</v>
      </c>
      <c r="D2664" s="2">
        <v>45991</v>
      </c>
      <c r="E2664" s="3">
        <f t="shared" si="41"/>
        <v>45962</v>
      </c>
      <c r="F2664" t="s">
        <v>2348</v>
      </c>
      <c r="H2664" s="4">
        <v>-13.58</v>
      </c>
      <c r="I2664" t="s">
        <v>31</v>
      </c>
      <c r="J2664" t="s">
        <v>60</v>
      </c>
      <c r="L2664" s="2">
        <v>45962</v>
      </c>
      <c r="M2664" t="s">
        <v>60</v>
      </c>
      <c r="N2664">
        <v>0</v>
      </c>
      <c r="O2664" t="s">
        <v>31</v>
      </c>
      <c r="P2664" t="s">
        <v>28</v>
      </c>
      <c r="Q2664">
        <v>0</v>
      </c>
    </row>
    <row r="2665" spans="1:17" x14ac:dyDescent="0.3">
      <c r="A2665" t="s">
        <v>17</v>
      </c>
      <c r="B2665">
        <v>67</v>
      </c>
      <c r="C2665" t="s">
        <v>28</v>
      </c>
      <c r="D2665" s="2">
        <v>45991</v>
      </c>
      <c r="E2665" s="3">
        <f t="shared" si="41"/>
        <v>45962</v>
      </c>
      <c r="F2665" t="s">
        <v>2348</v>
      </c>
      <c r="H2665" s="4">
        <v>-0.6</v>
      </c>
      <c r="I2665" t="s">
        <v>31</v>
      </c>
      <c r="J2665" t="s">
        <v>60</v>
      </c>
      <c r="L2665" s="2">
        <v>45962</v>
      </c>
      <c r="M2665" t="s">
        <v>60</v>
      </c>
      <c r="N2665">
        <v>0</v>
      </c>
      <c r="O2665" t="s">
        <v>31</v>
      </c>
      <c r="P2665" t="s">
        <v>28</v>
      </c>
      <c r="Q2665">
        <v>0</v>
      </c>
    </row>
    <row r="2666" spans="1:17" x14ac:dyDescent="0.3">
      <c r="A2666" t="s">
        <v>17</v>
      </c>
      <c r="B2666">
        <v>67</v>
      </c>
      <c r="C2666" t="s">
        <v>28</v>
      </c>
      <c r="D2666" s="2">
        <v>45991</v>
      </c>
      <c r="E2666" s="3">
        <f t="shared" si="41"/>
        <v>45962</v>
      </c>
      <c r="F2666" t="s">
        <v>2348</v>
      </c>
      <c r="H2666" s="4">
        <v>-19.850000000000001</v>
      </c>
      <c r="I2666" t="s">
        <v>31</v>
      </c>
      <c r="J2666" t="s">
        <v>60</v>
      </c>
      <c r="L2666" s="2">
        <v>45962</v>
      </c>
      <c r="M2666" t="s">
        <v>60</v>
      </c>
      <c r="N2666">
        <v>0</v>
      </c>
      <c r="O2666" t="s">
        <v>31</v>
      </c>
      <c r="P2666" t="s">
        <v>28</v>
      </c>
      <c r="Q2666">
        <v>0</v>
      </c>
    </row>
    <row r="2667" spans="1:17" x14ac:dyDescent="0.3">
      <c r="A2667" t="s">
        <v>17</v>
      </c>
      <c r="B2667">
        <v>67</v>
      </c>
      <c r="C2667" t="s">
        <v>28</v>
      </c>
      <c r="D2667" s="2">
        <v>45991</v>
      </c>
      <c r="E2667" s="3">
        <f t="shared" si="41"/>
        <v>45962</v>
      </c>
      <c r="F2667" t="s">
        <v>2348</v>
      </c>
      <c r="H2667" s="4">
        <v>-15.52</v>
      </c>
      <c r="I2667" t="s">
        <v>31</v>
      </c>
      <c r="J2667" t="s">
        <v>60</v>
      </c>
      <c r="L2667" s="2">
        <v>45962</v>
      </c>
      <c r="M2667" t="s">
        <v>60</v>
      </c>
      <c r="N2667">
        <v>0</v>
      </c>
      <c r="O2667" t="s">
        <v>31</v>
      </c>
      <c r="P2667" t="s">
        <v>28</v>
      </c>
      <c r="Q2667">
        <v>0</v>
      </c>
    </row>
    <row r="2668" spans="1:17" x14ac:dyDescent="0.3">
      <c r="A2668" t="s">
        <v>17</v>
      </c>
      <c r="B2668">
        <v>67</v>
      </c>
      <c r="C2668" t="s">
        <v>28</v>
      </c>
      <c r="D2668" s="2">
        <v>45991</v>
      </c>
      <c r="E2668" s="3">
        <f t="shared" si="41"/>
        <v>45962</v>
      </c>
      <c r="F2668" t="s">
        <v>2348</v>
      </c>
      <c r="H2668" s="4">
        <v>-7.09</v>
      </c>
      <c r="I2668" t="s">
        <v>31</v>
      </c>
      <c r="J2668" t="s">
        <v>60</v>
      </c>
      <c r="L2668" s="2">
        <v>45962</v>
      </c>
      <c r="M2668" t="s">
        <v>60</v>
      </c>
      <c r="N2668">
        <v>0</v>
      </c>
      <c r="O2668" t="s">
        <v>31</v>
      </c>
      <c r="P2668" t="s">
        <v>28</v>
      </c>
      <c r="Q2668">
        <v>0</v>
      </c>
    </row>
    <row r="2669" spans="1:17" x14ac:dyDescent="0.3">
      <c r="A2669" t="s">
        <v>17</v>
      </c>
      <c r="B2669">
        <v>67</v>
      </c>
      <c r="C2669" t="s">
        <v>28</v>
      </c>
      <c r="D2669" s="2">
        <v>45991</v>
      </c>
      <c r="E2669" s="3">
        <f t="shared" si="41"/>
        <v>45962</v>
      </c>
      <c r="F2669" t="s">
        <v>2348</v>
      </c>
      <c r="H2669" s="4">
        <v>-8.06</v>
      </c>
      <c r="I2669" t="s">
        <v>31</v>
      </c>
      <c r="J2669" t="s">
        <v>60</v>
      </c>
      <c r="L2669" s="2">
        <v>45962</v>
      </c>
      <c r="M2669" t="s">
        <v>60</v>
      </c>
      <c r="N2669">
        <v>0</v>
      </c>
      <c r="O2669" t="s">
        <v>31</v>
      </c>
      <c r="P2669" t="s">
        <v>28</v>
      </c>
      <c r="Q2669">
        <v>0</v>
      </c>
    </row>
    <row r="2670" spans="1:17" x14ac:dyDescent="0.3">
      <c r="A2670" t="s">
        <v>17</v>
      </c>
      <c r="B2670">
        <v>67</v>
      </c>
      <c r="C2670" t="s">
        <v>28</v>
      </c>
      <c r="D2670" s="2">
        <v>45991</v>
      </c>
      <c r="E2670" s="3">
        <f t="shared" si="41"/>
        <v>45962</v>
      </c>
      <c r="F2670" t="s">
        <v>2349</v>
      </c>
      <c r="H2670" s="4">
        <v>428.3</v>
      </c>
      <c r="I2670" t="s">
        <v>31</v>
      </c>
      <c r="J2670" t="s">
        <v>60</v>
      </c>
      <c r="K2670" t="s">
        <v>1123</v>
      </c>
      <c r="L2670" s="2">
        <v>45962</v>
      </c>
      <c r="M2670" t="s">
        <v>60</v>
      </c>
      <c r="N2670">
        <v>0</v>
      </c>
      <c r="O2670" t="s">
        <v>31</v>
      </c>
      <c r="P2670" t="s">
        <v>28</v>
      </c>
      <c r="Q2670">
        <v>0</v>
      </c>
    </row>
    <row r="2671" spans="1:17" x14ac:dyDescent="0.3">
      <c r="A2671" t="s">
        <v>17</v>
      </c>
      <c r="B2671">
        <v>67</v>
      </c>
      <c r="C2671" t="s">
        <v>28</v>
      </c>
      <c r="D2671" s="2">
        <v>45991</v>
      </c>
      <c r="E2671" s="3">
        <f t="shared" si="41"/>
        <v>45962</v>
      </c>
      <c r="F2671" t="s">
        <v>2350</v>
      </c>
      <c r="H2671" s="4">
        <v>777.15</v>
      </c>
      <c r="I2671" t="s">
        <v>31</v>
      </c>
      <c r="J2671" t="s">
        <v>60</v>
      </c>
      <c r="K2671" t="s">
        <v>1883</v>
      </c>
      <c r="L2671" s="2">
        <v>45962</v>
      </c>
      <c r="M2671" t="s">
        <v>60</v>
      </c>
      <c r="N2671">
        <v>0</v>
      </c>
      <c r="O2671" t="s">
        <v>31</v>
      </c>
      <c r="P2671" t="s">
        <v>28</v>
      </c>
      <c r="Q2671">
        <v>0</v>
      </c>
    </row>
    <row r="2672" spans="1:17" x14ac:dyDescent="0.3">
      <c r="A2672" t="s">
        <v>17</v>
      </c>
      <c r="B2672">
        <v>67</v>
      </c>
      <c r="C2672" t="s">
        <v>28</v>
      </c>
      <c r="D2672" s="2">
        <v>45962</v>
      </c>
      <c r="E2672" s="3">
        <f t="shared" si="41"/>
        <v>45962</v>
      </c>
      <c r="F2672" t="s">
        <v>2351</v>
      </c>
      <c r="G2672" t="s">
        <v>1726</v>
      </c>
      <c r="H2672" s="4">
        <v>10000</v>
      </c>
      <c r="I2672" t="s">
        <v>21</v>
      </c>
      <c r="J2672" t="s">
        <v>74</v>
      </c>
      <c r="K2672" t="s">
        <v>2352</v>
      </c>
      <c r="L2672" s="2">
        <v>45962</v>
      </c>
      <c r="M2672" t="s">
        <v>76</v>
      </c>
      <c r="N2672" t="s">
        <v>25</v>
      </c>
      <c r="O2672" t="s">
        <v>81</v>
      </c>
      <c r="P2672" t="s">
        <v>28</v>
      </c>
      <c r="Q2672">
        <v>0</v>
      </c>
    </row>
    <row r="2673" spans="1:17" x14ac:dyDescent="0.3">
      <c r="A2673" t="s">
        <v>17</v>
      </c>
      <c r="B2673">
        <v>67</v>
      </c>
      <c r="C2673" t="s">
        <v>28</v>
      </c>
      <c r="D2673" s="2">
        <v>45966</v>
      </c>
      <c r="E2673" s="3">
        <f t="shared" si="41"/>
        <v>45962</v>
      </c>
      <c r="F2673" t="s">
        <v>2283</v>
      </c>
      <c r="G2673" t="s">
        <v>101</v>
      </c>
      <c r="H2673" s="4">
        <v>1494</v>
      </c>
      <c r="I2673" t="s">
        <v>104</v>
      </c>
      <c r="J2673" t="s">
        <v>74</v>
      </c>
      <c r="K2673" t="s">
        <v>2353</v>
      </c>
      <c r="L2673" s="2">
        <v>45962</v>
      </c>
      <c r="M2673" t="s">
        <v>76</v>
      </c>
      <c r="N2673">
        <v>0</v>
      </c>
      <c r="O2673" t="s">
        <v>104</v>
      </c>
      <c r="P2673" t="s">
        <v>28</v>
      </c>
      <c r="Q2673">
        <v>0</v>
      </c>
    </row>
    <row r="2674" spans="1:17" x14ac:dyDescent="0.3">
      <c r="A2674" t="s">
        <v>17</v>
      </c>
      <c r="B2674">
        <v>67</v>
      </c>
      <c r="C2674" t="s">
        <v>28</v>
      </c>
      <c r="D2674" s="2">
        <v>45966</v>
      </c>
      <c r="E2674" s="3">
        <f t="shared" si="41"/>
        <v>45962</v>
      </c>
      <c r="F2674" t="s">
        <v>2283</v>
      </c>
      <c r="G2674" t="s">
        <v>101</v>
      </c>
      <c r="H2674" s="4">
        <v>2159.27</v>
      </c>
      <c r="I2674" t="s">
        <v>31</v>
      </c>
      <c r="J2674" t="s">
        <v>74</v>
      </c>
      <c r="K2674" t="s">
        <v>2354</v>
      </c>
      <c r="L2674" s="2">
        <v>45962</v>
      </c>
      <c r="M2674" t="s">
        <v>76</v>
      </c>
      <c r="N2674">
        <v>0</v>
      </c>
      <c r="O2674" t="s">
        <v>31</v>
      </c>
      <c r="P2674" t="s">
        <v>28</v>
      </c>
      <c r="Q2674">
        <v>0</v>
      </c>
    </row>
    <row r="2675" spans="1:17" x14ac:dyDescent="0.3">
      <c r="A2675" t="s">
        <v>17</v>
      </c>
      <c r="B2675">
        <v>67</v>
      </c>
      <c r="C2675" t="s">
        <v>28</v>
      </c>
      <c r="D2675" s="2">
        <v>45966</v>
      </c>
      <c r="E2675" s="3">
        <f t="shared" si="41"/>
        <v>45962</v>
      </c>
      <c r="F2675">
        <v>101500317722</v>
      </c>
      <c r="G2675" t="s">
        <v>369</v>
      </c>
      <c r="H2675" s="4">
        <v>543.5</v>
      </c>
      <c r="I2675" t="s">
        <v>31</v>
      </c>
      <c r="J2675" t="s">
        <v>74</v>
      </c>
      <c r="K2675" t="s">
        <v>2355</v>
      </c>
      <c r="L2675" s="2">
        <v>45962</v>
      </c>
      <c r="M2675" t="s">
        <v>76</v>
      </c>
      <c r="N2675">
        <v>0</v>
      </c>
      <c r="O2675" t="s">
        <v>31</v>
      </c>
      <c r="P2675" t="s">
        <v>28</v>
      </c>
      <c r="Q2675">
        <v>0</v>
      </c>
    </row>
    <row r="2676" spans="1:17" x14ac:dyDescent="0.3">
      <c r="A2676" t="s">
        <v>17</v>
      </c>
      <c r="B2676">
        <v>67</v>
      </c>
      <c r="C2676" t="s">
        <v>28</v>
      </c>
      <c r="D2676" s="2">
        <v>45971</v>
      </c>
      <c r="E2676" s="3">
        <f t="shared" si="41"/>
        <v>45962</v>
      </c>
      <c r="F2676" t="s">
        <v>2194</v>
      </c>
      <c r="H2676" s="4">
        <v>39</v>
      </c>
      <c r="I2676" t="s">
        <v>159</v>
      </c>
      <c r="J2676" t="s">
        <v>74</v>
      </c>
      <c r="K2676" t="s">
        <v>2356</v>
      </c>
      <c r="L2676" s="2">
        <v>45962</v>
      </c>
      <c r="M2676" t="s">
        <v>76</v>
      </c>
      <c r="N2676">
        <v>0</v>
      </c>
      <c r="O2676" t="s">
        <v>159</v>
      </c>
      <c r="P2676" t="s">
        <v>28</v>
      </c>
      <c r="Q2676">
        <v>0</v>
      </c>
    </row>
    <row r="2677" spans="1:17" x14ac:dyDescent="0.3">
      <c r="A2677" t="s">
        <v>17</v>
      </c>
      <c r="B2677">
        <v>67</v>
      </c>
      <c r="C2677" t="s">
        <v>28</v>
      </c>
      <c r="D2677" s="2">
        <v>45971</v>
      </c>
      <c r="E2677" s="3">
        <f t="shared" si="41"/>
        <v>45962</v>
      </c>
      <c r="F2677" t="s">
        <v>2194</v>
      </c>
      <c r="H2677" s="4">
        <v>21.78</v>
      </c>
      <c r="I2677" t="s">
        <v>159</v>
      </c>
      <c r="J2677" t="s">
        <v>74</v>
      </c>
      <c r="K2677" t="s">
        <v>2356</v>
      </c>
      <c r="L2677" s="2">
        <v>45962</v>
      </c>
      <c r="M2677" t="s">
        <v>76</v>
      </c>
      <c r="N2677">
        <v>0</v>
      </c>
      <c r="O2677" t="s">
        <v>159</v>
      </c>
      <c r="P2677" t="s">
        <v>28</v>
      </c>
      <c r="Q2677">
        <v>0</v>
      </c>
    </row>
    <row r="2678" spans="1:17" x14ac:dyDescent="0.3">
      <c r="A2678" t="s">
        <v>17</v>
      </c>
      <c r="B2678">
        <v>67</v>
      </c>
      <c r="C2678" t="s">
        <v>28</v>
      </c>
      <c r="D2678" s="2">
        <v>45971</v>
      </c>
      <c r="E2678" s="3">
        <f t="shared" si="41"/>
        <v>45962</v>
      </c>
      <c r="F2678" t="s">
        <v>2194</v>
      </c>
      <c r="H2678" s="4">
        <v>10</v>
      </c>
      <c r="I2678" t="s">
        <v>159</v>
      </c>
      <c r="J2678" t="s">
        <v>74</v>
      </c>
      <c r="K2678" t="s">
        <v>2356</v>
      </c>
      <c r="L2678" s="2">
        <v>45962</v>
      </c>
      <c r="M2678" t="s">
        <v>76</v>
      </c>
      <c r="N2678">
        <v>0</v>
      </c>
      <c r="O2678" t="s">
        <v>159</v>
      </c>
      <c r="P2678" t="s">
        <v>28</v>
      </c>
      <c r="Q2678">
        <v>0</v>
      </c>
    </row>
    <row r="2679" spans="1:17" x14ac:dyDescent="0.3">
      <c r="A2679" t="s">
        <v>17</v>
      </c>
      <c r="B2679">
        <v>67</v>
      </c>
      <c r="C2679" t="s">
        <v>28</v>
      </c>
      <c r="D2679" s="2">
        <v>45971</v>
      </c>
      <c r="E2679" s="3">
        <f t="shared" si="41"/>
        <v>45962</v>
      </c>
      <c r="F2679" t="s">
        <v>2194</v>
      </c>
      <c r="H2679" s="4">
        <v>21.78</v>
      </c>
      <c r="I2679" t="s">
        <v>159</v>
      </c>
      <c r="J2679" t="s">
        <v>74</v>
      </c>
      <c r="K2679" t="s">
        <v>2356</v>
      </c>
      <c r="L2679" s="2">
        <v>45962</v>
      </c>
      <c r="M2679" t="s">
        <v>76</v>
      </c>
      <c r="N2679">
        <v>0</v>
      </c>
      <c r="O2679" t="s">
        <v>159</v>
      </c>
      <c r="P2679" t="s">
        <v>28</v>
      </c>
      <c r="Q2679">
        <v>0</v>
      </c>
    </row>
    <row r="2680" spans="1:17" x14ac:dyDescent="0.3">
      <c r="A2680" t="s">
        <v>17</v>
      </c>
      <c r="B2680">
        <v>67</v>
      </c>
      <c r="C2680" t="s">
        <v>28</v>
      </c>
      <c r="D2680" s="2">
        <v>45971</v>
      </c>
      <c r="E2680" s="3">
        <f t="shared" si="41"/>
        <v>45962</v>
      </c>
      <c r="F2680" t="s">
        <v>2194</v>
      </c>
      <c r="H2680" s="4">
        <v>20</v>
      </c>
      <c r="I2680" t="s">
        <v>159</v>
      </c>
      <c r="J2680" t="s">
        <v>74</v>
      </c>
      <c r="K2680" t="s">
        <v>2356</v>
      </c>
      <c r="L2680" s="2">
        <v>45962</v>
      </c>
      <c r="M2680" t="s">
        <v>76</v>
      </c>
      <c r="N2680">
        <v>0</v>
      </c>
      <c r="O2680" t="s">
        <v>159</v>
      </c>
      <c r="P2680" t="s">
        <v>28</v>
      </c>
      <c r="Q2680">
        <v>0</v>
      </c>
    </row>
    <row r="2681" spans="1:17" x14ac:dyDescent="0.3">
      <c r="A2681" t="s">
        <v>17</v>
      </c>
      <c r="B2681">
        <v>67</v>
      </c>
      <c r="C2681" t="s">
        <v>28</v>
      </c>
      <c r="D2681" s="2">
        <v>45971</v>
      </c>
      <c r="E2681" s="3">
        <f t="shared" si="41"/>
        <v>45962</v>
      </c>
      <c r="F2681" t="s">
        <v>2194</v>
      </c>
      <c r="H2681" s="4">
        <v>18</v>
      </c>
      <c r="I2681" t="s">
        <v>159</v>
      </c>
      <c r="J2681" t="s">
        <v>74</v>
      </c>
      <c r="K2681" t="s">
        <v>2356</v>
      </c>
      <c r="L2681" s="2">
        <v>45962</v>
      </c>
      <c r="M2681" t="s">
        <v>76</v>
      </c>
      <c r="N2681">
        <v>0</v>
      </c>
      <c r="O2681" t="s">
        <v>159</v>
      </c>
      <c r="P2681" t="s">
        <v>28</v>
      </c>
      <c r="Q2681">
        <v>0</v>
      </c>
    </row>
    <row r="2682" spans="1:17" x14ac:dyDescent="0.3">
      <c r="A2682" t="s">
        <v>17</v>
      </c>
      <c r="B2682">
        <v>67</v>
      </c>
      <c r="C2682" t="s">
        <v>28</v>
      </c>
      <c r="D2682" s="2">
        <v>45985</v>
      </c>
      <c r="E2682" s="3">
        <f t="shared" si="41"/>
        <v>45962</v>
      </c>
      <c r="F2682" t="s">
        <v>2199</v>
      </c>
      <c r="H2682" s="4">
        <v>108.88</v>
      </c>
      <c r="I2682" t="s">
        <v>31</v>
      </c>
      <c r="J2682" t="s">
        <v>74</v>
      </c>
      <c r="K2682" t="s">
        <v>2357</v>
      </c>
      <c r="L2682" s="2">
        <v>45962</v>
      </c>
      <c r="M2682" t="s">
        <v>76</v>
      </c>
      <c r="N2682">
        <v>0</v>
      </c>
      <c r="O2682" t="s">
        <v>31</v>
      </c>
      <c r="P2682" t="s">
        <v>28</v>
      </c>
      <c r="Q2682">
        <v>0</v>
      </c>
    </row>
    <row r="2683" spans="1:17" x14ac:dyDescent="0.3">
      <c r="A2683" t="s">
        <v>17</v>
      </c>
      <c r="B2683">
        <v>67</v>
      </c>
      <c r="C2683" t="s">
        <v>28</v>
      </c>
      <c r="D2683" s="2">
        <v>45985</v>
      </c>
      <c r="E2683" s="3">
        <f t="shared" si="41"/>
        <v>45962</v>
      </c>
      <c r="F2683" t="s">
        <v>2199</v>
      </c>
      <c r="H2683" s="4">
        <v>163.31</v>
      </c>
      <c r="I2683" t="s">
        <v>31</v>
      </c>
      <c r="J2683" t="s">
        <v>74</v>
      </c>
      <c r="K2683" t="s">
        <v>247</v>
      </c>
      <c r="L2683" s="2">
        <v>45962</v>
      </c>
      <c r="M2683" t="s">
        <v>76</v>
      </c>
      <c r="N2683">
        <v>0</v>
      </c>
      <c r="O2683" t="s">
        <v>31</v>
      </c>
      <c r="P2683" t="s">
        <v>28</v>
      </c>
      <c r="Q2683">
        <v>0</v>
      </c>
    </row>
    <row r="2684" spans="1:17" x14ac:dyDescent="0.3">
      <c r="A2684" t="s">
        <v>17</v>
      </c>
      <c r="B2684">
        <v>67</v>
      </c>
      <c r="C2684" t="s">
        <v>28</v>
      </c>
      <c r="D2684" s="2">
        <v>45991</v>
      </c>
      <c r="E2684" s="3">
        <f t="shared" si="41"/>
        <v>45962</v>
      </c>
      <c r="F2684" t="s">
        <v>2358</v>
      </c>
      <c r="H2684" s="4">
        <v>8</v>
      </c>
      <c r="I2684" t="s">
        <v>104</v>
      </c>
      <c r="J2684" t="s">
        <v>74</v>
      </c>
      <c r="K2684" t="s">
        <v>2359</v>
      </c>
      <c r="L2684" s="2">
        <v>45962</v>
      </c>
      <c r="M2684" t="s">
        <v>76</v>
      </c>
      <c r="N2684">
        <v>0</v>
      </c>
      <c r="O2684" t="s">
        <v>104</v>
      </c>
      <c r="P2684" t="s">
        <v>28</v>
      </c>
      <c r="Q2684">
        <v>0</v>
      </c>
    </row>
    <row r="2685" spans="1:17" x14ac:dyDescent="0.3">
      <c r="A2685" t="s">
        <v>17</v>
      </c>
      <c r="B2685">
        <v>67</v>
      </c>
      <c r="C2685" t="s">
        <v>28</v>
      </c>
      <c r="D2685" s="2">
        <v>45991</v>
      </c>
      <c r="E2685" s="3">
        <f t="shared" si="41"/>
        <v>45962</v>
      </c>
      <c r="F2685" t="s">
        <v>2360</v>
      </c>
      <c r="H2685" s="4">
        <v>48.98</v>
      </c>
      <c r="I2685" t="s">
        <v>159</v>
      </c>
      <c r="J2685" t="s">
        <v>74</v>
      </c>
      <c r="K2685" t="s">
        <v>2361</v>
      </c>
      <c r="L2685" s="2">
        <v>45962</v>
      </c>
      <c r="M2685" t="s">
        <v>76</v>
      </c>
      <c r="N2685">
        <v>0</v>
      </c>
      <c r="O2685" t="s">
        <v>159</v>
      </c>
      <c r="P2685" t="s">
        <v>28</v>
      </c>
      <c r="Q2685">
        <v>0</v>
      </c>
    </row>
    <row r="2686" spans="1:17" x14ac:dyDescent="0.3">
      <c r="A2686" t="s">
        <v>17</v>
      </c>
      <c r="B2686">
        <v>67</v>
      </c>
      <c r="C2686" t="s">
        <v>28</v>
      </c>
      <c r="D2686" s="2">
        <v>45991</v>
      </c>
      <c r="E2686" s="3">
        <f t="shared" si="41"/>
        <v>45962</v>
      </c>
      <c r="F2686" t="s">
        <v>2362</v>
      </c>
      <c r="H2686" s="4">
        <v>2268.23</v>
      </c>
      <c r="I2686" t="s">
        <v>47</v>
      </c>
      <c r="J2686" t="s">
        <v>74</v>
      </c>
      <c r="K2686" t="s">
        <v>1108</v>
      </c>
      <c r="L2686" s="2">
        <v>45962</v>
      </c>
      <c r="M2686" t="s">
        <v>76</v>
      </c>
      <c r="N2686">
        <v>0</v>
      </c>
      <c r="O2686" t="s">
        <v>26</v>
      </c>
      <c r="P2686" t="s">
        <v>28</v>
      </c>
      <c r="Q2686">
        <v>0</v>
      </c>
    </row>
    <row r="2687" spans="1:17" x14ac:dyDescent="0.3">
      <c r="A2687" t="s">
        <v>17</v>
      </c>
      <c r="B2687">
        <v>67</v>
      </c>
      <c r="C2687" t="s">
        <v>28</v>
      </c>
      <c r="D2687" s="2">
        <v>45991</v>
      </c>
      <c r="E2687" s="3">
        <f t="shared" si="41"/>
        <v>45962</v>
      </c>
      <c r="F2687" t="s">
        <v>2363</v>
      </c>
      <c r="H2687" s="4">
        <v>41.67</v>
      </c>
      <c r="I2687" t="s">
        <v>47</v>
      </c>
      <c r="J2687" t="s">
        <v>74</v>
      </c>
      <c r="K2687" t="s">
        <v>2150</v>
      </c>
      <c r="L2687" s="2">
        <v>45962</v>
      </c>
      <c r="M2687" t="s">
        <v>76</v>
      </c>
      <c r="N2687">
        <v>0</v>
      </c>
      <c r="O2687" t="s">
        <v>26</v>
      </c>
      <c r="P2687" t="s">
        <v>28</v>
      </c>
      <c r="Q2687">
        <v>0</v>
      </c>
    </row>
    <row r="2688" spans="1:17" x14ac:dyDescent="0.3">
      <c r="A2688" t="s">
        <v>17</v>
      </c>
      <c r="B2688">
        <v>67</v>
      </c>
      <c r="C2688" t="s">
        <v>28</v>
      </c>
      <c r="D2688" s="2">
        <v>45991</v>
      </c>
      <c r="E2688" s="3">
        <f t="shared" si="41"/>
        <v>45962</v>
      </c>
      <c r="F2688" t="s">
        <v>2364</v>
      </c>
      <c r="H2688" s="4">
        <v>9.99</v>
      </c>
      <c r="I2688" t="s">
        <v>31</v>
      </c>
      <c r="J2688" t="s">
        <v>74</v>
      </c>
      <c r="K2688" t="s">
        <v>1494</v>
      </c>
      <c r="L2688" s="2">
        <v>45962</v>
      </c>
      <c r="M2688" t="s">
        <v>76</v>
      </c>
      <c r="N2688">
        <v>0</v>
      </c>
      <c r="O2688" t="s">
        <v>31</v>
      </c>
      <c r="P2688" t="s">
        <v>28</v>
      </c>
      <c r="Q2688">
        <v>0</v>
      </c>
    </row>
    <row r="2689" spans="1:17" x14ac:dyDescent="0.3">
      <c r="A2689" t="s">
        <v>17</v>
      </c>
      <c r="B2689">
        <v>67</v>
      </c>
      <c r="C2689" t="s">
        <v>28</v>
      </c>
      <c r="D2689" s="2">
        <v>45991</v>
      </c>
      <c r="E2689" s="3">
        <f t="shared" si="41"/>
        <v>45962</v>
      </c>
      <c r="F2689" t="s">
        <v>2365</v>
      </c>
      <c r="H2689" s="4">
        <v>18.149999999999999</v>
      </c>
      <c r="I2689" t="s">
        <v>108</v>
      </c>
      <c r="J2689" t="s">
        <v>74</v>
      </c>
      <c r="K2689" t="s">
        <v>2366</v>
      </c>
      <c r="L2689" s="2">
        <v>45962</v>
      </c>
      <c r="M2689" t="s">
        <v>76</v>
      </c>
      <c r="N2689">
        <v>0</v>
      </c>
      <c r="O2689" t="s">
        <v>111</v>
      </c>
      <c r="P2689" t="s">
        <v>28</v>
      </c>
      <c r="Q2689">
        <v>0</v>
      </c>
    </row>
    <row r="2690" spans="1:17" x14ac:dyDescent="0.3">
      <c r="A2690" t="s">
        <v>17</v>
      </c>
      <c r="B2690">
        <v>67</v>
      </c>
      <c r="C2690" t="s">
        <v>28</v>
      </c>
      <c r="D2690" s="2">
        <v>45991</v>
      </c>
      <c r="E2690" s="3">
        <f t="shared" si="41"/>
        <v>45962</v>
      </c>
      <c r="F2690" t="s">
        <v>2367</v>
      </c>
      <c r="H2690" s="4">
        <v>226.82</v>
      </c>
      <c r="I2690" t="s">
        <v>31</v>
      </c>
      <c r="J2690" t="s">
        <v>74</v>
      </c>
      <c r="K2690" t="s">
        <v>355</v>
      </c>
      <c r="L2690" s="2">
        <v>45962</v>
      </c>
      <c r="M2690" t="s">
        <v>76</v>
      </c>
      <c r="N2690">
        <v>0</v>
      </c>
      <c r="O2690" t="s">
        <v>31</v>
      </c>
      <c r="P2690" t="s">
        <v>28</v>
      </c>
      <c r="Q2690">
        <v>0</v>
      </c>
    </row>
    <row r="2691" spans="1:17" x14ac:dyDescent="0.3">
      <c r="A2691" t="s">
        <v>17</v>
      </c>
      <c r="B2691">
        <v>67</v>
      </c>
      <c r="C2691" t="s">
        <v>28</v>
      </c>
      <c r="D2691" s="2">
        <v>45991</v>
      </c>
      <c r="E2691" s="3">
        <f t="shared" ref="E2691:E2754" si="42">IF($D2691="","",DATE(YEAR($D2691),MONTH($D2691),1))</f>
        <v>45962</v>
      </c>
      <c r="F2691" t="s">
        <v>2368</v>
      </c>
      <c r="H2691" s="4">
        <v>411.58</v>
      </c>
      <c r="I2691" t="s">
        <v>31</v>
      </c>
      <c r="J2691" t="s">
        <v>74</v>
      </c>
      <c r="K2691" t="s">
        <v>1501</v>
      </c>
      <c r="L2691" s="2">
        <v>45962</v>
      </c>
      <c r="M2691" t="s">
        <v>76</v>
      </c>
      <c r="N2691">
        <v>0</v>
      </c>
      <c r="O2691" t="s">
        <v>31</v>
      </c>
      <c r="P2691" t="s">
        <v>28</v>
      </c>
      <c r="Q2691">
        <v>0</v>
      </c>
    </row>
    <row r="2692" spans="1:17" x14ac:dyDescent="0.3">
      <c r="A2692" t="s">
        <v>17</v>
      </c>
      <c r="B2692">
        <v>67</v>
      </c>
      <c r="C2692" t="s">
        <v>28</v>
      </c>
      <c r="D2692" s="2">
        <v>45991</v>
      </c>
      <c r="E2692" s="3">
        <f t="shared" si="42"/>
        <v>45962</v>
      </c>
      <c r="F2692" t="s">
        <v>2369</v>
      </c>
      <c r="H2692" s="4">
        <v>4148.26</v>
      </c>
      <c r="I2692" t="s">
        <v>31</v>
      </c>
      <c r="J2692" t="s">
        <v>74</v>
      </c>
      <c r="K2692" t="s">
        <v>2147</v>
      </c>
      <c r="L2692" s="2">
        <v>45962</v>
      </c>
      <c r="M2692" t="s">
        <v>76</v>
      </c>
      <c r="N2692">
        <v>0</v>
      </c>
      <c r="O2692" t="s">
        <v>31</v>
      </c>
      <c r="P2692" t="s">
        <v>28</v>
      </c>
      <c r="Q2692">
        <v>0</v>
      </c>
    </row>
    <row r="2693" spans="1:17" x14ac:dyDescent="0.3">
      <c r="A2693" t="s">
        <v>17</v>
      </c>
      <c r="B2693">
        <v>67</v>
      </c>
      <c r="C2693" t="s">
        <v>28</v>
      </c>
      <c r="D2693" s="2">
        <v>45991</v>
      </c>
      <c r="E2693" s="3">
        <f t="shared" si="42"/>
        <v>45962</v>
      </c>
      <c r="F2693" t="s">
        <v>2370</v>
      </c>
      <c r="H2693" s="4">
        <v>421.68</v>
      </c>
      <c r="I2693" t="s">
        <v>31</v>
      </c>
      <c r="J2693" t="s">
        <v>74</v>
      </c>
      <c r="K2693" t="s">
        <v>1895</v>
      </c>
      <c r="L2693" s="2">
        <v>45962</v>
      </c>
      <c r="M2693" t="s">
        <v>76</v>
      </c>
      <c r="N2693">
        <v>0</v>
      </c>
      <c r="O2693" t="s">
        <v>31</v>
      </c>
      <c r="P2693" t="s">
        <v>28</v>
      </c>
      <c r="Q2693">
        <v>0</v>
      </c>
    </row>
    <row r="2694" spans="1:17" x14ac:dyDescent="0.3">
      <c r="A2694" t="s">
        <v>17</v>
      </c>
      <c r="B2694">
        <v>67</v>
      </c>
      <c r="C2694" t="s">
        <v>28</v>
      </c>
      <c r="D2694" s="2">
        <v>45991</v>
      </c>
      <c r="E2694" s="3">
        <f t="shared" si="42"/>
        <v>45962</v>
      </c>
      <c r="F2694" t="s">
        <v>2371</v>
      </c>
      <c r="H2694" s="4">
        <v>3179.22</v>
      </c>
      <c r="I2694" t="s">
        <v>31</v>
      </c>
      <c r="J2694" t="s">
        <v>74</v>
      </c>
      <c r="K2694" t="s">
        <v>1098</v>
      </c>
      <c r="L2694" s="2">
        <v>45962</v>
      </c>
      <c r="M2694" t="s">
        <v>76</v>
      </c>
      <c r="N2694">
        <v>0</v>
      </c>
      <c r="O2694" t="s">
        <v>31</v>
      </c>
      <c r="P2694" t="s">
        <v>28</v>
      </c>
      <c r="Q2694">
        <v>0</v>
      </c>
    </row>
    <row r="2695" spans="1:17" x14ac:dyDescent="0.3">
      <c r="A2695" t="s">
        <v>17</v>
      </c>
      <c r="B2695">
        <v>67</v>
      </c>
      <c r="C2695" t="s">
        <v>28</v>
      </c>
      <c r="D2695" s="2">
        <v>45991</v>
      </c>
      <c r="E2695" s="3">
        <f t="shared" si="42"/>
        <v>45962</v>
      </c>
      <c r="F2695" t="s">
        <v>2372</v>
      </c>
      <c r="H2695" s="4">
        <v>2582.46</v>
      </c>
      <c r="I2695" t="s">
        <v>31</v>
      </c>
      <c r="J2695" t="s">
        <v>74</v>
      </c>
      <c r="K2695" t="s">
        <v>1100</v>
      </c>
      <c r="L2695" s="2">
        <v>45962</v>
      </c>
      <c r="M2695" t="s">
        <v>76</v>
      </c>
      <c r="N2695">
        <v>0</v>
      </c>
      <c r="O2695" t="s">
        <v>31</v>
      </c>
      <c r="P2695" t="s">
        <v>28</v>
      </c>
      <c r="Q2695">
        <v>0</v>
      </c>
    </row>
    <row r="2696" spans="1:17" x14ac:dyDescent="0.3">
      <c r="A2696" t="s">
        <v>17</v>
      </c>
      <c r="B2696">
        <v>68</v>
      </c>
      <c r="C2696" t="s">
        <v>34</v>
      </c>
      <c r="D2696" s="2">
        <v>45962</v>
      </c>
      <c r="E2696" s="3">
        <f t="shared" si="42"/>
        <v>45962</v>
      </c>
      <c r="F2696" t="s">
        <v>2373</v>
      </c>
      <c r="G2696" t="s">
        <v>36</v>
      </c>
      <c r="H2696" s="4">
        <v>35</v>
      </c>
      <c r="I2696" t="s">
        <v>31</v>
      </c>
      <c r="J2696" t="s">
        <v>37</v>
      </c>
      <c r="K2696" t="s">
        <v>1901</v>
      </c>
      <c r="L2696" s="2">
        <v>45962</v>
      </c>
      <c r="M2696" t="s">
        <v>37</v>
      </c>
      <c r="N2696">
        <v>0</v>
      </c>
      <c r="O2696" t="s">
        <v>31</v>
      </c>
      <c r="P2696" t="s">
        <v>34</v>
      </c>
      <c r="Q2696">
        <v>0</v>
      </c>
    </row>
    <row r="2697" spans="1:17" x14ac:dyDescent="0.3">
      <c r="A2697" t="s">
        <v>17</v>
      </c>
      <c r="B2697">
        <v>68</v>
      </c>
      <c r="C2697" t="s">
        <v>34</v>
      </c>
      <c r="D2697" s="2">
        <v>45962</v>
      </c>
      <c r="E2697" s="3">
        <f t="shared" si="42"/>
        <v>45962</v>
      </c>
      <c r="F2697" t="s">
        <v>2373</v>
      </c>
      <c r="G2697" t="s">
        <v>36</v>
      </c>
      <c r="H2697" s="4">
        <v>5.33</v>
      </c>
      <c r="I2697" t="s">
        <v>31</v>
      </c>
      <c r="J2697" t="s">
        <v>37</v>
      </c>
      <c r="K2697" t="s">
        <v>1276</v>
      </c>
      <c r="L2697" s="2">
        <v>45962</v>
      </c>
      <c r="M2697" t="s">
        <v>37</v>
      </c>
      <c r="N2697">
        <v>0</v>
      </c>
      <c r="O2697" t="s">
        <v>31</v>
      </c>
      <c r="P2697" t="s">
        <v>34</v>
      </c>
      <c r="Q2697">
        <v>0</v>
      </c>
    </row>
    <row r="2698" spans="1:17" x14ac:dyDescent="0.3">
      <c r="A2698" t="s">
        <v>17</v>
      </c>
      <c r="B2698">
        <v>68</v>
      </c>
      <c r="C2698" t="s">
        <v>34</v>
      </c>
      <c r="D2698" s="2">
        <v>45962</v>
      </c>
      <c r="E2698" s="3">
        <f t="shared" si="42"/>
        <v>45962</v>
      </c>
      <c r="F2698" t="s">
        <v>2373</v>
      </c>
      <c r="G2698" t="s">
        <v>36</v>
      </c>
      <c r="H2698" s="4">
        <v>25</v>
      </c>
      <c r="I2698" t="s">
        <v>31</v>
      </c>
      <c r="J2698" t="s">
        <v>37</v>
      </c>
      <c r="K2698" t="s">
        <v>1902</v>
      </c>
      <c r="L2698" s="2">
        <v>45962</v>
      </c>
      <c r="M2698" t="s">
        <v>37</v>
      </c>
      <c r="N2698">
        <v>0</v>
      </c>
      <c r="O2698" t="s">
        <v>31</v>
      </c>
      <c r="P2698" t="s">
        <v>34</v>
      </c>
      <c r="Q2698">
        <v>0</v>
      </c>
    </row>
    <row r="2699" spans="1:17" x14ac:dyDescent="0.3">
      <c r="A2699" t="s">
        <v>17</v>
      </c>
      <c r="B2699">
        <v>68</v>
      </c>
      <c r="C2699" t="s">
        <v>34</v>
      </c>
      <c r="D2699" s="2">
        <v>45962</v>
      </c>
      <c r="E2699" s="3">
        <f t="shared" si="42"/>
        <v>45962</v>
      </c>
      <c r="F2699" t="s">
        <v>2270</v>
      </c>
      <c r="G2699" t="s">
        <v>40</v>
      </c>
      <c r="H2699" s="4">
        <v>479.83</v>
      </c>
      <c r="I2699" t="s">
        <v>31</v>
      </c>
      <c r="J2699" t="s">
        <v>37</v>
      </c>
      <c r="K2699" t="s">
        <v>1276</v>
      </c>
      <c r="L2699" s="2">
        <v>45962</v>
      </c>
      <c r="M2699" t="s">
        <v>37</v>
      </c>
      <c r="N2699">
        <v>0</v>
      </c>
      <c r="O2699" t="s">
        <v>31</v>
      </c>
      <c r="P2699" t="s">
        <v>34</v>
      </c>
      <c r="Q2699">
        <v>0</v>
      </c>
    </row>
    <row r="2700" spans="1:17" x14ac:dyDescent="0.3">
      <c r="A2700" t="s">
        <v>17</v>
      </c>
      <c r="B2700">
        <v>68</v>
      </c>
      <c r="C2700" t="s">
        <v>34</v>
      </c>
      <c r="D2700" s="2">
        <v>45962</v>
      </c>
      <c r="E2700" s="3">
        <f t="shared" si="42"/>
        <v>45962</v>
      </c>
      <c r="F2700" t="s">
        <v>2374</v>
      </c>
      <c r="H2700" s="4">
        <v>-479.83</v>
      </c>
      <c r="I2700" t="s">
        <v>31</v>
      </c>
      <c r="J2700" t="s">
        <v>37</v>
      </c>
      <c r="K2700" t="s">
        <v>2155</v>
      </c>
      <c r="L2700" s="2">
        <v>45962</v>
      </c>
      <c r="M2700" t="s">
        <v>37</v>
      </c>
      <c r="N2700">
        <v>0</v>
      </c>
      <c r="O2700" t="s">
        <v>31</v>
      </c>
      <c r="P2700" t="s">
        <v>34</v>
      </c>
      <c r="Q2700">
        <v>0</v>
      </c>
    </row>
    <row r="2701" spans="1:17" x14ac:dyDescent="0.3">
      <c r="A2701" t="s">
        <v>17</v>
      </c>
      <c r="B2701">
        <v>68</v>
      </c>
      <c r="C2701" t="s">
        <v>34</v>
      </c>
      <c r="D2701" s="2">
        <v>45988</v>
      </c>
      <c r="E2701" s="3">
        <f t="shared" si="42"/>
        <v>45962</v>
      </c>
      <c r="F2701" t="s">
        <v>2375</v>
      </c>
      <c r="G2701" t="s">
        <v>43</v>
      </c>
      <c r="H2701" s="4">
        <v>270.87</v>
      </c>
      <c r="I2701" t="s">
        <v>31</v>
      </c>
      <c r="J2701" t="s">
        <v>37</v>
      </c>
      <c r="K2701" t="s">
        <v>1734</v>
      </c>
      <c r="L2701" s="2">
        <v>45962</v>
      </c>
      <c r="M2701" t="s">
        <v>37</v>
      </c>
      <c r="N2701">
        <v>0</v>
      </c>
      <c r="O2701" t="s">
        <v>31</v>
      </c>
      <c r="P2701" t="s">
        <v>34</v>
      </c>
      <c r="Q2701">
        <v>0</v>
      </c>
    </row>
    <row r="2702" spans="1:17" x14ac:dyDescent="0.3">
      <c r="A2702" t="s">
        <v>17</v>
      </c>
      <c r="B2702">
        <v>68</v>
      </c>
      <c r="C2702" t="s">
        <v>34</v>
      </c>
      <c r="D2702" s="2">
        <v>45988</v>
      </c>
      <c r="E2702" s="3">
        <f t="shared" si="42"/>
        <v>45962</v>
      </c>
      <c r="F2702" t="s">
        <v>2376</v>
      </c>
      <c r="G2702" t="s">
        <v>43</v>
      </c>
      <c r="H2702" s="4">
        <v>270.87</v>
      </c>
      <c r="I2702" t="s">
        <v>31</v>
      </c>
      <c r="J2702" t="s">
        <v>37</v>
      </c>
      <c r="K2702" t="s">
        <v>1734</v>
      </c>
      <c r="L2702" s="2">
        <v>45962</v>
      </c>
      <c r="M2702" t="s">
        <v>37</v>
      </c>
      <c r="N2702">
        <v>0</v>
      </c>
      <c r="O2702" t="s">
        <v>31</v>
      </c>
      <c r="P2702" t="s">
        <v>34</v>
      </c>
      <c r="Q2702">
        <v>0</v>
      </c>
    </row>
    <row r="2703" spans="1:17" x14ac:dyDescent="0.3">
      <c r="A2703" t="s">
        <v>17</v>
      </c>
      <c r="B2703">
        <v>68</v>
      </c>
      <c r="C2703" t="s">
        <v>34</v>
      </c>
      <c r="D2703" s="2">
        <v>45991</v>
      </c>
      <c r="E2703" s="3">
        <f t="shared" si="42"/>
        <v>45962</v>
      </c>
      <c r="F2703" t="s">
        <v>2377</v>
      </c>
      <c r="H2703" s="4">
        <v>382.74</v>
      </c>
      <c r="I2703" t="s">
        <v>31</v>
      </c>
      <c r="J2703" t="s">
        <v>37</v>
      </c>
      <c r="K2703" t="s">
        <v>2378</v>
      </c>
      <c r="L2703" s="2">
        <v>45962</v>
      </c>
      <c r="M2703" t="s">
        <v>37</v>
      </c>
      <c r="N2703">
        <v>0</v>
      </c>
      <c r="O2703" t="s">
        <v>31</v>
      </c>
      <c r="P2703" t="s">
        <v>34</v>
      </c>
      <c r="Q2703">
        <v>0</v>
      </c>
    </row>
    <row r="2704" spans="1:17" x14ac:dyDescent="0.3">
      <c r="A2704" t="s">
        <v>17</v>
      </c>
      <c r="B2704">
        <v>65</v>
      </c>
      <c r="C2704" t="s">
        <v>54</v>
      </c>
      <c r="D2704" s="2">
        <v>45975</v>
      </c>
      <c r="E2704" s="3">
        <f t="shared" si="42"/>
        <v>45962</v>
      </c>
      <c r="F2704">
        <v>42198276</v>
      </c>
      <c r="G2704" t="s">
        <v>154</v>
      </c>
      <c r="H2704" s="4">
        <v>10.62</v>
      </c>
      <c r="I2704" t="s">
        <v>31</v>
      </c>
      <c r="J2704" t="s">
        <v>155</v>
      </c>
      <c r="K2704" t="s">
        <v>1742</v>
      </c>
      <c r="L2704" s="2">
        <v>45962</v>
      </c>
      <c r="M2704" t="s">
        <v>155</v>
      </c>
      <c r="N2704">
        <v>0</v>
      </c>
      <c r="O2704" t="s">
        <v>31</v>
      </c>
      <c r="P2704" t="s">
        <v>54</v>
      </c>
      <c r="Q2704">
        <v>0</v>
      </c>
    </row>
    <row r="2705" spans="1:17" x14ac:dyDescent="0.3">
      <c r="A2705" t="s">
        <v>17</v>
      </c>
      <c r="B2705">
        <v>65</v>
      </c>
      <c r="C2705" t="s">
        <v>54</v>
      </c>
      <c r="D2705" s="2">
        <v>45975</v>
      </c>
      <c r="E2705" s="3">
        <f t="shared" si="42"/>
        <v>45962</v>
      </c>
      <c r="F2705">
        <v>42198276</v>
      </c>
      <c r="G2705" t="s">
        <v>154</v>
      </c>
      <c r="H2705" s="4">
        <v>30.61</v>
      </c>
      <c r="I2705" t="s">
        <v>31</v>
      </c>
      <c r="J2705" t="s">
        <v>155</v>
      </c>
      <c r="K2705" t="s">
        <v>2379</v>
      </c>
      <c r="L2705" s="2">
        <v>45962</v>
      </c>
      <c r="M2705" t="s">
        <v>155</v>
      </c>
      <c r="N2705">
        <v>0</v>
      </c>
      <c r="O2705" t="s">
        <v>31</v>
      </c>
      <c r="P2705" t="s">
        <v>54</v>
      </c>
      <c r="Q2705">
        <v>0</v>
      </c>
    </row>
    <row r="2706" spans="1:17" x14ac:dyDescent="0.3">
      <c r="A2706" t="s">
        <v>17</v>
      </c>
      <c r="B2706">
        <v>65</v>
      </c>
      <c r="C2706" t="s">
        <v>54</v>
      </c>
      <c r="D2706" s="2">
        <v>45975</v>
      </c>
      <c r="E2706" s="3">
        <f t="shared" si="42"/>
        <v>45962</v>
      </c>
      <c r="F2706">
        <v>42198276</v>
      </c>
      <c r="G2706" t="s">
        <v>154</v>
      </c>
      <c r="H2706" s="4">
        <v>699.25</v>
      </c>
      <c r="I2706" t="s">
        <v>31</v>
      </c>
      <c r="J2706" t="s">
        <v>155</v>
      </c>
      <c r="K2706" t="s">
        <v>2156</v>
      </c>
      <c r="L2706" s="2">
        <v>45962</v>
      </c>
      <c r="M2706" t="s">
        <v>155</v>
      </c>
      <c r="N2706">
        <v>0</v>
      </c>
      <c r="O2706" t="s">
        <v>31</v>
      </c>
      <c r="P2706" t="s">
        <v>54</v>
      </c>
      <c r="Q2706">
        <v>0</v>
      </c>
    </row>
    <row r="2707" spans="1:17" x14ac:dyDescent="0.3">
      <c r="A2707" t="s">
        <v>17</v>
      </c>
      <c r="B2707">
        <v>65</v>
      </c>
      <c r="C2707" t="s">
        <v>54</v>
      </c>
      <c r="D2707" s="2">
        <v>45991</v>
      </c>
      <c r="E2707" s="3">
        <f t="shared" si="42"/>
        <v>45962</v>
      </c>
      <c r="F2707" t="s">
        <v>2272</v>
      </c>
      <c r="H2707" s="4">
        <v>-606</v>
      </c>
      <c r="I2707" t="s">
        <v>31</v>
      </c>
      <c r="J2707" t="s">
        <v>155</v>
      </c>
      <c r="L2707" s="2">
        <v>45962</v>
      </c>
      <c r="M2707" t="s">
        <v>155</v>
      </c>
      <c r="N2707">
        <v>0</v>
      </c>
      <c r="O2707" t="s">
        <v>31</v>
      </c>
      <c r="P2707" t="s">
        <v>54</v>
      </c>
      <c r="Q2707">
        <v>0</v>
      </c>
    </row>
    <row r="2708" spans="1:17" x14ac:dyDescent="0.3">
      <c r="A2708" t="s">
        <v>17</v>
      </c>
      <c r="B2708">
        <v>67</v>
      </c>
      <c r="C2708" t="s">
        <v>28</v>
      </c>
      <c r="D2708" s="2">
        <v>45991</v>
      </c>
      <c r="E2708" s="3">
        <f t="shared" si="42"/>
        <v>45962</v>
      </c>
      <c r="F2708" t="s">
        <v>2380</v>
      </c>
      <c r="H2708" s="4">
        <v>175</v>
      </c>
      <c r="I2708" t="s">
        <v>108</v>
      </c>
      <c r="J2708" t="s">
        <v>352</v>
      </c>
      <c r="K2708" t="s">
        <v>2381</v>
      </c>
      <c r="L2708" s="2">
        <v>45962</v>
      </c>
      <c r="M2708" t="s">
        <v>352</v>
      </c>
      <c r="N2708">
        <v>0</v>
      </c>
      <c r="O2708" t="s">
        <v>111</v>
      </c>
      <c r="P2708" t="s">
        <v>28</v>
      </c>
      <c r="Q2708">
        <v>0</v>
      </c>
    </row>
    <row r="2709" spans="1:17" x14ac:dyDescent="0.3">
      <c r="A2709" t="s">
        <v>17</v>
      </c>
      <c r="B2709">
        <v>68</v>
      </c>
      <c r="C2709" t="s">
        <v>34</v>
      </c>
      <c r="D2709" s="2">
        <v>45991</v>
      </c>
      <c r="E2709" s="3">
        <f t="shared" si="42"/>
        <v>45962</v>
      </c>
      <c r="F2709" t="s">
        <v>2382</v>
      </c>
      <c r="H2709" s="4">
        <v>5000</v>
      </c>
      <c r="I2709" t="s">
        <v>21</v>
      </c>
      <c r="J2709" t="s">
        <v>726</v>
      </c>
      <c r="K2709" t="s">
        <v>2383</v>
      </c>
      <c r="L2709" s="2">
        <v>45962</v>
      </c>
      <c r="M2709" t="s">
        <v>726</v>
      </c>
      <c r="N2709" t="s">
        <v>25</v>
      </c>
      <c r="O2709" t="s">
        <v>81</v>
      </c>
      <c r="P2709" t="s">
        <v>34</v>
      </c>
      <c r="Q2709">
        <v>0</v>
      </c>
    </row>
    <row r="2710" spans="1:17" x14ac:dyDescent="0.3">
      <c r="A2710" t="s">
        <v>17</v>
      </c>
      <c r="B2710">
        <v>67</v>
      </c>
      <c r="C2710" t="s">
        <v>28</v>
      </c>
      <c r="D2710" s="2">
        <v>45978</v>
      </c>
      <c r="E2710" s="3">
        <f t="shared" si="42"/>
        <v>45962</v>
      </c>
      <c r="F2710" t="s">
        <v>2384</v>
      </c>
      <c r="H2710" s="4">
        <v>268.88</v>
      </c>
      <c r="I2710" t="s">
        <v>31</v>
      </c>
      <c r="J2710" t="s">
        <v>64</v>
      </c>
      <c r="K2710" t="s">
        <v>168</v>
      </c>
      <c r="L2710" s="2">
        <v>45962</v>
      </c>
      <c r="M2710" t="s">
        <v>64</v>
      </c>
      <c r="N2710">
        <v>0</v>
      </c>
      <c r="O2710" t="s">
        <v>31</v>
      </c>
      <c r="P2710" t="s">
        <v>28</v>
      </c>
      <c r="Q2710">
        <v>0</v>
      </c>
    </row>
    <row r="2711" spans="1:17" x14ac:dyDescent="0.3">
      <c r="A2711" t="s">
        <v>17</v>
      </c>
      <c r="B2711">
        <v>68</v>
      </c>
      <c r="C2711" t="s">
        <v>34</v>
      </c>
      <c r="D2711" s="2">
        <v>45964</v>
      </c>
      <c r="E2711" s="3">
        <f t="shared" si="42"/>
        <v>45962</v>
      </c>
      <c r="F2711" t="s">
        <v>2385</v>
      </c>
      <c r="H2711" s="4">
        <v>185.2</v>
      </c>
      <c r="I2711" t="s">
        <v>31</v>
      </c>
      <c r="J2711" t="s">
        <v>613</v>
      </c>
      <c r="K2711" t="s">
        <v>2386</v>
      </c>
      <c r="L2711" s="2">
        <v>45962</v>
      </c>
      <c r="M2711" t="s">
        <v>613</v>
      </c>
      <c r="N2711">
        <v>0</v>
      </c>
      <c r="O2711" t="s">
        <v>31</v>
      </c>
      <c r="P2711" t="s">
        <v>34</v>
      </c>
      <c r="Q2711">
        <v>0</v>
      </c>
    </row>
    <row r="2712" spans="1:17" x14ac:dyDescent="0.3">
      <c r="A2712" t="s">
        <v>17</v>
      </c>
      <c r="B2712">
        <v>68</v>
      </c>
      <c r="C2712" t="s">
        <v>34</v>
      </c>
      <c r="D2712" s="2">
        <v>45965</v>
      </c>
      <c r="E2712" s="3">
        <f t="shared" si="42"/>
        <v>45962</v>
      </c>
      <c r="F2712" t="s">
        <v>2387</v>
      </c>
      <c r="H2712" s="4">
        <v>-50</v>
      </c>
      <c r="I2712" t="s">
        <v>31</v>
      </c>
      <c r="J2712" t="s">
        <v>613</v>
      </c>
      <c r="K2712" t="s">
        <v>1913</v>
      </c>
      <c r="L2712" s="2">
        <v>45962</v>
      </c>
      <c r="M2712" t="s">
        <v>613</v>
      </c>
      <c r="N2712">
        <v>0</v>
      </c>
      <c r="O2712" t="s">
        <v>31</v>
      </c>
      <c r="P2712" t="s">
        <v>34</v>
      </c>
      <c r="Q2712">
        <v>0</v>
      </c>
    </row>
    <row r="2713" spans="1:17" x14ac:dyDescent="0.3">
      <c r="A2713" t="s">
        <v>17</v>
      </c>
      <c r="B2713">
        <v>68</v>
      </c>
      <c r="C2713" t="s">
        <v>34</v>
      </c>
      <c r="D2713" s="2">
        <v>45966</v>
      </c>
      <c r="E2713" s="3">
        <f t="shared" si="42"/>
        <v>45962</v>
      </c>
      <c r="F2713" t="s">
        <v>2388</v>
      </c>
      <c r="H2713" s="4">
        <v>1576.52</v>
      </c>
      <c r="I2713" t="s">
        <v>31</v>
      </c>
      <c r="J2713" t="s">
        <v>613</v>
      </c>
      <c r="K2713" t="s">
        <v>2389</v>
      </c>
      <c r="L2713" s="2">
        <v>45962</v>
      </c>
      <c r="M2713" t="s">
        <v>613</v>
      </c>
      <c r="N2713">
        <v>0</v>
      </c>
      <c r="O2713" t="s">
        <v>31</v>
      </c>
      <c r="P2713" t="s">
        <v>34</v>
      </c>
      <c r="Q2713">
        <v>0</v>
      </c>
    </row>
    <row r="2714" spans="1:17" x14ac:dyDescent="0.3">
      <c r="A2714" t="s">
        <v>17</v>
      </c>
      <c r="B2714">
        <v>68</v>
      </c>
      <c r="C2714" t="s">
        <v>34</v>
      </c>
      <c r="D2714" s="2">
        <v>45987</v>
      </c>
      <c r="E2714" s="3">
        <f t="shared" si="42"/>
        <v>45962</v>
      </c>
      <c r="F2714" t="s">
        <v>2390</v>
      </c>
      <c r="H2714" s="4">
        <v>2368.5</v>
      </c>
      <c r="I2714" t="s">
        <v>31</v>
      </c>
      <c r="J2714" t="s">
        <v>613</v>
      </c>
      <c r="K2714" t="s">
        <v>2391</v>
      </c>
      <c r="L2714" s="2">
        <v>45962</v>
      </c>
      <c r="M2714" t="s">
        <v>613</v>
      </c>
      <c r="N2714">
        <v>0</v>
      </c>
      <c r="O2714" t="s">
        <v>31</v>
      </c>
      <c r="P2714" t="s">
        <v>34</v>
      </c>
      <c r="Q2714">
        <v>0</v>
      </c>
    </row>
    <row r="2715" spans="1:17" x14ac:dyDescent="0.3">
      <c r="A2715" t="s">
        <v>17</v>
      </c>
      <c r="B2715">
        <v>69</v>
      </c>
      <c r="C2715" t="s">
        <v>297</v>
      </c>
      <c r="D2715" s="2">
        <v>45991</v>
      </c>
      <c r="E2715" s="3">
        <f t="shared" si="42"/>
        <v>45962</v>
      </c>
      <c r="F2715" t="s">
        <v>2392</v>
      </c>
      <c r="H2715" s="4">
        <v>27.49</v>
      </c>
      <c r="I2715" t="s">
        <v>108</v>
      </c>
      <c r="J2715" t="s">
        <v>360</v>
      </c>
      <c r="L2715" s="2">
        <v>45962</v>
      </c>
      <c r="M2715" t="s">
        <v>361</v>
      </c>
      <c r="N2715">
        <v>0</v>
      </c>
      <c r="O2715" t="s">
        <v>111</v>
      </c>
      <c r="P2715" t="s">
        <v>297</v>
      </c>
      <c r="Q2715">
        <v>0</v>
      </c>
    </row>
    <row r="2716" spans="1:17" x14ac:dyDescent="0.3">
      <c r="A2716" t="s">
        <v>17</v>
      </c>
      <c r="B2716">
        <v>69</v>
      </c>
      <c r="C2716" t="s">
        <v>297</v>
      </c>
      <c r="D2716" s="2">
        <v>45991</v>
      </c>
      <c r="E2716" s="3">
        <f t="shared" si="42"/>
        <v>45962</v>
      </c>
      <c r="F2716" t="s">
        <v>2392</v>
      </c>
      <c r="H2716" s="4">
        <v>24.41</v>
      </c>
      <c r="I2716" t="s">
        <v>31</v>
      </c>
      <c r="J2716" t="s">
        <v>360</v>
      </c>
      <c r="L2716" s="2">
        <v>45962</v>
      </c>
      <c r="M2716" t="s">
        <v>361</v>
      </c>
      <c r="N2716">
        <v>0</v>
      </c>
      <c r="O2716" t="s">
        <v>31</v>
      </c>
      <c r="P2716" t="s">
        <v>297</v>
      </c>
      <c r="Q2716">
        <v>0</v>
      </c>
    </row>
    <row r="2717" spans="1:17" x14ac:dyDescent="0.3">
      <c r="A2717" t="s">
        <v>17</v>
      </c>
      <c r="B2717">
        <v>69</v>
      </c>
      <c r="C2717" t="s">
        <v>297</v>
      </c>
      <c r="D2717" s="2">
        <v>45991</v>
      </c>
      <c r="E2717" s="3">
        <f t="shared" si="42"/>
        <v>45962</v>
      </c>
      <c r="F2717" t="s">
        <v>2392</v>
      </c>
      <c r="H2717" s="4">
        <v>58.03</v>
      </c>
      <c r="I2717" t="s">
        <v>31</v>
      </c>
      <c r="J2717" t="s">
        <v>349</v>
      </c>
      <c r="L2717" s="2">
        <v>45962</v>
      </c>
      <c r="M2717" t="s">
        <v>350</v>
      </c>
      <c r="N2717">
        <v>0</v>
      </c>
      <c r="O2717" t="s">
        <v>31</v>
      </c>
      <c r="P2717" t="s">
        <v>297</v>
      </c>
      <c r="Q2717">
        <v>0</v>
      </c>
    </row>
    <row r="2718" spans="1:17" x14ac:dyDescent="0.3">
      <c r="A2718" t="s">
        <v>17</v>
      </c>
      <c r="B2718">
        <v>69</v>
      </c>
      <c r="C2718" t="s">
        <v>297</v>
      </c>
      <c r="D2718" s="2">
        <v>45991</v>
      </c>
      <c r="E2718" s="3">
        <f t="shared" si="42"/>
        <v>45962</v>
      </c>
      <c r="F2718" t="s">
        <v>2392</v>
      </c>
      <c r="H2718" s="4">
        <v>259.97000000000003</v>
      </c>
      <c r="I2718" t="s">
        <v>137</v>
      </c>
      <c r="J2718" t="s">
        <v>349</v>
      </c>
      <c r="L2718" s="2">
        <v>45962</v>
      </c>
      <c r="M2718" t="s">
        <v>350</v>
      </c>
      <c r="N2718" t="s">
        <v>141</v>
      </c>
      <c r="O2718" t="s">
        <v>141</v>
      </c>
      <c r="P2718" t="s">
        <v>297</v>
      </c>
      <c r="Q2718">
        <v>0</v>
      </c>
    </row>
    <row r="2719" spans="1:17" x14ac:dyDescent="0.3">
      <c r="A2719" t="s">
        <v>17</v>
      </c>
      <c r="B2719">
        <v>69</v>
      </c>
      <c r="C2719" t="s">
        <v>297</v>
      </c>
      <c r="D2719" s="2">
        <v>45991</v>
      </c>
      <c r="E2719" s="3">
        <f t="shared" si="42"/>
        <v>45962</v>
      </c>
      <c r="F2719" t="s">
        <v>2392</v>
      </c>
      <c r="H2719" s="4">
        <v>557.34</v>
      </c>
      <c r="I2719" t="s">
        <v>31</v>
      </c>
      <c r="J2719" t="s">
        <v>346</v>
      </c>
      <c r="L2719" s="2">
        <v>45962</v>
      </c>
      <c r="M2719" t="s">
        <v>347</v>
      </c>
      <c r="N2719">
        <v>0</v>
      </c>
      <c r="O2719" t="s">
        <v>31</v>
      </c>
      <c r="P2719" t="s">
        <v>297</v>
      </c>
      <c r="Q2719">
        <v>0</v>
      </c>
    </row>
    <row r="2720" spans="1:17" x14ac:dyDescent="0.3">
      <c r="A2720" t="s">
        <v>17</v>
      </c>
      <c r="B2720">
        <v>69</v>
      </c>
      <c r="C2720" t="s">
        <v>297</v>
      </c>
      <c r="D2720" s="2">
        <v>45991</v>
      </c>
      <c r="E2720" s="3">
        <f t="shared" si="42"/>
        <v>45962</v>
      </c>
      <c r="F2720" t="s">
        <v>2392</v>
      </c>
      <c r="H2720" s="4">
        <v>149.81</v>
      </c>
      <c r="I2720" t="s">
        <v>47</v>
      </c>
      <c r="J2720" t="s">
        <v>346</v>
      </c>
      <c r="L2720" s="2">
        <v>45962</v>
      </c>
      <c r="M2720" t="s">
        <v>347</v>
      </c>
      <c r="N2720">
        <v>0</v>
      </c>
      <c r="O2720" t="s">
        <v>26</v>
      </c>
      <c r="P2720" t="s">
        <v>297</v>
      </c>
      <c r="Q2720">
        <v>0</v>
      </c>
    </row>
    <row r="2721" spans="1:17" x14ac:dyDescent="0.3">
      <c r="A2721" t="s">
        <v>17</v>
      </c>
      <c r="B2721">
        <v>69</v>
      </c>
      <c r="C2721" t="s">
        <v>297</v>
      </c>
      <c r="D2721" s="2">
        <v>45991</v>
      </c>
      <c r="E2721" s="3">
        <f t="shared" si="42"/>
        <v>45962</v>
      </c>
      <c r="F2721" t="s">
        <v>2392</v>
      </c>
      <c r="H2721" s="4">
        <v>65.48</v>
      </c>
      <c r="I2721" t="s">
        <v>348</v>
      </c>
      <c r="J2721" t="s">
        <v>346</v>
      </c>
      <c r="L2721" s="2">
        <v>45962</v>
      </c>
      <c r="M2721" t="s">
        <v>347</v>
      </c>
      <c r="N2721">
        <v>0</v>
      </c>
      <c r="O2721" t="s">
        <v>348</v>
      </c>
      <c r="P2721" t="s">
        <v>297</v>
      </c>
      <c r="Q2721">
        <v>0</v>
      </c>
    </row>
    <row r="2722" spans="1:17" x14ac:dyDescent="0.3">
      <c r="A2722" t="s">
        <v>17</v>
      </c>
      <c r="B2722">
        <v>69</v>
      </c>
      <c r="C2722" t="s">
        <v>297</v>
      </c>
      <c r="D2722" s="2">
        <v>45991</v>
      </c>
      <c r="E2722" s="3">
        <f t="shared" si="42"/>
        <v>45962</v>
      </c>
      <c r="F2722" t="s">
        <v>2392</v>
      </c>
      <c r="H2722" s="4">
        <v>216.66</v>
      </c>
      <c r="I2722" t="s">
        <v>104</v>
      </c>
      <c r="J2722" t="s">
        <v>346</v>
      </c>
      <c r="L2722" s="2">
        <v>45962</v>
      </c>
      <c r="M2722" t="s">
        <v>347</v>
      </c>
      <c r="N2722">
        <v>0</v>
      </c>
      <c r="O2722" t="s">
        <v>104</v>
      </c>
      <c r="P2722" t="s">
        <v>297</v>
      </c>
      <c r="Q2722">
        <v>0</v>
      </c>
    </row>
    <row r="2723" spans="1:17" x14ac:dyDescent="0.3">
      <c r="A2723" t="s">
        <v>17</v>
      </c>
      <c r="B2723">
        <v>69</v>
      </c>
      <c r="C2723" t="s">
        <v>297</v>
      </c>
      <c r="D2723" s="2">
        <v>45991</v>
      </c>
      <c r="E2723" s="3">
        <f t="shared" si="42"/>
        <v>45962</v>
      </c>
      <c r="F2723" t="s">
        <v>2392</v>
      </c>
      <c r="H2723" s="4">
        <v>156.94</v>
      </c>
      <c r="I2723" t="s">
        <v>108</v>
      </c>
      <c r="J2723" t="s">
        <v>346</v>
      </c>
      <c r="L2723" s="2">
        <v>45962</v>
      </c>
      <c r="M2723" t="s">
        <v>347</v>
      </c>
      <c r="N2723">
        <v>0</v>
      </c>
      <c r="O2723" t="s">
        <v>111</v>
      </c>
      <c r="P2723" t="s">
        <v>297</v>
      </c>
      <c r="Q2723">
        <v>0</v>
      </c>
    </row>
    <row r="2724" spans="1:17" x14ac:dyDescent="0.3">
      <c r="A2724" t="s">
        <v>17</v>
      </c>
      <c r="B2724">
        <v>69</v>
      </c>
      <c r="C2724" t="s">
        <v>297</v>
      </c>
      <c r="D2724" s="2">
        <v>45991</v>
      </c>
      <c r="E2724" s="3">
        <f t="shared" si="42"/>
        <v>45962</v>
      </c>
      <c r="F2724" t="s">
        <v>2392</v>
      </c>
      <c r="H2724" s="4">
        <v>274.3</v>
      </c>
      <c r="I2724" t="s">
        <v>21</v>
      </c>
      <c r="J2724" t="s">
        <v>346</v>
      </c>
      <c r="L2724" s="2">
        <v>45962</v>
      </c>
      <c r="M2724" t="s">
        <v>347</v>
      </c>
      <c r="N2724" t="s">
        <v>25</v>
      </c>
      <c r="O2724" t="s">
        <v>81</v>
      </c>
      <c r="P2724" t="s">
        <v>297</v>
      </c>
      <c r="Q2724">
        <v>0</v>
      </c>
    </row>
    <row r="2725" spans="1:17" x14ac:dyDescent="0.3">
      <c r="A2725" t="s">
        <v>17</v>
      </c>
      <c r="B2725">
        <v>69</v>
      </c>
      <c r="C2725" t="s">
        <v>297</v>
      </c>
      <c r="D2725" s="2">
        <v>45991</v>
      </c>
      <c r="E2725" s="3">
        <f t="shared" si="42"/>
        <v>45962</v>
      </c>
      <c r="F2725" t="s">
        <v>2392</v>
      </c>
      <c r="H2725" s="4">
        <v>113.67</v>
      </c>
      <c r="I2725" t="s">
        <v>137</v>
      </c>
      <c r="J2725" t="s">
        <v>346</v>
      </c>
      <c r="L2725" s="2">
        <v>45962</v>
      </c>
      <c r="M2725" t="s">
        <v>347</v>
      </c>
      <c r="N2725" t="s">
        <v>141</v>
      </c>
      <c r="O2725" t="s">
        <v>141</v>
      </c>
      <c r="P2725" t="s">
        <v>297</v>
      </c>
      <c r="Q2725">
        <v>0</v>
      </c>
    </row>
    <row r="2726" spans="1:17" x14ac:dyDescent="0.3">
      <c r="A2726" t="s">
        <v>17</v>
      </c>
      <c r="B2726">
        <v>69</v>
      </c>
      <c r="C2726" t="s">
        <v>297</v>
      </c>
      <c r="D2726" s="2">
        <v>45991</v>
      </c>
      <c r="E2726" s="3">
        <f t="shared" si="42"/>
        <v>45962</v>
      </c>
      <c r="F2726" t="s">
        <v>2392</v>
      </c>
      <c r="H2726" s="4">
        <v>66.72</v>
      </c>
      <c r="I2726" t="s">
        <v>159</v>
      </c>
      <c r="J2726" t="s">
        <v>346</v>
      </c>
      <c r="L2726" s="2">
        <v>45962</v>
      </c>
      <c r="M2726" t="s">
        <v>347</v>
      </c>
      <c r="N2726">
        <v>0</v>
      </c>
      <c r="O2726" t="s">
        <v>159</v>
      </c>
      <c r="P2726" t="s">
        <v>297</v>
      </c>
      <c r="Q2726">
        <v>0</v>
      </c>
    </row>
    <row r="2727" spans="1:17" x14ac:dyDescent="0.3">
      <c r="A2727" t="s">
        <v>17</v>
      </c>
      <c r="B2727">
        <v>69</v>
      </c>
      <c r="C2727" t="s">
        <v>297</v>
      </c>
      <c r="D2727" s="2">
        <v>45991</v>
      </c>
      <c r="E2727" s="3">
        <f t="shared" si="42"/>
        <v>45962</v>
      </c>
      <c r="F2727" t="s">
        <v>2393</v>
      </c>
      <c r="H2727" s="4">
        <v>1954.72</v>
      </c>
      <c r="I2727" t="s">
        <v>31</v>
      </c>
      <c r="J2727" t="s">
        <v>299</v>
      </c>
      <c r="K2727" t="s">
        <v>300</v>
      </c>
      <c r="L2727" s="2">
        <v>45962</v>
      </c>
      <c r="M2727" t="s">
        <v>301</v>
      </c>
      <c r="N2727">
        <v>0</v>
      </c>
      <c r="O2727" t="s">
        <v>31</v>
      </c>
      <c r="P2727" t="s">
        <v>297</v>
      </c>
      <c r="Q2727">
        <v>0</v>
      </c>
    </row>
    <row r="2728" spans="1:17" x14ac:dyDescent="0.3">
      <c r="A2728" t="s">
        <v>17</v>
      </c>
      <c r="B2728">
        <v>65</v>
      </c>
      <c r="C2728" t="s">
        <v>54</v>
      </c>
      <c r="D2728" s="2">
        <v>45991</v>
      </c>
      <c r="E2728" s="3">
        <f t="shared" si="42"/>
        <v>45962</v>
      </c>
      <c r="F2728" t="s">
        <v>2272</v>
      </c>
      <c r="H2728" s="4">
        <v>23940.66</v>
      </c>
      <c r="I2728" t="s">
        <v>31</v>
      </c>
      <c r="J2728" t="s">
        <v>296</v>
      </c>
      <c r="L2728" s="2">
        <v>45962</v>
      </c>
      <c r="M2728" t="s">
        <v>296</v>
      </c>
      <c r="N2728">
        <v>0</v>
      </c>
      <c r="O2728" t="s">
        <v>31</v>
      </c>
      <c r="P2728" t="s">
        <v>54</v>
      </c>
      <c r="Q2728">
        <v>0</v>
      </c>
    </row>
    <row r="2729" spans="1:17" x14ac:dyDescent="0.3">
      <c r="A2729" t="s">
        <v>17</v>
      </c>
      <c r="B2729">
        <v>65</v>
      </c>
      <c r="C2729" t="s">
        <v>54</v>
      </c>
      <c r="D2729" s="2">
        <v>45991</v>
      </c>
      <c r="E2729" s="3">
        <f t="shared" si="42"/>
        <v>45962</v>
      </c>
      <c r="F2729" t="s">
        <v>2272</v>
      </c>
      <c r="H2729" s="4">
        <v>596.79999999999995</v>
      </c>
      <c r="I2729" t="s">
        <v>31</v>
      </c>
      <c r="J2729" t="s">
        <v>296</v>
      </c>
      <c r="L2729" s="2">
        <v>45962</v>
      </c>
      <c r="M2729" t="s">
        <v>296</v>
      </c>
      <c r="N2729">
        <v>0</v>
      </c>
      <c r="O2729" t="s">
        <v>31</v>
      </c>
      <c r="P2729" t="s">
        <v>54</v>
      </c>
      <c r="Q2729">
        <v>0</v>
      </c>
    </row>
    <row r="2730" spans="1:17" x14ac:dyDescent="0.3">
      <c r="A2730" t="s">
        <v>17</v>
      </c>
      <c r="B2730">
        <v>67</v>
      </c>
      <c r="C2730" t="s">
        <v>28</v>
      </c>
      <c r="D2730" s="2">
        <v>45992</v>
      </c>
      <c r="E2730" s="3">
        <f t="shared" si="42"/>
        <v>45992</v>
      </c>
      <c r="F2730">
        <v>21190</v>
      </c>
      <c r="G2730" t="s">
        <v>52</v>
      </c>
      <c r="H2730" s="4">
        <v>18.899999999999999</v>
      </c>
      <c r="I2730" t="s">
        <v>31</v>
      </c>
      <c r="J2730" t="s">
        <v>48</v>
      </c>
      <c r="K2730" t="s">
        <v>1339</v>
      </c>
      <c r="L2730" s="2">
        <v>45992</v>
      </c>
      <c r="M2730" t="s">
        <v>50</v>
      </c>
      <c r="N2730">
        <v>0</v>
      </c>
      <c r="O2730" t="s">
        <v>31</v>
      </c>
      <c r="P2730" t="s">
        <v>28</v>
      </c>
      <c r="Q2730">
        <v>0</v>
      </c>
    </row>
    <row r="2731" spans="1:17" x14ac:dyDescent="0.3">
      <c r="A2731" t="s">
        <v>17</v>
      </c>
      <c r="B2731">
        <v>67</v>
      </c>
      <c r="C2731" t="s">
        <v>28</v>
      </c>
      <c r="D2731" s="2">
        <v>45992</v>
      </c>
      <c r="E2731" s="3">
        <f t="shared" si="42"/>
        <v>45992</v>
      </c>
      <c r="F2731">
        <v>21190</v>
      </c>
      <c r="G2731" t="s">
        <v>52</v>
      </c>
      <c r="H2731" s="4">
        <v>640</v>
      </c>
      <c r="I2731" t="s">
        <v>31</v>
      </c>
      <c r="J2731" t="s">
        <v>48</v>
      </c>
      <c r="K2731" t="s">
        <v>1340</v>
      </c>
      <c r="L2731" s="2">
        <v>45992</v>
      </c>
      <c r="M2731" t="s">
        <v>50</v>
      </c>
      <c r="N2731">
        <v>0</v>
      </c>
      <c r="O2731" t="s">
        <v>31</v>
      </c>
      <c r="P2731" t="s">
        <v>28</v>
      </c>
      <c r="Q2731">
        <v>0</v>
      </c>
    </row>
    <row r="2732" spans="1:17" x14ac:dyDescent="0.3">
      <c r="A2732" t="s">
        <v>17</v>
      </c>
      <c r="B2732">
        <v>67</v>
      </c>
      <c r="C2732" t="s">
        <v>28</v>
      </c>
      <c r="D2732" s="2">
        <v>45992</v>
      </c>
      <c r="E2732" s="3">
        <f t="shared" si="42"/>
        <v>45992</v>
      </c>
      <c r="F2732">
        <v>21190</v>
      </c>
      <c r="G2732" t="s">
        <v>52</v>
      </c>
      <c r="H2732" s="4">
        <v>9</v>
      </c>
      <c r="I2732" t="s">
        <v>31</v>
      </c>
      <c r="J2732" t="s">
        <v>48</v>
      </c>
      <c r="K2732" t="s">
        <v>1341</v>
      </c>
      <c r="L2732" s="2">
        <v>45992</v>
      </c>
      <c r="M2732" t="s">
        <v>50</v>
      </c>
      <c r="N2732">
        <v>0</v>
      </c>
      <c r="O2732" t="s">
        <v>31</v>
      </c>
      <c r="P2732" t="s">
        <v>28</v>
      </c>
      <c r="Q2732">
        <v>0</v>
      </c>
    </row>
    <row r="2733" spans="1:17" x14ac:dyDescent="0.3">
      <c r="A2733" t="s">
        <v>17</v>
      </c>
      <c r="B2733">
        <v>67</v>
      </c>
      <c r="C2733" t="s">
        <v>28</v>
      </c>
      <c r="D2733" s="2">
        <v>45992</v>
      </c>
      <c r="E2733" s="3">
        <f t="shared" si="42"/>
        <v>45992</v>
      </c>
      <c r="F2733">
        <v>21190</v>
      </c>
      <c r="G2733" t="s">
        <v>52</v>
      </c>
      <c r="H2733" s="4">
        <v>125</v>
      </c>
      <c r="I2733" t="s">
        <v>31</v>
      </c>
      <c r="J2733" t="s">
        <v>48</v>
      </c>
      <c r="K2733" t="s">
        <v>1342</v>
      </c>
      <c r="L2733" s="2">
        <v>45992</v>
      </c>
      <c r="M2733" t="s">
        <v>50</v>
      </c>
      <c r="N2733">
        <v>0</v>
      </c>
      <c r="O2733" t="s">
        <v>31</v>
      </c>
      <c r="P2733" t="s">
        <v>28</v>
      </c>
      <c r="Q2733">
        <v>0</v>
      </c>
    </row>
    <row r="2734" spans="1:17" x14ac:dyDescent="0.3">
      <c r="A2734" t="s">
        <v>17</v>
      </c>
      <c r="B2734">
        <v>67</v>
      </c>
      <c r="C2734" t="s">
        <v>28</v>
      </c>
      <c r="D2734" s="2">
        <v>45992</v>
      </c>
      <c r="E2734" s="3">
        <f t="shared" si="42"/>
        <v>45992</v>
      </c>
      <c r="F2734">
        <v>21190</v>
      </c>
      <c r="G2734" t="s">
        <v>52</v>
      </c>
      <c r="H2734" s="4">
        <v>2500</v>
      </c>
      <c r="I2734" t="s">
        <v>31</v>
      </c>
      <c r="J2734" t="s">
        <v>48</v>
      </c>
      <c r="K2734" t="s">
        <v>1343</v>
      </c>
      <c r="L2734" s="2">
        <v>45992</v>
      </c>
      <c r="M2734" t="s">
        <v>50</v>
      </c>
      <c r="N2734">
        <v>0</v>
      </c>
      <c r="O2734" t="s">
        <v>31</v>
      </c>
      <c r="P2734" t="s">
        <v>28</v>
      </c>
      <c r="Q2734">
        <v>0</v>
      </c>
    </row>
    <row r="2735" spans="1:17" x14ac:dyDescent="0.3">
      <c r="A2735" t="s">
        <v>17</v>
      </c>
      <c r="B2735">
        <v>63</v>
      </c>
      <c r="C2735" t="s">
        <v>18</v>
      </c>
      <c r="D2735" s="2">
        <v>45992</v>
      </c>
      <c r="E2735" s="3">
        <f t="shared" si="42"/>
        <v>45992</v>
      </c>
      <c r="F2735" t="s">
        <v>2394</v>
      </c>
      <c r="G2735" t="s">
        <v>2245</v>
      </c>
      <c r="H2735" s="4">
        <v>165</v>
      </c>
      <c r="I2735" t="s">
        <v>47</v>
      </c>
      <c r="J2735" t="s">
        <v>272</v>
      </c>
      <c r="K2735" t="s">
        <v>2395</v>
      </c>
      <c r="L2735" s="2">
        <v>45992</v>
      </c>
      <c r="M2735" t="s">
        <v>272</v>
      </c>
      <c r="N2735">
        <v>0</v>
      </c>
      <c r="O2735" t="s">
        <v>26</v>
      </c>
      <c r="P2735" t="s">
        <v>18</v>
      </c>
      <c r="Q2735" t="s">
        <v>274</v>
      </c>
    </row>
    <row r="2736" spans="1:17" x14ac:dyDescent="0.3">
      <c r="A2736" t="s">
        <v>17</v>
      </c>
      <c r="B2736">
        <v>63</v>
      </c>
      <c r="C2736" t="s">
        <v>18</v>
      </c>
      <c r="D2736" s="2">
        <v>45992</v>
      </c>
      <c r="E2736" s="3">
        <f t="shared" si="42"/>
        <v>45992</v>
      </c>
      <c r="F2736" t="s">
        <v>2394</v>
      </c>
      <c r="G2736" t="s">
        <v>2245</v>
      </c>
      <c r="H2736" s="4">
        <v>165</v>
      </c>
      <c r="I2736" t="s">
        <v>47</v>
      </c>
      <c r="J2736" t="s">
        <v>272</v>
      </c>
      <c r="K2736" t="s">
        <v>2396</v>
      </c>
      <c r="L2736" s="2">
        <v>45992</v>
      </c>
      <c r="M2736" t="s">
        <v>272</v>
      </c>
      <c r="N2736">
        <v>0</v>
      </c>
      <c r="O2736" t="s">
        <v>26</v>
      </c>
      <c r="P2736" t="s">
        <v>18</v>
      </c>
      <c r="Q2736" t="s">
        <v>274</v>
      </c>
    </row>
    <row r="2737" spans="1:17" x14ac:dyDescent="0.3">
      <c r="A2737" t="s">
        <v>17</v>
      </c>
      <c r="B2737">
        <v>63</v>
      </c>
      <c r="C2737" t="s">
        <v>18</v>
      </c>
      <c r="D2737" s="2">
        <v>45992</v>
      </c>
      <c r="E2737" s="3">
        <f t="shared" si="42"/>
        <v>45992</v>
      </c>
      <c r="F2737" t="s">
        <v>2394</v>
      </c>
      <c r="G2737" t="s">
        <v>2245</v>
      </c>
      <c r="H2737" s="4">
        <v>55</v>
      </c>
      <c r="I2737" t="s">
        <v>47</v>
      </c>
      <c r="J2737" t="s">
        <v>272</v>
      </c>
      <c r="K2737" t="s">
        <v>2397</v>
      </c>
      <c r="L2737" s="2">
        <v>45992</v>
      </c>
      <c r="M2737" t="s">
        <v>272</v>
      </c>
      <c r="N2737">
        <v>0</v>
      </c>
      <c r="O2737" t="s">
        <v>26</v>
      </c>
      <c r="P2737" t="s">
        <v>18</v>
      </c>
      <c r="Q2737" t="s">
        <v>274</v>
      </c>
    </row>
    <row r="2738" spans="1:17" x14ac:dyDescent="0.3">
      <c r="A2738" t="s">
        <v>17</v>
      </c>
      <c r="B2738">
        <v>63</v>
      </c>
      <c r="C2738" t="s">
        <v>18</v>
      </c>
      <c r="D2738" s="2">
        <v>45992</v>
      </c>
      <c r="E2738" s="3">
        <f t="shared" si="42"/>
        <v>45992</v>
      </c>
      <c r="F2738" t="s">
        <v>2394</v>
      </c>
      <c r="G2738" t="s">
        <v>2245</v>
      </c>
      <c r="H2738" s="4">
        <v>2750</v>
      </c>
      <c r="I2738" t="s">
        <v>47</v>
      </c>
      <c r="J2738" t="s">
        <v>272</v>
      </c>
      <c r="K2738" t="s">
        <v>2398</v>
      </c>
      <c r="L2738" s="2">
        <v>45992</v>
      </c>
      <c r="M2738" t="s">
        <v>272</v>
      </c>
      <c r="N2738">
        <v>0</v>
      </c>
      <c r="O2738" t="s">
        <v>26</v>
      </c>
      <c r="P2738" t="s">
        <v>18</v>
      </c>
      <c r="Q2738" t="s">
        <v>274</v>
      </c>
    </row>
    <row r="2739" spans="1:17" x14ac:dyDescent="0.3">
      <c r="A2739" t="s">
        <v>17</v>
      </c>
      <c r="B2739">
        <v>63</v>
      </c>
      <c r="C2739" t="s">
        <v>18</v>
      </c>
      <c r="D2739" s="2">
        <v>45992</v>
      </c>
      <c r="E2739" s="3">
        <f t="shared" si="42"/>
        <v>45992</v>
      </c>
      <c r="F2739">
        <v>34</v>
      </c>
      <c r="G2739" t="s">
        <v>2250</v>
      </c>
      <c r="H2739" s="4">
        <v>1200</v>
      </c>
      <c r="I2739" t="s">
        <v>47</v>
      </c>
      <c r="J2739" t="s">
        <v>331</v>
      </c>
      <c r="K2739" t="s">
        <v>2399</v>
      </c>
      <c r="L2739" s="2">
        <v>45992</v>
      </c>
      <c r="M2739" t="s">
        <v>333</v>
      </c>
      <c r="N2739">
        <v>0</v>
      </c>
      <c r="O2739" t="s">
        <v>26</v>
      </c>
      <c r="P2739" t="s">
        <v>18</v>
      </c>
      <c r="Q2739" t="s">
        <v>18</v>
      </c>
    </row>
    <row r="2740" spans="1:17" x14ac:dyDescent="0.3">
      <c r="A2740" t="s">
        <v>17</v>
      </c>
      <c r="B2740">
        <v>65</v>
      </c>
      <c r="C2740" t="s">
        <v>54</v>
      </c>
      <c r="D2740" s="2">
        <v>45992</v>
      </c>
      <c r="E2740" s="3">
        <f t="shared" si="42"/>
        <v>45992</v>
      </c>
      <c r="F2740" t="s">
        <v>2400</v>
      </c>
      <c r="G2740" t="s">
        <v>40</v>
      </c>
      <c r="H2740" s="4">
        <v>31017.18</v>
      </c>
      <c r="I2740" t="s">
        <v>31</v>
      </c>
      <c r="J2740" t="s">
        <v>55</v>
      </c>
      <c r="K2740" t="s">
        <v>2401</v>
      </c>
      <c r="L2740" s="2">
        <v>45992</v>
      </c>
      <c r="M2740" t="s">
        <v>55</v>
      </c>
      <c r="N2740">
        <v>0</v>
      </c>
      <c r="O2740" t="s">
        <v>31</v>
      </c>
      <c r="P2740" t="s">
        <v>54</v>
      </c>
      <c r="Q2740">
        <v>0</v>
      </c>
    </row>
    <row r="2741" spans="1:17" x14ac:dyDescent="0.3">
      <c r="A2741" t="s">
        <v>17</v>
      </c>
      <c r="B2741">
        <v>66</v>
      </c>
      <c r="C2741" t="s">
        <v>134</v>
      </c>
      <c r="D2741" s="2">
        <v>45992</v>
      </c>
      <c r="E2741" s="3">
        <f t="shared" si="42"/>
        <v>45992</v>
      </c>
      <c r="F2741" t="s">
        <v>2402</v>
      </c>
      <c r="G2741" t="s">
        <v>254</v>
      </c>
      <c r="H2741" s="4">
        <v>600</v>
      </c>
      <c r="I2741" t="s">
        <v>108</v>
      </c>
      <c r="J2741" t="s">
        <v>255</v>
      </c>
      <c r="K2741" t="s">
        <v>2403</v>
      </c>
      <c r="L2741" s="2">
        <v>45992</v>
      </c>
      <c r="M2741" t="s">
        <v>257</v>
      </c>
      <c r="N2741">
        <v>0</v>
      </c>
      <c r="O2741" t="s">
        <v>111</v>
      </c>
      <c r="P2741" t="s">
        <v>134</v>
      </c>
      <c r="Q2741">
        <v>0</v>
      </c>
    </row>
    <row r="2742" spans="1:17" x14ac:dyDescent="0.3">
      <c r="A2742" t="s">
        <v>17</v>
      </c>
      <c r="B2742">
        <v>66</v>
      </c>
      <c r="C2742" t="s">
        <v>134</v>
      </c>
      <c r="D2742" s="2">
        <v>45992</v>
      </c>
      <c r="E2742" s="3">
        <f t="shared" si="42"/>
        <v>45992</v>
      </c>
      <c r="F2742" t="s">
        <v>2402</v>
      </c>
      <c r="G2742" t="s">
        <v>254</v>
      </c>
      <c r="H2742" s="4">
        <v>200</v>
      </c>
      <c r="I2742" t="s">
        <v>108</v>
      </c>
      <c r="J2742" t="s">
        <v>255</v>
      </c>
      <c r="K2742" t="s">
        <v>2404</v>
      </c>
      <c r="L2742" s="2">
        <v>45992</v>
      </c>
      <c r="M2742" t="s">
        <v>257</v>
      </c>
      <c r="N2742">
        <v>0</v>
      </c>
      <c r="O2742" t="s">
        <v>111</v>
      </c>
      <c r="P2742" t="s">
        <v>134</v>
      </c>
      <c r="Q2742">
        <v>0</v>
      </c>
    </row>
    <row r="2743" spans="1:17" x14ac:dyDescent="0.3">
      <c r="A2743" t="s">
        <v>17</v>
      </c>
      <c r="B2743">
        <v>66</v>
      </c>
      <c r="C2743" t="s">
        <v>134</v>
      </c>
      <c r="D2743" s="2">
        <v>45992</v>
      </c>
      <c r="E2743" s="3">
        <f t="shared" si="42"/>
        <v>45992</v>
      </c>
      <c r="F2743" t="s">
        <v>2402</v>
      </c>
      <c r="G2743" t="s">
        <v>254</v>
      </c>
      <c r="H2743" s="4">
        <v>300</v>
      </c>
      <c r="I2743" t="s">
        <v>108</v>
      </c>
      <c r="J2743" t="s">
        <v>255</v>
      </c>
      <c r="K2743" t="s">
        <v>2405</v>
      </c>
      <c r="L2743" s="2">
        <v>45992</v>
      </c>
      <c r="M2743" t="s">
        <v>257</v>
      </c>
      <c r="N2743">
        <v>0</v>
      </c>
      <c r="O2743" t="s">
        <v>111</v>
      </c>
      <c r="P2743" t="s">
        <v>134</v>
      </c>
      <c r="Q2743">
        <v>0</v>
      </c>
    </row>
    <row r="2744" spans="1:17" x14ac:dyDescent="0.3">
      <c r="A2744" t="s">
        <v>17</v>
      </c>
      <c r="B2744">
        <v>66</v>
      </c>
      <c r="C2744" t="s">
        <v>134</v>
      </c>
      <c r="D2744" s="2">
        <v>45992</v>
      </c>
      <c r="E2744" s="3">
        <f t="shared" si="42"/>
        <v>45992</v>
      </c>
      <c r="F2744" t="s">
        <v>2406</v>
      </c>
      <c r="G2744" t="s">
        <v>1824</v>
      </c>
      <c r="H2744" s="4">
        <v>529.79999999999995</v>
      </c>
      <c r="I2744" t="s">
        <v>108</v>
      </c>
      <c r="J2744" t="s">
        <v>223</v>
      </c>
      <c r="K2744" t="s">
        <v>2407</v>
      </c>
      <c r="L2744" s="2">
        <v>45992</v>
      </c>
      <c r="M2744" t="s">
        <v>223</v>
      </c>
      <c r="N2744">
        <v>0</v>
      </c>
      <c r="O2744" t="s">
        <v>111</v>
      </c>
      <c r="P2744" t="s">
        <v>134</v>
      </c>
      <c r="Q2744">
        <v>0</v>
      </c>
    </row>
    <row r="2745" spans="1:17" x14ac:dyDescent="0.3">
      <c r="A2745" t="s">
        <v>17</v>
      </c>
      <c r="B2745">
        <v>68</v>
      </c>
      <c r="C2745" t="s">
        <v>34</v>
      </c>
      <c r="D2745" s="2">
        <v>45992</v>
      </c>
      <c r="E2745" s="3">
        <f t="shared" si="42"/>
        <v>45992</v>
      </c>
      <c r="F2745" t="s">
        <v>2408</v>
      </c>
      <c r="G2745" t="s">
        <v>107</v>
      </c>
      <c r="H2745" s="4">
        <v>280.2</v>
      </c>
      <c r="I2745" t="s">
        <v>47</v>
      </c>
      <c r="J2745" t="s">
        <v>109</v>
      </c>
      <c r="K2745" t="s">
        <v>110</v>
      </c>
      <c r="L2745" s="2">
        <v>45992</v>
      </c>
      <c r="M2745" t="s">
        <v>109</v>
      </c>
      <c r="N2745">
        <v>0</v>
      </c>
      <c r="O2745" t="s">
        <v>26</v>
      </c>
      <c r="P2745" t="s">
        <v>112</v>
      </c>
      <c r="Q2745" t="s">
        <v>113</v>
      </c>
    </row>
    <row r="2746" spans="1:17" x14ac:dyDescent="0.3">
      <c r="A2746" t="s">
        <v>17</v>
      </c>
      <c r="B2746">
        <v>68</v>
      </c>
      <c r="C2746" t="s">
        <v>34</v>
      </c>
      <c r="D2746" s="2">
        <v>45992</v>
      </c>
      <c r="E2746" s="3">
        <f t="shared" si="42"/>
        <v>45992</v>
      </c>
      <c r="F2746" t="s">
        <v>2409</v>
      </c>
      <c r="G2746" t="s">
        <v>107</v>
      </c>
      <c r="H2746" s="4">
        <v>21</v>
      </c>
      <c r="I2746" t="s">
        <v>47</v>
      </c>
      <c r="J2746" t="s">
        <v>109</v>
      </c>
      <c r="K2746" t="s">
        <v>2410</v>
      </c>
      <c r="L2746" s="2">
        <v>45992</v>
      </c>
      <c r="M2746" t="s">
        <v>109</v>
      </c>
      <c r="N2746">
        <v>0</v>
      </c>
      <c r="O2746" t="s">
        <v>26</v>
      </c>
      <c r="P2746" t="s">
        <v>112</v>
      </c>
      <c r="Q2746" t="s">
        <v>113</v>
      </c>
    </row>
    <row r="2747" spans="1:17" x14ac:dyDescent="0.3">
      <c r="A2747" t="s">
        <v>17</v>
      </c>
      <c r="B2747">
        <v>67</v>
      </c>
      <c r="C2747" t="s">
        <v>28</v>
      </c>
      <c r="D2747" s="2">
        <v>45992</v>
      </c>
      <c r="E2747" s="3">
        <f t="shared" si="42"/>
        <v>45992</v>
      </c>
      <c r="F2747" t="s">
        <v>2411</v>
      </c>
      <c r="G2747" t="s">
        <v>259</v>
      </c>
      <c r="H2747" s="4">
        <v>10649.47</v>
      </c>
      <c r="I2747" t="s">
        <v>31</v>
      </c>
      <c r="J2747" t="s">
        <v>32</v>
      </c>
      <c r="K2747" t="s">
        <v>2412</v>
      </c>
      <c r="L2747" s="2">
        <v>45992</v>
      </c>
      <c r="M2747" t="s">
        <v>32</v>
      </c>
      <c r="N2747">
        <v>0</v>
      </c>
      <c r="O2747" t="s">
        <v>31</v>
      </c>
      <c r="P2747" t="s">
        <v>28</v>
      </c>
      <c r="Q2747">
        <v>0</v>
      </c>
    </row>
    <row r="2748" spans="1:17" x14ac:dyDescent="0.3">
      <c r="A2748" t="s">
        <v>17</v>
      </c>
      <c r="B2748">
        <v>67</v>
      </c>
      <c r="C2748" t="s">
        <v>28</v>
      </c>
      <c r="D2748" s="2">
        <v>45992</v>
      </c>
      <c r="E2748" s="3">
        <f t="shared" si="42"/>
        <v>45992</v>
      </c>
      <c r="F2748" t="s">
        <v>2413</v>
      </c>
      <c r="H2748" s="4">
        <v>-10000</v>
      </c>
      <c r="I2748" t="s">
        <v>31</v>
      </c>
      <c r="J2748" t="s">
        <v>32</v>
      </c>
      <c r="K2748" t="s">
        <v>2342</v>
      </c>
      <c r="L2748" s="2">
        <v>45992</v>
      </c>
      <c r="M2748" t="s">
        <v>32</v>
      </c>
      <c r="N2748">
        <v>0</v>
      </c>
      <c r="O2748" t="s">
        <v>31</v>
      </c>
      <c r="P2748" t="s">
        <v>28</v>
      </c>
      <c r="Q2748">
        <v>0</v>
      </c>
    </row>
    <row r="2749" spans="1:17" x14ac:dyDescent="0.3">
      <c r="A2749" t="s">
        <v>17</v>
      </c>
      <c r="B2749">
        <v>67</v>
      </c>
      <c r="C2749" t="s">
        <v>28</v>
      </c>
      <c r="D2749" s="2">
        <v>45992</v>
      </c>
      <c r="E2749" s="3">
        <f t="shared" si="42"/>
        <v>45992</v>
      </c>
      <c r="F2749" t="s">
        <v>2414</v>
      </c>
      <c r="G2749" t="s">
        <v>578</v>
      </c>
      <c r="H2749" s="4">
        <v>5</v>
      </c>
      <c r="I2749" t="s">
        <v>31</v>
      </c>
      <c r="J2749" t="s">
        <v>60</v>
      </c>
      <c r="K2749" t="s">
        <v>1709</v>
      </c>
      <c r="L2749" s="2">
        <v>45992</v>
      </c>
      <c r="M2749" t="s">
        <v>60</v>
      </c>
      <c r="N2749">
        <v>0</v>
      </c>
      <c r="O2749" t="s">
        <v>31</v>
      </c>
      <c r="P2749" t="s">
        <v>28</v>
      </c>
      <c r="Q2749">
        <v>0</v>
      </c>
    </row>
    <row r="2750" spans="1:17" x14ac:dyDescent="0.3">
      <c r="A2750" t="s">
        <v>17</v>
      </c>
      <c r="B2750">
        <v>67</v>
      </c>
      <c r="C2750" t="s">
        <v>28</v>
      </c>
      <c r="D2750" s="2">
        <v>45992</v>
      </c>
      <c r="E2750" s="3">
        <f t="shared" si="42"/>
        <v>45992</v>
      </c>
      <c r="F2750" t="s">
        <v>2414</v>
      </c>
      <c r="G2750" t="s">
        <v>578</v>
      </c>
      <c r="H2750" s="4">
        <v>1996.3</v>
      </c>
      <c r="I2750" t="s">
        <v>31</v>
      </c>
      <c r="J2750" t="s">
        <v>60</v>
      </c>
      <c r="K2750" t="s">
        <v>1710</v>
      </c>
      <c r="L2750" s="2">
        <v>45992</v>
      </c>
      <c r="M2750" t="s">
        <v>60</v>
      </c>
      <c r="N2750">
        <v>0</v>
      </c>
      <c r="O2750" t="s">
        <v>31</v>
      </c>
      <c r="P2750" t="s">
        <v>28</v>
      </c>
      <c r="Q2750">
        <v>0</v>
      </c>
    </row>
    <row r="2751" spans="1:17" x14ac:dyDescent="0.3">
      <c r="A2751" t="s">
        <v>17</v>
      </c>
      <c r="B2751">
        <v>67</v>
      </c>
      <c r="C2751" t="s">
        <v>28</v>
      </c>
      <c r="D2751" s="2">
        <v>45992</v>
      </c>
      <c r="E2751" s="3">
        <f t="shared" si="42"/>
        <v>45992</v>
      </c>
      <c r="F2751" t="s">
        <v>2415</v>
      </c>
      <c r="H2751" s="4">
        <v>15.52</v>
      </c>
      <c r="I2751" t="s">
        <v>31</v>
      </c>
      <c r="J2751" t="s">
        <v>60</v>
      </c>
      <c r="L2751" s="2">
        <v>45992</v>
      </c>
      <c r="M2751" t="s">
        <v>60</v>
      </c>
      <c r="N2751">
        <v>0</v>
      </c>
      <c r="O2751" t="s">
        <v>31</v>
      </c>
      <c r="P2751" t="s">
        <v>28</v>
      </c>
      <c r="Q2751">
        <v>0</v>
      </c>
    </row>
    <row r="2752" spans="1:17" x14ac:dyDescent="0.3">
      <c r="A2752" t="s">
        <v>17</v>
      </c>
      <c r="B2752">
        <v>67</v>
      </c>
      <c r="C2752" t="s">
        <v>28</v>
      </c>
      <c r="D2752" s="2">
        <v>45992</v>
      </c>
      <c r="E2752" s="3">
        <f t="shared" si="42"/>
        <v>45992</v>
      </c>
      <c r="F2752" t="s">
        <v>2415</v>
      </c>
      <c r="H2752" s="4">
        <v>19.850000000000001</v>
      </c>
      <c r="I2752" t="s">
        <v>31</v>
      </c>
      <c r="J2752" t="s">
        <v>60</v>
      </c>
      <c r="L2752" s="2">
        <v>45992</v>
      </c>
      <c r="M2752" t="s">
        <v>60</v>
      </c>
      <c r="N2752">
        <v>0</v>
      </c>
      <c r="O2752" t="s">
        <v>31</v>
      </c>
      <c r="P2752" t="s">
        <v>28</v>
      </c>
      <c r="Q2752">
        <v>0</v>
      </c>
    </row>
    <row r="2753" spans="1:17" x14ac:dyDescent="0.3">
      <c r="A2753" t="s">
        <v>17</v>
      </c>
      <c r="B2753">
        <v>67</v>
      </c>
      <c r="C2753" t="s">
        <v>28</v>
      </c>
      <c r="D2753" s="2">
        <v>45992</v>
      </c>
      <c r="E2753" s="3">
        <f t="shared" si="42"/>
        <v>45992</v>
      </c>
      <c r="F2753" t="s">
        <v>2415</v>
      </c>
      <c r="H2753" s="4">
        <v>0.6</v>
      </c>
      <c r="I2753" t="s">
        <v>31</v>
      </c>
      <c r="J2753" t="s">
        <v>60</v>
      </c>
      <c r="L2753" s="2">
        <v>45992</v>
      </c>
      <c r="M2753" t="s">
        <v>60</v>
      </c>
      <c r="N2753">
        <v>0</v>
      </c>
      <c r="O2753" t="s">
        <v>31</v>
      </c>
      <c r="P2753" t="s">
        <v>28</v>
      </c>
      <c r="Q2753">
        <v>0</v>
      </c>
    </row>
    <row r="2754" spans="1:17" x14ac:dyDescent="0.3">
      <c r="A2754" t="s">
        <v>17</v>
      </c>
      <c r="B2754">
        <v>67</v>
      </c>
      <c r="C2754" t="s">
        <v>28</v>
      </c>
      <c r="D2754" s="2">
        <v>45992</v>
      </c>
      <c r="E2754" s="3">
        <f t="shared" si="42"/>
        <v>45992</v>
      </c>
      <c r="F2754" t="s">
        <v>2415</v>
      </c>
      <c r="H2754" s="4">
        <v>13.58</v>
      </c>
      <c r="I2754" t="s">
        <v>31</v>
      </c>
      <c r="J2754" t="s">
        <v>60</v>
      </c>
      <c r="L2754" s="2">
        <v>45992</v>
      </c>
      <c r="M2754" t="s">
        <v>60</v>
      </c>
      <c r="N2754">
        <v>0</v>
      </c>
      <c r="O2754" t="s">
        <v>31</v>
      </c>
      <c r="P2754" t="s">
        <v>28</v>
      </c>
      <c r="Q2754">
        <v>0</v>
      </c>
    </row>
    <row r="2755" spans="1:17" x14ac:dyDescent="0.3">
      <c r="A2755" t="s">
        <v>17</v>
      </c>
      <c r="B2755">
        <v>67</v>
      </c>
      <c r="C2755" t="s">
        <v>28</v>
      </c>
      <c r="D2755" s="2">
        <v>45992</v>
      </c>
      <c r="E2755" s="3">
        <f t="shared" ref="E2755:E2818" si="43">IF($D2755="","",DATE(YEAR($D2755),MONTH($D2755),1))</f>
        <v>45992</v>
      </c>
      <c r="F2755" t="s">
        <v>2415</v>
      </c>
      <c r="H2755" s="4">
        <v>22.61</v>
      </c>
      <c r="I2755" t="s">
        <v>31</v>
      </c>
      <c r="J2755" t="s">
        <v>60</v>
      </c>
      <c r="L2755" s="2">
        <v>45992</v>
      </c>
      <c r="M2755" t="s">
        <v>60</v>
      </c>
      <c r="N2755">
        <v>0</v>
      </c>
      <c r="O2755" t="s">
        <v>31</v>
      </c>
      <c r="P2755" t="s">
        <v>28</v>
      </c>
      <c r="Q2755">
        <v>0</v>
      </c>
    </row>
    <row r="2756" spans="1:17" x14ac:dyDescent="0.3">
      <c r="A2756" t="s">
        <v>17</v>
      </c>
      <c r="B2756">
        <v>67</v>
      </c>
      <c r="C2756" t="s">
        <v>28</v>
      </c>
      <c r="D2756" s="2">
        <v>45992</v>
      </c>
      <c r="E2756" s="3">
        <f t="shared" si="43"/>
        <v>45992</v>
      </c>
      <c r="F2756" t="s">
        <v>2415</v>
      </c>
      <c r="H2756" s="4">
        <v>8.26</v>
      </c>
      <c r="I2756" t="s">
        <v>31</v>
      </c>
      <c r="J2756" t="s">
        <v>60</v>
      </c>
      <c r="L2756" s="2">
        <v>45992</v>
      </c>
      <c r="M2756" t="s">
        <v>60</v>
      </c>
      <c r="N2756">
        <v>0</v>
      </c>
      <c r="O2756" t="s">
        <v>31</v>
      </c>
      <c r="P2756" t="s">
        <v>28</v>
      </c>
      <c r="Q2756">
        <v>0</v>
      </c>
    </row>
    <row r="2757" spans="1:17" x14ac:dyDescent="0.3">
      <c r="A2757" t="s">
        <v>17</v>
      </c>
      <c r="B2757">
        <v>67</v>
      </c>
      <c r="C2757" t="s">
        <v>28</v>
      </c>
      <c r="D2757" s="2">
        <v>45992</v>
      </c>
      <c r="E2757" s="3">
        <f t="shared" si="43"/>
        <v>45992</v>
      </c>
      <c r="F2757" t="s">
        <v>2415</v>
      </c>
      <c r="H2757" s="4">
        <v>8.06</v>
      </c>
      <c r="I2757" t="s">
        <v>31</v>
      </c>
      <c r="J2757" t="s">
        <v>60</v>
      </c>
      <c r="L2757" s="2">
        <v>45992</v>
      </c>
      <c r="M2757" t="s">
        <v>60</v>
      </c>
      <c r="N2757">
        <v>0</v>
      </c>
      <c r="O2757" t="s">
        <v>31</v>
      </c>
      <c r="P2757" t="s">
        <v>28</v>
      </c>
      <c r="Q2757">
        <v>0</v>
      </c>
    </row>
    <row r="2758" spans="1:17" x14ac:dyDescent="0.3">
      <c r="A2758" t="s">
        <v>17</v>
      </c>
      <c r="B2758">
        <v>67</v>
      </c>
      <c r="C2758" t="s">
        <v>28</v>
      </c>
      <c r="D2758" s="2">
        <v>45992</v>
      </c>
      <c r="E2758" s="3">
        <f t="shared" si="43"/>
        <v>45992</v>
      </c>
      <c r="F2758" t="s">
        <v>2415</v>
      </c>
      <c r="H2758" s="4">
        <v>7.09</v>
      </c>
      <c r="I2758" t="s">
        <v>31</v>
      </c>
      <c r="J2758" t="s">
        <v>60</v>
      </c>
      <c r="L2758" s="2">
        <v>45992</v>
      </c>
      <c r="M2758" t="s">
        <v>60</v>
      </c>
      <c r="N2758">
        <v>0</v>
      </c>
      <c r="O2758" t="s">
        <v>31</v>
      </c>
      <c r="P2758" t="s">
        <v>28</v>
      </c>
      <c r="Q2758">
        <v>0</v>
      </c>
    </row>
    <row r="2759" spans="1:17" x14ac:dyDescent="0.3">
      <c r="A2759" t="s">
        <v>17</v>
      </c>
      <c r="B2759">
        <v>67</v>
      </c>
      <c r="C2759" t="s">
        <v>28</v>
      </c>
      <c r="D2759" s="2">
        <v>45992</v>
      </c>
      <c r="E2759" s="3">
        <f t="shared" si="43"/>
        <v>45992</v>
      </c>
      <c r="F2759" t="s">
        <v>2416</v>
      </c>
      <c r="G2759" t="s">
        <v>1726</v>
      </c>
      <c r="H2759" s="4">
        <v>10000</v>
      </c>
      <c r="I2759" t="s">
        <v>21</v>
      </c>
      <c r="J2759" t="s">
        <v>74</v>
      </c>
      <c r="K2759" t="s">
        <v>2417</v>
      </c>
      <c r="L2759" s="2">
        <v>45992</v>
      </c>
      <c r="M2759" t="s">
        <v>76</v>
      </c>
      <c r="N2759" t="s">
        <v>25</v>
      </c>
      <c r="O2759" t="s">
        <v>81</v>
      </c>
      <c r="P2759" t="s">
        <v>28</v>
      </c>
      <c r="Q2759">
        <v>0</v>
      </c>
    </row>
    <row r="2760" spans="1:17" x14ac:dyDescent="0.3">
      <c r="A2760" t="s">
        <v>17</v>
      </c>
      <c r="B2760">
        <v>68</v>
      </c>
      <c r="C2760" t="s">
        <v>34</v>
      </c>
      <c r="D2760" s="2">
        <v>45992</v>
      </c>
      <c r="E2760" s="3">
        <f t="shared" si="43"/>
        <v>45992</v>
      </c>
      <c r="F2760" t="s">
        <v>2418</v>
      </c>
      <c r="G2760" t="s">
        <v>36</v>
      </c>
      <c r="H2760" s="4">
        <v>35</v>
      </c>
      <c r="I2760" t="s">
        <v>31</v>
      </c>
      <c r="J2760" t="s">
        <v>37</v>
      </c>
      <c r="K2760" t="s">
        <v>1901</v>
      </c>
      <c r="L2760" s="2">
        <v>45992</v>
      </c>
      <c r="M2760" t="s">
        <v>37</v>
      </c>
      <c r="N2760">
        <v>0</v>
      </c>
      <c r="O2760" t="s">
        <v>31</v>
      </c>
      <c r="P2760" t="s">
        <v>34</v>
      </c>
      <c r="Q2760">
        <v>0</v>
      </c>
    </row>
    <row r="2761" spans="1:17" x14ac:dyDescent="0.3">
      <c r="A2761" t="s">
        <v>17</v>
      </c>
      <c r="B2761">
        <v>68</v>
      </c>
      <c r="C2761" t="s">
        <v>34</v>
      </c>
      <c r="D2761" s="2">
        <v>45992</v>
      </c>
      <c r="E2761" s="3">
        <f t="shared" si="43"/>
        <v>45992</v>
      </c>
      <c r="F2761" t="s">
        <v>2418</v>
      </c>
      <c r="G2761" t="s">
        <v>36</v>
      </c>
      <c r="H2761" s="4">
        <v>5.33</v>
      </c>
      <c r="I2761" t="s">
        <v>31</v>
      </c>
      <c r="J2761" t="s">
        <v>37</v>
      </c>
      <c r="K2761" t="s">
        <v>1276</v>
      </c>
      <c r="L2761" s="2">
        <v>45992</v>
      </c>
      <c r="M2761" t="s">
        <v>37</v>
      </c>
      <c r="N2761">
        <v>0</v>
      </c>
      <c r="O2761" t="s">
        <v>31</v>
      </c>
      <c r="P2761" t="s">
        <v>34</v>
      </c>
      <c r="Q2761">
        <v>0</v>
      </c>
    </row>
    <row r="2762" spans="1:17" x14ac:dyDescent="0.3">
      <c r="A2762" t="s">
        <v>17</v>
      </c>
      <c r="B2762">
        <v>68</v>
      </c>
      <c r="C2762" t="s">
        <v>34</v>
      </c>
      <c r="D2762" s="2">
        <v>45992</v>
      </c>
      <c r="E2762" s="3">
        <f t="shared" si="43"/>
        <v>45992</v>
      </c>
      <c r="F2762" t="s">
        <v>2418</v>
      </c>
      <c r="G2762" t="s">
        <v>36</v>
      </c>
      <c r="H2762" s="4">
        <v>25</v>
      </c>
      <c r="I2762" t="s">
        <v>31</v>
      </c>
      <c r="J2762" t="s">
        <v>37</v>
      </c>
      <c r="K2762" t="s">
        <v>1902</v>
      </c>
      <c r="L2762" s="2">
        <v>45992</v>
      </c>
      <c r="M2762" t="s">
        <v>37</v>
      </c>
      <c r="N2762">
        <v>0</v>
      </c>
      <c r="O2762" t="s">
        <v>31</v>
      </c>
      <c r="P2762" t="s">
        <v>34</v>
      </c>
      <c r="Q2762">
        <v>0</v>
      </c>
    </row>
    <row r="2763" spans="1:17" x14ac:dyDescent="0.3">
      <c r="A2763" t="s">
        <v>17</v>
      </c>
      <c r="B2763">
        <v>68</v>
      </c>
      <c r="C2763" t="s">
        <v>34</v>
      </c>
      <c r="D2763" s="2">
        <v>45992</v>
      </c>
      <c r="E2763" s="3">
        <f t="shared" si="43"/>
        <v>45992</v>
      </c>
      <c r="F2763" t="s">
        <v>2400</v>
      </c>
      <c r="G2763" t="s">
        <v>40</v>
      </c>
      <c r="H2763" s="4">
        <v>382.74</v>
      </c>
      <c r="I2763" t="s">
        <v>31</v>
      </c>
      <c r="J2763" t="s">
        <v>37</v>
      </c>
      <c r="K2763" t="s">
        <v>2419</v>
      </c>
      <c r="L2763" s="2">
        <v>45992</v>
      </c>
      <c r="M2763" t="s">
        <v>37</v>
      </c>
      <c r="N2763">
        <v>0</v>
      </c>
      <c r="O2763" t="s">
        <v>31</v>
      </c>
      <c r="P2763" t="s">
        <v>34</v>
      </c>
      <c r="Q2763">
        <v>0</v>
      </c>
    </row>
    <row r="2764" spans="1:17" x14ac:dyDescent="0.3">
      <c r="A2764" t="s">
        <v>17</v>
      </c>
      <c r="B2764">
        <v>68</v>
      </c>
      <c r="C2764" t="s">
        <v>34</v>
      </c>
      <c r="D2764" s="2">
        <v>45992</v>
      </c>
      <c r="E2764" s="3">
        <f t="shared" si="43"/>
        <v>45992</v>
      </c>
      <c r="F2764" t="s">
        <v>2420</v>
      </c>
      <c r="H2764" s="4">
        <v>-382.74</v>
      </c>
      <c r="I2764" t="s">
        <v>31</v>
      </c>
      <c r="J2764" t="s">
        <v>37</v>
      </c>
      <c r="K2764" t="s">
        <v>2378</v>
      </c>
      <c r="L2764" s="2">
        <v>45992</v>
      </c>
      <c r="M2764" t="s">
        <v>37</v>
      </c>
      <c r="N2764">
        <v>0</v>
      </c>
      <c r="O2764" t="s">
        <v>31</v>
      </c>
      <c r="P2764" t="s">
        <v>34</v>
      </c>
      <c r="Q2764">
        <v>0</v>
      </c>
    </row>
    <row r="2765" spans="1:17" x14ac:dyDescent="0.3">
      <c r="A2765" t="s">
        <v>17</v>
      </c>
      <c r="B2765">
        <v>67</v>
      </c>
      <c r="C2765" t="s">
        <v>28</v>
      </c>
      <c r="D2765" s="2">
        <v>45992</v>
      </c>
      <c r="E2765" s="3">
        <f t="shared" si="43"/>
        <v>45992</v>
      </c>
      <c r="F2765" t="s">
        <v>2421</v>
      </c>
      <c r="H2765" s="4">
        <v>-19015.259999999998</v>
      </c>
      <c r="I2765" t="s">
        <v>31</v>
      </c>
      <c r="J2765" t="s">
        <v>64</v>
      </c>
      <c r="K2765" t="s">
        <v>2422</v>
      </c>
      <c r="L2765" s="2">
        <v>45992</v>
      </c>
      <c r="M2765" t="s">
        <v>64</v>
      </c>
      <c r="N2765">
        <v>0</v>
      </c>
      <c r="O2765" t="s">
        <v>31</v>
      </c>
      <c r="P2765" t="s">
        <v>28</v>
      </c>
      <c r="Q2765">
        <v>0</v>
      </c>
    </row>
    <row r="2766" spans="1:17" x14ac:dyDescent="0.3">
      <c r="A2766" t="s">
        <v>17</v>
      </c>
      <c r="B2766">
        <v>68</v>
      </c>
      <c r="C2766" t="s">
        <v>34</v>
      </c>
      <c r="D2766" s="2">
        <v>45992</v>
      </c>
      <c r="E2766" s="3">
        <f t="shared" si="43"/>
        <v>45992</v>
      </c>
      <c r="F2766" t="s">
        <v>2423</v>
      </c>
      <c r="H2766" s="4">
        <v>249.15</v>
      </c>
      <c r="I2766" t="s">
        <v>31</v>
      </c>
      <c r="J2766" t="s">
        <v>613</v>
      </c>
      <c r="K2766" t="s">
        <v>2424</v>
      </c>
      <c r="L2766" s="2">
        <v>45992</v>
      </c>
      <c r="M2766" t="s">
        <v>613</v>
      </c>
      <c r="N2766">
        <v>0</v>
      </c>
      <c r="O2766" t="s">
        <v>31</v>
      </c>
      <c r="P2766" t="s">
        <v>34</v>
      </c>
      <c r="Q2766">
        <v>0</v>
      </c>
    </row>
    <row r="2767" spans="1:17" x14ac:dyDescent="0.3">
      <c r="A2767" t="s">
        <v>17</v>
      </c>
      <c r="B2767">
        <v>63</v>
      </c>
      <c r="C2767" t="s">
        <v>18</v>
      </c>
      <c r="D2767" s="2">
        <v>45994</v>
      </c>
      <c r="E2767" s="3">
        <f t="shared" si="43"/>
        <v>45992</v>
      </c>
      <c r="F2767" t="s">
        <v>2425</v>
      </c>
      <c r="G2767" t="s">
        <v>2426</v>
      </c>
      <c r="H2767" s="4">
        <v>1000</v>
      </c>
      <c r="I2767" t="s">
        <v>47</v>
      </c>
      <c r="J2767" t="s">
        <v>1785</v>
      </c>
      <c r="K2767" t="s">
        <v>2427</v>
      </c>
      <c r="L2767" s="2">
        <v>45992</v>
      </c>
      <c r="M2767" t="s">
        <v>1787</v>
      </c>
      <c r="N2767">
        <v>0</v>
      </c>
      <c r="O2767" t="s">
        <v>26</v>
      </c>
      <c r="P2767" t="s">
        <v>18</v>
      </c>
      <c r="Q2767" t="s">
        <v>1788</v>
      </c>
    </row>
    <row r="2768" spans="1:17" x14ac:dyDescent="0.3">
      <c r="A2768" t="s">
        <v>17</v>
      </c>
      <c r="B2768">
        <v>68</v>
      </c>
      <c r="C2768" t="s">
        <v>34</v>
      </c>
      <c r="D2768" s="2">
        <v>45994</v>
      </c>
      <c r="E2768" s="3">
        <f t="shared" si="43"/>
        <v>45992</v>
      </c>
      <c r="F2768" t="s">
        <v>2428</v>
      </c>
      <c r="G2768" t="s">
        <v>122</v>
      </c>
      <c r="H2768" s="4">
        <v>3.75</v>
      </c>
      <c r="I2768" t="s">
        <v>108</v>
      </c>
      <c r="J2768" t="s">
        <v>109</v>
      </c>
      <c r="K2768" t="s">
        <v>1450</v>
      </c>
      <c r="L2768" s="2">
        <v>45992</v>
      </c>
      <c r="M2768" t="s">
        <v>109</v>
      </c>
      <c r="N2768">
        <v>0</v>
      </c>
      <c r="O2768" t="s">
        <v>111</v>
      </c>
      <c r="P2768" t="s">
        <v>112</v>
      </c>
      <c r="Q2768" t="s">
        <v>113</v>
      </c>
    </row>
    <row r="2769" spans="1:17" x14ac:dyDescent="0.3">
      <c r="A2769" t="s">
        <v>17</v>
      </c>
      <c r="B2769">
        <v>68</v>
      </c>
      <c r="C2769" t="s">
        <v>34</v>
      </c>
      <c r="D2769" s="2">
        <v>45994</v>
      </c>
      <c r="E2769" s="3">
        <f t="shared" si="43"/>
        <v>45992</v>
      </c>
      <c r="F2769" t="s">
        <v>2428</v>
      </c>
      <c r="G2769" t="s">
        <v>122</v>
      </c>
      <c r="H2769" s="4">
        <v>17</v>
      </c>
      <c r="I2769" t="s">
        <v>108</v>
      </c>
      <c r="J2769" t="s">
        <v>109</v>
      </c>
      <c r="K2769" t="s">
        <v>2092</v>
      </c>
      <c r="L2769" s="2">
        <v>45992</v>
      </c>
      <c r="M2769" t="s">
        <v>109</v>
      </c>
      <c r="N2769">
        <v>0</v>
      </c>
      <c r="O2769" t="s">
        <v>111</v>
      </c>
      <c r="P2769" t="s">
        <v>112</v>
      </c>
      <c r="Q2769" t="s">
        <v>113</v>
      </c>
    </row>
    <row r="2770" spans="1:17" x14ac:dyDescent="0.3">
      <c r="A2770" t="s">
        <v>17</v>
      </c>
      <c r="B2770">
        <v>68</v>
      </c>
      <c r="C2770" t="s">
        <v>34</v>
      </c>
      <c r="D2770" s="2">
        <v>45994</v>
      </c>
      <c r="E2770" s="3">
        <f t="shared" si="43"/>
        <v>45992</v>
      </c>
      <c r="F2770" t="s">
        <v>2428</v>
      </c>
      <c r="G2770" t="s">
        <v>122</v>
      </c>
      <c r="H2770" s="4">
        <v>1.34</v>
      </c>
      <c r="I2770" t="s">
        <v>108</v>
      </c>
      <c r="J2770" t="s">
        <v>109</v>
      </c>
      <c r="K2770" t="s">
        <v>1665</v>
      </c>
      <c r="L2770" s="2">
        <v>45992</v>
      </c>
      <c r="M2770" t="s">
        <v>109</v>
      </c>
      <c r="N2770">
        <v>0</v>
      </c>
      <c r="O2770" t="s">
        <v>111</v>
      </c>
      <c r="P2770" t="s">
        <v>112</v>
      </c>
      <c r="Q2770" t="s">
        <v>113</v>
      </c>
    </row>
    <row r="2771" spans="1:17" x14ac:dyDescent="0.3">
      <c r="A2771" t="s">
        <v>17</v>
      </c>
      <c r="B2771">
        <v>68</v>
      </c>
      <c r="C2771" t="s">
        <v>34</v>
      </c>
      <c r="D2771" s="2">
        <v>45994</v>
      </c>
      <c r="E2771" s="3">
        <f t="shared" si="43"/>
        <v>45992</v>
      </c>
      <c r="F2771" t="s">
        <v>2429</v>
      </c>
      <c r="G2771" t="s">
        <v>122</v>
      </c>
      <c r="H2771" s="4">
        <v>14.28</v>
      </c>
      <c r="I2771" t="s">
        <v>108</v>
      </c>
      <c r="J2771" t="s">
        <v>109</v>
      </c>
      <c r="L2771" s="2">
        <v>45992</v>
      </c>
      <c r="M2771" t="s">
        <v>109</v>
      </c>
      <c r="N2771">
        <v>0</v>
      </c>
      <c r="O2771" t="s">
        <v>111</v>
      </c>
      <c r="P2771" t="s">
        <v>112</v>
      </c>
      <c r="Q2771" t="s">
        <v>113</v>
      </c>
    </row>
    <row r="2772" spans="1:17" x14ac:dyDescent="0.3">
      <c r="A2772" t="s">
        <v>17</v>
      </c>
      <c r="B2772">
        <v>68</v>
      </c>
      <c r="C2772" t="s">
        <v>34</v>
      </c>
      <c r="D2772" s="2">
        <v>45994</v>
      </c>
      <c r="E2772" s="3">
        <f t="shared" si="43"/>
        <v>45992</v>
      </c>
      <c r="F2772" t="s">
        <v>2429</v>
      </c>
      <c r="G2772" t="s">
        <v>122</v>
      </c>
      <c r="H2772" s="4">
        <v>17</v>
      </c>
      <c r="I2772" t="s">
        <v>108</v>
      </c>
      <c r="J2772" t="s">
        <v>109</v>
      </c>
      <c r="L2772" s="2">
        <v>45992</v>
      </c>
      <c r="M2772" t="s">
        <v>109</v>
      </c>
      <c r="N2772">
        <v>0</v>
      </c>
      <c r="O2772" t="s">
        <v>111</v>
      </c>
      <c r="P2772" t="s">
        <v>112</v>
      </c>
      <c r="Q2772" t="s">
        <v>113</v>
      </c>
    </row>
    <row r="2773" spans="1:17" x14ac:dyDescent="0.3">
      <c r="A2773" t="s">
        <v>17</v>
      </c>
      <c r="B2773">
        <v>68</v>
      </c>
      <c r="C2773" t="s">
        <v>34</v>
      </c>
      <c r="D2773" s="2">
        <v>45994</v>
      </c>
      <c r="E2773" s="3">
        <f t="shared" si="43"/>
        <v>45992</v>
      </c>
      <c r="F2773" t="s">
        <v>2429</v>
      </c>
      <c r="G2773" t="s">
        <v>122</v>
      </c>
      <c r="H2773" s="4">
        <v>1.34</v>
      </c>
      <c r="I2773" t="s">
        <v>108</v>
      </c>
      <c r="J2773" t="s">
        <v>109</v>
      </c>
      <c r="L2773" s="2">
        <v>45992</v>
      </c>
      <c r="M2773" t="s">
        <v>109</v>
      </c>
      <c r="N2773">
        <v>0</v>
      </c>
      <c r="O2773" t="s">
        <v>111</v>
      </c>
      <c r="P2773" t="s">
        <v>112</v>
      </c>
      <c r="Q2773" t="s">
        <v>113</v>
      </c>
    </row>
    <row r="2774" spans="1:17" x14ac:dyDescent="0.3">
      <c r="A2774" t="s">
        <v>17</v>
      </c>
      <c r="B2774">
        <v>68</v>
      </c>
      <c r="C2774" t="s">
        <v>34</v>
      </c>
      <c r="D2774" s="2">
        <v>45994</v>
      </c>
      <c r="E2774" s="3">
        <f t="shared" si="43"/>
        <v>45992</v>
      </c>
      <c r="F2774" t="s">
        <v>2430</v>
      </c>
      <c r="G2774" t="s">
        <v>122</v>
      </c>
      <c r="H2774" s="4">
        <v>19.09</v>
      </c>
      <c r="I2774" t="s">
        <v>108</v>
      </c>
      <c r="J2774" t="s">
        <v>109</v>
      </c>
      <c r="L2774" s="2">
        <v>45992</v>
      </c>
      <c r="M2774" t="s">
        <v>109</v>
      </c>
      <c r="N2774">
        <v>0</v>
      </c>
      <c r="O2774" t="s">
        <v>111</v>
      </c>
      <c r="P2774" t="s">
        <v>112</v>
      </c>
      <c r="Q2774" t="s">
        <v>113</v>
      </c>
    </row>
    <row r="2775" spans="1:17" x14ac:dyDescent="0.3">
      <c r="A2775" t="s">
        <v>17</v>
      </c>
      <c r="B2775">
        <v>68</v>
      </c>
      <c r="C2775" t="s">
        <v>34</v>
      </c>
      <c r="D2775" s="2">
        <v>45994</v>
      </c>
      <c r="E2775" s="3">
        <f t="shared" si="43"/>
        <v>45992</v>
      </c>
      <c r="F2775" t="s">
        <v>2431</v>
      </c>
      <c r="G2775" t="s">
        <v>122</v>
      </c>
      <c r="H2775" s="4">
        <v>2.6</v>
      </c>
      <c r="I2775" t="s">
        <v>108</v>
      </c>
      <c r="J2775" t="s">
        <v>109</v>
      </c>
      <c r="L2775" s="2">
        <v>45992</v>
      </c>
      <c r="M2775" t="s">
        <v>109</v>
      </c>
      <c r="N2775">
        <v>0</v>
      </c>
      <c r="O2775" t="s">
        <v>111</v>
      </c>
      <c r="P2775" t="s">
        <v>112</v>
      </c>
      <c r="Q2775" t="s">
        <v>113</v>
      </c>
    </row>
    <row r="2776" spans="1:17" x14ac:dyDescent="0.3">
      <c r="A2776" t="s">
        <v>17</v>
      </c>
      <c r="B2776">
        <v>68</v>
      </c>
      <c r="C2776" t="s">
        <v>34</v>
      </c>
      <c r="D2776" s="2">
        <v>45994</v>
      </c>
      <c r="E2776" s="3">
        <f t="shared" si="43"/>
        <v>45992</v>
      </c>
      <c r="F2776" t="s">
        <v>2431</v>
      </c>
      <c r="G2776" t="s">
        <v>122</v>
      </c>
      <c r="H2776" s="4">
        <v>17</v>
      </c>
      <c r="I2776" t="s">
        <v>108</v>
      </c>
      <c r="J2776" t="s">
        <v>109</v>
      </c>
      <c r="L2776" s="2">
        <v>45992</v>
      </c>
      <c r="M2776" t="s">
        <v>109</v>
      </c>
      <c r="N2776">
        <v>0</v>
      </c>
      <c r="O2776" t="s">
        <v>111</v>
      </c>
      <c r="P2776" t="s">
        <v>112</v>
      </c>
      <c r="Q2776" t="s">
        <v>113</v>
      </c>
    </row>
    <row r="2777" spans="1:17" x14ac:dyDescent="0.3">
      <c r="A2777" t="s">
        <v>17</v>
      </c>
      <c r="B2777">
        <v>68</v>
      </c>
      <c r="C2777" t="s">
        <v>34</v>
      </c>
      <c r="D2777" s="2">
        <v>45994</v>
      </c>
      <c r="E2777" s="3">
        <f t="shared" si="43"/>
        <v>45992</v>
      </c>
      <c r="F2777" t="s">
        <v>2431</v>
      </c>
      <c r="G2777" t="s">
        <v>122</v>
      </c>
      <c r="H2777" s="4">
        <v>1.34</v>
      </c>
      <c r="I2777" t="s">
        <v>108</v>
      </c>
      <c r="J2777" t="s">
        <v>109</v>
      </c>
      <c r="L2777" s="2">
        <v>45992</v>
      </c>
      <c r="M2777" t="s">
        <v>109</v>
      </c>
      <c r="N2777">
        <v>0</v>
      </c>
      <c r="O2777" t="s">
        <v>111</v>
      </c>
      <c r="P2777" t="s">
        <v>112</v>
      </c>
      <c r="Q2777" t="s">
        <v>113</v>
      </c>
    </row>
    <row r="2778" spans="1:17" x14ac:dyDescent="0.3">
      <c r="A2778" t="s">
        <v>17</v>
      </c>
      <c r="B2778">
        <v>67</v>
      </c>
      <c r="C2778" t="s">
        <v>28</v>
      </c>
      <c r="D2778" s="2">
        <v>45994</v>
      </c>
      <c r="E2778" s="3">
        <f t="shared" si="43"/>
        <v>45992</v>
      </c>
      <c r="F2778">
        <v>1002551231</v>
      </c>
      <c r="G2778" t="s">
        <v>774</v>
      </c>
      <c r="H2778" s="4">
        <v>202.71</v>
      </c>
      <c r="I2778" t="s">
        <v>31</v>
      </c>
      <c r="J2778" t="s">
        <v>32</v>
      </c>
      <c r="K2778" t="s">
        <v>2432</v>
      </c>
      <c r="L2778" s="2">
        <v>45992</v>
      </c>
      <c r="M2778" t="s">
        <v>32</v>
      </c>
      <c r="N2778">
        <v>0</v>
      </c>
      <c r="O2778" t="s">
        <v>31</v>
      </c>
      <c r="P2778" t="s">
        <v>28</v>
      </c>
      <c r="Q2778">
        <v>0</v>
      </c>
    </row>
    <row r="2779" spans="1:17" x14ac:dyDescent="0.3">
      <c r="A2779" t="s">
        <v>17</v>
      </c>
      <c r="B2779">
        <v>67</v>
      </c>
      <c r="C2779" t="s">
        <v>28</v>
      </c>
      <c r="D2779" s="2">
        <v>45994</v>
      </c>
      <c r="E2779" s="3">
        <f t="shared" si="43"/>
        <v>45992</v>
      </c>
      <c r="F2779">
        <v>101300361538</v>
      </c>
      <c r="G2779" t="s">
        <v>369</v>
      </c>
      <c r="H2779" s="4">
        <v>543.66999999999996</v>
      </c>
      <c r="I2779" t="s">
        <v>31</v>
      </c>
      <c r="J2779" t="s">
        <v>74</v>
      </c>
      <c r="K2779" t="s">
        <v>2355</v>
      </c>
      <c r="L2779" s="2">
        <v>45992</v>
      </c>
      <c r="M2779" t="s">
        <v>76</v>
      </c>
      <c r="N2779">
        <v>0</v>
      </c>
      <c r="O2779" t="s">
        <v>31</v>
      </c>
      <c r="P2779" t="s">
        <v>28</v>
      </c>
      <c r="Q2779">
        <v>0</v>
      </c>
    </row>
    <row r="2780" spans="1:17" x14ac:dyDescent="0.3">
      <c r="A2780" t="s">
        <v>17</v>
      </c>
      <c r="B2780">
        <v>68</v>
      </c>
      <c r="C2780" t="s">
        <v>34</v>
      </c>
      <c r="D2780" s="2">
        <v>45994</v>
      </c>
      <c r="E2780" s="3">
        <f t="shared" si="43"/>
        <v>45992</v>
      </c>
      <c r="F2780" t="s">
        <v>2433</v>
      </c>
      <c r="H2780" s="4">
        <v>-14.16</v>
      </c>
      <c r="I2780" t="s">
        <v>31</v>
      </c>
      <c r="J2780" t="s">
        <v>613</v>
      </c>
      <c r="K2780" t="s">
        <v>802</v>
      </c>
      <c r="L2780" s="2">
        <v>45992</v>
      </c>
      <c r="M2780" t="s">
        <v>613</v>
      </c>
      <c r="N2780">
        <v>0</v>
      </c>
      <c r="O2780" t="s">
        <v>31</v>
      </c>
      <c r="P2780" t="s">
        <v>34</v>
      </c>
      <c r="Q2780">
        <v>0</v>
      </c>
    </row>
    <row r="2781" spans="1:17" x14ac:dyDescent="0.3">
      <c r="A2781" t="s">
        <v>17</v>
      </c>
      <c r="B2781">
        <v>64</v>
      </c>
      <c r="C2781" t="s">
        <v>83</v>
      </c>
      <c r="D2781" s="2">
        <v>45995</v>
      </c>
      <c r="E2781" s="3">
        <f t="shared" si="43"/>
        <v>45992</v>
      </c>
      <c r="F2781" t="s">
        <v>2434</v>
      </c>
      <c r="G2781" t="s">
        <v>101</v>
      </c>
      <c r="H2781" s="4">
        <v>3613.76</v>
      </c>
      <c r="I2781" t="s">
        <v>31</v>
      </c>
      <c r="J2781" t="s">
        <v>91</v>
      </c>
      <c r="K2781" t="s">
        <v>2435</v>
      </c>
      <c r="L2781" s="2">
        <v>45992</v>
      </c>
      <c r="M2781" t="s">
        <v>93</v>
      </c>
      <c r="N2781">
        <v>0</v>
      </c>
      <c r="O2781" t="s">
        <v>31</v>
      </c>
      <c r="P2781" t="s">
        <v>83</v>
      </c>
      <c r="Q2781">
        <v>0</v>
      </c>
    </row>
    <row r="2782" spans="1:17" x14ac:dyDescent="0.3">
      <c r="A2782" t="s">
        <v>17</v>
      </c>
      <c r="B2782">
        <v>68</v>
      </c>
      <c r="C2782" t="s">
        <v>34</v>
      </c>
      <c r="D2782" s="2">
        <v>45995</v>
      </c>
      <c r="E2782" s="3">
        <f t="shared" si="43"/>
        <v>45992</v>
      </c>
      <c r="F2782">
        <v>2012116451</v>
      </c>
      <c r="G2782" t="s">
        <v>1261</v>
      </c>
      <c r="H2782" s="4">
        <v>1073.7</v>
      </c>
      <c r="I2782" t="s">
        <v>108</v>
      </c>
      <c r="J2782" t="s">
        <v>109</v>
      </c>
      <c r="K2782" t="s">
        <v>2109</v>
      </c>
      <c r="L2782" s="2">
        <v>45992</v>
      </c>
      <c r="M2782" t="s">
        <v>109</v>
      </c>
      <c r="N2782">
        <v>0</v>
      </c>
      <c r="O2782" t="s">
        <v>111</v>
      </c>
      <c r="P2782" t="s">
        <v>112</v>
      </c>
      <c r="Q2782" t="s">
        <v>113</v>
      </c>
    </row>
    <row r="2783" spans="1:17" x14ac:dyDescent="0.3">
      <c r="A2783" t="s">
        <v>17</v>
      </c>
      <c r="B2783">
        <v>67</v>
      </c>
      <c r="C2783" t="s">
        <v>28</v>
      </c>
      <c r="D2783" s="2">
        <v>45995</v>
      </c>
      <c r="E2783" s="3">
        <f t="shared" si="43"/>
        <v>45992</v>
      </c>
      <c r="F2783" t="s">
        <v>2434</v>
      </c>
      <c r="G2783" t="s">
        <v>101</v>
      </c>
      <c r="H2783" s="4">
        <v>99.78</v>
      </c>
      <c r="I2783" t="s">
        <v>31</v>
      </c>
      <c r="J2783" t="s">
        <v>74</v>
      </c>
      <c r="K2783" t="s">
        <v>1889</v>
      </c>
      <c r="L2783" s="2">
        <v>45992</v>
      </c>
      <c r="M2783" t="s">
        <v>76</v>
      </c>
      <c r="N2783">
        <v>0</v>
      </c>
      <c r="O2783" t="s">
        <v>31</v>
      </c>
      <c r="P2783" t="s">
        <v>28</v>
      </c>
      <c r="Q2783">
        <v>0</v>
      </c>
    </row>
    <row r="2784" spans="1:17" x14ac:dyDescent="0.3">
      <c r="A2784" t="s">
        <v>17</v>
      </c>
      <c r="B2784">
        <v>67</v>
      </c>
      <c r="C2784" t="s">
        <v>28</v>
      </c>
      <c r="D2784" s="2">
        <v>45995</v>
      </c>
      <c r="E2784" s="3">
        <f t="shared" si="43"/>
        <v>45992</v>
      </c>
      <c r="F2784" t="s">
        <v>2434</v>
      </c>
      <c r="G2784" t="s">
        <v>101</v>
      </c>
      <c r="H2784" s="4">
        <v>1494</v>
      </c>
      <c r="I2784" t="s">
        <v>104</v>
      </c>
      <c r="J2784" t="s">
        <v>74</v>
      </c>
      <c r="K2784" t="s">
        <v>2353</v>
      </c>
      <c r="L2784" s="2">
        <v>45992</v>
      </c>
      <c r="M2784" t="s">
        <v>76</v>
      </c>
      <c r="N2784">
        <v>0</v>
      </c>
      <c r="O2784" t="s">
        <v>104</v>
      </c>
      <c r="P2784" t="s">
        <v>28</v>
      </c>
      <c r="Q2784">
        <v>0</v>
      </c>
    </row>
    <row r="2785" spans="1:17" x14ac:dyDescent="0.3">
      <c r="A2785" t="s">
        <v>17</v>
      </c>
      <c r="B2785">
        <v>67</v>
      </c>
      <c r="C2785" t="s">
        <v>28</v>
      </c>
      <c r="D2785" s="2">
        <v>45995</v>
      </c>
      <c r="E2785" s="3">
        <f t="shared" si="43"/>
        <v>45992</v>
      </c>
      <c r="F2785" t="s">
        <v>2434</v>
      </c>
      <c r="G2785" t="s">
        <v>101</v>
      </c>
      <c r="H2785" s="4">
        <v>9.36</v>
      </c>
      <c r="I2785" t="s">
        <v>31</v>
      </c>
      <c r="J2785" t="s">
        <v>74</v>
      </c>
      <c r="K2785" t="s">
        <v>1889</v>
      </c>
      <c r="L2785" s="2">
        <v>45992</v>
      </c>
      <c r="M2785" t="s">
        <v>76</v>
      </c>
      <c r="N2785">
        <v>0</v>
      </c>
      <c r="O2785" t="s">
        <v>31</v>
      </c>
      <c r="P2785" t="s">
        <v>28</v>
      </c>
      <c r="Q2785">
        <v>0</v>
      </c>
    </row>
    <row r="2786" spans="1:17" x14ac:dyDescent="0.3">
      <c r="A2786" t="s">
        <v>17</v>
      </c>
      <c r="B2786">
        <v>67</v>
      </c>
      <c r="C2786" t="s">
        <v>28</v>
      </c>
      <c r="D2786" s="2">
        <v>45995</v>
      </c>
      <c r="E2786" s="3">
        <f t="shared" si="43"/>
        <v>45992</v>
      </c>
      <c r="F2786" t="s">
        <v>2434</v>
      </c>
      <c r="G2786" t="s">
        <v>101</v>
      </c>
      <c r="H2786" s="4">
        <v>285.79000000000002</v>
      </c>
      <c r="I2786" t="s">
        <v>31</v>
      </c>
      <c r="J2786" t="s">
        <v>74</v>
      </c>
      <c r="K2786" t="s">
        <v>2436</v>
      </c>
      <c r="L2786" s="2">
        <v>45992</v>
      </c>
      <c r="M2786" t="s">
        <v>76</v>
      </c>
      <c r="N2786">
        <v>0</v>
      </c>
      <c r="O2786" t="s">
        <v>31</v>
      </c>
      <c r="P2786" t="s">
        <v>28</v>
      </c>
      <c r="Q2786">
        <v>0</v>
      </c>
    </row>
    <row r="2787" spans="1:17" x14ac:dyDescent="0.3">
      <c r="A2787" t="s">
        <v>17</v>
      </c>
      <c r="B2787">
        <v>67</v>
      </c>
      <c r="C2787" t="s">
        <v>28</v>
      </c>
      <c r="D2787" s="2">
        <v>45995</v>
      </c>
      <c r="E2787" s="3">
        <f t="shared" si="43"/>
        <v>45992</v>
      </c>
      <c r="F2787" t="s">
        <v>2434</v>
      </c>
      <c r="G2787" t="s">
        <v>101</v>
      </c>
      <c r="H2787" s="4">
        <v>2159.27</v>
      </c>
      <c r="I2787" t="s">
        <v>31</v>
      </c>
      <c r="J2787" t="s">
        <v>74</v>
      </c>
      <c r="K2787" t="s">
        <v>2354</v>
      </c>
      <c r="L2787" s="2">
        <v>45992</v>
      </c>
      <c r="M2787" t="s">
        <v>76</v>
      </c>
      <c r="N2787">
        <v>0</v>
      </c>
      <c r="O2787" t="s">
        <v>31</v>
      </c>
      <c r="P2787" t="s">
        <v>28</v>
      </c>
      <c r="Q2787">
        <v>0</v>
      </c>
    </row>
    <row r="2788" spans="1:17" x14ac:dyDescent="0.3">
      <c r="A2788" t="s">
        <v>17</v>
      </c>
      <c r="B2788">
        <v>67</v>
      </c>
      <c r="C2788" t="s">
        <v>28</v>
      </c>
      <c r="D2788" s="2">
        <v>45995</v>
      </c>
      <c r="E2788" s="3">
        <f t="shared" si="43"/>
        <v>45992</v>
      </c>
      <c r="F2788" t="s">
        <v>2434</v>
      </c>
      <c r="G2788" t="s">
        <v>101</v>
      </c>
      <c r="H2788" s="4">
        <v>74.78</v>
      </c>
      <c r="I2788" t="s">
        <v>31</v>
      </c>
      <c r="J2788" t="s">
        <v>74</v>
      </c>
      <c r="K2788" t="s">
        <v>1889</v>
      </c>
      <c r="L2788" s="2">
        <v>45992</v>
      </c>
      <c r="M2788" t="s">
        <v>76</v>
      </c>
      <c r="N2788">
        <v>0</v>
      </c>
      <c r="O2788" t="s">
        <v>31</v>
      </c>
      <c r="P2788" t="s">
        <v>28</v>
      </c>
      <c r="Q2788">
        <v>0</v>
      </c>
    </row>
    <row r="2789" spans="1:17" x14ac:dyDescent="0.3">
      <c r="A2789" t="s">
        <v>17</v>
      </c>
      <c r="B2789">
        <v>67</v>
      </c>
      <c r="C2789" t="s">
        <v>28</v>
      </c>
      <c r="D2789" s="2">
        <v>45995</v>
      </c>
      <c r="E2789" s="3">
        <f t="shared" si="43"/>
        <v>45992</v>
      </c>
      <c r="F2789" t="s">
        <v>2434</v>
      </c>
      <c r="G2789" t="s">
        <v>101</v>
      </c>
      <c r="H2789" s="4">
        <v>1.5</v>
      </c>
      <c r="I2789" t="s">
        <v>31</v>
      </c>
      <c r="J2789" t="s">
        <v>64</v>
      </c>
      <c r="K2789" t="s">
        <v>1166</v>
      </c>
      <c r="L2789" s="2">
        <v>45992</v>
      </c>
      <c r="M2789" t="s">
        <v>64</v>
      </c>
      <c r="N2789">
        <v>0</v>
      </c>
      <c r="O2789" t="s">
        <v>31</v>
      </c>
      <c r="P2789" t="s">
        <v>28</v>
      </c>
      <c r="Q2789">
        <v>0</v>
      </c>
    </row>
    <row r="2790" spans="1:17" x14ac:dyDescent="0.3">
      <c r="A2790" t="s">
        <v>17</v>
      </c>
      <c r="B2790">
        <v>67</v>
      </c>
      <c r="C2790" t="s">
        <v>28</v>
      </c>
      <c r="D2790" s="2">
        <v>45995</v>
      </c>
      <c r="E2790" s="3">
        <f t="shared" si="43"/>
        <v>45992</v>
      </c>
      <c r="F2790" t="s">
        <v>2434</v>
      </c>
      <c r="G2790" t="s">
        <v>101</v>
      </c>
      <c r="H2790" s="4">
        <v>0.14000000000000001</v>
      </c>
      <c r="I2790" t="s">
        <v>31</v>
      </c>
      <c r="J2790" t="s">
        <v>64</v>
      </c>
      <c r="K2790" t="s">
        <v>1166</v>
      </c>
      <c r="L2790" s="2">
        <v>45992</v>
      </c>
      <c r="M2790" t="s">
        <v>64</v>
      </c>
      <c r="N2790">
        <v>0</v>
      </c>
      <c r="O2790" t="s">
        <v>31</v>
      </c>
      <c r="P2790" t="s">
        <v>28</v>
      </c>
      <c r="Q2790">
        <v>0</v>
      </c>
    </row>
    <row r="2791" spans="1:17" x14ac:dyDescent="0.3">
      <c r="A2791" t="s">
        <v>17</v>
      </c>
      <c r="B2791">
        <v>67</v>
      </c>
      <c r="C2791" t="s">
        <v>28</v>
      </c>
      <c r="D2791" s="2">
        <v>45995</v>
      </c>
      <c r="E2791" s="3">
        <f t="shared" si="43"/>
        <v>45992</v>
      </c>
      <c r="F2791" t="s">
        <v>2434</v>
      </c>
      <c r="G2791" t="s">
        <v>101</v>
      </c>
      <c r="H2791" s="4">
        <v>1.1200000000000001</v>
      </c>
      <c r="I2791" t="s">
        <v>31</v>
      </c>
      <c r="J2791" t="s">
        <v>64</v>
      </c>
      <c r="K2791" t="s">
        <v>1166</v>
      </c>
      <c r="L2791" s="2">
        <v>45992</v>
      </c>
      <c r="M2791" t="s">
        <v>64</v>
      </c>
      <c r="N2791">
        <v>0</v>
      </c>
      <c r="O2791" t="s">
        <v>31</v>
      </c>
      <c r="P2791" t="s">
        <v>28</v>
      </c>
      <c r="Q2791">
        <v>0</v>
      </c>
    </row>
    <row r="2792" spans="1:17" x14ac:dyDescent="0.3">
      <c r="A2792" t="s">
        <v>17</v>
      </c>
      <c r="B2792">
        <v>64</v>
      </c>
      <c r="C2792" t="s">
        <v>83</v>
      </c>
      <c r="D2792" s="2">
        <v>45996</v>
      </c>
      <c r="E2792" s="3">
        <f t="shared" si="43"/>
        <v>45992</v>
      </c>
      <c r="F2792" t="s">
        <v>2437</v>
      </c>
      <c r="G2792" t="s">
        <v>174</v>
      </c>
      <c r="H2792" s="4">
        <v>12.48</v>
      </c>
      <c r="I2792" t="s">
        <v>31</v>
      </c>
      <c r="J2792" t="s">
        <v>91</v>
      </c>
      <c r="K2792" t="s">
        <v>1201</v>
      </c>
      <c r="L2792" s="2">
        <v>45992</v>
      </c>
      <c r="M2792" t="s">
        <v>93</v>
      </c>
      <c r="N2792">
        <v>0</v>
      </c>
      <c r="O2792" t="s">
        <v>31</v>
      </c>
      <c r="P2792" t="s">
        <v>83</v>
      </c>
      <c r="Q2792">
        <v>0</v>
      </c>
    </row>
    <row r="2793" spans="1:17" x14ac:dyDescent="0.3">
      <c r="A2793" t="s">
        <v>17</v>
      </c>
      <c r="B2793">
        <v>64</v>
      </c>
      <c r="C2793" t="s">
        <v>83</v>
      </c>
      <c r="D2793" s="2">
        <v>45996</v>
      </c>
      <c r="E2793" s="3">
        <f t="shared" si="43"/>
        <v>45992</v>
      </c>
      <c r="F2793" t="s">
        <v>2437</v>
      </c>
      <c r="G2793" t="s">
        <v>174</v>
      </c>
      <c r="H2793" s="4">
        <v>28.98</v>
      </c>
      <c r="I2793" t="s">
        <v>31</v>
      </c>
      <c r="J2793" t="s">
        <v>91</v>
      </c>
      <c r="K2793" t="s">
        <v>1200</v>
      </c>
      <c r="L2793" s="2">
        <v>45992</v>
      </c>
      <c r="M2793" t="s">
        <v>93</v>
      </c>
      <c r="N2793">
        <v>0</v>
      </c>
      <c r="O2793" t="s">
        <v>31</v>
      </c>
      <c r="P2793" t="s">
        <v>83</v>
      </c>
      <c r="Q2793">
        <v>0</v>
      </c>
    </row>
    <row r="2794" spans="1:17" x14ac:dyDescent="0.3">
      <c r="A2794" t="s">
        <v>17</v>
      </c>
      <c r="B2794">
        <v>64</v>
      </c>
      <c r="C2794" t="s">
        <v>83</v>
      </c>
      <c r="D2794" s="2">
        <v>45996</v>
      </c>
      <c r="E2794" s="3">
        <f t="shared" si="43"/>
        <v>45992</v>
      </c>
      <c r="F2794" t="s">
        <v>2437</v>
      </c>
      <c r="G2794" t="s">
        <v>174</v>
      </c>
      <c r="H2794" s="4">
        <v>44.64</v>
      </c>
      <c r="I2794" t="s">
        <v>31</v>
      </c>
      <c r="J2794" t="s">
        <v>91</v>
      </c>
      <c r="K2794" t="s">
        <v>1200</v>
      </c>
      <c r="L2794" s="2">
        <v>45992</v>
      </c>
      <c r="M2794" t="s">
        <v>93</v>
      </c>
      <c r="N2794">
        <v>0</v>
      </c>
      <c r="O2794" t="s">
        <v>31</v>
      </c>
      <c r="P2794" t="s">
        <v>83</v>
      </c>
      <c r="Q2794">
        <v>0</v>
      </c>
    </row>
    <row r="2795" spans="1:17" x14ac:dyDescent="0.3">
      <c r="A2795" t="s">
        <v>17</v>
      </c>
      <c r="B2795">
        <v>63</v>
      </c>
      <c r="C2795" t="s">
        <v>18</v>
      </c>
      <c r="D2795" s="2">
        <v>45996</v>
      </c>
      <c r="E2795" s="3">
        <f t="shared" si="43"/>
        <v>45992</v>
      </c>
      <c r="F2795" t="s">
        <v>2438</v>
      </c>
      <c r="G2795" t="s">
        <v>2426</v>
      </c>
      <c r="H2795" s="4">
        <v>15000</v>
      </c>
      <c r="I2795" t="s">
        <v>47</v>
      </c>
      <c r="J2795" t="s">
        <v>1785</v>
      </c>
      <c r="L2795" s="2">
        <v>45992</v>
      </c>
      <c r="M2795" t="s">
        <v>1787</v>
      </c>
      <c r="N2795">
        <v>0</v>
      </c>
      <c r="O2795" t="s">
        <v>26</v>
      </c>
      <c r="P2795" t="s">
        <v>18</v>
      </c>
      <c r="Q2795" t="s">
        <v>1788</v>
      </c>
    </row>
    <row r="2796" spans="1:17" x14ac:dyDescent="0.3">
      <c r="A2796" t="s">
        <v>17</v>
      </c>
      <c r="B2796">
        <v>63</v>
      </c>
      <c r="C2796" t="s">
        <v>18</v>
      </c>
      <c r="D2796" s="2">
        <v>45996</v>
      </c>
      <c r="E2796" s="3">
        <f t="shared" si="43"/>
        <v>45992</v>
      </c>
      <c r="F2796" t="s">
        <v>2439</v>
      </c>
      <c r="G2796" t="s">
        <v>2426</v>
      </c>
      <c r="H2796" s="4">
        <v>346.61</v>
      </c>
      <c r="I2796" t="s">
        <v>47</v>
      </c>
      <c r="J2796" t="s">
        <v>1785</v>
      </c>
      <c r="K2796" t="s">
        <v>2440</v>
      </c>
      <c r="L2796" s="2">
        <v>45992</v>
      </c>
      <c r="M2796" t="s">
        <v>1787</v>
      </c>
      <c r="N2796">
        <v>0</v>
      </c>
      <c r="O2796" t="s">
        <v>26</v>
      </c>
      <c r="P2796" t="s">
        <v>18</v>
      </c>
      <c r="Q2796" t="s">
        <v>1788</v>
      </c>
    </row>
    <row r="2797" spans="1:17" x14ac:dyDescent="0.3">
      <c r="A2797" t="s">
        <v>17</v>
      </c>
      <c r="B2797">
        <v>67</v>
      </c>
      <c r="C2797" t="s">
        <v>28</v>
      </c>
      <c r="D2797" s="2">
        <v>45996</v>
      </c>
      <c r="E2797" s="3">
        <f t="shared" si="43"/>
        <v>45992</v>
      </c>
      <c r="F2797" t="s">
        <v>2441</v>
      </c>
      <c r="G2797" t="s">
        <v>67</v>
      </c>
      <c r="H2797" s="4">
        <v>593.73</v>
      </c>
      <c r="I2797" t="s">
        <v>31</v>
      </c>
      <c r="J2797" t="s">
        <v>68</v>
      </c>
      <c r="K2797" t="s">
        <v>2442</v>
      </c>
      <c r="L2797" s="2">
        <v>45992</v>
      </c>
      <c r="M2797" t="s">
        <v>68</v>
      </c>
      <c r="N2797">
        <v>0</v>
      </c>
      <c r="O2797" t="s">
        <v>31</v>
      </c>
      <c r="P2797" t="s">
        <v>28</v>
      </c>
      <c r="Q2797">
        <v>0</v>
      </c>
    </row>
    <row r="2798" spans="1:17" x14ac:dyDescent="0.3">
      <c r="A2798" t="s">
        <v>17</v>
      </c>
      <c r="B2798">
        <v>67</v>
      </c>
      <c r="C2798" t="s">
        <v>28</v>
      </c>
      <c r="D2798" s="2">
        <v>45996</v>
      </c>
      <c r="E2798" s="3">
        <f t="shared" si="43"/>
        <v>45992</v>
      </c>
      <c r="F2798" t="s">
        <v>2443</v>
      </c>
      <c r="G2798" t="s">
        <v>67</v>
      </c>
      <c r="H2798" s="4">
        <v>299.92</v>
      </c>
      <c r="I2798" t="s">
        <v>31</v>
      </c>
      <c r="J2798" t="s">
        <v>68</v>
      </c>
      <c r="K2798" t="s">
        <v>2442</v>
      </c>
      <c r="L2798" s="2">
        <v>45992</v>
      </c>
      <c r="M2798" t="s">
        <v>68</v>
      </c>
      <c r="N2798">
        <v>0</v>
      </c>
      <c r="O2798" t="s">
        <v>31</v>
      </c>
      <c r="P2798" t="s">
        <v>28</v>
      </c>
      <c r="Q2798">
        <v>0</v>
      </c>
    </row>
    <row r="2799" spans="1:17" x14ac:dyDescent="0.3">
      <c r="A2799" t="s">
        <v>17</v>
      </c>
      <c r="B2799">
        <v>68</v>
      </c>
      <c r="C2799" t="s">
        <v>34</v>
      </c>
      <c r="D2799" s="2">
        <v>45996</v>
      </c>
      <c r="E2799" s="3">
        <f t="shared" si="43"/>
        <v>45992</v>
      </c>
      <c r="F2799" t="s">
        <v>2437</v>
      </c>
      <c r="G2799" t="s">
        <v>174</v>
      </c>
      <c r="H2799" s="4">
        <v>9.8000000000000007</v>
      </c>
      <c r="I2799" t="s">
        <v>31</v>
      </c>
      <c r="J2799" t="s">
        <v>79</v>
      </c>
      <c r="K2799" t="s">
        <v>2444</v>
      </c>
      <c r="L2799" s="2">
        <v>45992</v>
      </c>
      <c r="M2799" t="s">
        <v>79</v>
      </c>
      <c r="N2799">
        <v>0</v>
      </c>
      <c r="O2799" t="s">
        <v>31</v>
      </c>
      <c r="P2799" t="s">
        <v>34</v>
      </c>
      <c r="Q2799">
        <v>0</v>
      </c>
    </row>
    <row r="2800" spans="1:17" x14ac:dyDescent="0.3">
      <c r="A2800" t="s">
        <v>17</v>
      </c>
      <c r="B2800">
        <v>66</v>
      </c>
      <c r="C2800" t="s">
        <v>134</v>
      </c>
      <c r="D2800" s="2">
        <v>45996</v>
      </c>
      <c r="E2800" s="3">
        <f t="shared" si="43"/>
        <v>45992</v>
      </c>
      <c r="F2800">
        <v>231624</v>
      </c>
      <c r="G2800" t="s">
        <v>2445</v>
      </c>
      <c r="H2800" s="4">
        <v>319.99</v>
      </c>
      <c r="I2800" t="s">
        <v>137</v>
      </c>
      <c r="J2800" t="s">
        <v>223</v>
      </c>
      <c r="K2800" t="s">
        <v>2446</v>
      </c>
      <c r="L2800" s="2">
        <v>45992</v>
      </c>
      <c r="M2800" t="s">
        <v>223</v>
      </c>
      <c r="N2800" t="s">
        <v>141</v>
      </c>
      <c r="O2800" t="s">
        <v>111</v>
      </c>
      <c r="P2800" t="s">
        <v>134</v>
      </c>
      <c r="Q2800">
        <v>0</v>
      </c>
    </row>
    <row r="2801" spans="1:17" x14ac:dyDescent="0.3">
      <c r="A2801" t="s">
        <v>17</v>
      </c>
      <c r="B2801">
        <v>66</v>
      </c>
      <c r="C2801" t="s">
        <v>134</v>
      </c>
      <c r="D2801" s="2">
        <v>45996</v>
      </c>
      <c r="E2801" s="3">
        <f t="shared" si="43"/>
        <v>45992</v>
      </c>
      <c r="F2801">
        <v>231624</v>
      </c>
      <c r="G2801" t="s">
        <v>2445</v>
      </c>
      <c r="H2801" s="4">
        <v>0.01</v>
      </c>
      <c r="I2801" t="s">
        <v>137</v>
      </c>
      <c r="J2801" t="s">
        <v>223</v>
      </c>
      <c r="K2801" t="s">
        <v>2447</v>
      </c>
      <c r="L2801" s="2">
        <v>45992</v>
      </c>
      <c r="M2801" t="s">
        <v>223</v>
      </c>
      <c r="N2801" t="s">
        <v>141</v>
      </c>
      <c r="O2801" t="s">
        <v>111</v>
      </c>
      <c r="P2801" t="s">
        <v>134</v>
      </c>
      <c r="Q2801">
        <v>0</v>
      </c>
    </row>
    <row r="2802" spans="1:17" x14ac:dyDescent="0.3">
      <c r="A2802" t="s">
        <v>17</v>
      </c>
      <c r="B2802">
        <v>67</v>
      </c>
      <c r="C2802" t="s">
        <v>28</v>
      </c>
      <c r="D2802" s="2">
        <v>45996</v>
      </c>
      <c r="E2802" s="3">
        <f t="shared" si="43"/>
        <v>45992</v>
      </c>
      <c r="F2802" t="s">
        <v>2448</v>
      </c>
      <c r="H2802" s="4">
        <v>20</v>
      </c>
      <c r="I2802" t="s">
        <v>47</v>
      </c>
      <c r="J2802" t="s">
        <v>64</v>
      </c>
      <c r="L2802" s="2">
        <v>45992</v>
      </c>
      <c r="M2802" t="s">
        <v>64</v>
      </c>
      <c r="N2802">
        <v>0</v>
      </c>
      <c r="O2802" t="s">
        <v>26</v>
      </c>
      <c r="P2802" t="s">
        <v>28</v>
      </c>
      <c r="Q2802">
        <v>0</v>
      </c>
    </row>
    <row r="2803" spans="1:17" x14ac:dyDescent="0.3">
      <c r="A2803" t="s">
        <v>17</v>
      </c>
      <c r="B2803">
        <v>68</v>
      </c>
      <c r="C2803" t="s">
        <v>34</v>
      </c>
      <c r="D2803" s="2">
        <v>45999</v>
      </c>
      <c r="E2803" s="3">
        <f t="shared" si="43"/>
        <v>45992</v>
      </c>
      <c r="F2803" t="s">
        <v>2449</v>
      </c>
      <c r="G2803" t="s">
        <v>122</v>
      </c>
      <c r="H2803" s="4">
        <v>0.81</v>
      </c>
      <c r="I2803" t="s">
        <v>108</v>
      </c>
      <c r="J2803" t="s">
        <v>109</v>
      </c>
      <c r="L2803" s="2">
        <v>45992</v>
      </c>
      <c r="M2803" t="s">
        <v>109</v>
      </c>
      <c r="N2803">
        <v>0</v>
      </c>
      <c r="O2803" t="s">
        <v>111</v>
      </c>
      <c r="P2803" t="s">
        <v>112</v>
      </c>
      <c r="Q2803" t="s">
        <v>113</v>
      </c>
    </row>
    <row r="2804" spans="1:17" x14ac:dyDescent="0.3">
      <c r="A2804" t="s">
        <v>17</v>
      </c>
      <c r="B2804">
        <v>68</v>
      </c>
      <c r="C2804" t="s">
        <v>34</v>
      </c>
      <c r="D2804" s="2">
        <v>45999</v>
      </c>
      <c r="E2804" s="3">
        <f t="shared" si="43"/>
        <v>45992</v>
      </c>
      <c r="F2804" t="s">
        <v>2449</v>
      </c>
      <c r="G2804" t="s">
        <v>122</v>
      </c>
      <c r="H2804" s="4">
        <v>17</v>
      </c>
      <c r="I2804" t="s">
        <v>108</v>
      </c>
      <c r="J2804" t="s">
        <v>109</v>
      </c>
      <c r="L2804" s="2">
        <v>45992</v>
      </c>
      <c r="M2804" t="s">
        <v>109</v>
      </c>
      <c r="N2804">
        <v>0</v>
      </c>
      <c r="O2804" t="s">
        <v>111</v>
      </c>
      <c r="P2804" t="s">
        <v>112</v>
      </c>
      <c r="Q2804" t="s">
        <v>113</v>
      </c>
    </row>
    <row r="2805" spans="1:17" x14ac:dyDescent="0.3">
      <c r="A2805" t="s">
        <v>17</v>
      </c>
      <c r="B2805">
        <v>68</v>
      </c>
      <c r="C2805" t="s">
        <v>34</v>
      </c>
      <c r="D2805" s="2">
        <v>45999</v>
      </c>
      <c r="E2805" s="3">
        <f t="shared" si="43"/>
        <v>45992</v>
      </c>
      <c r="F2805" t="s">
        <v>2449</v>
      </c>
      <c r="G2805" t="s">
        <v>122</v>
      </c>
      <c r="H2805" s="4">
        <v>1.34</v>
      </c>
      <c r="I2805" t="s">
        <v>108</v>
      </c>
      <c r="J2805" t="s">
        <v>109</v>
      </c>
      <c r="L2805" s="2">
        <v>45992</v>
      </c>
      <c r="M2805" t="s">
        <v>109</v>
      </c>
      <c r="N2805">
        <v>0</v>
      </c>
      <c r="O2805" t="s">
        <v>111</v>
      </c>
      <c r="P2805" t="s">
        <v>112</v>
      </c>
      <c r="Q2805" t="s">
        <v>113</v>
      </c>
    </row>
    <row r="2806" spans="1:17" x14ac:dyDescent="0.3">
      <c r="A2806" t="s">
        <v>17</v>
      </c>
      <c r="B2806">
        <v>68</v>
      </c>
      <c r="C2806" t="s">
        <v>34</v>
      </c>
      <c r="D2806" s="2">
        <v>45999</v>
      </c>
      <c r="E2806" s="3">
        <f t="shared" si="43"/>
        <v>45992</v>
      </c>
      <c r="F2806" t="s">
        <v>2450</v>
      </c>
      <c r="G2806" t="s">
        <v>122</v>
      </c>
      <c r="H2806" s="4">
        <v>1.78</v>
      </c>
      <c r="I2806" t="s">
        <v>108</v>
      </c>
      <c r="J2806" t="s">
        <v>109</v>
      </c>
      <c r="L2806" s="2">
        <v>45992</v>
      </c>
      <c r="M2806" t="s">
        <v>109</v>
      </c>
      <c r="N2806">
        <v>0</v>
      </c>
      <c r="O2806" t="s">
        <v>111</v>
      </c>
      <c r="P2806" t="s">
        <v>112</v>
      </c>
      <c r="Q2806" t="s">
        <v>113</v>
      </c>
    </row>
    <row r="2807" spans="1:17" x14ac:dyDescent="0.3">
      <c r="A2807" t="s">
        <v>17</v>
      </c>
      <c r="B2807">
        <v>68</v>
      </c>
      <c r="C2807" t="s">
        <v>34</v>
      </c>
      <c r="D2807" s="2">
        <v>45999</v>
      </c>
      <c r="E2807" s="3">
        <f t="shared" si="43"/>
        <v>45992</v>
      </c>
      <c r="F2807" t="s">
        <v>2450</v>
      </c>
      <c r="G2807" t="s">
        <v>122</v>
      </c>
      <c r="H2807" s="4">
        <v>17</v>
      </c>
      <c r="I2807" t="s">
        <v>108</v>
      </c>
      <c r="J2807" t="s">
        <v>109</v>
      </c>
      <c r="L2807" s="2">
        <v>45992</v>
      </c>
      <c r="M2807" t="s">
        <v>109</v>
      </c>
      <c r="N2807">
        <v>0</v>
      </c>
      <c r="O2807" t="s">
        <v>111</v>
      </c>
      <c r="P2807" t="s">
        <v>112</v>
      </c>
      <c r="Q2807" t="s">
        <v>113</v>
      </c>
    </row>
    <row r="2808" spans="1:17" x14ac:dyDescent="0.3">
      <c r="A2808" t="s">
        <v>17</v>
      </c>
      <c r="B2808">
        <v>68</v>
      </c>
      <c r="C2808" t="s">
        <v>34</v>
      </c>
      <c r="D2808" s="2">
        <v>45999</v>
      </c>
      <c r="E2808" s="3">
        <f t="shared" si="43"/>
        <v>45992</v>
      </c>
      <c r="F2808" t="s">
        <v>2450</v>
      </c>
      <c r="G2808" t="s">
        <v>122</v>
      </c>
      <c r="H2808" s="4">
        <v>1.34</v>
      </c>
      <c r="I2808" t="s">
        <v>108</v>
      </c>
      <c r="J2808" t="s">
        <v>109</v>
      </c>
      <c r="K2808" t="s">
        <v>1457</v>
      </c>
      <c r="L2808" s="2">
        <v>45992</v>
      </c>
      <c r="M2808" t="s">
        <v>109</v>
      </c>
      <c r="N2808">
        <v>0</v>
      </c>
      <c r="O2808" t="s">
        <v>111</v>
      </c>
      <c r="P2808" t="s">
        <v>112</v>
      </c>
      <c r="Q2808" t="s">
        <v>113</v>
      </c>
    </row>
    <row r="2809" spans="1:17" x14ac:dyDescent="0.3">
      <c r="A2809" t="s">
        <v>17</v>
      </c>
      <c r="B2809">
        <v>68</v>
      </c>
      <c r="C2809" t="s">
        <v>34</v>
      </c>
      <c r="D2809" s="2">
        <v>46000</v>
      </c>
      <c r="E2809" s="3">
        <f t="shared" si="43"/>
        <v>45992</v>
      </c>
      <c r="F2809" t="s">
        <v>2451</v>
      </c>
      <c r="G2809" t="s">
        <v>107</v>
      </c>
      <c r="H2809" s="4">
        <v>37.57</v>
      </c>
      <c r="I2809" t="s">
        <v>108</v>
      </c>
      <c r="J2809" t="s">
        <v>109</v>
      </c>
      <c r="K2809" t="s">
        <v>2452</v>
      </c>
      <c r="L2809" s="2">
        <v>45992</v>
      </c>
      <c r="M2809" t="s">
        <v>109</v>
      </c>
      <c r="N2809">
        <v>0</v>
      </c>
      <c r="O2809" t="s">
        <v>111</v>
      </c>
      <c r="P2809" t="s">
        <v>112</v>
      </c>
      <c r="Q2809" t="s">
        <v>113</v>
      </c>
    </row>
    <row r="2810" spans="1:17" x14ac:dyDescent="0.3">
      <c r="A2810" t="s">
        <v>17</v>
      </c>
      <c r="B2810">
        <v>68</v>
      </c>
      <c r="C2810" t="s">
        <v>34</v>
      </c>
      <c r="D2810" s="2">
        <v>46000</v>
      </c>
      <c r="E2810" s="3">
        <f t="shared" si="43"/>
        <v>45992</v>
      </c>
      <c r="F2810" t="s">
        <v>2453</v>
      </c>
      <c r="G2810" t="s">
        <v>122</v>
      </c>
      <c r="H2810" s="4">
        <v>1.06</v>
      </c>
      <c r="I2810" t="s">
        <v>108</v>
      </c>
      <c r="J2810" t="s">
        <v>109</v>
      </c>
      <c r="L2810" s="2">
        <v>45992</v>
      </c>
      <c r="M2810" t="s">
        <v>109</v>
      </c>
      <c r="N2810">
        <v>0</v>
      </c>
      <c r="O2810" t="s">
        <v>111</v>
      </c>
      <c r="P2810" t="s">
        <v>112</v>
      </c>
      <c r="Q2810" t="s">
        <v>113</v>
      </c>
    </row>
    <row r="2811" spans="1:17" x14ac:dyDescent="0.3">
      <c r="A2811" t="s">
        <v>17</v>
      </c>
      <c r="B2811">
        <v>68</v>
      </c>
      <c r="C2811" t="s">
        <v>34</v>
      </c>
      <c r="D2811" s="2">
        <v>46000</v>
      </c>
      <c r="E2811" s="3">
        <f t="shared" si="43"/>
        <v>45992</v>
      </c>
      <c r="F2811" t="s">
        <v>2453</v>
      </c>
      <c r="G2811" t="s">
        <v>122</v>
      </c>
      <c r="H2811" s="4">
        <v>17</v>
      </c>
      <c r="I2811" t="s">
        <v>108</v>
      </c>
      <c r="J2811" t="s">
        <v>109</v>
      </c>
      <c r="L2811" s="2">
        <v>45992</v>
      </c>
      <c r="M2811" t="s">
        <v>109</v>
      </c>
      <c r="N2811">
        <v>0</v>
      </c>
      <c r="O2811" t="s">
        <v>111</v>
      </c>
      <c r="P2811" t="s">
        <v>112</v>
      </c>
      <c r="Q2811" t="s">
        <v>113</v>
      </c>
    </row>
    <row r="2812" spans="1:17" x14ac:dyDescent="0.3">
      <c r="A2812" t="s">
        <v>17</v>
      </c>
      <c r="B2812">
        <v>68</v>
      </c>
      <c r="C2812" t="s">
        <v>34</v>
      </c>
      <c r="D2812" s="2">
        <v>46000</v>
      </c>
      <c r="E2812" s="3">
        <f t="shared" si="43"/>
        <v>45992</v>
      </c>
      <c r="F2812" t="s">
        <v>2453</v>
      </c>
      <c r="G2812" t="s">
        <v>122</v>
      </c>
      <c r="H2812" s="4">
        <v>1.34</v>
      </c>
      <c r="I2812" t="s">
        <v>108</v>
      </c>
      <c r="J2812" t="s">
        <v>109</v>
      </c>
      <c r="L2812" s="2">
        <v>45992</v>
      </c>
      <c r="M2812" t="s">
        <v>109</v>
      </c>
      <c r="N2812">
        <v>0</v>
      </c>
      <c r="O2812" t="s">
        <v>111</v>
      </c>
      <c r="P2812" t="s">
        <v>112</v>
      </c>
      <c r="Q2812" t="s">
        <v>113</v>
      </c>
    </row>
    <row r="2813" spans="1:17" x14ac:dyDescent="0.3">
      <c r="A2813" t="s">
        <v>17</v>
      </c>
      <c r="B2813">
        <v>68</v>
      </c>
      <c r="C2813" t="s">
        <v>34</v>
      </c>
      <c r="D2813" s="2">
        <v>46000</v>
      </c>
      <c r="E2813" s="3">
        <f t="shared" si="43"/>
        <v>45992</v>
      </c>
      <c r="F2813" t="s">
        <v>2454</v>
      </c>
      <c r="G2813" t="s">
        <v>122</v>
      </c>
      <c r="H2813" s="4">
        <v>6.82</v>
      </c>
      <c r="I2813" t="s">
        <v>108</v>
      </c>
      <c r="J2813" t="s">
        <v>109</v>
      </c>
      <c r="K2813" t="s">
        <v>1450</v>
      </c>
      <c r="L2813" s="2">
        <v>45992</v>
      </c>
      <c r="M2813" t="s">
        <v>109</v>
      </c>
      <c r="N2813">
        <v>0</v>
      </c>
      <c r="O2813" t="s">
        <v>111</v>
      </c>
      <c r="P2813" t="s">
        <v>112</v>
      </c>
      <c r="Q2813" t="s">
        <v>113</v>
      </c>
    </row>
    <row r="2814" spans="1:17" x14ac:dyDescent="0.3">
      <c r="A2814" t="s">
        <v>17</v>
      </c>
      <c r="B2814">
        <v>68</v>
      </c>
      <c r="C2814" t="s">
        <v>34</v>
      </c>
      <c r="D2814" s="2">
        <v>46000</v>
      </c>
      <c r="E2814" s="3">
        <f t="shared" si="43"/>
        <v>45992</v>
      </c>
      <c r="F2814" t="s">
        <v>2454</v>
      </c>
      <c r="G2814" t="s">
        <v>122</v>
      </c>
      <c r="H2814" s="4">
        <v>17</v>
      </c>
      <c r="I2814" t="s">
        <v>108</v>
      </c>
      <c r="J2814" t="s">
        <v>109</v>
      </c>
      <c r="K2814" t="s">
        <v>2092</v>
      </c>
      <c r="L2814" s="2">
        <v>45992</v>
      </c>
      <c r="M2814" t="s">
        <v>109</v>
      </c>
      <c r="N2814">
        <v>0</v>
      </c>
      <c r="O2814" t="s">
        <v>111</v>
      </c>
      <c r="P2814" t="s">
        <v>112</v>
      </c>
      <c r="Q2814" t="s">
        <v>113</v>
      </c>
    </row>
    <row r="2815" spans="1:17" x14ac:dyDescent="0.3">
      <c r="A2815" t="s">
        <v>17</v>
      </c>
      <c r="B2815">
        <v>68</v>
      </c>
      <c r="C2815" t="s">
        <v>34</v>
      </c>
      <c r="D2815" s="2">
        <v>46000</v>
      </c>
      <c r="E2815" s="3">
        <f t="shared" si="43"/>
        <v>45992</v>
      </c>
      <c r="F2815" t="s">
        <v>2454</v>
      </c>
      <c r="G2815" t="s">
        <v>122</v>
      </c>
      <c r="H2815" s="4">
        <v>1.34</v>
      </c>
      <c r="I2815" t="s">
        <v>108</v>
      </c>
      <c r="J2815" t="s">
        <v>109</v>
      </c>
      <c r="K2815" t="s">
        <v>1665</v>
      </c>
      <c r="L2815" s="2">
        <v>45992</v>
      </c>
      <c r="M2815" t="s">
        <v>109</v>
      </c>
      <c r="N2815">
        <v>0</v>
      </c>
      <c r="O2815" t="s">
        <v>111</v>
      </c>
      <c r="P2815" t="s">
        <v>112</v>
      </c>
      <c r="Q2815" t="s">
        <v>113</v>
      </c>
    </row>
    <row r="2816" spans="1:17" x14ac:dyDescent="0.3">
      <c r="A2816" t="s">
        <v>17</v>
      </c>
      <c r="B2816">
        <v>68</v>
      </c>
      <c r="C2816" t="s">
        <v>34</v>
      </c>
      <c r="D2816" s="2">
        <v>46000</v>
      </c>
      <c r="E2816" s="3">
        <f t="shared" si="43"/>
        <v>45992</v>
      </c>
      <c r="F2816" t="s">
        <v>2455</v>
      </c>
      <c r="G2816" t="s">
        <v>122</v>
      </c>
      <c r="H2816" s="4">
        <v>3.75</v>
      </c>
      <c r="I2816" t="s">
        <v>108</v>
      </c>
      <c r="J2816" t="s">
        <v>109</v>
      </c>
      <c r="L2816" s="2">
        <v>45992</v>
      </c>
      <c r="M2816" t="s">
        <v>109</v>
      </c>
      <c r="N2816">
        <v>0</v>
      </c>
      <c r="O2816" t="s">
        <v>111</v>
      </c>
      <c r="P2816" t="s">
        <v>112</v>
      </c>
      <c r="Q2816" t="s">
        <v>113</v>
      </c>
    </row>
    <row r="2817" spans="1:17" x14ac:dyDescent="0.3">
      <c r="A2817" t="s">
        <v>17</v>
      </c>
      <c r="B2817">
        <v>68</v>
      </c>
      <c r="C2817" t="s">
        <v>34</v>
      </c>
      <c r="D2817" s="2">
        <v>46000</v>
      </c>
      <c r="E2817" s="3">
        <f t="shared" si="43"/>
        <v>45992</v>
      </c>
      <c r="F2817" t="s">
        <v>2455</v>
      </c>
      <c r="G2817" t="s">
        <v>122</v>
      </c>
      <c r="H2817" s="4">
        <v>17</v>
      </c>
      <c r="I2817" t="s">
        <v>108</v>
      </c>
      <c r="J2817" t="s">
        <v>109</v>
      </c>
      <c r="L2817" s="2">
        <v>45992</v>
      </c>
      <c r="M2817" t="s">
        <v>109</v>
      </c>
      <c r="N2817">
        <v>0</v>
      </c>
      <c r="O2817" t="s">
        <v>111</v>
      </c>
      <c r="P2817" t="s">
        <v>112</v>
      </c>
      <c r="Q2817" t="s">
        <v>113</v>
      </c>
    </row>
    <row r="2818" spans="1:17" x14ac:dyDescent="0.3">
      <c r="A2818" t="s">
        <v>17</v>
      </c>
      <c r="B2818">
        <v>68</v>
      </c>
      <c r="C2818" t="s">
        <v>34</v>
      </c>
      <c r="D2818" s="2">
        <v>46000</v>
      </c>
      <c r="E2818" s="3">
        <f t="shared" si="43"/>
        <v>45992</v>
      </c>
      <c r="F2818" t="s">
        <v>2455</v>
      </c>
      <c r="G2818" t="s">
        <v>122</v>
      </c>
      <c r="H2818" s="4">
        <v>1.34</v>
      </c>
      <c r="I2818" t="s">
        <v>108</v>
      </c>
      <c r="J2818" t="s">
        <v>109</v>
      </c>
      <c r="L2818" s="2">
        <v>45992</v>
      </c>
      <c r="M2818" t="s">
        <v>109</v>
      </c>
      <c r="N2818">
        <v>0</v>
      </c>
      <c r="O2818" t="s">
        <v>111</v>
      </c>
      <c r="P2818" t="s">
        <v>112</v>
      </c>
      <c r="Q2818" t="s">
        <v>113</v>
      </c>
    </row>
    <row r="2819" spans="1:17" x14ac:dyDescent="0.3">
      <c r="A2819" t="s">
        <v>17</v>
      </c>
      <c r="B2819">
        <v>68</v>
      </c>
      <c r="C2819" t="s">
        <v>34</v>
      </c>
      <c r="D2819" s="2">
        <v>46000</v>
      </c>
      <c r="E2819" s="3">
        <f t="shared" ref="E2819:E2882" si="44">IF($D2819="","",DATE(YEAR($D2819),MONTH($D2819),1))</f>
        <v>45992</v>
      </c>
      <c r="F2819" t="s">
        <v>2376</v>
      </c>
      <c r="G2819" t="s">
        <v>43</v>
      </c>
      <c r="H2819" s="4">
        <v>-270.87</v>
      </c>
      <c r="I2819" t="s">
        <v>31</v>
      </c>
      <c r="J2819" t="s">
        <v>37</v>
      </c>
      <c r="K2819" t="s">
        <v>1734</v>
      </c>
      <c r="L2819" s="2">
        <v>45992</v>
      </c>
      <c r="M2819" t="s">
        <v>37</v>
      </c>
      <c r="N2819">
        <v>0</v>
      </c>
      <c r="O2819" t="s">
        <v>31</v>
      </c>
      <c r="P2819" t="s">
        <v>34</v>
      </c>
      <c r="Q2819">
        <v>0</v>
      </c>
    </row>
    <row r="2820" spans="1:17" x14ac:dyDescent="0.3">
      <c r="A2820" t="s">
        <v>17</v>
      </c>
      <c r="B2820">
        <v>64</v>
      </c>
      <c r="C2820" t="s">
        <v>83</v>
      </c>
      <c r="D2820" s="2">
        <v>46001</v>
      </c>
      <c r="E2820" s="3">
        <f t="shared" si="44"/>
        <v>45992</v>
      </c>
      <c r="F2820" t="s">
        <v>2456</v>
      </c>
      <c r="H2820" s="4">
        <v>56.91</v>
      </c>
      <c r="I2820" t="s">
        <v>31</v>
      </c>
      <c r="J2820" t="s">
        <v>91</v>
      </c>
      <c r="K2820" t="s">
        <v>2457</v>
      </c>
      <c r="L2820" s="2">
        <v>45992</v>
      </c>
      <c r="M2820" t="s">
        <v>93</v>
      </c>
      <c r="N2820">
        <v>0</v>
      </c>
      <c r="O2820" t="s">
        <v>31</v>
      </c>
      <c r="P2820" t="s">
        <v>83</v>
      </c>
      <c r="Q2820">
        <v>0</v>
      </c>
    </row>
    <row r="2821" spans="1:17" x14ac:dyDescent="0.3">
      <c r="A2821" t="s">
        <v>17</v>
      </c>
      <c r="B2821">
        <v>64</v>
      </c>
      <c r="C2821" t="s">
        <v>83</v>
      </c>
      <c r="D2821" s="2">
        <v>46001</v>
      </c>
      <c r="E2821" s="3">
        <f t="shared" si="44"/>
        <v>45992</v>
      </c>
      <c r="F2821" t="s">
        <v>2456</v>
      </c>
      <c r="G2821" t="s">
        <v>158</v>
      </c>
      <c r="H2821" s="4">
        <v>21.11</v>
      </c>
      <c r="I2821" t="s">
        <v>31</v>
      </c>
      <c r="J2821" t="s">
        <v>91</v>
      </c>
      <c r="K2821" t="s">
        <v>2458</v>
      </c>
      <c r="L2821" s="2">
        <v>45992</v>
      </c>
      <c r="M2821" t="s">
        <v>93</v>
      </c>
      <c r="N2821">
        <v>0</v>
      </c>
      <c r="O2821" t="s">
        <v>31</v>
      </c>
      <c r="P2821" t="s">
        <v>83</v>
      </c>
      <c r="Q2821">
        <v>0</v>
      </c>
    </row>
    <row r="2822" spans="1:17" x14ac:dyDescent="0.3">
      <c r="A2822" t="s">
        <v>17</v>
      </c>
      <c r="B2822">
        <v>64</v>
      </c>
      <c r="C2822" t="s">
        <v>83</v>
      </c>
      <c r="D2822" s="2">
        <v>46001</v>
      </c>
      <c r="E2822" s="3">
        <f t="shared" si="44"/>
        <v>45992</v>
      </c>
      <c r="F2822" t="s">
        <v>2456</v>
      </c>
      <c r="H2822" s="4">
        <v>68.33</v>
      </c>
      <c r="I2822" t="s">
        <v>31</v>
      </c>
      <c r="J2822" t="s">
        <v>91</v>
      </c>
      <c r="K2822" t="s">
        <v>2459</v>
      </c>
      <c r="L2822" s="2">
        <v>45992</v>
      </c>
      <c r="M2822" t="s">
        <v>93</v>
      </c>
      <c r="N2822">
        <v>0</v>
      </c>
      <c r="O2822" t="s">
        <v>31</v>
      </c>
      <c r="P2822" t="s">
        <v>83</v>
      </c>
      <c r="Q2822">
        <v>0</v>
      </c>
    </row>
    <row r="2823" spans="1:17" x14ac:dyDescent="0.3">
      <c r="A2823" t="s">
        <v>17</v>
      </c>
      <c r="B2823">
        <v>64</v>
      </c>
      <c r="C2823" t="s">
        <v>83</v>
      </c>
      <c r="D2823" s="2">
        <v>46001</v>
      </c>
      <c r="E2823" s="3">
        <f t="shared" si="44"/>
        <v>45992</v>
      </c>
      <c r="F2823" t="s">
        <v>2456</v>
      </c>
      <c r="H2823" s="4">
        <v>103.11</v>
      </c>
      <c r="I2823" t="s">
        <v>159</v>
      </c>
      <c r="J2823" t="s">
        <v>91</v>
      </c>
      <c r="K2823" t="s">
        <v>2460</v>
      </c>
      <c r="L2823" s="2">
        <v>45992</v>
      </c>
      <c r="M2823" t="s">
        <v>93</v>
      </c>
      <c r="N2823">
        <v>0</v>
      </c>
      <c r="O2823" t="s">
        <v>159</v>
      </c>
      <c r="P2823" t="s">
        <v>83</v>
      </c>
      <c r="Q2823">
        <v>0</v>
      </c>
    </row>
    <row r="2824" spans="1:17" x14ac:dyDescent="0.3">
      <c r="A2824" t="s">
        <v>17</v>
      </c>
      <c r="B2824">
        <v>64</v>
      </c>
      <c r="C2824" t="s">
        <v>83</v>
      </c>
      <c r="D2824" s="2">
        <v>46001</v>
      </c>
      <c r="E2824" s="3">
        <f t="shared" si="44"/>
        <v>45992</v>
      </c>
      <c r="F2824" t="s">
        <v>2456</v>
      </c>
      <c r="H2824" s="4">
        <v>18.899999999999999</v>
      </c>
      <c r="I2824" t="s">
        <v>159</v>
      </c>
      <c r="J2824" t="s">
        <v>87</v>
      </c>
      <c r="K2824" t="s">
        <v>2461</v>
      </c>
      <c r="L2824" s="2">
        <v>45992</v>
      </c>
      <c r="M2824" t="s">
        <v>89</v>
      </c>
      <c r="N2824">
        <v>0</v>
      </c>
      <c r="O2824" t="s">
        <v>159</v>
      </c>
      <c r="P2824" t="s">
        <v>83</v>
      </c>
      <c r="Q2824">
        <v>0</v>
      </c>
    </row>
    <row r="2825" spans="1:17" x14ac:dyDescent="0.3">
      <c r="A2825" t="s">
        <v>17</v>
      </c>
      <c r="B2825">
        <v>64</v>
      </c>
      <c r="C2825" t="s">
        <v>83</v>
      </c>
      <c r="D2825" s="2">
        <v>46001</v>
      </c>
      <c r="E2825" s="3">
        <f t="shared" si="44"/>
        <v>45992</v>
      </c>
      <c r="F2825" t="s">
        <v>2456</v>
      </c>
      <c r="H2825" s="4">
        <v>16.38</v>
      </c>
      <c r="I2825" t="s">
        <v>159</v>
      </c>
      <c r="J2825" t="s">
        <v>87</v>
      </c>
      <c r="K2825" t="s">
        <v>2460</v>
      </c>
      <c r="L2825" s="2">
        <v>45992</v>
      </c>
      <c r="M2825" t="s">
        <v>89</v>
      </c>
      <c r="N2825">
        <v>0</v>
      </c>
      <c r="O2825" t="s">
        <v>159</v>
      </c>
      <c r="P2825" t="s">
        <v>83</v>
      </c>
      <c r="Q2825">
        <v>0</v>
      </c>
    </row>
    <row r="2826" spans="1:17" x14ac:dyDescent="0.3">
      <c r="A2826" t="s">
        <v>17</v>
      </c>
      <c r="B2826">
        <v>64</v>
      </c>
      <c r="C2826" t="s">
        <v>83</v>
      </c>
      <c r="D2826" s="2">
        <v>46001</v>
      </c>
      <c r="E2826" s="3">
        <f t="shared" si="44"/>
        <v>45992</v>
      </c>
      <c r="F2826" t="s">
        <v>2456</v>
      </c>
      <c r="H2826" s="4">
        <v>51.08</v>
      </c>
      <c r="I2826" t="s">
        <v>159</v>
      </c>
      <c r="J2826" t="s">
        <v>87</v>
      </c>
      <c r="K2826" t="s">
        <v>2462</v>
      </c>
      <c r="L2826" s="2">
        <v>45992</v>
      </c>
      <c r="M2826" t="s">
        <v>89</v>
      </c>
      <c r="N2826">
        <v>0</v>
      </c>
      <c r="O2826" t="s">
        <v>159</v>
      </c>
      <c r="P2826" t="s">
        <v>83</v>
      </c>
      <c r="Q2826">
        <v>0</v>
      </c>
    </row>
    <row r="2827" spans="1:17" x14ac:dyDescent="0.3">
      <c r="A2827" t="s">
        <v>17</v>
      </c>
      <c r="B2827">
        <v>64</v>
      </c>
      <c r="C2827" t="s">
        <v>83</v>
      </c>
      <c r="D2827" s="2">
        <v>46001</v>
      </c>
      <c r="E2827" s="3">
        <f t="shared" si="44"/>
        <v>45992</v>
      </c>
      <c r="F2827" t="s">
        <v>2456</v>
      </c>
      <c r="H2827" s="4">
        <v>64.209999999999994</v>
      </c>
      <c r="I2827" t="s">
        <v>159</v>
      </c>
      <c r="J2827" t="s">
        <v>87</v>
      </c>
      <c r="K2827" t="s">
        <v>2463</v>
      </c>
      <c r="L2827" s="2">
        <v>45992</v>
      </c>
      <c r="M2827" t="s">
        <v>89</v>
      </c>
      <c r="N2827">
        <v>0</v>
      </c>
      <c r="O2827" t="s">
        <v>159</v>
      </c>
      <c r="P2827" t="s">
        <v>83</v>
      </c>
      <c r="Q2827">
        <v>0</v>
      </c>
    </row>
    <row r="2828" spans="1:17" x14ac:dyDescent="0.3">
      <c r="A2828" t="s">
        <v>17</v>
      </c>
      <c r="B2828">
        <v>67</v>
      </c>
      <c r="C2828" t="s">
        <v>28</v>
      </c>
      <c r="D2828" s="2">
        <v>46001</v>
      </c>
      <c r="E2828" s="3">
        <f t="shared" si="44"/>
        <v>45992</v>
      </c>
      <c r="F2828" t="s">
        <v>2464</v>
      </c>
      <c r="G2828" t="s">
        <v>2465</v>
      </c>
      <c r="H2828" s="4">
        <v>900</v>
      </c>
      <c r="I2828" t="s">
        <v>47</v>
      </c>
      <c r="J2828" t="s">
        <v>48</v>
      </c>
      <c r="K2828" t="s">
        <v>2466</v>
      </c>
      <c r="L2828" s="2">
        <v>45992</v>
      </c>
      <c r="M2828" t="s">
        <v>50</v>
      </c>
      <c r="N2828">
        <v>0</v>
      </c>
      <c r="O2828" t="s">
        <v>26</v>
      </c>
      <c r="P2828" t="s">
        <v>28</v>
      </c>
      <c r="Q2828">
        <v>0</v>
      </c>
    </row>
    <row r="2829" spans="1:17" x14ac:dyDescent="0.3">
      <c r="A2829" t="s">
        <v>17</v>
      </c>
      <c r="B2829">
        <v>67</v>
      </c>
      <c r="C2829" t="s">
        <v>28</v>
      </c>
      <c r="D2829" s="2">
        <v>46001</v>
      </c>
      <c r="E2829" s="3">
        <f t="shared" si="44"/>
        <v>45992</v>
      </c>
      <c r="F2829" t="s">
        <v>2467</v>
      </c>
      <c r="G2829" t="s">
        <v>119</v>
      </c>
      <c r="H2829" s="4">
        <v>1113.75</v>
      </c>
      <c r="I2829" t="s">
        <v>31</v>
      </c>
      <c r="J2829" t="s">
        <v>68</v>
      </c>
      <c r="K2829" t="s">
        <v>1567</v>
      </c>
      <c r="L2829" s="2">
        <v>45992</v>
      </c>
      <c r="M2829" t="s">
        <v>68</v>
      </c>
      <c r="N2829">
        <v>0</v>
      </c>
      <c r="O2829" t="s">
        <v>31</v>
      </c>
      <c r="P2829" t="s">
        <v>28</v>
      </c>
      <c r="Q2829">
        <v>0</v>
      </c>
    </row>
    <row r="2830" spans="1:17" x14ac:dyDescent="0.3">
      <c r="A2830" t="s">
        <v>17</v>
      </c>
      <c r="B2830">
        <v>68</v>
      </c>
      <c r="C2830" t="s">
        <v>34</v>
      </c>
      <c r="D2830" s="2">
        <v>46001</v>
      </c>
      <c r="E2830" s="3">
        <f t="shared" si="44"/>
        <v>45992</v>
      </c>
      <c r="F2830">
        <v>14204</v>
      </c>
      <c r="G2830" t="s">
        <v>131</v>
      </c>
      <c r="H2830" s="4">
        <v>84.31</v>
      </c>
      <c r="I2830" t="s">
        <v>31</v>
      </c>
      <c r="J2830" t="s">
        <v>79</v>
      </c>
      <c r="K2830" t="s">
        <v>1276</v>
      </c>
      <c r="L2830" s="2">
        <v>45992</v>
      </c>
      <c r="M2830" t="s">
        <v>79</v>
      </c>
      <c r="N2830">
        <v>0</v>
      </c>
      <c r="O2830" t="s">
        <v>31</v>
      </c>
      <c r="P2830" t="s">
        <v>34</v>
      </c>
      <c r="Q2830">
        <v>0</v>
      </c>
    </row>
    <row r="2831" spans="1:17" x14ac:dyDescent="0.3">
      <c r="A2831" t="s">
        <v>17</v>
      </c>
      <c r="B2831">
        <v>68</v>
      </c>
      <c r="C2831" t="s">
        <v>34</v>
      </c>
      <c r="D2831" s="2">
        <v>46001</v>
      </c>
      <c r="E2831" s="3">
        <f t="shared" si="44"/>
        <v>45992</v>
      </c>
      <c r="F2831">
        <v>14204</v>
      </c>
      <c r="G2831" t="s">
        <v>131</v>
      </c>
      <c r="H2831" s="4">
        <v>950</v>
      </c>
      <c r="I2831" t="s">
        <v>31</v>
      </c>
      <c r="J2831" t="s">
        <v>79</v>
      </c>
      <c r="K2831" t="s">
        <v>1406</v>
      </c>
      <c r="L2831" s="2">
        <v>45992</v>
      </c>
      <c r="M2831" t="s">
        <v>79</v>
      </c>
      <c r="N2831">
        <v>0</v>
      </c>
      <c r="O2831" t="s">
        <v>31</v>
      </c>
      <c r="P2831" t="s">
        <v>34</v>
      </c>
      <c r="Q2831">
        <v>0</v>
      </c>
    </row>
    <row r="2832" spans="1:17" x14ac:dyDescent="0.3">
      <c r="A2832" t="s">
        <v>17</v>
      </c>
      <c r="B2832">
        <v>68</v>
      </c>
      <c r="C2832" t="s">
        <v>34</v>
      </c>
      <c r="D2832" s="2">
        <v>46001</v>
      </c>
      <c r="E2832" s="3">
        <f t="shared" si="44"/>
        <v>45992</v>
      </c>
      <c r="F2832" t="s">
        <v>2468</v>
      </c>
      <c r="G2832" t="s">
        <v>122</v>
      </c>
      <c r="H2832" s="4">
        <v>2366.61</v>
      </c>
      <c r="I2832" t="s">
        <v>108</v>
      </c>
      <c r="J2832" t="s">
        <v>109</v>
      </c>
      <c r="K2832" t="s">
        <v>1288</v>
      </c>
      <c r="L2832" s="2">
        <v>45992</v>
      </c>
      <c r="M2832" t="s">
        <v>109</v>
      </c>
      <c r="N2832">
        <v>0</v>
      </c>
      <c r="O2832" t="s">
        <v>111</v>
      </c>
      <c r="P2832" t="s">
        <v>112</v>
      </c>
      <c r="Q2832" t="s">
        <v>113</v>
      </c>
    </row>
    <row r="2833" spans="1:17" x14ac:dyDescent="0.3">
      <c r="A2833" t="s">
        <v>17</v>
      </c>
      <c r="B2833">
        <v>67</v>
      </c>
      <c r="C2833" t="s">
        <v>28</v>
      </c>
      <c r="D2833" s="2">
        <v>46001</v>
      </c>
      <c r="E2833" s="3">
        <f t="shared" si="44"/>
        <v>45992</v>
      </c>
      <c r="F2833" t="s">
        <v>2456</v>
      </c>
      <c r="G2833" t="s">
        <v>158</v>
      </c>
      <c r="H2833" s="4">
        <v>21.78</v>
      </c>
      <c r="I2833" t="s">
        <v>159</v>
      </c>
      <c r="J2833" t="s">
        <v>74</v>
      </c>
      <c r="K2833" t="s">
        <v>2469</v>
      </c>
      <c r="L2833" s="2">
        <v>45992</v>
      </c>
      <c r="M2833" t="s">
        <v>76</v>
      </c>
      <c r="N2833">
        <v>0</v>
      </c>
      <c r="O2833" t="s">
        <v>159</v>
      </c>
      <c r="P2833" t="s">
        <v>28</v>
      </c>
      <c r="Q2833">
        <v>0</v>
      </c>
    </row>
    <row r="2834" spans="1:17" x14ac:dyDescent="0.3">
      <c r="A2834" t="s">
        <v>17</v>
      </c>
      <c r="B2834">
        <v>67</v>
      </c>
      <c r="C2834" t="s">
        <v>28</v>
      </c>
      <c r="D2834" s="2">
        <v>46001</v>
      </c>
      <c r="E2834" s="3">
        <f t="shared" si="44"/>
        <v>45992</v>
      </c>
      <c r="F2834" t="s">
        <v>2456</v>
      </c>
      <c r="G2834" t="s">
        <v>158</v>
      </c>
      <c r="H2834" s="4">
        <v>21.78</v>
      </c>
      <c r="I2834" t="s">
        <v>159</v>
      </c>
      <c r="J2834" t="s">
        <v>74</v>
      </c>
      <c r="K2834" t="s">
        <v>2470</v>
      </c>
      <c r="L2834" s="2">
        <v>45992</v>
      </c>
      <c r="M2834" t="s">
        <v>76</v>
      </c>
      <c r="N2834">
        <v>0</v>
      </c>
      <c r="O2834" t="s">
        <v>159</v>
      </c>
      <c r="P2834" t="s">
        <v>28</v>
      </c>
      <c r="Q2834">
        <v>0</v>
      </c>
    </row>
    <row r="2835" spans="1:17" x14ac:dyDescent="0.3">
      <c r="A2835" t="s">
        <v>17</v>
      </c>
      <c r="B2835">
        <v>67</v>
      </c>
      <c r="C2835" t="s">
        <v>28</v>
      </c>
      <c r="D2835" s="2">
        <v>46001</v>
      </c>
      <c r="E2835" s="3">
        <f t="shared" si="44"/>
        <v>45992</v>
      </c>
      <c r="F2835" t="s">
        <v>2456</v>
      </c>
      <c r="G2835" t="s">
        <v>158</v>
      </c>
      <c r="H2835" s="4">
        <v>17.399999999999999</v>
      </c>
      <c r="I2835" t="s">
        <v>159</v>
      </c>
      <c r="J2835" t="s">
        <v>74</v>
      </c>
      <c r="K2835" t="s">
        <v>2471</v>
      </c>
      <c r="L2835" s="2">
        <v>45992</v>
      </c>
      <c r="M2835" t="s">
        <v>76</v>
      </c>
      <c r="N2835">
        <v>0</v>
      </c>
      <c r="O2835" t="s">
        <v>159</v>
      </c>
      <c r="P2835" t="s">
        <v>28</v>
      </c>
      <c r="Q2835">
        <v>0</v>
      </c>
    </row>
    <row r="2836" spans="1:17" x14ac:dyDescent="0.3">
      <c r="A2836" t="s">
        <v>17</v>
      </c>
      <c r="B2836">
        <v>64</v>
      </c>
      <c r="C2836" t="s">
        <v>83</v>
      </c>
      <c r="D2836" s="2">
        <v>46002</v>
      </c>
      <c r="E2836" s="3">
        <f t="shared" si="44"/>
        <v>45992</v>
      </c>
      <c r="F2836" t="s">
        <v>2472</v>
      </c>
      <c r="G2836" t="s">
        <v>1334</v>
      </c>
      <c r="H2836" s="4">
        <v>99.1</v>
      </c>
      <c r="I2836" t="s">
        <v>31</v>
      </c>
      <c r="J2836" t="s">
        <v>91</v>
      </c>
      <c r="K2836" t="s">
        <v>533</v>
      </c>
      <c r="L2836" s="2">
        <v>45992</v>
      </c>
      <c r="M2836" t="s">
        <v>93</v>
      </c>
      <c r="N2836">
        <v>0</v>
      </c>
      <c r="O2836" t="s">
        <v>31</v>
      </c>
      <c r="P2836" t="s">
        <v>83</v>
      </c>
      <c r="Q2836">
        <v>0</v>
      </c>
    </row>
    <row r="2837" spans="1:17" x14ac:dyDescent="0.3">
      <c r="A2837" t="s">
        <v>17</v>
      </c>
      <c r="B2837">
        <v>64</v>
      </c>
      <c r="C2837" t="s">
        <v>83</v>
      </c>
      <c r="D2837" s="2">
        <v>46002</v>
      </c>
      <c r="E2837" s="3">
        <f t="shared" si="44"/>
        <v>45992</v>
      </c>
      <c r="F2837" t="s">
        <v>2472</v>
      </c>
      <c r="G2837" t="s">
        <v>1334</v>
      </c>
      <c r="H2837" s="4">
        <v>38.159999999999997</v>
      </c>
      <c r="I2837" t="s">
        <v>31</v>
      </c>
      <c r="J2837" t="s">
        <v>91</v>
      </c>
      <c r="K2837" t="s">
        <v>2473</v>
      </c>
      <c r="L2837" s="2">
        <v>45992</v>
      </c>
      <c r="M2837" t="s">
        <v>93</v>
      </c>
      <c r="N2837">
        <v>0</v>
      </c>
      <c r="O2837" t="s">
        <v>31</v>
      </c>
      <c r="P2837" t="s">
        <v>83</v>
      </c>
      <c r="Q2837">
        <v>0</v>
      </c>
    </row>
    <row r="2838" spans="1:17" x14ac:dyDescent="0.3">
      <c r="A2838" t="s">
        <v>17</v>
      </c>
      <c r="B2838">
        <v>64</v>
      </c>
      <c r="C2838" t="s">
        <v>83</v>
      </c>
      <c r="D2838" s="2">
        <v>46002</v>
      </c>
      <c r="E2838" s="3">
        <f t="shared" si="44"/>
        <v>45992</v>
      </c>
      <c r="F2838" t="s">
        <v>2472</v>
      </c>
      <c r="G2838" t="s">
        <v>1334</v>
      </c>
      <c r="H2838" s="4">
        <v>150.34</v>
      </c>
      <c r="I2838" t="s">
        <v>31</v>
      </c>
      <c r="J2838" t="s">
        <v>91</v>
      </c>
      <c r="K2838" t="s">
        <v>2474</v>
      </c>
      <c r="L2838" s="2">
        <v>45992</v>
      </c>
      <c r="M2838" t="s">
        <v>93</v>
      </c>
      <c r="N2838">
        <v>0</v>
      </c>
      <c r="O2838" t="s">
        <v>31</v>
      </c>
      <c r="P2838" t="s">
        <v>83</v>
      </c>
      <c r="Q2838">
        <v>0</v>
      </c>
    </row>
    <row r="2839" spans="1:17" x14ac:dyDescent="0.3">
      <c r="A2839" t="s">
        <v>17</v>
      </c>
      <c r="B2839">
        <v>64</v>
      </c>
      <c r="C2839" t="s">
        <v>83</v>
      </c>
      <c r="D2839" s="2">
        <v>46002</v>
      </c>
      <c r="E2839" s="3">
        <f t="shared" si="44"/>
        <v>45992</v>
      </c>
      <c r="F2839" t="s">
        <v>2472</v>
      </c>
      <c r="G2839" t="s">
        <v>1334</v>
      </c>
      <c r="H2839" s="4">
        <v>13.1</v>
      </c>
      <c r="I2839" t="s">
        <v>31</v>
      </c>
      <c r="J2839" t="s">
        <v>91</v>
      </c>
      <c r="K2839" t="s">
        <v>2475</v>
      </c>
      <c r="L2839" s="2">
        <v>45992</v>
      </c>
      <c r="M2839" t="s">
        <v>93</v>
      </c>
      <c r="N2839">
        <v>0</v>
      </c>
      <c r="O2839" t="s">
        <v>31</v>
      </c>
      <c r="P2839" t="s">
        <v>83</v>
      </c>
      <c r="Q2839">
        <v>0</v>
      </c>
    </row>
    <row r="2840" spans="1:17" x14ac:dyDescent="0.3">
      <c r="A2840" t="s">
        <v>17</v>
      </c>
      <c r="B2840">
        <v>64</v>
      </c>
      <c r="C2840" t="s">
        <v>83</v>
      </c>
      <c r="D2840" s="2">
        <v>46002</v>
      </c>
      <c r="E2840" s="3">
        <f t="shared" si="44"/>
        <v>45992</v>
      </c>
      <c r="F2840" t="s">
        <v>2472</v>
      </c>
      <c r="G2840" t="s">
        <v>1334</v>
      </c>
      <c r="H2840" s="4">
        <v>23.99</v>
      </c>
      <c r="I2840" t="s">
        <v>31</v>
      </c>
      <c r="J2840" t="s">
        <v>87</v>
      </c>
      <c r="K2840" t="s">
        <v>2476</v>
      </c>
      <c r="L2840" s="2">
        <v>45992</v>
      </c>
      <c r="M2840" t="s">
        <v>89</v>
      </c>
      <c r="N2840">
        <v>0</v>
      </c>
      <c r="O2840" t="s">
        <v>31</v>
      </c>
      <c r="P2840" t="s">
        <v>83</v>
      </c>
      <c r="Q2840">
        <v>0</v>
      </c>
    </row>
    <row r="2841" spans="1:17" x14ac:dyDescent="0.3">
      <c r="A2841" t="s">
        <v>17</v>
      </c>
      <c r="B2841">
        <v>64</v>
      </c>
      <c r="C2841" t="s">
        <v>83</v>
      </c>
      <c r="D2841" s="2">
        <v>46002</v>
      </c>
      <c r="E2841" s="3">
        <f t="shared" si="44"/>
        <v>45992</v>
      </c>
      <c r="F2841" t="s">
        <v>2472</v>
      </c>
      <c r="G2841" t="s">
        <v>1334</v>
      </c>
      <c r="H2841" s="4">
        <v>103.23</v>
      </c>
      <c r="I2841" t="s">
        <v>31</v>
      </c>
      <c r="J2841" t="s">
        <v>87</v>
      </c>
      <c r="K2841" t="s">
        <v>2477</v>
      </c>
      <c r="L2841" s="2">
        <v>45992</v>
      </c>
      <c r="M2841" t="s">
        <v>89</v>
      </c>
      <c r="N2841">
        <v>0</v>
      </c>
      <c r="O2841" t="s">
        <v>31</v>
      </c>
      <c r="P2841" t="s">
        <v>83</v>
      </c>
      <c r="Q2841">
        <v>0</v>
      </c>
    </row>
    <row r="2842" spans="1:17" x14ac:dyDescent="0.3">
      <c r="A2842" t="s">
        <v>17</v>
      </c>
      <c r="B2842">
        <v>64</v>
      </c>
      <c r="C2842" t="s">
        <v>83</v>
      </c>
      <c r="D2842" s="2">
        <v>46002</v>
      </c>
      <c r="E2842" s="3">
        <f t="shared" si="44"/>
        <v>45992</v>
      </c>
      <c r="F2842" t="s">
        <v>2472</v>
      </c>
      <c r="G2842" t="s">
        <v>1334</v>
      </c>
      <c r="H2842" s="4">
        <v>91.79</v>
      </c>
      <c r="I2842" t="s">
        <v>31</v>
      </c>
      <c r="J2842" t="s">
        <v>87</v>
      </c>
      <c r="K2842" t="s">
        <v>2478</v>
      </c>
      <c r="L2842" s="2">
        <v>45992</v>
      </c>
      <c r="M2842" t="s">
        <v>89</v>
      </c>
      <c r="N2842">
        <v>0</v>
      </c>
      <c r="O2842" t="s">
        <v>31</v>
      </c>
      <c r="P2842" t="s">
        <v>83</v>
      </c>
      <c r="Q2842">
        <v>0</v>
      </c>
    </row>
    <row r="2843" spans="1:17" x14ac:dyDescent="0.3">
      <c r="A2843" t="s">
        <v>17</v>
      </c>
      <c r="B2843">
        <v>64</v>
      </c>
      <c r="C2843" t="s">
        <v>83</v>
      </c>
      <c r="D2843" s="2">
        <v>46002</v>
      </c>
      <c r="E2843" s="3">
        <f t="shared" si="44"/>
        <v>45992</v>
      </c>
      <c r="F2843" t="s">
        <v>2472</v>
      </c>
      <c r="G2843" t="s">
        <v>1334</v>
      </c>
      <c r="H2843" s="4">
        <v>73.989999999999995</v>
      </c>
      <c r="I2843" t="s">
        <v>31</v>
      </c>
      <c r="J2843" t="s">
        <v>87</v>
      </c>
      <c r="K2843" t="s">
        <v>2479</v>
      </c>
      <c r="L2843" s="2">
        <v>45992</v>
      </c>
      <c r="M2843" t="s">
        <v>89</v>
      </c>
      <c r="N2843">
        <v>0</v>
      </c>
      <c r="O2843" t="s">
        <v>31</v>
      </c>
      <c r="P2843" t="s">
        <v>83</v>
      </c>
      <c r="Q2843">
        <v>0</v>
      </c>
    </row>
    <row r="2844" spans="1:17" x14ac:dyDescent="0.3">
      <c r="A2844" t="s">
        <v>17</v>
      </c>
      <c r="B2844">
        <v>63</v>
      </c>
      <c r="C2844" t="s">
        <v>18</v>
      </c>
      <c r="D2844" s="2">
        <v>46002</v>
      </c>
      <c r="E2844" s="3">
        <f t="shared" si="44"/>
        <v>45992</v>
      </c>
      <c r="F2844">
        <v>223029</v>
      </c>
      <c r="G2844" t="s">
        <v>251</v>
      </c>
      <c r="H2844" s="4">
        <v>2000</v>
      </c>
      <c r="I2844" t="s">
        <v>47</v>
      </c>
      <c r="J2844" t="s">
        <v>22</v>
      </c>
      <c r="K2844" t="s">
        <v>1556</v>
      </c>
      <c r="L2844" s="2">
        <v>45992</v>
      </c>
      <c r="M2844" t="s">
        <v>24</v>
      </c>
      <c r="N2844">
        <v>0</v>
      </c>
      <c r="O2844" t="s">
        <v>26</v>
      </c>
      <c r="P2844" t="s">
        <v>18</v>
      </c>
      <c r="Q2844" t="s">
        <v>27</v>
      </c>
    </row>
    <row r="2845" spans="1:17" x14ac:dyDescent="0.3">
      <c r="A2845" t="s">
        <v>17</v>
      </c>
      <c r="B2845">
        <v>63</v>
      </c>
      <c r="C2845" t="s">
        <v>18</v>
      </c>
      <c r="D2845" s="2">
        <v>46002</v>
      </c>
      <c r="E2845" s="3">
        <f t="shared" si="44"/>
        <v>45992</v>
      </c>
      <c r="F2845">
        <v>223029</v>
      </c>
      <c r="G2845" t="s">
        <v>251</v>
      </c>
      <c r="H2845" s="4">
        <v>4000</v>
      </c>
      <c r="I2845" t="s">
        <v>47</v>
      </c>
      <c r="J2845" t="s">
        <v>22</v>
      </c>
      <c r="K2845" t="s">
        <v>2480</v>
      </c>
      <c r="L2845" s="2">
        <v>45992</v>
      </c>
      <c r="M2845" t="s">
        <v>24</v>
      </c>
      <c r="N2845">
        <v>0</v>
      </c>
      <c r="O2845" t="s">
        <v>26</v>
      </c>
      <c r="P2845" t="s">
        <v>18</v>
      </c>
      <c r="Q2845" t="s">
        <v>27</v>
      </c>
    </row>
    <row r="2846" spans="1:17" x14ac:dyDescent="0.3">
      <c r="A2846" t="s">
        <v>17</v>
      </c>
      <c r="B2846">
        <v>63</v>
      </c>
      <c r="C2846" t="s">
        <v>18</v>
      </c>
      <c r="D2846" s="2">
        <v>46002</v>
      </c>
      <c r="E2846" s="3">
        <f t="shared" si="44"/>
        <v>45992</v>
      </c>
      <c r="F2846">
        <v>223029</v>
      </c>
      <c r="G2846" t="s">
        <v>251</v>
      </c>
      <c r="H2846" s="4">
        <v>6000</v>
      </c>
      <c r="I2846" t="s">
        <v>47</v>
      </c>
      <c r="J2846" t="s">
        <v>22</v>
      </c>
      <c r="K2846" t="s">
        <v>2481</v>
      </c>
      <c r="L2846" s="2">
        <v>45992</v>
      </c>
      <c r="M2846" t="s">
        <v>24</v>
      </c>
      <c r="N2846">
        <v>0</v>
      </c>
      <c r="O2846" t="s">
        <v>26</v>
      </c>
      <c r="P2846" t="s">
        <v>18</v>
      </c>
      <c r="Q2846" t="s">
        <v>27</v>
      </c>
    </row>
    <row r="2847" spans="1:17" x14ac:dyDescent="0.3">
      <c r="A2847" t="s">
        <v>17</v>
      </c>
      <c r="B2847">
        <v>68</v>
      </c>
      <c r="C2847" t="s">
        <v>34</v>
      </c>
      <c r="D2847" s="2">
        <v>46002</v>
      </c>
      <c r="E2847" s="3">
        <f t="shared" si="44"/>
        <v>45992</v>
      </c>
      <c r="F2847" t="s">
        <v>2472</v>
      </c>
      <c r="G2847" t="s">
        <v>1334</v>
      </c>
      <c r="H2847" s="4">
        <v>33.4</v>
      </c>
      <c r="I2847" t="s">
        <v>31</v>
      </c>
      <c r="J2847" t="s">
        <v>109</v>
      </c>
      <c r="K2847" t="s">
        <v>2482</v>
      </c>
      <c r="L2847" s="2">
        <v>45992</v>
      </c>
      <c r="M2847" t="s">
        <v>109</v>
      </c>
      <c r="N2847">
        <v>0</v>
      </c>
      <c r="O2847" t="s">
        <v>31</v>
      </c>
      <c r="P2847" t="s">
        <v>112</v>
      </c>
      <c r="Q2847" t="s">
        <v>113</v>
      </c>
    </row>
    <row r="2848" spans="1:17" x14ac:dyDescent="0.3">
      <c r="A2848" t="s">
        <v>17</v>
      </c>
      <c r="B2848">
        <v>67</v>
      </c>
      <c r="C2848" t="s">
        <v>28</v>
      </c>
      <c r="D2848" s="2">
        <v>46002</v>
      </c>
      <c r="E2848" s="3">
        <f t="shared" si="44"/>
        <v>45992</v>
      </c>
      <c r="F2848" t="s">
        <v>2472</v>
      </c>
      <c r="G2848" t="s">
        <v>1334</v>
      </c>
      <c r="H2848" s="4">
        <v>163.31</v>
      </c>
      <c r="I2848" t="s">
        <v>31</v>
      </c>
      <c r="J2848" t="s">
        <v>74</v>
      </c>
      <c r="K2848" t="s">
        <v>247</v>
      </c>
      <c r="L2848" s="2">
        <v>45992</v>
      </c>
      <c r="M2848" t="s">
        <v>76</v>
      </c>
      <c r="N2848">
        <v>0</v>
      </c>
      <c r="O2848" t="s">
        <v>31</v>
      </c>
      <c r="P2848" t="s">
        <v>28</v>
      </c>
      <c r="Q2848">
        <v>0</v>
      </c>
    </row>
    <row r="2849" spans="1:17" x14ac:dyDescent="0.3">
      <c r="A2849" t="s">
        <v>17</v>
      </c>
      <c r="B2849">
        <v>67</v>
      </c>
      <c r="C2849" t="s">
        <v>28</v>
      </c>
      <c r="D2849" s="2">
        <v>46002</v>
      </c>
      <c r="E2849" s="3">
        <f t="shared" si="44"/>
        <v>45992</v>
      </c>
      <c r="F2849" t="s">
        <v>2472</v>
      </c>
      <c r="G2849" t="s">
        <v>1334</v>
      </c>
      <c r="H2849" s="4">
        <v>30.58</v>
      </c>
      <c r="I2849" t="s">
        <v>31</v>
      </c>
      <c r="J2849" t="s">
        <v>74</v>
      </c>
      <c r="K2849" t="s">
        <v>247</v>
      </c>
      <c r="L2849" s="2">
        <v>45992</v>
      </c>
      <c r="M2849" t="s">
        <v>76</v>
      </c>
      <c r="N2849">
        <v>0</v>
      </c>
      <c r="O2849" t="s">
        <v>31</v>
      </c>
      <c r="P2849" t="s">
        <v>28</v>
      </c>
      <c r="Q2849">
        <v>0</v>
      </c>
    </row>
    <row r="2850" spans="1:17" x14ac:dyDescent="0.3">
      <c r="A2850" t="s">
        <v>17</v>
      </c>
      <c r="B2850">
        <v>67</v>
      </c>
      <c r="C2850" t="s">
        <v>28</v>
      </c>
      <c r="D2850" s="2">
        <v>46002</v>
      </c>
      <c r="E2850" s="3">
        <f t="shared" si="44"/>
        <v>45992</v>
      </c>
      <c r="F2850" t="s">
        <v>2472</v>
      </c>
      <c r="G2850" t="s">
        <v>1334</v>
      </c>
      <c r="H2850" s="4">
        <v>108.88</v>
      </c>
      <c r="I2850" t="s">
        <v>31</v>
      </c>
      <c r="J2850" t="s">
        <v>74</v>
      </c>
      <c r="K2850" t="s">
        <v>2139</v>
      </c>
      <c r="L2850" s="2">
        <v>45992</v>
      </c>
      <c r="M2850" t="s">
        <v>76</v>
      </c>
      <c r="N2850">
        <v>0</v>
      </c>
      <c r="O2850" t="s">
        <v>31</v>
      </c>
      <c r="P2850" t="s">
        <v>28</v>
      </c>
      <c r="Q2850">
        <v>0</v>
      </c>
    </row>
    <row r="2851" spans="1:17" x14ac:dyDescent="0.3">
      <c r="A2851" t="s">
        <v>17</v>
      </c>
      <c r="B2851">
        <v>64</v>
      </c>
      <c r="C2851" t="s">
        <v>83</v>
      </c>
      <c r="D2851" s="2">
        <v>46003</v>
      </c>
      <c r="E2851" s="3">
        <f t="shared" si="44"/>
        <v>45992</v>
      </c>
      <c r="F2851" t="s">
        <v>2483</v>
      </c>
      <c r="G2851" t="s">
        <v>824</v>
      </c>
      <c r="H2851" s="4">
        <v>50.84</v>
      </c>
      <c r="I2851" t="s">
        <v>108</v>
      </c>
      <c r="J2851" t="s">
        <v>91</v>
      </c>
      <c r="K2851" t="s">
        <v>2484</v>
      </c>
      <c r="L2851" s="2">
        <v>45992</v>
      </c>
      <c r="M2851" t="s">
        <v>93</v>
      </c>
      <c r="N2851">
        <v>0</v>
      </c>
      <c r="O2851" t="s">
        <v>111</v>
      </c>
      <c r="P2851" t="s">
        <v>83</v>
      </c>
      <c r="Q2851">
        <v>0</v>
      </c>
    </row>
    <row r="2852" spans="1:17" x14ac:dyDescent="0.3">
      <c r="A2852" t="s">
        <v>17</v>
      </c>
      <c r="B2852">
        <v>67</v>
      </c>
      <c r="C2852" t="s">
        <v>28</v>
      </c>
      <c r="D2852" s="2">
        <v>46003</v>
      </c>
      <c r="E2852" s="3">
        <f t="shared" si="44"/>
        <v>45992</v>
      </c>
      <c r="F2852">
        <v>29234</v>
      </c>
      <c r="G2852" t="s">
        <v>673</v>
      </c>
      <c r="H2852" s="4">
        <v>3.1</v>
      </c>
      <c r="I2852" t="s">
        <v>47</v>
      </c>
      <c r="J2852" t="s">
        <v>48</v>
      </c>
      <c r="K2852" t="s">
        <v>2485</v>
      </c>
      <c r="L2852" s="2">
        <v>45992</v>
      </c>
      <c r="M2852" t="s">
        <v>50</v>
      </c>
      <c r="N2852">
        <v>0</v>
      </c>
      <c r="O2852" t="s">
        <v>26</v>
      </c>
      <c r="P2852" t="s">
        <v>28</v>
      </c>
      <c r="Q2852">
        <v>0</v>
      </c>
    </row>
    <row r="2853" spans="1:17" x14ac:dyDescent="0.3">
      <c r="A2853" t="s">
        <v>17</v>
      </c>
      <c r="B2853">
        <v>67</v>
      </c>
      <c r="C2853" t="s">
        <v>28</v>
      </c>
      <c r="D2853" s="2">
        <v>46003</v>
      </c>
      <c r="E2853" s="3">
        <f t="shared" si="44"/>
        <v>45992</v>
      </c>
      <c r="F2853">
        <v>29234</v>
      </c>
      <c r="G2853" t="s">
        <v>673</v>
      </c>
      <c r="H2853" s="4">
        <v>19.91</v>
      </c>
      <c r="I2853" t="s">
        <v>47</v>
      </c>
      <c r="J2853" t="s">
        <v>48</v>
      </c>
      <c r="K2853" t="s">
        <v>2486</v>
      </c>
      <c r="L2853" s="2">
        <v>45992</v>
      </c>
      <c r="M2853" t="s">
        <v>50</v>
      </c>
      <c r="N2853">
        <v>0</v>
      </c>
      <c r="O2853" t="s">
        <v>26</v>
      </c>
      <c r="P2853" t="s">
        <v>28</v>
      </c>
      <c r="Q2853">
        <v>0</v>
      </c>
    </row>
    <row r="2854" spans="1:17" x14ac:dyDescent="0.3">
      <c r="A2854" t="s">
        <v>17</v>
      </c>
      <c r="B2854">
        <v>67</v>
      </c>
      <c r="C2854" t="s">
        <v>28</v>
      </c>
      <c r="D2854" s="2">
        <v>46003</v>
      </c>
      <c r="E2854" s="3">
        <f t="shared" si="44"/>
        <v>45992</v>
      </c>
      <c r="F2854">
        <v>29234</v>
      </c>
      <c r="G2854" t="s">
        <v>673</v>
      </c>
      <c r="H2854" s="4">
        <v>17.47</v>
      </c>
      <c r="I2854" t="s">
        <v>47</v>
      </c>
      <c r="J2854" t="s">
        <v>48</v>
      </c>
      <c r="K2854" t="s">
        <v>2487</v>
      </c>
      <c r="L2854" s="2">
        <v>45992</v>
      </c>
      <c r="M2854" t="s">
        <v>50</v>
      </c>
      <c r="N2854">
        <v>0</v>
      </c>
      <c r="O2854" t="s">
        <v>26</v>
      </c>
      <c r="P2854" t="s">
        <v>28</v>
      </c>
      <c r="Q2854">
        <v>0</v>
      </c>
    </row>
    <row r="2855" spans="1:17" x14ac:dyDescent="0.3">
      <c r="A2855" t="s">
        <v>17</v>
      </c>
      <c r="B2855">
        <v>67</v>
      </c>
      <c r="C2855" t="s">
        <v>28</v>
      </c>
      <c r="D2855" s="2">
        <v>46003</v>
      </c>
      <c r="E2855" s="3">
        <f t="shared" si="44"/>
        <v>45992</v>
      </c>
      <c r="F2855">
        <v>29234</v>
      </c>
      <c r="G2855" t="s">
        <v>673</v>
      </c>
      <c r="H2855" s="4">
        <v>19.91</v>
      </c>
      <c r="I2855" t="s">
        <v>47</v>
      </c>
      <c r="J2855" t="s">
        <v>48</v>
      </c>
      <c r="K2855" t="s">
        <v>2488</v>
      </c>
      <c r="L2855" s="2">
        <v>45992</v>
      </c>
      <c r="M2855" t="s">
        <v>50</v>
      </c>
      <c r="N2855">
        <v>0</v>
      </c>
      <c r="O2855" t="s">
        <v>26</v>
      </c>
      <c r="P2855" t="s">
        <v>28</v>
      </c>
      <c r="Q2855">
        <v>0</v>
      </c>
    </row>
    <row r="2856" spans="1:17" x14ac:dyDescent="0.3">
      <c r="A2856" t="s">
        <v>17</v>
      </c>
      <c r="B2856">
        <v>67</v>
      </c>
      <c r="C2856" t="s">
        <v>28</v>
      </c>
      <c r="D2856" s="2">
        <v>46003</v>
      </c>
      <c r="E2856" s="3">
        <f t="shared" si="44"/>
        <v>45992</v>
      </c>
      <c r="F2856">
        <v>29234</v>
      </c>
      <c r="G2856" t="s">
        <v>673</v>
      </c>
      <c r="H2856" s="4">
        <v>6.24</v>
      </c>
      <c r="I2856" t="s">
        <v>47</v>
      </c>
      <c r="J2856" t="s">
        <v>48</v>
      </c>
      <c r="K2856" t="s">
        <v>2489</v>
      </c>
      <c r="L2856" s="2">
        <v>45992</v>
      </c>
      <c r="M2856" t="s">
        <v>50</v>
      </c>
      <c r="N2856">
        <v>0</v>
      </c>
      <c r="O2856" t="s">
        <v>26</v>
      </c>
      <c r="P2856" t="s">
        <v>28</v>
      </c>
      <c r="Q2856">
        <v>0</v>
      </c>
    </row>
    <row r="2857" spans="1:17" x14ac:dyDescent="0.3">
      <c r="A2857" t="s">
        <v>17</v>
      </c>
      <c r="B2857">
        <v>67</v>
      </c>
      <c r="C2857" t="s">
        <v>28</v>
      </c>
      <c r="D2857" s="2">
        <v>46003</v>
      </c>
      <c r="E2857" s="3">
        <f t="shared" si="44"/>
        <v>45992</v>
      </c>
      <c r="F2857">
        <v>29234</v>
      </c>
      <c r="G2857" t="s">
        <v>673</v>
      </c>
      <c r="H2857" s="4">
        <v>13.67</v>
      </c>
      <c r="I2857" t="s">
        <v>47</v>
      </c>
      <c r="J2857" t="s">
        <v>48</v>
      </c>
      <c r="K2857" t="s">
        <v>2490</v>
      </c>
      <c r="L2857" s="2">
        <v>45992</v>
      </c>
      <c r="M2857" t="s">
        <v>50</v>
      </c>
      <c r="N2857">
        <v>0</v>
      </c>
      <c r="O2857" t="s">
        <v>26</v>
      </c>
      <c r="P2857" t="s">
        <v>28</v>
      </c>
      <c r="Q2857">
        <v>0</v>
      </c>
    </row>
    <row r="2858" spans="1:17" x14ac:dyDescent="0.3">
      <c r="A2858" t="s">
        <v>17</v>
      </c>
      <c r="B2858">
        <v>67</v>
      </c>
      <c r="C2858" t="s">
        <v>28</v>
      </c>
      <c r="D2858" s="2">
        <v>46003</v>
      </c>
      <c r="E2858" s="3">
        <f t="shared" si="44"/>
        <v>45992</v>
      </c>
      <c r="F2858">
        <v>29234</v>
      </c>
      <c r="G2858" t="s">
        <v>673</v>
      </c>
      <c r="H2858" s="4">
        <v>17.47</v>
      </c>
      <c r="I2858" t="s">
        <v>47</v>
      </c>
      <c r="J2858" t="s">
        <v>48</v>
      </c>
      <c r="K2858" t="s">
        <v>2491</v>
      </c>
      <c r="L2858" s="2">
        <v>45992</v>
      </c>
      <c r="M2858" t="s">
        <v>50</v>
      </c>
      <c r="N2858">
        <v>0</v>
      </c>
      <c r="O2858" t="s">
        <v>26</v>
      </c>
      <c r="P2858" t="s">
        <v>28</v>
      </c>
      <c r="Q2858">
        <v>0</v>
      </c>
    </row>
    <row r="2859" spans="1:17" x14ac:dyDescent="0.3">
      <c r="A2859" t="s">
        <v>17</v>
      </c>
      <c r="B2859">
        <v>67</v>
      </c>
      <c r="C2859" t="s">
        <v>28</v>
      </c>
      <c r="D2859" s="2">
        <v>46003</v>
      </c>
      <c r="E2859" s="3">
        <f t="shared" si="44"/>
        <v>45992</v>
      </c>
      <c r="F2859">
        <v>29234</v>
      </c>
      <c r="G2859" t="s">
        <v>673</v>
      </c>
      <c r="H2859" s="4">
        <v>19.91</v>
      </c>
      <c r="I2859" t="s">
        <v>47</v>
      </c>
      <c r="J2859" t="s">
        <v>48</v>
      </c>
      <c r="K2859" t="s">
        <v>2492</v>
      </c>
      <c r="L2859" s="2">
        <v>45992</v>
      </c>
      <c r="M2859" t="s">
        <v>50</v>
      </c>
      <c r="N2859">
        <v>0</v>
      </c>
      <c r="O2859" t="s">
        <v>26</v>
      </c>
      <c r="P2859" t="s">
        <v>28</v>
      </c>
      <c r="Q2859">
        <v>0</v>
      </c>
    </row>
    <row r="2860" spans="1:17" x14ac:dyDescent="0.3">
      <c r="A2860" t="s">
        <v>17</v>
      </c>
      <c r="B2860">
        <v>67</v>
      </c>
      <c r="C2860" t="s">
        <v>28</v>
      </c>
      <c r="D2860" s="2">
        <v>46003</v>
      </c>
      <c r="E2860" s="3">
        <f t="shared" si="44"/>
        <v>45992</v>
      </c>
      <c r="F2860">
        <v>29234</v>
      </c>
      <c r="G2860" t="s">
        <v>673</v>
      </c>
      <c r="H2860" s="4">
        <v>25.48</v>
      </c>
      <c r="I2860" t="s">
        <v>47</v>
      </c>
      <c r="J2860" t="s">
        <v>48</v>
      </c>
      <c r="K2860" t="s">
        <v>2493</v>
      </c>
      <c r="L2860" s="2">
        <v>45992</v>
      </c>
      <c r="M2860" t="s">
        <v>50</v>
      </c>
      <c r="N2860">
        <v>0</v>
      </c>
      <c r="O2860" t="s">
        <v>26</v>
      </c>
      <c r="P2860" t="s">
        <v>28</v>
      </c>
      <c r="Q2860">
        <v>0</v>
      </c>
    </row>
    <row r="2861" spans="1:17" x14ac:dyDescent="0.3">
      <c r="A2861" t="s">
        <v>17</v>
      </c>
      <c r="B2861">
        <v>67</v>
      </c>
      <c r="C2861" t="s">
        <v>28</v>
      </c>
      <c r="D2861" s="2">
        <v>46003</v>
      </c>
      <c r="E2861" s="3">
        <f t="shared" si="44"/>
        <v>45992</v>
      </c>
      <c r="F2861">
        <v>29234</v>
      </c>
      <c r="G2861" t="s">
        <v>673</v>
      </c>
      <c r="H2861" s="4">
        <v>19.91</v>
      </c>
      <c r="I2861" t="s">
        <v>47</v>
      </c>
      <c r="J2861" t="s">
        <v>48</v>
      </c>
      <c r="K2861" t="s">
        <v>2494</v>
      </c>
      <c r="L2861" s="2">
        <v>45992</v>
      </c>
      <c r="M2861" t="s">
        <v>50</v>
      </c>
      <c r="N2861">
        <v>0</v>
      </c>
      <c r="O2861" t="s">
        <v>26</v>
      </c>
      <c r="P2861" t="s">
        <v>28</v>
      </c>
      <c r="Q2861">
        <v>0</v>
      </c>
    </row>
    <row r="2862" spans="1:17" x14ac:dyDescent="0.3">
      <c r="A2862" t="s">
        <v>17</v>
      </c>
      <c r="B2862">
        <v>67</v>
      </c>
      <c r="C2862" t="s">
        <v>28</v>
      </c>
      <c r="D2862" s="2">
        <v>46003</v>
      </c>
      <c r="E2862" s="3">
        <f t="shared" si="44"/>
        <v>45992</v>
      </c>
      <c r="F2862">
        <v>29234</v>
      </c>
      <c r="G2862" t="s">
        <v>673</v>
      </c>
      <c r="H2862" s="4">
        <v>28.65</v>
      </c>
      <c r="I2862" t="s">
        <v>47</v>
      </c>
      <c r="J2862" t="s">
        <v>48</v>
      </c>
      <c r="K2862" t="s">
        <v>2495</v>
      </c>
      <c r="L2862" s="2">
        <v>45992</v>
      </c>
      <c r="M2862" t="s">
        <v>50</v>
      </c>
      <c r="N2862">
        <v>0</v>
      </c>
      <c r="O2862" t="s">
        <v>26</v>
      </c>
      <c r="P2862" t="s">
        <v>28</v>
      </c>
      <c r="Q2862">
        <v>0</v>
      </c>
    </row>
    <row r="2863" spans="1:17" x14ac:dyDescent="0.3">
      <c r="A2863" t="s">
        <v>17</v>
      </c>
      <c r="B2863">
        <v>67</v>
      </c>
      <c r="C2863" t="s">
        <v>28</v>
      </c>
      <c r="D2863" s="2">
        <v>46003</v>
      </c>
      <c r="E2863" s="3">
        <f t="shared" si="44"/>
        <v>45992</v>
      </c>
      <c r="F2863">
        <v>29234</v>
      </c>
      <c r="G2863" t="s">
        <v>673</v>
      </c>
      <c r="H2863" s="4">
        <v>150.54</v>
      </c>
      <c r="I2863" t="s">
        <v>47</v>
      </c>
      <c r="J2863" t="s">
        <v>48</v>
      </c>
      <c r="K2863" t="s">
        <v>2496</v>
      </c>
      <c r="L2863" s="2">
        <v>45992</v>
      </c>
      <c r="M2863" t="s">
        <v>50</v>
      </c>
      <c r="N2863">
        <v>0</v>
      </c>
      <c r="O2863" t="s">
        <v>26</v>
      </c>
      <c r="P2863" t="s">
        <v>28</v>
      </c>
      <c r="Q2863">
        <v>0</v>
      </c>
    </row>
    <row r="2864" spans="1:17" x14ac:dyDescent="0.3">
      <c r="A2864" t="s">
        <v>17</v>
      </c>
      <c r="B2864">
        <v>67</v>
      </c>
      <c r="C2864" t="s">
        <v>28</v>
      </c>
      <c r="D2864" s="2">
        <v>46003</v>
      </c>
      <c r="E2864" s="3">
        <f t="shared" si="44"/>
        <v>45992</v>
      </c>
      <c r="F2864">
        <v>29234</v>
      </c>
      <c r="G2864" t="s">
        <v>673</v>
      </c>
      <c r="H2864" s="4">
        <v>17.399999999999999</v>
      </c>
      <c r="I2864" t="s">
        <v>47</v>
      </c>
      <c r="J2864" t="s">
        <v>48</v>
      </c>
      <c r="K2864" t="s">
        <v>2497</v>
      </c>
      <c r="L2864" s="2">
        <v>45992</v>
      </c>
      <c r="M2864" t="s">
        <v>50</v>
      </c>
      <c r="N2864">
        <v>0</v>
      </c>
      <c r="O2864" t="s">
        <v>26</v>
      </c>
      <c r="P2864" t="s">
        <v>28</v>
      </c>
      <c r="Q2864">
        <v>0</v>
      </c>
    </row>
    <row r="2865" spans="1:17" x14ac:dyDescent="0.3">
      <c r="A2865" t="s">
        <v>17</v>
      </c>
      <c r="B2865">
        <v>67</v>
      </c>
      <c r="C2865" t="s">
        <v>28</v>
      </c>
      <c r="D2865" s="2">
        <v>46003</v>
      </c>
      <c r="E2865" s="3">
        <f t="shared" si="44"/>
        <v>45992</v>
      </c>
      <c r="F2865">
        <v>29234</v>
      </c>
      <c r="G2865" t="s">
        <v>673</v>
      </c>
      <c r="H2865" s="4">
        <v>300</v>
      </c>
      <c r="I2865" t="s">
        <v>47</v>
      </c>
      <c r="J2865" t="s">
        <v>48</v>
      </c>
      <c r="K2865" t="s">
        <v>1350</v>
      </c>
      <c r="L2865" s="2">
        <v>45992</v>
      </c>
      <c r="M2865" t="s">
        <v>50</v>
      </c>
      <c r="N2865">
        <v>0</v>
      </c>
      <c r="O2865" t="s">
        <v>26</v>
      </c>
      <c r="P2865" t="s">
        <v>28</v>
      </c>
      <c r="Q2865">
        <v>0</v>
      </c>
    </row>
    <row r="2866" spans="1:17" x14ac:dyDescent="0.3">
      <c r="A2866" t="s">
        <v>17</v>
      </c>
      <c r="B2866">
        <v>67</v>
      </c>
      <c r="C2866" t="s">
        <v>28</v>
      </c>
      <c r="D2866" s="2">
        <v>46003</v>
      </c>
      <c r="E2866" s="3">
        <f t="shared" si="44"/>
        <v>45992</v>
      </c>
      <c r="F2866">
        <v>29234</v>
      </c>
      <c r="G2866" t="s">
        <v>673</v>
      </c>
      <c r="H2866" s="4">
        <v>300</v>
      </c>
      <c r="I2866" t="s">
        <v>47</v>
      </c>
      <c r="J2866" t="s">
        <v>48</v>
      </c>
      <c r="K2866" t="s">
        <v>1351</v>
      </c>
      <c r="L2866" s="2">
        <v>45992</v>
      </c>
      <c r="M2866" t="s">
        <v>50</v>
      </c>
      <c r="N2866">
        <v>0</v>
      </c>
      <c r="O2866" t="s">
        <v>26</v>
      </c>
      <c r="P2866" t="s">
        <v>28</v>
      </c>
      <c r="Q2866">
        <v>0</v>
      </c>
    </row>
    <row r="2867" spans="1:17" x14ac:dyDescent="0.3">
      <c r="A2867" t="s">
        <v>17</v>
      </c>
      <c r="B2867">
        <v>67</v>
      </c>
      <c r="C2867" t="s">
        <v>28</v>
      </c>
      <c r="D2867" s="2">
        <v>46003</v>
      </c>
      <c r="E2867" s="3">
        <f t="shared" si="44"/>
        <v>45992</v>
      </c>
      <c r="F2867">
        <v>29234</v>
      </c>
      <c r="G2867" t="s">
        <v>673</v>
      </c>
      <c r="H2867" s="4">
        <v>500</v>
      </c>
      <c r="I2867" t="s">
        <v>47</v>
      </c>
      <c r="J2867" t="s">
        <v>48</v>
      </c>
      <c r="K2867" t="s">
        <v>1353</v>
      </c>
      <c r="L2867" s="2">
        <v>45992</v>
      </c>
      <c r="M2867" t="s">
        <v>50</v>
      </c>
      <c r="N2867">
        <v>0</v>
      </c>
      <c r="O2867" t="s">
        <v>26</v>
      </c>
      <c r="P2867" t="s">
        <v>28</v>
      </c>
      <c r="Q2867">
        <v>0</v>
      </c>
    </row>
    <row r="2868" spans="1:17" x14ac:dyDescent="0.3">
      <c r="A2868" t="s">
        <v>17</v>
      </c>
      <c r="B2868">
        <v>67</v>
      </c>
      <c r="C2868" t="s">
        <v>28</v>
      </c>
      <c r="D2868" s="2">
        <v>46003</v>
      </c>
      <c r="E2868" s="3">
        <f t="shared" si="44"/>
        <v>45992</v>
      </c>
      <c r="F2868">
        <v>29234</v>
      </c>
      <c r="G2868" t="s">
        <v>673</v>
      </c>
      <c r="H2868" s="4">
        <v>10000</v>
      </c>
      <c r="I2868" t="s">
        <v>47</v>
      </c>
      <c r="J2868" t="s">
        <v>48</v>
      </c>
      <c r="K2868" t="s">
        <v>2498</v>
      </c>
      <c r="L2868" s="2">
        <v>45992</v>
      </c>
      <c r="M2868" t="s">
        <v>50</v>
      </c>
      <c r="N2868">
        <v>0</v>
      </c>
      <c r="O2868" t="s">
        <v>26</v>
      </c>
      <c r="P2868" t="s">
        <v>28</v>
      </c>
      <c r="Q2868">
        <v>0</v>
      </c>
    </row>
    <row r="2869" spans="1:17" x14ac:dyDescent="0.3">
      <c r="A2869" t="s">
        <v>17</v>
      </c>
      <c r="B2869">
        <v>63</v>
      </c>
      <c r="C2869" t="s">
        <v>18</v>
      </c>
      <c r="D2869" s="2">
        <v>46003</v>
      </c>
      <c r="E2869" s="3">
        <f t="shared" si="44"/>
        <v>45992</v>
      </c>
      <c r="F2869">
        <v>251212</v>
      </c>
      <c r="G2869" t="s">
        <v>271</v>
      </c>
      <c r="H2869" s="4">
        <v>2835</v>
      </c>
      <c r="I2869" t="s">
        <v>47</v>
      </c>
      <c r="J2869" t="s">
        <v>272</v>
      </c>
      <c r="K2869" t="s">
        <v>2499</v>
      </c>
      <c r="L2869" s="2">
        <v>45992</v>
      </c>
      <c r="M2869" t="s">
        <v>272</v>
      </c>
      <c r="N2869">
        <v>0</v>
      </c>
      <c r="O2869" t="s">
        <v>26</v>
      </c>
      <c r="P2869" t="s">
        <v>18</v>
      </c>
      <c r="Q2869" t="s">
        <v>274</v>
      </c>
    </row>
    <row r="2870" spans="1:17" x14ac:dyDescent="0.3">
      <c r="A2870" t="s">
        <v>17</v>
      </c>
      <c r="B2870">
        <v>63</v>
      </c>
      <c r="C2870" t="s">
        <v>18</v>
      </c>
      <c r="D2870" s="2">
        <v>46003</v>
      </c>
      <c r="E2870" s="3">
        <f t="shared" si="44"/>
        <v>45992</v>
      </c>
      <c r="F2870">
        <v>251212</v>
      </c>
      <c r="G2870" t="s">
        <v>271</v>
      </c>
      <c r="H2870" s="4">
        <v>800</v>
      </c>
      <c r="I2870" t="s">
        <v>47</v>
      </c>
      <c r="J2870" t="s">
        <v>272</v>
      </c>
      <c r="K2870" t="s">
        <v>2500</v>
      </c>
      <c r="L2870" s="2">
        <v>45992</v>
      </c>
      <c r="M2870" t="s">
        <v>272</v>
      </c>
      <c r="N2870">
        <v>0</v>
      </c>
      <c r="O2870" t="s">
        <v>26</v>
      </c>
      <c r="P2870" t="s">
        <v>18</v>
      </c>
      <c r="Q2870" t="s">
        <v>274</v>
      </c>
    </row>
    <row r="2871" spans="1:17" x14ac:dyDescent="0.3">
      <c r="A2871" t="s">
        <v>17</v>
      </c>
      <c r="B2871">
        <v>63</v>
      </c>
      <c r="C2871" t="s">
        <v>18</v>
      </c>
      <c r="D2871" s="2">
        <v>46003</v>
      </c>
      <c r="E2871" s="3">
        <f t="shared" si="44"/>
        <v>45992</v>
      </c>
      <c r="F2871">
        <v>251212</v>
      </c>
      <c r="G2871" t="s">
        <v>271</v>
      </c>
      <c r="H2871" s="4">
        <v>50</v>
      </c>
      <c r="I2871" t="s">
        <v>47</v>
      </c>
      <c r="J2871" t="s">
        <v>272</v>
      </c>
      <c r="K2871" t="s">
        <v>2501</v>
      </c>
      <c r="L2871" s="2">
        <v>45992</v>
      </c>
      <c r="M2871" t="s">
        <v>272</v>
      </c>
      <c r="N2871">
        <v>0</v>
      </c>
      <c r="O2871" t="s">
        <v>26</v>
      </c>
      <c r="P2871" t="s">
        <v>18</v>
      </c>
      <c r="Q2871" t="s">
        <v>274</v>
      </c>
    </row>
    <row r="2872" spans="1:17" x14ac:dyDescent="0.3">
      <c r="A2872" t="s">
        <v>17</v>
      </c>
      <c r="B2872">
        <v>63</v>
      </c>
      <c r="C2872" t="s">
        <v>18</v>
      </c>
      <c r="D2872" s="2">
        <v>46003</v>
      </c>
      <c r="E2872" s="3">
        <f t="shared" si="44"/>
        <v>45992</v>
      </c>
      <c r="F2872">
        <v>251212</v>
      </c>
      <c r="G2872" t="s">
        <v>271</v>
      </c>
      <c r="H2872" s="4">
        <v>400</v>
      </c>
      <c r="I2872" t="s">
        <v>47</v>
      </c>
      <c r="J2872" t="s">
        <v>272</v>
      </c>
      <c r="K2872" t="s">
        <v>1218</v>
      </c>
      <c r="L2872" s="2">
        <v>45992</v>
      </c>
      <c r="M2872" t="s">
        <v>272</v>
      </c>
      <c r="N2872">
        <v>0</v>
      </c>
      <c r="O2872" t="s">
        <v>26</v>
      </c>
      <c r="P2872" t="s">
        <v>18</v>
      </c>
      <c r="Q2872" t="s">
        <v>274</v>
      </c>
    </row>
    <row r="2873" spans="1:17" x14ac:dyDescent="0.3">
      <c r="A2873" t="s">
        <v>17</v>
      </c>
      <c r="B2873">
        <v>63</v>
      </c>
      <c r="C2873" t="s">
        <v>18</v>
      </c>
      <c r="D2873" s="2">
        <v>46003</v>
      </c>
      <c r="E2873" s="3">
        <f t="shared" si="44"/>
        <v>45992</v>
      </c>
      <c r="F2873">
        <v>251212</v>
      </c>
      <c r="G2873" t="s">
        <v>271</v>
      </c>
      <c r="H2873" s="4">
        <v>1700</v>
      </c>
      <c r="I2873" t="s">
        <v>47</v>
      </c>
      <c r="J2873" t="s">
        <v>272</v>
      </c>
      <c r="K2873" t="s">
        <v>1219</v>
      </c>
      <c r="L2873" s="2">
        <v>45992</v>
      </c>
      <c r="M2873" t="s">
        <v>272</v>
      </c>
      <c r="N2873">
        <v>0</v>
      </c>
      <c r="O2873" t="s">
        <v>26</v>
      </c>
      <c r="P2873" t="s">
        <v>18</v>
      </c>
      <c r="Q2873" t="s">
        <v>274</v>
      </c>
    </row>
    <row r="2874" spans="1:17" x14ac:dyDescent="0.3">
      <c r="A2874" t="s">
        <v>17</v>
      </c>
      <c r="B2874">
        <v>63</v>
      </c>
      <c r="C2874" t="s">
        <v>18</v>
      </c>
      <c r="D2874" s="2">
        <v>46003</v>
      </c>
      <c r="E2874" s="3">
        <f t="shared" si="44"/>
        <v>45992</v>
      </c>
      <c r="F2874">
        <v>251212</v>
      </c>
      <c r="G2874" t="s">
        <v>271</v>
      </c>
      <c r="H2874" s="4">
        <v>800</v>
      </c>
      <c r="I2874" t="s">
        <v>47</v>
      </c>
      <c r="J2874" t="s">
        <v>272</v>
      </c>
      <c r="K2874" t="s">
        <v>1220</v>
      </c>
      <c r="L2874" s="2">
        <v>45992</v>
      </c>
      <c r="M2874" t="s">
        <v>272</v>
      </c>
      <c r="N2874">
        <v>0</v>
      </c>
      <c r="O2874" t="s">
        <v>26</v>
      </c>
      <c r="P2874" t="s">
        <v>18</v>
      </c>
      <c r="Q2874" t="s">
        <v>274</v>
      </c>
    </row>
    <row r="2875" spans="1:17" x14ac:dyDescent="0.3">
      <c r="A2875" t="s">
        <v>17</v>
      </c>
      <c r="B2875">
        <v>63</v>
      </c>
      <c r="C2875" t="s">
        <v>18</v>
      </c>
      <c r="D2875" s="2">
        <v>46003</v>
      </c>
      <c r="E2875" s="3">
        <f t="shared" si="44"/>
        <v>45992</v>
      </c>
      <c r="F2875">
        <v>251212</v>
      </c>
      <c r="G2875" t="s">
        <v>271</v>
      </c>
      <c r="H2875" s="4">
        <v>3200</v>
      </c>
      <c r="I2875" t="s">
        <v>47</v>
      </c>
      <c r="J2875" t="s">
        <v>272</v>
      </c>
      <c r="K2875" t="s">
        <v>1221</v>
      </c>
      <c r="L2875" s="2">
        <v>45992</v>
      </c>
      <c r="M2875" t="s">
        <v>272</v>
      </c>
      <c r="N2875">
        <v>0</v>
      </c>
      <c r="O2875" t="s">
        <v>26</v>
      </c>
      <c r="P2875" t="s">
        <v>18</v>
      </c>
      <c r="Q2875" t="s">
        <v>274</v>
      </c>
    </row>
    <row r="2876" spans="1:17" x14ac:dyDescent="0.3">
      <c r="A2876" t="s">
        <v>17</v>
      </c>
      <c r="B2876">
        <v>63</v>
      </c>
      <c r="C2876" t="s">
        <v>18</v>
      </c>
      <c r="D2876" s="2">
        <v>46003</v>
      </c>
      <c r="E2876" s="3">
        <f t="shared" si="44"/>
        <v>45992</v>
      </c>
      <c r="F2876">
        <v>840924</v>
      </c>
      <c r="G2876" t="s">
        <v>125</v>
      </c>
      <c r="H2876" s="4">
        <v>82.5</v>
      </c>
      <c r="I2876" t="s">
        <v>47</v>
      </c>
      <c r="J2876" t="s">
        <v>22</v>
      </c>
      <c r="K2876" t="s">
        <v>2502</v>
      </c>
      <c r="L2876" s="2">
        <v>45992</v>
      </c>
      <c r="M2876" t="s">
        <v>24</v>
      </c>
      <c r="N2876">
        <v>0</v>
      </c>
      <c r="O2876" t="s">
        <v>26</v>
      </c>
      <c r="P2876" t="s">
        <v>18</v>
      </c>
      <c r="Q2876" t="s">
        <v>27</v>
      </c>
    </row>
    <row r="2877" spans="1:17" x14ac:dyDescent="0.3">
      <c r="A2877" t="s">
        <v>17</v>
      </c>
      <c r="B2877">
        <v>63</v>
      </c>
      <c r="C2877" t="s">
        <v>18</v>
      </c>
      <c r="D2877" s="2">
        <v>46003</v>
      </c>
      <c r="E2877" s="3">
        <f t="shared" si="44"/>
        <v>45992</v>
      </c>
      <c r="F2877">
        <v>840924</v>
      </c>
      <c r="G2877" t="s">
        <v>125</v>
      </c>
      <c r="H2877" s="4">
        <v>412.5</v>
      </c>
      <c r="I2877" t="s">
        <v>47</v>
      </c>
      <c r="J2877" t="s">
        <v>22</v>
      </c>
      <c r="K2877" t="s">
        <v>2503</v>
      </c>
      <c r="L2877" s="2">
        <v>45992</v>
      </c>
      <c r="M2877" t="s">
        <v>24</v>
      </c>
      <c r="N2877">
        <v>0</v>
      </c>
      <c r="O2877" t="s">
        <v>26</v>
      </c>
      <c r="P2877" t="s">
        <v>18</v>
      </c>
      <c r="Q2877" t="s">
        <v>27</v>
      </c>
    </row>
    <row r="2878" spans="1:17" x14ac:dyDescent="0.3">
      <c r="A2878" t="s">
        <v>17</v>
      </c>
      <c r="B2878">
        <v>68</v>
      </c>
      <c r="C2878" t="s">
        <v>34</v>
      </c>
      <c r="D2878" s="2">
        <v>46003</v>
      </c>
      <c r="E2878" s="3">
        <f t="shared" si="44"/>
        <v>45992</v>
      </c>
      <c r="F2878" t="s">
        <v>2483</v>
      </c>
      <c r="G2878" t="s">
        <v>824</v>
      </c>
      <c r="H2878" s="4">
        <v>135</v>
      </c>
      <c r="I2878" t="s">
        <v>108</v>
      </c>
      <c r="J2878" t="s">
        <v>79</v>
      </c>
      <c r="K2878" t="s">
        <v>2504</v>
      </c>
      <c r="L2878" s="2">
        <v>45992</v>
      </c>
      <c r="M2878" t="s">
        <v>79</v>
      </c>
      <c r="N2878">
        <v>0</v>
      </c>
      <c r="O2878" t="s">
        <v>111</v>
      </c>
      <c r="P2878" t="s">
        <v>34</v>
      </c>
      <c r="Q2878">
        <v>0</v>
      </c>
    </row>
    <row r="2879" spans="1:17" x14ac:dyDescent="0.3">
      <c r="A2879" t="s">
        <v>17</v>
      </c>
      <c r="B2879">
        <v>68</v>
      </c>
      <c r="C2879" t="s">
        <v>34</v>
      </c>
      <c r="D2879" s="2">
        <v>46003</v>
      </c>
      <c r="E2879" s="3">
        <f t="shared" si="44"/>
        <v>45992</v>
      </c>
      <c r="F2879" t="s">
        <v>2505</v>
      </c>
      <c r="G2879" t="s">
        <v>122</v>
      </c>
      <c r="H2879" s="4">
        <v>18.649999999999999</v>
      </c>
      <c r="I2879" t="s">
        <v>108</v>
      </c>
      <c r="J2879" t="s">
        <v>109</v>
      </c>
      <c r="K2879" t="s">
        <v>2506</v>
      </c>
      <c r="L2879" s="2">
        <v>45992</v>
      </c>
      <c r="M2879" t="s">
        <v>109</v>
      </c>
      <c r="N2879">
        <v>0</v>
      </c>
      <c r="O2879" t="s">
        <v>111</v>
      </c>
      <c r="P2879" t="s">
        <v>112</v>
      </c>
      <c r="Q2879" t="s">
        <v>113</v>
      </c>
    </row>
    <row r="2880" spans="1:17" x14ac:dyDescent="0.3">
      <c r="A2880" t="s">
        <v>17</v>
      </c>
      <c r="B2880">
        <v>67</v>
      </c>
      <c r="C2880" t="s">
        <v>28</v>
      </c>
      <c r="D2880" s="2">
        <v>46003</v>
      </c>
      <c r="E2880" s="3">
        <f t="shared" si="44"/>
        <v>45992</v>
      </c>
      <c r="F2880" t="s">
        <v>2507</v>
      </c>
      <c r="H2880" s="4">
        <v>-16.12</v>
      </c>
      <c r="I2880" t="s">
        <v>31</v>
      </c>
      <c r="J2880" t="s">
        <v>60</v>
      </c>
      <c r="L2880" s="2">
        <v>45992</v>
      </c>
      <c r="M2880" t="s">
        <v>60</v>
      </c>
      <c r="N2880">
        <v>0</v>
      </c>
      <c r="O2880" t="s">
        <v>31</v>
      </c>
      <c r="P2880" t="s">
        <v>28</v>
      </c>
      <c r="Q2880">
        <v>0</v>
      </c>
    </row>
    <row r="2881" spans="1:17" x14ac:dyDescent="0.3">
      <c r="A2881" t="s">
        <v>17</v>
      </c>
      <c r="B2881">
        <v>67</v>
      </c>
      <c r="C2881" t="s">
        <v>28</v>
      </c>
      <c r="D2881" s="2">
        <v>46003</v>
      </c>
      <c r="E2881" s="3">
        <f t="shared" si="44"/>
        <v>45992</v>
      </c>
      <c r="F2881" t="s">
        <v>2507</v>
      </c>
      <c r="H2881" s="4">
        <v>-14.18</v>
      </c>
      <c r="I2881" t="s">
        <v>31</v>
      </c>
      <c r="J2881" t="s">
        <v>60</v>
      </c>
      <c r="L2881" s="2">
        <v>45992</v>
      </c>
      <c r="M2881" t="s">
        <v>60</v>
      </c>
      <c r="N2881">
        <v>0</v>
      </c>
      <c r="O2881" t="s">
        <v>31</v>
      </c>
      <c r="P2881" t="s">
        <v>28</v>
      </c>
      <c r="Q2881">
        <v>0</v>
      </c>
    </row>
    <row r="2882" spans="1:17" x14ac:dyDescent="0.3">
      <c r="A2882" t="s">
        <v>17</v>
      </c>
      <c r="B2882">
        <v>67</v>
      </c>
      <c r="C2882" t="s">
        <v>28</v>
      </c>
      <c r="D2882" s="2">
        <v>46003</v>
      </c>
      <c r="E2882" s="3">
        <f t="shared" si="44"/>
        <v>45992</v>
      </c>
      <c r="F2882" t="s">
        <v>2507</v>
      </c>
      <c r="H2882" s="4">
        <v>-28.33</v>
      </c>
      <c r="I2882" t="s">
        <v>31</v>
      </c>
      <c r="J2882" t="s">
        <v>60</v>
      </c>
      <c r="L2882" s="2">
        <v>45992</v>
      </c>
      <c r="M2882" t="s">
        <v>60</v>
      </c>
      <c r="N2882">
        <v>0</v>
      </c>
      <c r="O2882" t="s">
        <v>31</v>
      </c>
      <c r="P2882" t="s">
        <v>28</v>
      </c>
      <c r="Q2882">
        <v>0</v>
      </c>
    </row>
    <row r="2883" spans="1:17" x14ac:dyDescent="0.3">
      <c r="A2883" t="s">
        <v>17</v>
      </c>
      <c r="B2883">
        <v>67</v>
      </c>
      <c r="C2883" t="s">
        <v>28</v>
      </c>
      <c r="D2883" s="2">
        <v>46003</v>
      </c>
      <c r="E2883" s="3">
        <f t="shared" ref="E2883:E2946" si="45">IF($D2883="","",DATE(YEAR($D2883),MONTH($D2883),1))</f>
        <v>45992</v>
      </c>
      <c r="F2883" t="s">
        <v>2507</v>
      </c>
      <c r="H2883" s="4">
        <v>-39.71</v>
      </c>
      <c r="I2883" t="s">
        <v>31</v>
      </c>
      <c r="J2883" t="s">
        <v>60</v>
      </c>
      <c r="L2883" s="2">
        <v>45992</v>
      </c>
      <c r="M2883" t="s">
        <v>60</v>
      </c>
      <c r="N2883">
        <v>0</v>
      </c>
      <c r="O2883" t="s">
        <v>31</v>
      </c>
      <c r="P2883" t="s">
        <v>28</v>
      </c>
      <c r="Q2883">
        <v>0</v>
      </c>
    </row>
    <row r="2884" spans="1:17" x14ac:dyDescent="0.3">
      <c r="A2884" t="s">
        <v>17</v>
      </c>
      <c r="B2884">
        <v>67</v>
      </c>
      <c r="C2884" t="s">
        <v>28</v>
      </c>
      <c r="D2884" s="2">
        <v>46003</v>
      </c>
      <c r="E2884" s="3">
        <f t="shared" si="45"/>
        <v>45992</v>
      </c>
      <c r="F2884" t="s">
        <v>2507</v>
      </c>
      <c r="H2884" s="4">
        <v>-1.2</v>
      </c>
      <c r="I2884" t="s">
        <v>31</v>
      </c>
      <c r="J2884" t="s">
        <v>60</v>
      </c>
      <c r="L2884" s="2">
        <v>45992</v>
      </c>
      <c r="M2884" t="s">
        <v>60</v>
      </c>
      <c r="N2884">
        <v>0</v>
      </c>
      <c r="O2884" t="s">
        <v>31</v>
      </c>
      <c r="P2884" t="s">
        <v>28</v>
      </c>
      <c r="Q2884">
        <v>0</v>
      </c>
    </row>
    <row r="2885" spans="1:17" x14ac:dyDescent="0.3">
      <c r="A2885" t="s">
        <v>17</v>
      </c>
      <c r="B2885">
        <v>67</v>
      </c>
      <c r="C2885" t="s">
        <v>28</v>
      </c>
      <c r="D2885" s="2">
        <v>46003</v>
      </c>
      <c r="E2885" s="3">
        <f t="shared" si="45"/>
        <v>45992</v>
      </c>
      <c r="F2885" t="s">
        <v>2507</v>
      </c>
      <c r="H2885" s="4">
        <v>-27.15</v>
      </c>
      <c r="I2885" t="s">
        <v>31</v>
      </c>
      <c r="J2885" t="s">
        <v>60</v>
      </c>
      <c r="L2885" s="2">
        <v>45992</v>
      </c>
      <c r="M2885" t="s">
        <v>60</v>
      </c>
      <c r="N2885">
        <v>0</v>
      </c>
      <c r="O2885" t="s">
        <v>31</v>
      </c>
      <c r="P2885" t="s">
        <v>28</v>
      </c>
      <c r="Q2885">
        <v>0</v>
      </c>
    </row>
    <row r="2886" spans="1:17" x14ac:dyDescent="0.3">
      <c r="A2886" t="s">
        <v>17</v>
      </c>
      <c r="B2886">
        <v>67</v>
      </c>
      <c r="C2886" t="s">
        <v>28</v>
      </c>
      <c r="D2886" s="2">
        <v>46003</v>
      </c>
      <c r="E2886" s="3">
        <f t="shared" si="45"/>
        <v>45992</v>
      </c>
      <c r="F2886" t="s">
        <v>2507</v>
      </c>
      <c r="H2886" s="4">
        <v>-34.78</v>
      </c>
      <c r="I2886" t="s">
        <v>31</v>
      </c>
      <c r="J2886" t="s">
        <v>60</v>
      </c>
      <c r="L2886" s="2">
        <v>45992</v>
      </c>
      <c r="M2886" t="s">
        <v>60</v>
      </c>
      <c r="N2886">
        <v>0</v>
      </c>
      <c r="O2886" t="s">
        <v>31</v>
      </c>
      <c r="P2886" t="s">
        <v>28</v>
      </c>
      <c r="Q2886">
        <v>0</v>
      </c>
    </row>
    <row r="2887" spans="1:17" x14ac:dyDescent="0.3">
      <c r="A2887" t="s">
        <v>17</v>
      </c>
      <c r="B2887">
        <v>67</v>
      </c>
      <c r="C2887" t="s">
        <v>28</v>
      </c>
      <c r="D2887" s="2">
        <v>46003</v>
      </c>
      <c r="E2887" s="3">
        <f t="shared" si="45"/>
        <v>45992</v>
      </c>
      <c r="F2887" t="s">
        <v>2507</v>
      </c>
      <c r="H2887" s="4">
        <v>-6.74</v>
      </c>
      <c r="I2887" t="s">
        <v>31</v>
      </c>
      <c r="J2887" t="s">
        <v>60</v>
      </c>
      <c r="L2887" s="2">
        <v>45992</v>
      </c>
      <c r="M2887" t="s">
        <v>60</v>
      </c>
      <c r="N2887">
        <v>0</v>
      </c>
      <c r="O2887" t="s">
        <v>31</v>
      </c>
      <c r="P2887" t="s">
        <v>28</v>
      </c>
      <c r="Q2887">
        <v>0</v>
      </c>
    </row>
    <row r="2888" spans="1:17" x14ac:dyDescent="0.3">
      <c r="A2888" t="s">
        <v>17</v>
      </c>
      <c r="B2888">
        <v>64</v>
      </c>
      <c r="C2888" t="s">
        <v>83</v>
      </c>
      <c r="D2888" s="2">
        <v>46004</v>
      </c>
      <c r="E2888" s="3">
        <f t="shared" si="45"/>
        <v>45992</v>
      </c>
      <c r="F2888" t="s">
        <v>2508</v>
      </c>
      <c r="G2888" t="s">
        <v>1227</v>
      </c>
      <c r="H2888" s="4">
        <v>52.99</v>
      </c>
      <c r="I2888" t="s">
        <v>47</v>
      </c>
      <c r="J2888" t="s">
        <v>87</v>
      </c>
      <c r="K2888" t="s">
        <v>2509</v>
      </c>
      <c r="L2888" s="2">
        <v>45992</v>
      </c>
      <c r="M2888" t="s">
        <v>89</v>
      </c>
      <c r="N2888">
        <v>0</v>
      </c>
      <c r="O2888" t="s">
        <v>26</v>
      </c>
      <c r="P2888" t="s">
        <v>83</v>
      </c>
      <c r="Q2888">
        <v>0</v>
      </c>
    </row>
    <row r="2889" spans="1:17" x14ac:dyDescent="0.3">
      <c r="A2889" t="s">
        <v>17</v>
      </c>
      <c r="B2889">
        <v>64</v>
      </c>
      <c r="C2889" t="s">
        <v>83</v>
      </c>
      <c r="D2889" s="2">
        <v>46004</v>
      </c>
      <c r="E2889" s="3">
        <f t="shared" si="45"/>
        <v>45992</v>
      </c>
      <c r="F2889" t="s">
        <v>2508</v>
      </c>
      <c r="G2889" t="s">
        <v>1227</v>
      </c>
      <c r="H2889" s="4">
        <v>75.959999999999994</v>
      </c>
      <c r="I2889" t="s">
        <v>47</v>
      </c>
      <c r="J2889" t="s">
        <v>87</v>
      </c>
      <c r="K2889" t="s">
        <v>2510</v>
      </c>
      <c r="L2889" s="2">
        <v>45992</v>
      </c>
      <c r="M2889" t="s">
        <v>89</v>
      </c>
      <c r="N2889">
        <v>0</v>
      </c>
      <c r="O2889" t="s">
        <v>26</v>
      </c>
      <c r="P2889" t="s">
        <v>83</v>
      </c>
      <c r="Q2889">
        <v>0</v>
      </c>
    </row>
    <row r="2890" spans="1:17" x14ac:dyDescent="0.3">
      <c r="A2890" t="s">
        <v>17</v>
      </c>
      <c r="B2890">
        <v>64</v>
      </c>
      <c r="C2890" t="s">
        <v>83</v>
      </c>
      <c r="D2890" s="2">
        <v>46004</v>
      </c>
      <c r="E2890" s="3">
        <f t="shared" si="45"/>
        <v>45992</v>
      </c>
      <c r="F2890" t="s">
        <v>2508</v>
      </c>
      <c r="G2890" t="s">
        <v>1227</v>
      </c>
      <c r="H2890" s="4">
        <v>73.19</v>
      </c>
      <c r="I2890" t="s">
        <v>47</v>
      </c>
      <c r="J2890" t="s">
        <v>87</v>
      </c>
      <c r="K2890" t="s">
        <v>2510</v>
      </c>
      <c r="L2890" s="2">
        <v>45992</v>
      </c>
      <c r="M2890" t="s">
        <v>89</v>
      </c>
      <c r="N2890">
        <v>0</v>
      </c>
      <c r="O2890" t="s">
        <v>26</v>
      </c>
      <c r="P2890" t="s">
        <v>83</v>
      </c>
      <c r="Q2890">
        <v>0</v>
      </c>
    </row>
    <row r="2891" spans="1:17" x14ac:dyDescent="0.3">
      <c r="A2891" t="s">
        <v>17</v>
      </c>
      <c r="B2891">
        <v>64</v>
      </c>
      <c r="C2891" t="s">
        <v>83</v>
      </c>
      <c r="D2891" s="2">
        <v>46004</v>
      </c>
      <c r="E2891" s="3">
        <f t="shared" si="45"/>
        <v>45992</v>
      </c>
      <c r="F2891" t="s">
        <v>2508</v>
      </c>
      <c r="G2891" t="s">
        <v>1227</v>
      </c>
      <c r="H2891" s="4">
        <v>5.57</v>
      </c>
      <c r="I2891" t="s">
        <v>47</v>
      </c>
      <c r="J2891" t="s">
        <v>87</v>
      </c>
      <c r="K2891" t="s">
        <v>2511</v>
      </c>
      <c r="L2891" s="2">
        <v>45992</v>
      </c>
      <c r="M2891" t="s">
        <v>89</v>
      </c>
      <c r="N2891">
        <v>0</v>
      </c>
      <c r="O2891" t="s">
        <v>26</v>
      </c>
      <c r="P2891" t="s">
        <v>83</v>
      </c>
      <c r="Q2891">
        <v>0</v>
      </c>
    </row>
    <row r="2892" spans="1:17" x14ac:dyDescent="0.3">
      <c r="A2892" t="s">
        <v>17</v>
      </c>
      <c r="B2892">
        <v>66</v>
      </c>
      <c r="C2892" t="s">
        <v>134</v>
      </c>
      <c r="D2892" s="2">
        <v>46004</v>
      </c>
      <c r="E2892" s="3">
        <f t="shared" si="45"/>
        <v>45992</v>
      </c>
      <c r="F2892" t="s">
        <v>2508</v>
      </c>
      <c r="G2892" t="s">
        <v>1227</v>
      </c>
      <c r="H2892" s="4">
        <v>44.96</v>
      </c>
      <c r="I2892" t="s">
        <v>47</v>
      </c>
      <c r="J2892" t="s">
        <v>223</v>
      </c>
      <c r="K2892" t="s">
        <v>2512</v>
      </c>
      <c r="L2892" s="2">
        <v>45992</v>
      </c>
      <c r="M2892" t="s">
        <v>223</v>
      </c>
      <c r="N2892">
        <v>0</v>
      </c>
      <c r="O2892" t="s">
        <v>111</v>
      </c>
      <c r="P2892" t="s">
        <v>134</v>
      </c>
      <c r="Q2892">
        <v>0</v>
      </c>
    </row>
    <row r="2893" spans="1:17" x14ac:dyDescent="0.3">
      <c r="A2893" t="s">
        <v>17</v>
      </c>
      <c r="B2893">
        <v>65</v>
      </c>
      <c r="C2893" t="s">
        <v>54</v>
      </c>
      <c r="D2893" s="2">
        <v>46005</v>
      </c>
      <c r="E2893" s="3">
        <f t="shared" si="45"/>
        <v>45992</v>
      </c>
      <c r="F2893">
        <v>42367207</v>
      </c>
      <c r="G2893" t="s">
        <v>154</v>
      </c>
      <c r="H2893" s="4">
        <v>10.62</v>
      </c>
      <c r="I2893" t="s">
        <v>31</v>
      </c>
      <c r="J2893" t="s">
        <v>155</v>
      </c>
      <c r="K2893" t="s">
        <v>1742</v>
      </c>
      <c r="L2893" s="2">
        <v>45992</v>
      </c>
      <c r="M2893" t="s">
        <v>155</v>
      </c>
      <c r="N2893">
        <v>0</v>
      </c>
      <c r="O2893" t="s">
        <v>31</v>
      </c>
      <c r="P2893" t="s">
        <v>54</v>
      </c>
      <c r="Q2893">
        <v>0</v>
      </c>
    </row>
    <row r="2894" spans="1:17" x14ac:dyDescent="0.3">
      <c r="A2894" t="s">
        <v>17</v>
      </c>
      <c r="B2894">
        <v>65</v>
      </c>
      <c r="C2894" t="s">
        <v>54</v>
      </c>
      <c r="D2894" s="2">
        <v>46005</v>
      </c>
      <c r="E2894" s="3">
        <f t="shared" si="45"/>
        <v>45992</v>
      </c>
      <c r="F2894">
        <v>42367207</v>
      </c>
      <c r="G2894" t="s">
        <v>154</v>
      </c>
      <c r="H2894" s="4">
        <v>30.61</v>
      </c>
      <c r="I2894" t="s">
        <v>31</v>
      </c>
      <c r="J2894" t="s">
        <v>155</v>
      </c>
      <c r="K2894" t="s">
        <v>2379</v>
      </c>
      <c r="L2894" s="2">
        <v>45992</v>
      </c>
      <c r="M2894" t="s">
        <v>155</v>
      </c>
      <c r="N2894">
        <v>0</v>
      </c>
      <c r="O2894" t="s">
        <v>31</v>
      </c>
      <c r="P2894" t="s">
        <v>54</v>
      </c>
      <c r="Q2894">
        <v>0</v>
      </c>
    </row>
    <row r="2895" spans="1:17" x14ac:dyDescent="0.3">
      <c r="A2895" t="s">
        <v>17</v>
      </c>
      <c r="B2895">
        <v>65</v>
      </c>
      <c r="C2895" t="s">
        <v>54</v>
      </c>
      <c r="D2895" s="2">
        <v>46005</v>
      </c>
      <c r="E2895" s="3">
        <f t="shared" si="45"/>
        <v>45992</v>
      </c>
      <c r="F2895">
        <v>42367207</v>
      </c>
      <c r="G2895" t="s">
        <v>154</v>
      </c>
      <c r="H2895" s="4">
        <v>699.25</v>
      </c>
      <c r="I2895" t="s">
        <v>31</v>
      </c>
      <c r="J2895" t="s">
        <v>155</v>
      </c>
      <c r="K2895" t="s">
        <v>2156</v>
      </c>
      <c r="L2895" s="2">
        <v>45992</v>
      </c>
      <c r="M2895" t="s">
        <v>155</v>
      </c>
      <c r="N2895">
        <v>0</v>
      </c>
      <c r="O2895" t="s">
        <v>31</v>
      </c>
      <c r="P2895" t="s">
        <v>54</v>
      </c>
      <c r="Q2895">
        <v>0</v>
      </c>
    </row>
    <row r="2896" spans="1:17" x14ac:dyDescent="0.3">
      <c r="A2896" t="s">
        <v>17</v>
      </c>
      <c r="B2896">
        <v>67</v>
      </c>
      <c r="C2896" t="s">
        <v>28</v>
      </c>
      <c r="D2896" s="2">
        <v>46006</v>
      </c>
      <c r="E2896" s="3">
        <f t="shared" si="45"/>
        <v>45992</v>
      </c>
      <c r="F2896" t="s">
        <v>2513</v>
      </c>
      <c r="G2896" t="s">
        <v>2514</v>
      </c>
      <c r="H2896" s="4">
        <v>18750</v>
      </c>
      <c r="I2896" t="s">
        <v>47</v>
      </c>
      <c r="J2896" t="s">
        <v>48</v>
      </c>
      <c r="K2896" t="s">
        <v>2515</v>
      </c>
      <c r="L2896" s="2">
        <v>45992</v>
      </c>
      <c r="M2896" t="s">
        <v>50</v>
      </c>
      <c r="N2896">
        <v>0</v>
      </c>
      <c r="O2896" t="s">
        <v>26</v>
      </c>
      <c r="P2896" t="s">
        <v>28</v>
      </c>
      <c r="Q2896">
        <v>0</v>
      </c>
    </row>
    <row r="2897" spans="1:17" x14ac:dyDescent="0.3">
      <c r="A2897" t="s">
        <v>17</v>
      </c>
      <c r="B2897">
        <v>63</v>
      </c>
      <c r="C2897" t="s">
        <v>18</v>
      </c>
      <c r="D2897" s="2">
        <v>46006</v>
      </c>
      <c r="E2897" s="3">
        <f t="shared" si="45"/>
        <v>45992</v>
      </c>
      <c r="F2897">
        <v>35</v>
      </c>
      <c r="G2897" t="s">
        <v>2250</v>
      </c>
      <c r="H2897" s="4">
        <v>1200</v>
      </c>
      <c r="I2897" t="s">
        <v>47</v>
      </c>
      <c r="J2897" t="s">
        <v>331</v>
      </c>
      <c r="K2897" t="s">
        <v>2399</v>
      </c>
      <c r="L2897" s="2">
        <v>45992</v>
      </c>
      <c r="M2897" t="s">
        <v>333</v>
      </c>
      <c r="N2897">
        <v>0</v>
      </c>
      <c r="O2897" t="s">
        <v>26</v>
      </c>
      <c r="P2897" t="s">
        <v>18</v>
      </c>
      <c r="Q2897" t="s">
        <v>18</v>
      </c>
    </row>
    <row r="2898" spans="1:17" x14ac:dyDescent="0.3">
      <c r="A2898" t="s">
        <v>17</v>
      </c>
      <c r="B2898">
        <v>68</v>
      </c>
      <c r="C2898" t="s">
        <v>34</v>
      </c>
      <c r="D2898" s="2">
        <v>46006</v>
      </c>
      <c r="E2898" s="3">
        <f t="shared" si="45"/>
        <v>45992</v>
      </c>
      <c r="F2898" t="s">
        <v>2516</v>
      </c>
      <c r="H2898" s="4">
        <v>6812</v>
      </c>
      <c r="I2898" t="s">
        <v>31</v>
      </c>
      <c r="J2898" t="s">
        <v>613</v>
      </c>
      <c r="K2898" t="s">
        <v>2517</v>
      </c>
      <c r="L2898" s="2">
        <v>45992</v>
      </c>
      <c r="M2898" t="s">
        <v>613</v>
      </c>
      <c r="N2898">
        <v>0</v>
      </c>
      <c r="O2898" t="s">
        <v>31</v>
      </c>
      <c r="P2898" t="s">
        <v>34</v>
      </c>
      <c r="Q2898">
        <v>0</v>
      </c>
    </row>
    <row r="2899" spans="1:17" x14ac:dyDescent="0.3">
      <c r="A2899" t="s">
        <v>17</v>
      </c>
      <c r="B2899">
        <v>68</v>
      </c>
      <c r="C2899" t="s">
        <v>34</v>
      </c>
      <c r="D2899" s="2">
        <v>46007</v>
      </c>
      <c r="E2899" s="3">
        <f t="shared" si="45"/>
        <v>45992</v>
      </c>
      <c r="F2899" t="s">
        <v>2518</v>
      </c>
      <c r="G2899" t="s">
        <v>107</v>
      </c>
      <c r="H2899" s="4">
        <v>34.299999999999997</v>
      </c>
      <c r="I2899" t="s">
        <v>108</v>
      </c>
      <c r="J2899" t="s">
        <v>109</v>
      </c>
      <c r="K2899" t="s">
        <v>2519</v>
      </c>
      <c r="L2899" s="2">
        <v>45992</v>
      </c>
      <c r="M2899" t="s">
        <v>109</v>
      </c>
      <c r="N2899">
        <v>0</v>
      </c>
      <c r="O2899" t="s">
        <v>111</v>
      </c>
      <c r="P2899" t="s">
        <v>112</v>
      </c>
      <c r="Q2899" t="s">
        <v>113</v>
      </c>
    </row>
    <row r="2900" spans="1:17" x14ac:dyDescent="0.3">
      <c r="A2900" t="s">
        <v>17</v>
      </c>
      <c r="B2900">
        <v>68</v>
      </c>
      <c r="C2900" t="s">
        <v>34</v>
      </c>
      <c r="D2900" s="2">
        <v>46007</v>
      </c>
      <c r="E2900" s="3">
        <f t="shared" si="45"/>
        <v>45992</v>
      </c>
      <c r="F2900" t="s">
        <v>2520</v>
      </c>
      <c r="G2900" t="s">
        <v>122</v>
      </c>
      <c r="H2900" s="4">
        <v>43.5</v>
      </c>
      <c r="I2900" t="s">
        <v>108</v>
      </c>
      <c r="J2900" t="s">
        <v>109</v>
      </c>
      <c r="L2900" s="2">
        <v>45992</v>
      </c>
      <c r="M2900" t="s">
        <v>109</v>
      </c>
      <c r="N2900">
        <v>0</v>
      </c>
      <c r="O2900" t="s">
        <v>111</v>
      </c>
      <c r="P2900" t="s">
        <v>112</v>
      </c>
      <c r="Q2900" t="s">
        <v>113</v>
      </c>
    </row>
    <row r="2901" spans="1:17" x14ac:dyDescent="0.3">
      <c r="A2901" t="s">
        <v>17</v>
      </c>
      <c r="B2901">
        <v>68</v>
      </c>
      <c r="C2901" t="s">
        <v>34</v>
      </c>
      <c r="D2901" s="2">
        <v>46007</v>
      </c>
      <c r="E2901" s="3">
        <f t="shared" si="45"/>
        <v>45992</v>
      </c>
      <c r="F2901" t="s">
        <v>2520</v>
      </c>
      <c r="G2901" t="s">
        <v>122</v>
      </c>
      <c r="H2901" s="4">
        <v>17</v>
      </c>
      <c r="I2901" t="s">
        <v>108</v>
      </c>
      <c r="J2901" t="s">
        <v>109</v>
      </c>
      <c r="K2901" t="s">
        <v>1455</v>
      </c>
      <c r="L2901" s="2">
        <v>45992</v>
      </c>
      <c r="M2901" t="s">
        <v>109</v>
      </c>
      <c r="N2901">
        <v>0</v>
      </c>
      <c r="O2901" t="s">
        <v>111</v>
      </c>
      <c r="P2901" t="s">
        <v>112</v>
      </c>
      <c r="Q2901" t="s">
        <v>113</v>
      </c>
    </row>
    <row r="2902" spans="1:17" x14ac:dyDescent="0.3">
      <c r="A2902" t="s">
        <v>17</v>
      </c>
      <c r="B2902">
        <v>68</v>
      </c>
      <c r="C2902" t="s">
        <v>34</v>
      </c>
      <c r="D2902" s="2">
        <v>46007</v>
      </c>
      <c r="E2902" s="3">
        <f t="shared" si="45"/>
        <v>45992</v>
      </c>
      <c r="F2902" t="s">
        <v>2520</v>
      </c>
      <c r="G2902" t="s">
        <v>122</v>
      </c>
      <c r="H2902" s="4">
        <v>1.34</v>
      </c>
      <c r="I2902" t="s">
        <v>108</v>
      </c>
      <c r="J2902" t="s">
        <v>109</v>
      </c>
      <c r="K2902" t="s">
        <v>1457</v>
      </c>
      <c r="L2902" s="2">
        <v>45992</v>
      </c>
      <c r="M2902" t="s">
        <v>109</v>
      </c>
      <c r="N2902">
        <v>0</v>
      </c>
      <c r="O2902" t="s">
        <v>111</v>
      </c>
      <c r="P2902" t="s">
        <v>112</v>
      </c>
      <c r="Q2902" t="s">
        <v>113</v>
      </c>
    </row>
    <row r="2903" spans="1:17" x14ac:dyDescent="0.3">
      <c r="A2903" t="s">
        <v>17</v>
      </c>
      <c r="B2903">
        <v>68</v>
      </c>
      <c r="C2903" t="s">
        <v>34</v>
      </c>
      <c r="D2903" s="2">
        <v>46007</v>
      </c>
      <c r="E2903" s="3">
        <f t="shared" si="45"/>
        <v>45992</v>
      </c>
      <c r="F2903" t="s">
        <v>2521</v>
      </c>
      <c r="H2903" s="4">
        <v>1567</v>
      </c>
      <c r="I2903" t="s">
        <v>31</v>
      </c>
      <c r="J2903" t="s">
        <v>613</v>
      </c>
      <c r="K2903" t="s">
        <v>2522</v>
      </c>
      <c r="L2903" s="2">
        <v>45992</v>
      </c>
      <c r="M2903" t="s">
        <v>613</v>
      </c>
      <c r="N2903">
        <v>0</v>
      </c>
      <c r="O2903" t="s">
        <v>31</v>
      </c>
      <c r="P2903" t="s">
        <v>34</v>
      </c>
      <c r="Q2903">
        <v>0</v>
      </c>
    </row>
    <row r="2904" spans="1:17" x14ac:dyDescent="0.3">
      <c r="A2904" t="s">
        <v>17</v>
      </c>
      <c r="B2904">
        <v>63</v>
      </c>
      <c r="C2904" t="s">
        <v>18</v>
      </c>
      <c r="D2904" s="2">
        <v>46008</v>
      </c>
      <c r="E2904" s="3">
        <f t="shared" si="45"/>
        <v>45992</v>
      </c>
      <c r="F2904" t="s">
        <v>2523</v>
      </c>
      <c r="G2904" t="s">
        <v>439</v>
      </c>
      <c r="H2904" s="4">
        <v>75.33</v>
      </c>
      <c r="I2904" t="s">
        <v>21</v>
      </c>
      <c r="J2904" t="s">
        <v>22</v>
      </c>
      <c r="K2904" t="s">
        <v>2524</v>
      </c>
      <c r="L2904" s="2">
        <v>45992</v>
      </c>
      <c r="M2904" t="s">
        <v>24</v>
      </c>
      <c r="N2904" t="s">
        <v>25</v>
      </c>
      <c r="O2904" t="s">
        <v>26</v>
      </c>
      <c r="P2904" t="s">
        <v>18</v>
      </c>
      <c r="Q2904" t="s">
        <v>27</v>
      </c>
    </row>
    <row r="2905" spans="1:17" x14ac:dyDescent="0.3">
      <c r="A2905" t="s">
        <v>17</v>
      </c>
      <c r="B2905">
        <v>67</v>
      </c>
      <c r="C2905" t="s">
        <v>28</v>
      </c>
      <c r="D2905" s="2">
        <v>46008</v>
      </c>
      <c r="E2905" s="3">
        <f t="shared" si="45"/>
        <v>45992</v>
      </c>
      <c r="F2905" t="s">
        <v>2525</v>
      </c>
      <c r="G2905" t="s">
        <v>119</v>
      </c>
      <c r="H2905" s="4">
        <v>990</v>
      </c>
      <c r="I2905" t="s">
        <v>31</v>
      </c>
      <c r="J2905" t="s">
        <v>68</v>
      </c>
      <c r="K2905" t="s">
        <v>1567</v>
      </c>
      <c r="L2905" s="2">
        <v>45992</v>
      </c>
      <c r="M2905" t="s">
        <v>68</v>
      </c>
      <c r="N2905">
        <v>0</v>
      </c>
      <c r="O2905" t="s">
        <v>31</v>
      </c>
      <c r="P2905" t="s">
        <v>28</v>
      </c>
      <c r="Q2905">
        <v>0</v>
      </c>
    </row>
    <row r="2906" spans="1:17" x14ac:dyDescent="0.3">
      <c r="A2906" t="s">
        <v>17</v>
      </c>
      <c r="B2906">
        <v>68</v>
      </c>
      <c r="C2906" t="s">
        <v>34</v>
      </c>
      <c r="D2906" s="2">
        <v>46008</v>
      </c>
      <c r="E2906" s="3">
        <f t="shared" si="45"/>
        <v>45992</v>
      </c>
      <c r="F2906" t="s">
        <v>2526</v>
      </c>
      <c r="G2906" t="s">
        <v>122</v>
      </c>
      <c r="H2906" s="4">
        <v>2426.9899999999998</v>
      </c>
      <c r="I2906" t="s">
        <v>108</v>
      </c>
      <c r="J2906" t="s">
        <v>109</v>
      </c>
      <c r="K2906" t="s">
        <v>388</v>
      </c>
      <c r="L2906" s="2">
        <v>45992</v>
      </c>
      <c r="M2906" t="s">
        <v>109</v>
      </c>
      <c r="N2906">
        <v>0</v>
      </c>
      <c r="O2906" t="s">
        <v>111</v>
      </c>
      <c r="P2906" t="s">
        <v>112</v>
      </c>
      <c r="Q2906" t="s">
        <v>113</v>
      </c>
    </row>
    <row r="2907" spans="1:17" x14ac:dyDescent="0.3">
      <c r="A2907" t="s">
        <v>17</v>
      </c>
      <c r="B2907">
        <v>64</v>
      </c>
      <c r="C2907" t="s">
        <v>83</v>
      </c>
      <c r="D2907" s="2">
        <v>46009</v>
      </c>
      <c r="E2907" s="3">
        <f t="shared" si="45"/>
        <v>45992</v>
      </c>
      <c r="F2907" t="s">
        <v>2527</v>
      </c>
      <c r="H2907" s="4">
        <v>94.9</v>
      </c>
      <c r="I2907" t="s">
        <v>31</v>
      </c>
      <c r="J2907" t="s">
        <v>87</v>
      </c>
      <c r="K2907" t="s">
        <v>2528</v>
      </c>
      <c r="L2907" s="2">
        <v>45992</v>
      </c>
      <c r="M2907" t="s">
        <v>89</v>
      </c>
      <c r="N2907">
        <v>0</v>
      </c>
      <c r="O2907" t="s">
        <v>31</v>
      </c>
      <c r="P2907" t="s">
        <v>83</v>
      </c>
      <c r="Q2907">
        <v>0</v>
      </c>
    </row>
    <row r="2908" spans="1:17" x14ac:dyDescent="0.3">
      <c r="A2908" t="s">
        <v>17</v>
      </c>
      <c r="B2908">
        <v>66</v>
      </c>
      <c r="C2908" t="s">
        <v>134</v>
      </c>
      <c r="D2908" s="2">
        <v>46009</v>
      </c>
      <c r="E2908" s="3">
        <f t="shared" si="45"/>
        <v>45992</v>
      </c>
      <c r="F2908" t="s">
        <v>2529</v>
      </c>
      <c r="G2908" t="s">
        <v>222</v>
      </c>
      <c r="H2908" s="4">
        <v>148.72999999999999</v>
      </c>
      <c r="I2908" t="s">
        <v>104</v>
      </c>
      <c r="J2908" t="s">
        <v>223</v>
      </c>
      <c r="K2908" t="s">
        <v>2530</v>
      </c>
      <c r="L2908" s="2">
        <v>45992</v>
      </c>
      <c r="M2908" t="s">
        <v>223</v>
      </c>
      <c r="N2908">
        <v>0</v>
      </c>
      <c r="O2908" t="s">
        <v>104</v>
      </c>
      <c r="P2908" t="s">
        <v>134</v>
      </c>
      <c r="Q2908">
        <v>0</v>
      </c>
    </row>
    <row r="2909" spans="1:17" x14ac:dyDescent="0.3">
      <c r="A2909" t="s">
        <v>17</v>
      </c>
      <c r="B2909">
        <v>68</v>
      </c>
      <c r="C2909" t="s">
        <v>34</v>
      </c>
      <c r="D2909" s="2">
        <v>46009</v>
      </c>
      <c r="E2909" s="3">
        <f t="shared" si="45"/>
        <v>45992</v>
      </c>
      <c r="F2909" t="s">
        <v>2531</v>
      </c>
      <c r="G2909" t="s">
        <v>122</v>
      </c>
      <c r="H2909" s="4">
        <v>24.99</v>
      </c>
      <c r="I2909" t="s">
        <v>108</v>
      </c>
      <c r="J2909" t="s">
        <v>109</v>
      </c>
      <c r="L2909" s="2">
        <v>45992</v>
      </c>
      <c r="M2909" t="s">
        <v>109</v>
      </c>
      <c r="N2909">
        <v>0</v>
      </c>
      <c r="O2909" t="s">
        <v>111</v>
      </c>
      <c r="P2909" t="s">
        <v>112</v>
      </c>
      <c r="Q2909" t="s">
        <v>113</v>
      </c>
    </row>
    <row r="2910" spans="1:17" x14ac:dyDescent="0.3">
      <c r="A2910" t="s">
        <v>17</v>
      </c>
      <c r="B2910">
        <v>68</v>
      </c>
      <c r="C2910" t="s">
        <v>34</v>
      </c>
      <c r="D2910" s="2">
        <v>46009</v>
      </c>
      <c r="E2910" s="3">
        <f t="shared" si="45"/>
        <v>45992</v>
      </c>
      <c r="F2910" t="s">
        <v>2531</v>
      </c>
      <c r="G2910" t="s">
        <v>122</v>
      </c>
      <c r="H2910" s="4">
        <v>17</v>
      </c>
      <c r="I2910" t="s">
        <v>108</v>
      </c>
      <c r="J2910" t="s">
        <v>109</v>
      </c>
      <c r="L2910" s="2">
        <v>45992</v>
      </c>
      <c r="M2910" t="s">
        <v>109</v>
      </c>
      <c r="N2910">
        <v>0</v>
      </c>
      <c r="O2910" t="s">
        <v>111</v>
      </c>
      <c r="P2910" t="s">
        <v>112</v>
      </c>
      <c r="Q2910" t="s">
        <v>113</v>
      </c>
    </row>
    <row r="2911" spans="1:17" x14ac:dyDescent="0.3">
      <c r="A2911" t="s">
        <v>17</v>
      </c>
      <c r="B2911">
        <v>68</v>
      </c>
      <c r="C2911" t="s">
        <v>34</v>
      </c>
      <c r="D2911" s="2">
        <v>46009</v>
      </c>
      <c r="E2911" s="3">
        <f t="shared" si="45"/>
        <v>45992</v>
      </c>
      <c r="F2911" t="s">
        <v>2531</v>
      </c>
      <c r="G2911" t="s">
        <v>122</v>
      </c>
      <c r="H2911" s="4">
        <v>1.34</v>
      </c>
      <c r="I2911" t="s">
        <v>108</v>
      </c>
      <c r="J2911" t="s">
        <v>109</v>
      </c>
      <c r="K2911" t="s">
        <v>1457</v>
      </c>
      <c r="L2911" s="2">
        <v>45992</v>
      </c>
      <c r="M2911" t="s">
        <v>109</v>
      </c>
      <c r="N2911">
        <v>0</v>
      </c>
      <c r="O2911" t="s">
        <v>111</v>
      </c>
      <c r="P2911" t="s">
        <v>112</v>
      </c>
      <c r="Q2911" t="s">
        <v>113</v>
      </c>
    </row>
    <row r="2912" spans="1:17" x14ac:dyDescent="0.3">
      <c r="A2912" t="s">
        <v>17</v>
      </c>
      <c r="B2912">
        <v>67</v>
      </c>
      <c r="C2912" t="s">
        <v>28</v>
      </c>
      <c r="D2912" s="2">
        <v>46010</v>
      </c>
      <c r="E2912" s="3">
        <f t="shared" si="45"/>
        <v>45992</v>
      </c>
      <c r="F2912">
        <v>29407</v>
      </c>
      <c r="G2912" t="s">
        <v>673</v>
      </c>
      <c r="H2912" s="4">
        <v>3000</v>
      </c>
      <c r="I2912" t="s">
        <v>47</v>
      </c>
      <c r="J2912" t="s">
        <v>48</v>
      </c>
      <c r="K2912" t="s">
        <v>2532</v>
      </c>
      <c r="L2912" s="2">
        <v>45992</v>
      </c>
      <c r="M2912" t="s">
        <v>50</v>
      </c>
      <c r="N2912">
        <v>0</v>
      </c>
      <c r="O2912" t="s">
        <v>26</v>
      </c>
      <c r="P2912" t="s">
        <v>28</v>
      </c>
      <c r="Q2912">
        <v>0</v>
      </c>
    </row>
    <row r="2913" spans="1:17" x14ac:dyDescent="0.3">
      <c r="A2913" t="s">
        <v>17</v>
      </c>
      <c r="B2913">
        <v>67</v>
      </c>
      <c r="C2913" t="s">
        <v>28</v>
      </c>
      <c r="D2913" s="2">
        <v>46010</v>
      </c>
      <c r="E2913" s="3">
        <f t="shared" si="45"/>
        <v>45992</v>
      </c>
      <c r="F2913" t="s">
        <v>2533</v>
      </c>
      <c r="G2913" t="s">
        <v>67</v>
      </c>
      <c r="H2913" s="4">
        <v>309.74</v>
      </c>
      <c r="I2913" t="s">
        <v>31</v>
      </c>
      <c r="J2913" t="s">
        <v>68</v>
      </c>
      <c r="K2913" t="s">
        <v>2534</v>
      </c>
      <c r="L2913" s="2">
        <v>45992</v>
      </c>
      <c r="M2913" t="s">
        <v>68</v>
      </c>
      <c r="N2913">
        <v>0</v>
      </c>
      <c r="O2913" t="s">
        <v>31</v>
      </c>
      <c r="P2913" t="s">
        <v>28</v>
      </c>
      <c r="Q2913">
        <v>0</v>
      </c>
    </row>
    <row r="2914" spans="1:17" x14ac:dyDescent="0.3">
      <c r="A2914" t="s">
        <v>17</v>
      </c>
      <c r="B2914">
        <v>68</v>
      </c>
      <c r="C2914" t="s">
        <v>34</v>
      </c>
      <c r="D2914" s="2">
        <v>46010</v>
      </c>
      <c r="E2914" s="3">
        <f t="shared" si="45"/>
        <v>45992</v>
      </c>
      <c r="F2914" t="s">
        <v>2535</v>
      </c>
      <c r="G2914" t="s">
        <v>122</v>
      </c>
      <c r="H2914" s="4">
        <v>11.79</v>
      </c>
      <c r="I2914" t="s">
        <v>108</v>
      </c>
      <c r="J2914" t="s">
        <v>109</v>
      </c>
      <c r="K2914" t="s">
        <v>1450</v>
      </c>
      <c r="L2914" s="2">
        <v>45992</v>
      </c>
      <c r="M2914" t="s">
        <v>109</v>
      </c>
      <c r="N2914">
        <v>0</v>
      </c>
      <c r="O2914" t="s">
        <v>111</v>
      </c>
      <c r="P2914" t="s">
        <v>112</v>
      </c>
      <c r="Q2914" t="s">
        <v>113</v>
      </c>
    </row>
    <row r="2915" spans="1:17" x14ac:dyDescent="0.3">
      <c r="A2915" t="s">
        <v>17</v>
      </c>
      <c r="B2915">
        <v>68</v>
      </c>
      <c r="C2915" t="s">
        <v>34</v>
      </c>
      <c r="D2915" s="2">
        <v>46010</v>
      </c>
      <c r="E2915" s="3">
        <f t="shared" si="45"/>
        <v>45992</v>
      </c>
      <c r="F2915" t="s">
        <v>2535</v>
      </c>
      <c r="G2915" t="s">
        <v>122</v>
      </c>
      <c r="H2915" s="4">
        <v>17</v>
      </c>
      <c r="I2915" t="s">
        <v>108</v>
      </c>
      <c r="J2915" t="s">
        <v>109</v>
      </c>
      <c r="K2915" t="s">
        <v>2092</v>
      </c>
      <c r="L2915" s="2">
        <v>45992</v>
      </c>
      <c r="M2915" t="s">
        <v>109</v>
      </c>
      <c r="N2915">
        <v>0</v>
      </c>
      <c r="O2915" t="s">
        <v>111</v>
      </c>
      <c r="P2915" t="s">
        <v>112</v>
      </c>
      <c r="Q2915" t="s">
        <v>113</v>
      </c>
    </row>
    <row r="2916" spans="1:17" x14ac:dyDescent="0.3">
      <c r="A2916" t="s">
        <v>17</v>
      </c>
      <c r="B2916">
        <v>68</v>
      </c>
      <c r="C2916" t="s">
        <v>34</v>
      </c>
      <c r="D2916" s="2">
        <v>46010</v>
      </c>
      <c r="E2916" s="3">
        <f t="shared" si="45"/>
        <v>45992</v>
      </c>
      <c r="F2916" t="s">
        <v>2535</v>
      </c>
      <c r="G2916" t="s">
        <v>122</v>
      </c>
      <c r="H2916" s="4">
        <v>1.34</v>
      </c>
      <c r="I2916" t="s">
        <v>108</v>
      </c>
      <c r="J2916" t="s">
        <v>109</v>
      </c>
      <c r="K2916" t="s">
        <v>1665</v>
      </c>
      <c r="L2916" s="2">
        <v>45992</v>
      </c>
      <c r="M2916" t="s">
        <v>109</v>
      </c>
      <c r="N2916">
        <v>0</v>
      </c>
      <c r="O2916" t="s">
        <v>111</v>
      </c>
      <c r="P2916" t="s">
        <v>112</v>
      </c>
      <c r="Q2916" t="s">
        <v>113</v>
      </c>
    </row>
    <row r="2917" spans="1:17" x14ac:dyDescent="0.3">
      <c r="A2917" t="s">
        <v>17</v>
      </c>
      <c r="B2917">
        <v>68</v>
      </c>
      <c r="C2917" t="s">
        <v>34</v>
      </c>
      <c r="D2917" s="2">
        <v>46010</v>
      </c>
      <c r="E2917" s="3">
        <f t="shared" si="45"/>
        <v>45992</v>
      </c>
      <c r="F2917" t="s">
        <v>2536</v>
      </c>
      <c r="G2917" t="s">
        <v>122</v>
      </c>
      <c r="H2917" s="4">
        <v>8.91</v>
      </c>
      <c r="I2917" t="s">
        <v>108</v>
      </c>
      <c r="J2917" t="s">
        <v>109</v>
      </c>
      <c r="L2917" s="2">
        <v>45992</v>
      </c>
      <c r="M2917" t="s">
        <v>109</v>
      </c>
      <c r="N2917">
        <v>0</v>
      </c>
      <c r="O2917" t="s">
        <v>111</v>
      </c>
      <c r="P2917" t="s">
        <v>112</v>
      </c>
      <c r="Q2917" t="s">
        <v>113</v>
      </c>
    </row>
    <row r="2918" spans="1:17" x14ac:dyDescent="0.3">
      <c r="A2918" t="s">
        <v>17</v>
      </c>
      <c r="B2918">
        <v>68</v>
      </c>
      <c r="C2918" t="s">
        <v>34</v>
      </c>
      <c r="D2918" s="2">
        <v>46010</v>
      </c>
      <c r="E2918" s="3">
        <f t="shared" si="45"/>
        <v>45992</v>
      </c>
      <c r="F2918" t="s">
        <v>2536</v>
      </c>
      <c r="G2918" t="s">
        <v>122</v>
      </c>
      <c r="H2918" s="4">
        <v>17</v>
      </c>
      <c r="I2918" t="s">
        <v>108</v>
      </c>
      <c r="J2918" t="s">
        <v>109</v>
      </c>
      <c r="L2918" s="2">
        <v>45992</v>
      </c>
      <c r="M2918" t="s">
        <v>109</v>
      </c>
      <c r="N2918">
        <v>0</v>
      </c>
      <c r="O2918" t="s">
        <v>111</v>
      </c>
      <c r="P2918" t="s">
        <v>112</v>
      </c>
      <c r="Q2918" t="s">
        <v>113</v>
      </c>
    </row>
    <row r="2919" spans="1:17" x14ac:dyDescent="0.3">
      <c r="A2919" t="s">
        <v>17</v>
      </c>
      <c r="B2919">
        <v>68</v>
      </c>
      <c r="C2919" t="s">
        <v>34</v>
      </c>
      <c r="D2919" s="2">
        <v>46010</v>
      </c>
      <c r="E2919" s="3">
        <f t="shared" si="45"/>
        <v>45992</v>
      </c>
      <c r="F2919" t="s">
        <v>2536</v>
      </c>
      <c r="G2919" t="s">
        <v>122</v>
      </c>
      <c r="H2919" s="4">
        <v>1.34</v>
      </c>
      <c r="I2919" t="s">
        <v>108</v>
      </c>
      <c r="J2919" t="s">
        <v>109</v>
      </c>
      <c r="L2919" s="2">
        <v>45992</v>
      </c>
      <c r="M2919" t="s">
        <v>109</v>
      </c>
      <c r="N2919">
        <v>0</v>
      </c>
      <c r="O2919" t="s">
        <v>111</v>
      </c>
      <c r="P2919" t="s">
        <v>112</v>
      </c>
      <c r="Q2919" t="s">
        <v>113</v>
      </c>
    </row>
    <row r="2920" spans="1:17" x14ac:dyDescent="0.3">
      <c r="A2920" t="s">
        <v>17</v>
      </c>
      <c r="B2920">
        <v>68</v>
      </c>
      <c r="C2920" t="s">
        <v>34</v>
      </c>
      <c r="D2920" s="2">
        <v>46010</v>
      </c>
      <c r="E2920" s="3">
        <f t="shared" si="45"/>
        <v>45992</v>
      </c>
      <c r="F2920" t="s">
        <v>2537</v>
      </c>
      <c r="G2920" t="s">
        <v>122</v>
      </c>
      <c r="H2920" s="4">
        <v>4.3499999999999996</v>
      </c>
      <c r="I2920" t="s">
        <v>108</v>
      </c>
      <c r="J2920" t="s">
        <v>109</v>
      </c>
      <c r="L2920" s="2">
        <v>45992</v>
      </c>
      <c r="M2920" t="s">
        <v>109</v>
      </c>
      <c r="N2920">
        <v>0</v>
      </c>
      <c r="O2920" t="s">
        <v>111</v>
      </c>
      <c r="P2920" t="s">
        <v>112</v>
      </c>
      <c r="Q2920" t="s">
        <v>113</v>
      </c>
    </row>
    <row r="2921" spans="1:17" x14ac:dyDescent="0.3">
      <c r="A2921" t="s">
        <v>17</v>
      </c>
      <c r="B2921">
        <v>68</v>
      </c>
      <c r="C2921" t="s">
        <v>34</v>
      </c>
      <c r="D2921" s="2">
        <v>46010</v>
      </c>
      <c r="E2921" s="3">
        <f t="shared" si="45"/>
        <v>45992</v>
      </c>
      <c r="F2921" t="s">
        <v>2537</v>
      </c>
      <c r="G2921" t="s">
        <v>122</v>
      </c>
      <c r="H2921" s="4">
        <v>17</v>
      </c>
      <c r="I2921" t="s">
        <v>108</v>
      </c>
      <c r="J2921" t="s">
        <v>109</v>
      </c>
      <c r="K2921" t="s">
        <v>1455</v>
      </c>
      <c r="L2921" s="2">
        <v>45992</v>
      </c>
      <c r="M2921" t="s">
        <v>109</v>
      </c>
      <c r="N2921">
        <v>0</v>
      </c>
      <c r="O2921" t="s">
        <v>111</v>
      </c>
      <c r="P2921" t="s">
        <v>112</v>
      </c>
      <c r="Q2921" t="s">
        <v>113</v>
      </c>
    </row>
    <row r="2922" spans="1:17" x14ac:dyDescent="0.3">
      <c r="A2922" t="s">
        <v>17</v>
      </c>
      <c r="B2922">
        <v>68</v>
      </c>
      <c r="C2922" t="s">
        <v>34</v>
      </c>
      <c r="D2922" s="2">
        <v>46010</v>
      </c>
      <c r="E2922" s="3">
        <f t="shared" si="45"/>
        <v>45992</v>
      </c>
      <c r="F2922" t="s">
        <v>2537</v>
      </c>
      <c r="G2922" t="s">
        <v>122</v>
      </c>
      <c r="H2922" s="4">
        <v>1.34</v>
      </c>
      <c r="I2922" t="s">
        <v>108</v>
      </c>
      <c r="J2922" t="s">
        <v>109</v>
      </c>
      <c r="K2922" t="s">
        <v>1457</v>
      </c>
      <c r="L2922" s="2">
        <v>45992</v>
      </c>
      <c r="M2922" t="s">
        <v>109</v>
      </c>
      <c r="N2922">
        <v>0</v>
      </c>
      <c r="O2922" t="s">
        <v>111</v>
      </c>
      <c r="P2922" t="s">
        <v>112</v>
      </c>
      <c r="Q2922" t="s">
        <v>113</v>
      </c>
    </row>
    <row r="2923" spans="1:17" x14ac:dyDescent="0.3">
      <c r="A2923" t="s">
        <v>17</v>
      </c>
      <c r="B2923">
        <v>68</v>
      </c>
      <c r="C2923" t="s">
        <v>34</v>
      </c>
      <c r="D2923" s="2">
        <v>46010</v>
      </c>
      <c r="E2923" s="3">
        <f t="shared" si="45"/>
        <v>45992</v>
      </c>
      <c r="F2923" t="s">
        <v>2538</v>
      </c>
      <c r="G2923" t="s">
        <v>122</v>
      </c>
      <c r="H2923" s="4">
        <v>4.4000000000000004</v>
      </c>
      <c r="I2923" t="s">
        <v>108</v>
      </c>
      <c r="J2923" t="s">
        <v>109</v>
      </c>
      <c r="L2923" s="2">
        <v>45992</v>
      </c>
      <c r="M2923" t="s">
        <v>109</v>
      </c>
      <c r="N2923">
        <v>0</v>
      </c>
      <c r="O2923" t="s">
        <v>111</v>
      </c>
      <c r="P2923" t="s">
        <v>112</v>
      </c>
      <c r="Q2923" t="s">
        <v>113</v>
      </c>
    </row>
    <row r="2924" spans="1:17" x14ac:dyDescent="0.3">
      <c r="A2924" t="s">
        <v>17</v>
      </c>
      <c r="B2924">
        <v>68</v>
      </c>
      <c r="C2924" t="s">
        <v>34</v>
      </c>
      <c r="D2924" s="2">
        <v>46010</v>
      </c>
      <c r="E2924" s="3">
        <f t="shared" si="45"/>
        <v>45992</v>
      </c>
      <c r="F2924" t="s">
        <v>2538</v>
      </c>
      <c r="G2924" t="s">
        <v>122</v>
      </c>
      <c r="H2924" s="4">
        <v>1.34</v>
      </c>
      <c r="I2924" t="s">
        <v>108</v>
      </c>
      <c r="J2924" t="s">
        <v>109</v>
      </c>
      <c r="L2924" s="2">
        <v>45992</v>
      </c>
      <c r="M2924" t="s">
        <v>109</v>
      </c>
      <c r="N2924">
        <v>0</v>
      </c>
      <c r="O2924" t="s">
        <v>111</v>
      </c>
      <c r="P2924" t="s">
        <v>112</v>
      </c>
      <c r="Q2924" t="s">
        <v>113</v>
      </c>
    </row>
    <row r="2925" spans="1:17" x14ac:dyDescent="0.3">
      <c r="A2925" t="s">
        <v>17</v>
      </c>
      <c r="B2925">
        <v>68</v>
      </c>
      <c r="C2925" t="s">
        <v>34</v>
      </c>
      <c r="D2925" s="2">
        <v>46010</v>
      </c>
      <c r="E2925" s="3">
        <f t="shared" si="45"/>
        <v>45992</v>
      </c>
      <c r="F2925" t="s">
        <v>2538</v>
      </c>
      <c r="G2925" t="s">
        <v>122</v>
      </c>
      <c r="H2925" s="4">
        <v>17</v>
      </c>
      <c r="I2925" t="s">
        <v>108</v>
      </c>
      <c r="J2925" t="s">
        <v>109</v>
      </c>
      <c r="L2925" s="2">
        <v>45992</v>
      </c>
      <c r="M2925" t="s">
        <v>109</v>
      </c>
      <c r="N2925">
        <v>0</v>
      </c>
      <c r="O2925" t="s">
        <v>111</v>
      </c>
      <c r="P2925" t="s">
        <v>112</v>
      </c>
      <c r="Q2925" t="s">
        <v>113</v>
      </c>
    </row>
    <row r="2926" spans="1:17" x14ac:dyDescent="0.3">
      <c r="A2926" t="s">
        <v>17</v>
      </c>
      <c r="B2926">
        <v>63</v>
      </c>
      <c r="C2926" t="s">
        <v>18</v>
      </c>
      <c r="D2926" s="2">
        <v>46013</v>
      </c>
      <c r="E2926" s="3">
        <f t="shared" si="45"/>
        <v>45992</v>
      </c>
      <c r="F2926" t="s">
        <v>2539</v>
      </c>
      <c r="H2926" s="4">
        <v>-1180</v>
      </c>
      <c r="I2926" t="s">
        <v>47</v>
      </c>
      <c r="J2926" t="s">
        <v>331</v>
      </c>
      <c r="K2926" t="s">
        <v>2540</v>
      </c>
      <c r="L2926" s="2">
        <v>45992</v>
      </c>
      <c r="M2926" t="s">
        <v>333</v>
      </c>
      <c r="N2926">
        <v>0</v>
      </c>
      <c r="O2926" t="s">
        <v>26</v>
      </c>
      <c r="P2926" t="s">
        <v>18</v>
      </c>
      <c r="Q2926" t="s">
        <v>18</v>
      </c>
    </row>
    <row r="2927" spans="1:17" x14ac:dyDescent="0.3">
      <c r="A2927" t="s">
        <v>17</v>
      </c>
      <c r="B2927">
        <v>66</v>
      </c>
      <c r="C2927" t="s">
        <v>134</v>
      </c>
      <c r="D2927" s="2">
        <v>46013</v>
      </c>
      <c r="E2927" s="3">
        <f t="shared" si="45"/>
        <v>45992</v>
      </c>
      <c r="F2927">
        <v>202501272</v>
      </c>
      <c r="G2927" t="s">
        <v>458</v>
      </c>
      <c r="H2927" s="4">
        <v>185.77</v>
      </c>
      <c r="I2927" t="s">
        <v>104</v>
      </c>
      <c r="J2927" t="s">
        <v>138</v>
      </c>
      <c r="K2927" t="s">
        <v>2541</v>
      </c>
      <c r="L2927" s="2">
        <v>45992</v>
      </c>
      <c r="M2927" t="s">
        <v>140</v>
      </c>
      <c r="N2927">
        <v>0</v>
      </c>
      <c r="O2927" t="s">
        <v>104</v>
      </c>
      <c r="P2927" t="s">
        <v>134</v>
      </c>
      <c r="Q2927">
        <v>0</v>
      </c>
    </row>
    <row r="2928" spans="1:17" x14ac:dyDescent="0.3">
      <c r="A2928" t="s">
        <v>17</v>
      </c>
      <c r="B2928">
        <v>66</v>
      </c>
      <c r="C2928" t="s">
        <v>134</v>
      </c>
      <c r="D2928" s="2">
        <v>46013</v>
      </c>
      <c r="E2928" s="3">
        <f t="shared" si="45"/>
        <v>45992</v>
      </c>
      <c r="F2928">
        <v>202501273</v>
      </c>
      <c r="G2928" t="s">
        <v>458</v>
      </c>
      <c r="H2928" s="4">
        <v>1656.81</v>
      </c>
      <c r="I2928" t="s">
        <v>104</v>
      </c>
      <c r="J2928" t="s">
        <v>138</v>
      </c>
      <c r="K2928" t="s">
        <v>1629</v>
      </c>
      <c r="L2928" s="2">
        <v>45992</v>
      </c>
      <c r="M2928" t="s">
        <v>140</v>
      </c>
      <c r="N2928">
        <v>0</v>
      </c>
      <c r="O2928" t="s">
        <v>104</v>
      </c>
      <c r="P2928" t="s">
        <v>134</v>
      </c>
      <c r="Q2928">
        <v>0</v>
      </c>
    </row>
    <row r="2929" spans="1:17" x14ac:dyDescent="0.3">
      <c r="A2929" t="s">
        <v>17</v>
      </c>
      <c r="B2929">
        <v>68</v>
      </c>
      <c r="C2929" t="s">
        <v>34</v>
      </c>
      <c r="D2929" s="2">
        <v>46013</v>
      </c>
      <c r="E2929" s="3">
        <f t="shared" si="45"/>
        <v>45992</v>
      </c>
      <c r="F2929" t="s">
        <v>2542</v>
      </c>
      <c r="G2929" t="s">
        <v>107</v>
      </c>
      <c r="H2929" s="4">
        <v>332.37</v>
      </c>
      <c r="I2929" t="s">
        <v>108</v>
      </c>
      <c r="J2929" t="s">
        <v>109</v>
      </c>
      <c r="K2929" t="s">
        <v>2543</v>
      </c>
      <c r="L2929" s="2">
        <v>45992</v>
      </c>
      <c r="M2929" t="s">
        <v>109</v>
      </c>
      <c r="N2929">
        <v>0</v>
      </c>
      <c r="O2929" t="s">
        <v>111</v>
      </c>
      <c r="P2929" t="s">
        <v>112</v>
      </c>
      <c r="Q2929" t="s">
        <v>113</v>
      </c>
    </row>
    <row r="2930" spans="1:17" x14ac:dyDescent="0.3">
      <c r="A2930" t="s">
        <v>17</v>
      </c>
      <c r="B2930">
        <v>68</v>
      </c>
      <c r="C2930" t="s">
        <v>34</v>
      </c>
      <c r="D2930" s="2">
        <v>46013</v>
      </c>
      <c r="E2930" s="3">
        <f t="shared" si="45"/>
        <v>45992</v>
      </c>
      <c r="F2930" t="s">
        <v>2544</v>
      </c>
      <c r="G2930" t="s">
        <v>107</v>
      </c>
      <c r="H2930" s="4">
        <v>289.36</v>
      </c>
      <c r="I2930" t="s">
        <v>108</v>
      </c>
      <c r="J2930" t="s">
        <v>109</v>
      </c>
      <c r="K2930" t="s">
        <v>110</v>
      </c>
      <c r="L2930" s="2">
        <v>45992</v>
      </c>
      <c r="M2930" t="s">
        <v>109</v>
      </c>
      <c r="N2930">
        <v>0</v>
      </c>
      <c r="O2930" t="s">
        <v>111</v>
      </c>
      <c r="P2930" t="s">
        <v>112</v>
      </c>
      <c r="Q2930" t="s">
        <v>113</v>
      </c>
    </row>
    <row r="2931" spans="1:17" x14ac:dyDescent="0.3">
      <c r="A2931" t="s">
        <v>17</v>
      </c>
      <c r="B2931">
        <v>67</v>
      </c>
      <c r="C2931" t="s">
        <v>28</v>
      </c>
      <c r="D2931" s="2">
        <v>46013</v>
      </c>
      <c r="E2931" s="3">
        <f t="shared" si="45"/>
        <v>45992</v>
      </c>
      <c r="F2931" t="s">
        <v>2545</v>
      </c>
      <c r="H2931" s="4">
        <v>20</v>
      </c>
      <c r="I2931" t="s">
        <v>116</v>
      </c>
      <c r="J2931" t="s">
        <v>64</v>
      </c>
      <c r="K2931" t="s">
        <v>2546</v>
      </c>
      <c r="L2931" s="2">
        <v>45992</v>
      </c>
      <c r="M2931" t="s">
        <v>64</v>
      </c>
      <c r="N2931">
        <v>0</v>
      </c>
      <c r="O2931" t="s">
        <v>116</v>
      </c>
      <c r="P2931" t="s">
        <v>28</v>
      </c>
      <c r="Q2931">
        <v>0</v>
      </c>
    </row>
    <row r="2932" spans="1:17" x14ac:dyDescent="0.3">
      <c r="A2932" t="s">
        <v>17</v>
      </c>
      <c r="B2932">
        <v>67</v>
      </c>
      <c r="C2932" t="s">
        <v>28</v>
      </c>
      <c r="D2932" s="2">
        <v>46015</v>
      </c>
      <c r="E2932" s="3">
        <f t="shared" si="45"/>
        <v>45992</v>
      </c>
      <c r="F2932" t="s">
        <v>2547</v>
      </c>
      <c r="G2932" t="s">
        <v>119</v>
      </c>
      <c r="H2932" s="4">
        <v>1403.75</v>
      </c>
      <c r="I2932" t="s">
        <v>31</v>
      </c>
      <c r="J2932" t="s">
        <v>68</v>
      </c>
      <c r="K2932" t="s">
        <v>2548</v>
      </c>
      <c r="L2932" s="2">
        <v>45992</v>
      </c>
      <c r="M2932" t="s">
        <v>68</v>
      </c>
      <c r="N2932">
        <v>0</v>
      </c>
      <c r="O2932" t="s">
        <v>31</v>
      </c>
      <c r="P2932" t="s">
        <v>28</v>
      </c>
      <c r="Q2932">
        <v>0</v>
      </c>
    </row>
    <row r="2933" spans="1:17" x14ac:dyDescent="0.3">
      <c r="A2933" t="s">
        <v>17</v>
      </c>
      <c r="B2933">
        <v>68</v>
      </c>
      <c r="C2933" t="s">
        <v>34</v>
      </c>
      <c r="D2933" s="2">
        <v>46015</v>
      </c>
      <c r="E2933" s="3">
        <f t="shared" si="45"/>
        <v>45992</v>
      </c>
      <c r="F2933" t="s">
        <v>2549</v>
      </c>
      <c r="G2933" t="s">
        <v>122</v>
      </c>
      <c r="H2933" s="4">
        <v>52.48</v>
      </c>
      <c r="I2933" t="s">
        <v>108</v>
      </c>
      <c r="J2933" t="s">
        <v>109</v>
      </c>
      <c r="K2933" t="s">
        <v>1437</v>
      </c>
      <c r="L2933" s="2">
        <v>45992</v>
      </c>
      <c r="M2933" t="s">
        <v>109</v>
      </c>
      <c r="N2933">
        <v>0</v>
      </c>
      <c r="O2933" t="s">
        <v>111</v>
      </c>
      <c r="P2933" t="s">
        <v>112</v>
      </c>
      <c r="Q2933" t="s">
        <v>113</v>
      </c>
    </row>
    <row r="2934" spans="1:17" x14ac:dyDescent="0.3">
      <c r="A2934" t="s">
        <v>17</v>
      </c>
      <c r="B2934">
        <v>68</v>
      </c>
      <c r="C2934" t="s">
        <v>34</v>
      </c>
      <c r="D2934" s="2">
        <v>46015</v>
      </c>
      <c r="E2934" s="3">
        <f t="shared" si="45"/>
        <v>45992</v>
      </c>
      <c r="F2934" t="s">
        <v>2549</v>
      </c>
      <c r="G2934" t="s">
        <v>122</v>
      </c>
      <c r="H2934" s="4">
        <v>602.41</v>
      </c>
      <c r="I2934" t="s">
        <v>108</v>
      </c>
      <c r="J2934" t="s">
        <v>109</v>
      </c>
      <c r="K2934" t="s">
        <v>388</v>
      </c>
      <c r="L2934" s="2">
        <v>45992</v>
      </c>
      <c r="M2934" t="s">
        <v>109</v>
      </c>
      <c r="N2934">
        <v>0</v>
      </c>
      <c r="O2934" t="s">
        <v>111</v>
      </c>
      <c r="P2934" t="s">
        <v>112</v>
      </c>
      <c r="Q2934" t="s">
        <v>113</v>
      </c>
    </row>
    <row r="2935" spans="1:17" x14ac:dyDescent="0.3">
      <c r="A2935" t="s">
        <v>17</v>
      </c>
      <c r="B2935">
        <v>68</v>
      </c>
      <c r="C2935" t="s">
        <v>34</v>
      </c>
      <c r="D2935" s="2">
        <v>46015</v>
      </c>
      <c r="E2935" s="3">
        <f t="shared" si="45"/>
        <v>45992</v>
      </c>
      <c r="F2935" t="s">
        <v>2550</v>
      </c>
      <c r="G2935" t="s">
        <v>122</v>
      </c>
      <c r="H2935" s="4">
        <v>225.55</v>
      </c>
      <c r="I2935" t="s">
        <v>108</v>
      </c>
      <c r="J2935" t="s">
        <v>109</v>
      </c>
      <c r="K2935" t="s">
        <v>2551</v>
      </c>
      <c r="L2935" s="2">
        <v>45992</v>
      </c>
      <c r="M2935" t="s">
        <v>109</v>
      </c>
      <c r="N2935">
        <v>0</v>
      </c>
      <c r="O2935" t="s">
        <v>111</v>
      </c>
      <c r="P2935" t="s">
        <v>112</v>
      </c>
      <c r="Q2935" t="s">
        <v>113</v>
      </c>
    </row>
    <row r="2936" spans="1:17" x14ac:dyDescent="0.3">
      <c r="A2936" t="s">
        <v>17</v>
      </c>
      <c r="B2936">
        <v>67</v>
      </c>
      <c r="C2936" t="s">
        <v>28</v>
      </c>
      <c r="D2936" s="2">
        <v>46015</v>
      </c>
      <c r="E2936" s="3">
        <f t="shared" si="45"/>
        <v>45992</v>
      </c>
      <c r="F2936" t="s">
        <v>2552</v>
      </c>
      <c r="G2936" t="s">
        <v>208</v>
      </c>
      <c r="H2936" s="4">
        <v>500</v>
      </c>
      <c r="I2936" t="s">
        <v>31</v>
      </c>
      <c r="J2936" t="s">
        <v>32</v>
      </c>
      <c r="K2936" t="s">
        <v>2553</v>
      </c>
      <c r="L2936" s="2">
        <v>45992</v>
      </c>
      <c r="M2936" t="s">
        <v>32</v>
      </c>
      <c r="N2936">
        <v>0</v>
      </c>
      <c r="O2936" t="s">
        <v>31</v>
      </c>
      <c r="P2936" t="s">
        <v>28</v>
      </c>
      <c r="Q2936">
        <v>0</v>
      </c>
    </row>
    <row r="2937" spans="1:17" x14ac:dyDescent="0.3">
      <c r="A2937" t="s">
        <v>17</v>
      </c>
      <c r="B2937">
        <v>67</v>
      </c>
      <c r="C2937" t="s">
        <v>28</v>
      </c>
      <c r="D2937" s="2">
        <v>46015</v>
      </c>
      <c r="E2937" s="3">
        <f t="shared" si="45"/>
        <v>45992</v>
      </c>
      <c r="F2937" t="s">
        <v>2554</v>
      </c>
      <c r="G2937" t="s">
        <v>205</v>
      </c>
      <c r="H2937" s="4">
        <v>2800</v>
      </c>
      <c r="I2937" t="s">
        <v>31</v>
      </c>
      <c r="J2937" t="s">
        <v>32</v>
      </c>
      <c r="K2937" t="s">
        <v>2555</v>
      </c>
      <c r="L2937" s="2">
        <v>45992</v>
      </c>
      <c r="M2937" t="s">
        <v>32</v>
      </c>
      <c r="N2937">
        <v>0</v>
      </c>
      <c r="O2937" t="s">
        <v>31</v>
      </c>
      <c r="P2937" t="s">
        <v>28</v>
      </c>
      <c r="Q2937">
        <v>0</v>
      </c>
    </row>
    <row r="2938" spans="1:17" x14ac:dyDescent="0.3">
      <c r="A2938" t="s">
        <v>17</v>
      </c>
      <c r="B2938">
        <v>67</v>
      </c>
      <c r="C2938" t="s">
        <v>28</v>
      </c>
      <c r="D2938" s="2">
        <v>46015</v>
      </c>
      <c r="E2938" s="3">
        <f t="shared" si="45"/>
        <v>45992</v>
      </c>
      <c r="F2938" t="s">
        <v>2554</v>
      </c>
      <c r="G2938" t="s">
        <v>205</v>
      </c>
      <c r="H2938" s="4">
        <v>1000</v>
      </c>
      <c r="I2938" t="s">
        <v>31</v>
      </c>
      <c r="J2938" t="s">
        <v>32</v>
      </c>
      <c r="K2938" t="s">
        <v>2553</v>
      </c>
      <c r="L2938" s="2">
        <v>45992</v>
      </c>
      <c r="M2938" t="s">
        <v>32</v>
      </c>
      <c r="N2938">
        <v>0</v>
      </c>
      <c r="O2938" t="s">
        <v>31</v>
      </c>
      <c r="P2938" t="s">
        <v>28</v>
      </c>
      <c r="Q2938">
        <v>0</v>
      </c>
    </row>
    <row r="2939" spans="1:17" x14ac:dyDescent="0.3">
      <c r="A2939" t="s">
        <v>17</v>
      </c>
      <c r="B2939">
        <v>68</v>
      </c>
      <c r="C2939" t="s">
        <v>34</v>
      </c>
      <c r="D2939" s="2">
        <v>46016</v>
      </c>
      <c r="E2939" s="3">
        <f t="shared" si="45"/>
        <v>45992</v>
      </c>
      <c r="F2939" t="s">
        <v>2556</v>
      </c>
      <c r="G2939" t="s">
        <v>107</v>
      </c>
      <c r="H2939" s="4">
        <v>34.799999999999997</v>
      </c>
      <c r="I2939" t="s">
        <v>108</v>
      </c>
      <c r="J2939" t="s">
        <v>109</v>
      </c>
      <c r="K2939" t="s">
        <v>110</v>
      </c>
      <c r="L2939" s="2">
        <v>45992</v>
      </c>
      <c r="M2939" t="s">
        <v>109</v>
      </c>
      <c r="N2939">
        <v>0</v>
      </c>
      <c r="O2939" t="s">
        <v>111</v>
      </c>
      <c r="P2939" t="s">
        <v>112</v>
      </c>
      <c r="Q2939" t="s">
        <v>113</v>
      </c>
    </row>
    <row r="2940" spans="1:17" x14ac:dyDescent="0.3">
      <c r="A2940" t="s">
        <v>17</v>
      </c>
      <c r="B2940">
        <v>67</v>
      </c>
      <c r="C2940" t="s">
        <v>28</v>
      </c>
      <c r="D2940" s="2">
        <v>46017</v>
      </c>
      <c r="E2940" s="3">
        <f t="shared" si="45"/>
        <v>45992</v>
      </c>
      <c r="F2940" t="s">
        <v>2557</v>
      </c>
      <c r="G2940" t="s">
        <v>67</v>
      </c>
      <c r="H2940" s="4">
        <v>158.76</v>
      </c>
      <c r="I2940" t="s">
        <v>31</v>
      </c>
      <c r="J2940" t="s">
        <v>68</v>
      </c>
      <c r="K2940" t="s">
        <v>2558</v>
      </c>
      <c r="L2940" s="2">
        <v>45992</v>
      </c>
      <c r="M2940" t="s">
        <v>68</v>
      </c>
      <c r="N2940">
        <v>0</v>
      </c>
      <c r="O2940" t="s">
        <v>31</v>
      </c>
      <c r="P2940" t="s">
        <v>28</v>
      </c>
      <c r="Q2940">
        <v>0</v>
      </c>
    </row>
    <row r="2941" spans="1:17" x14ac:dyDescent="0.3">
      <c r="A2941" t="s">
        <v>17</v>
      </c>
      <c r="B2941">
        <v>68</v>
      </c>
      <c r="C2941" t="s">
        <v>34</v>
      </c>
      <c r="D2941" s="2">
        <v>46017</v>
      </c>
      <c r="E2941" s="3">
        <f t="shared" si="45"/>
        <v>45992</v>
      </c>
      <c r="F2941" t="s">
        <v>2559</v>
      </c>
      <c r="G2941" t="s">
        <v>122</v>
      </c>
      <c r="H2941" s="4">
        <v>16.02</v>
      </c>
      <c r="I2941" t="s">
        <v>108</v>
      </c>
      <c r="J2941" t="s">
        <v>109</v>
      </c>
      <c r="K2941" t="s">
        <v>2560</v>
      </c>
      <c r="L2941" s="2">
        <v>45992</v>
      </c>
      <c r="M2941" t="s">
        <v>109</v>
      </c>
      <c r="N2941">
        <v>0</v>
      </c>
      <c r="O2941" t="s">
        <v>111</v>
      </c>
      <c r="P2941" t="s">
        <v>112</v>
      </c>
      <c r="Q2941" t="s">
        <v>113</v>
      </c>
    </row>
    <row r="2942" spans="1:17" x14ac:dyDescent="0.3">
      <c r="A2942" t="s">
        <v>17</v>
      </c>
      <c r="B2942">
        <v>68</v>
      </c>
      <c r="C2942" t="s">
        <v>34</v>
      </c>
      <c r="D2942" s="2">
        <v>46017</v>
      </c>
      <c r="E2942" s="3">
        <f t="shared" si="45"/>
        <v>45992</v>
      </c>
      <c r="F2942" t="s">
        <v>2559</v>
      </c>
      <c r="G2942" t="s">
        <v>122</v>
      </c>
      <c r="H2942" s="4">
        <v>17</v>
      </c>
      <c r="I2942" t="s">
        <v>108</v>
      </c>
      <c r="J2942" t="s">
        <v>109</v>
      </c>
      <c r="K2942" t="s">
        <v>2561</v>
      </c>
      <c r="L2942" s="2">
        <v>45992</v>
      </c>
      <c r="M2942" t="s">
        <v>109</v>
      </c>
      <c r="N2942">
        <v>0</v>
      </c>
      <c r="O2942" t="s">
        <v>111</v>
      </c>
      <c r="P2942" t="s">
        <v>112</v>
      </c>
      <c r="Q2942" t="s">
        <v>113</v>
      </c>
    </row>
    <row r="2943" spans="1:17" x14ac:dyDescent="0.3">
      <c r="A2943" t="s">
        <v>17</v>
      </c>
      <c r="B2943">
        <v>68</v>
      </c>
      <c r="C2943" t="s">
        <v>34</v>
      </c>
      <c r="D2943" s="2">
        <v>46017</v>
      </c>
      <c r="E2943" s="3">
        <f t="shared" si="45"/>
        <v>45992</v>
      </c>
      <c r="F2943" t="s">
        <v>2559</v>
      </c>
      <c r="G2943" t="s">
        <v>122</v>
      </c>
      <c r="H2943" s="4">
        <v>1.34</v>
      </c>
      <c r="I2943" t="s">
        <v>108</v>
      </c>
      <c r="J2943" t="s">
        <v>109</v>
      </c>
      <c r="K2943" t="s">
        <v>2562</v>
      </c>
      <c r="L2943" s="2">
        <v>45992</v>
      </c>
      <c r="M2943" t="s">
        <v>109</v>
      </c>
      <c r="N2943">
        <v>0</v>
      </c>
      <c r="O2943" t="s">
        <v>111</v>
      </c>
      <c r="P2943" t="s">
        <v>112</v>
      </c>
      <c r="Q2943" t="s">
        <v>113</v>
      </c>
    </row>
    <row r="2944" spans="1:17" x14ac:dyDescent="0.3">
      <c r="A2944" t="s">
        <v>17</v>
      </c>
      <c r="B2944">
        <v>68</v>
      </c>
      <c r="C2944" t="s">
        <v>34</v>
      </c>
      <c r="D2944" s="2">
        <v>46017</v>
      </c>
      <c r="E2944" s="3">
        <f t="shared" si="45"/>
        <v>45992</v>
      </c>
      <c r="F2944" t="s">
        <v>2563</v>
      </c>
      <c r="G2944" t="s">
        <v>122</v>
      </c>
      <c r="H2944" s="4">
        <v>24.92</v>
      </c>
      <c r="I2944" t="s">
        <v>108</v>
      </c>
      <c r="J2944" t="s">
        <v>109</v>
      </c>
      <c r="K2944" t="s">
        <v>2560</v>
      </c>
      <c r="L2944" s="2">
        <v>45992</v>
      </c>
      <c r="M2944" t="s">
        <v>109</v>
      </c>
      <c r="N2944">
        <v>0</v>
      </c>
      <c r="O2944" t="s">
        <v>111</v>
      </c>
      <c r="P2944" t="s">
        <v>112</v>
      </c>
      <c r="Q2944" t="s">
        <v>113</v>
      </c>
    </row>
    <row r="2945" spans="1:17" x14ac:dyDescent="0.3">
      <c r="A2945" t="s">
        <v>17</v>
      </c>
      <c r="B2945">
        <v>68</v>
      </c>
      <c r="C2945" t="s">
        <v>34</v>
      </c>
      <c r="D2945" s="2">
        <v>46017</v>
      </c>
      <c r="E2945" s="3">
        <f t="shared" si="45"/>
        <v>45992</v>
      </c>
      <c r="F2945" t="s">
        <v>2563</v>
      </c>
      <c r="G2945" t="s">
        <v>122</v>
      </c>
      <c r="H2945" s="4">
        <v>17</v>
      </c>
      <c r="I2945" t="s">
        <v>108</v>
      </c>
      <c r="J2945" t="s">
        <v>109</v>
      </c>
      <c r="K2945" t="s">
        <v>2561</v>
      </c>
      <c r="L2945" s="2">
        <v>45992</v>
      </c>
      <c r="M2945" t="s">
        <v>109</v>
      </c>
      <c r="N2945">
        <v>0</v>
      </c>
      <c r="O2945" t="s">
        <v>111</v>
      </c>
      <c r="P2945" t="s">
        <v>112</v>
      </c>
      <c r="Q2945" t="s">
        <v>113</v>
      </c>
    </row>
    <row r="2946" spans="1:17" x14ac:dyDescent="0.3">
      <c r="A2946" t="s">
        <v>17</v>
      </c>
      <c r="B2946">
        <v>68</v>
      </c>
      <c r="C2946" t="s">
        <v>34</v>
      </c>
      <c r="D2946" s="2">
        <v>46017</v>
      </c>
      <c r="E2946" s="3">
        <f t="shared" si="45"/>
        <v>45992</v>
      </c>
      <c r="F2946" t="s">
        <v>2563</v>
      </c>
      <c r="G2946" t="s">
        <v>122</v>
      </c>
      <c r="H2946" s="4">
        <v>1.34</v>
      </c>
      <c r="I2946" t="s">
        <v>108</v>
      </c>
      <c r="J2946" t="s">
        <v>109</v>
      </c>
      <c r="K2946" t="s">
        <v>2562</v>
      </c>
      <c r="L2946" s="2">
        <v>45992</v>
      </c>
      <c r="M2946" t="s">
        <v>109</v>
      </c>
      <c r="N2946">
        <v>0</v>
      </c>
      <c r="O2946" t="s">
        <v>111</v>
      </c>
      <c r="P2946" t="s">
        <v>112</v>
      </c>
      <c r="Q2946" t="s">
        <v>113</v>
      </c>
    </row>
    <row r="2947" spans="1:17" x14ac:dyDescent="0.3">
      <c r="A2947" t="s">
        <v>17</v>
      </c>
      <c r="B2947">
        <v>68</v>
      </c>
      <c r="C2947" t="s">
        <v>34</v>
      </c>
      <c r="D2947" s="2">
        <v>46017</v>
      </c>
      <c r="E2947" s="3">
        <f t="shared" ref="E2947:E3010" si="46">IF($D2947="","",DATE(YEAR($D2947),MONTH($D2947),1))</f>
        <v>45992</v>
      </c>
      <c r="F2947" t="s">
        <v>2564</v>
      </c>
      <c r="G2947" t="s">
        <v>122</v>
      </c>
      <c r="H2947" s="4">
        <v>4.3499999999999996</v>
      </c>
      <c r="I2947" t="s">
        <v>108</v>
      </c>
      <c r="J2947" t="s">
        <v>109</v>
      </c>
      <c r="K2947" t="s">
        <v>2560</v>
      </c>
      <c r="L2947" s="2">
        <v>45992</v>
      </c>
      <c r="M2947" t="s">
        <v>109</v>
      </c>
      <c r="N2947">
        <v>0</v>
      </c>
      <c r="O2947" t="s">
        <v>111</v>
      </c>
      <c r="P2947" t="s">
        <v>112</v>
      </c>
      <c r="Q2947" t="s">
        <v>113</v>
      </c>
    </row>
    <row r="2948" spans="1:17" x14ac:dyDescent="0.3">
      <c r="A2948" t="s">
        <v>17</v>
      </c>
      <c r="B2948">
        <v>68</v>
      </c>
      <c r="C2948" t="s">
        <v>34</v>
      </c>
      <c r="D2948" s="2">
        <v>46017</v>
      </c>
      <c r="E2948" s="3">
        <f t="shared" si="46"/>
        <v>45992</v>
      </c>
      <c r="F2948" t="s">
        <v>2564</v>
      </c>
      <c r="G2948" t="s">
        <v>122</v>
      </c>
      <c r="H2948" s="4">
        <v>17</v>
      </c>
      <c r="I2948" t="s">
        <v>108</v>
      </c>
      <c r="J2948" t="s">
        <v>109</v>
      </c>
      <c r="K2948" t="s">
        <v>1455</v>
      </c>
      <c r="L2948" s="2">
        <v>45992</v>
      </c>
      <c r="M2948" t="s">
        <v>109</v>
      </c>
      <c r="N2948">
        <v>0</v>
      </c>
      <c r="O2948" t="s">
        <v>111</v>
      </c>
      <c r="P2948" t="s">
        <v>112</v>
      </c>
      <c r="Q2948" t="s">
        <v>113</v>
      </c>
    </row>
    <row r="2949" spans="1:17" x14ac:dyDescent="0.3">
      <c r="A2949" t="s">
        <v>17</v>
      </c>
      <c r="B2949">
        <v>68</v>
      </c>
      <c r="C2949" t="s">
        <v>34</v>
      </c>
      <c r="D2949" s="2">
        <v>46017</v>
      </c>
      <c r="E2949" s="3">
        <f t="shared" si="46"/>
        <v>45992</v>
      </c>
      <c r="F2949" t="s">
        <v>2564</v>
      </c>
      <c r="G2949" t="s">
        <v>122</v>
      </c>
      <c r="H2949" s="4">
        <v>1.34</v>
      </c>
      <c r="I2949" t="s">
        <v>108</v>
      </c>
      <c r="J2949" t="s">
        <v>109</v>
      </c>
      <c r="K2949" t="s">
        <v>1457</v>
      </c>
      <c r="L2949" s="2">
        <v>45992</v>
      </c>
      <c r="M2949" t="s">
        <v>109</v>
      </c>
      <c r="N2949">
        <v>0</v>
      </c>
      <c r="O2949" t="s">
        <v>111</v>
      </c>
      <c r="P2949" t="s">
        <v>112</v>
      </c>
      <c r="Q2949" t="s">
        <v>113</v>
      </c>
    </row>
    <row r="2950" spans="1:17" x14ac:dyDescent="0.3">
      <c r="A2950" t="s">
        <v>17</v>
      </c>
      <c r="B2950">
        <v>68</v>
      </c>
      <c r="C2950" t="s">
        <v>34</v>
      </c>
      <c r="D2950" s="2">
        <v>46017</v>
      </c>
      <c r="E2950" s="3">
        <f t="shared" si="46"/>
        <v>45992</v>
      </c>
      <c r="F2950" t="s">
        <v>2565</v>
      </c>
      <c r="G2950" t="s">
        <v>122</v>
      </c>
      <c r="H2950" s="4">
        <v>18.649999999999999</v>
      </c>
      <c r="I2950" t="s">
        <v>108</v>
      </c>
      <c r="J2950" t="s">
        <v>109</v>
      </c>
      <c r="K2950" t="s">
        <v>2566</v>
      </c>
      <c r="L2950" s="2">
        <v>45992</v>
      </c>
      <c r="M2950" t="s">
        <v>109</v>
      </c>
      <c r="N2950">
        <v>0</v>
      </c>
      <c r="O2950" t="s">
        <v>111</v>
      </c>
      <c r="P2950" t="s">
        <v>112</v>
      </c>
      <c r="Q2950" t="s">
        <v>113</v>
      </c>
    </row>
    <row r="2951" spans="1:17" x14ac:dyDescent="0.3">
      <c r="A2951" t="s">
        <v>17</v>
      </c>
      <c r="B2951">
        <v>68</v>
      </c>
      <c r="C2951" t="s">
        <v>34</v>
      </c>
      <c r="D2951" s="2">
        <v>46017</v>
      </c>
      <c r="E2951" s="3">
        <f t="shared" si="46"/>
        <v>45992</v>
      </c>
      <c r="F2951" t="s">
        <v>2567</v>
      </c>
      <c r="G2951" t="s">
        <v>122</v>
      </c>
      <c r="H2951" s="4">
        <v>0</v>
      </c>
      <c r="I2951" t="s">
        <v>108</v>
      </c>
      <c r="J2951" t="s">
        <v>109</v>
      </c>
      <c r="L2951" s="2">
        <v>45992</v>
      </c>
      <c r="M2951" t="s">
        <v>109</v>
      </c>
      <c r="N2951">
        <v>0</v>
      </c>
      <c r="O2951" t="s">
        <v>111</v>
      </c>
      <c r="P2951" t="s">
        <v>112</v>
      </c>
      <c r="Q2951" t="s">
        <v>113</v>
      </c>
    </row>
    <row r="2952" spans="1:17" x14ac:dyDescent="0.3">
      <c r="A2952" t="s">
        <v>17</v>
      </c>
      <c r="B2952">
        <v>68</v>
      </c>
      <c r="C2952" t="s">
        <v>34</v>
      </c>
      <c r="D2952" s="2">
        <v>46017</v>
      </c>
      <c r="E2952" s="3">
        <f t="shared" si="46"/>
        <v>45992</v>
      </c>
      <c r="F2952" t="s">
        <v>2567</v>
      </c>
      <c r="G2952" t="s">
        <v>122</v>
      </c>
      <c r="H2952" s="4">
        <v>9.4</v>
      </c>
      <c r="I2952" t="s">
        <v>108</v>
      </c>
      <c r="J2952" t="s">
        <v>109</v>
      </c>
      <c r="L2952" s="2">
        <v>45992</v>
      </c>
      <c r="M2952" t="s">
        <v>109</v>
      </c>
      <c r="N2952">
        <v>0</v>
      </c>
      <c r="O2952" t="s">
        <v>111</v>
      </c>
      <c r="P2952" t="s">
        <v>112</v>
      </c>
      <c r="Q2952" t="s">
        <v>113</v>
      </c>
    </row>
    <row r="2953" spans="1:17" x14ac:dyDescent="0.3">
      <c r="A2953" t="s">
        <v>17</v>
      </c>
      <c r="B2953">
        <v>68</v>
      </c>
      <c r="C2953" t="s">
        <v>34</v>
      </c>
      <c r="D2953" s="2">
        <v>46017</v>
      </c>
      <c r="E2953" s="3">
        <f t="shared" si="46"/>
        <v>45992</v>
      </c>
      <c r="F2953" t="s">
        <v>2567</v>
      </c>
      <c r="G2953" t="s">
        <v>122</v>
      </c>
      <c r="H2953" s="4">
        <v>17</v>
      </c>
      <c r="I2953" t="s">
        <v>108</v>
      </c>
      <c r="J2953" t="s">
        <v>109</v>
      </c>
      <c r="L2953" s="2">
        <v>45992</v>
      </c>
      <c r="M2953" t="s">
        <v>109</v>
      </c>
      <c r="N2953">
        <v>0</v>
      </c>
      <c r="O2953" t="s">
        <v>111</v>
      </c>
      <c r="P2953" t="s">
        <v>112</v>
      </c>
      <c r="Q2953" t="s">
        <v>113</v>
      </c>
    </row>
    <row r="2954" spans="1:17" x14ac:dyDescent="0.3">
      <c r="A2954" t="s">
        <v>17</v>
      </c>
      <c r="B2954">
        <v>68</v>
      </c>
      <c r="C2954" t="s">
        <v>34</v>
      </c>
      <c r="D2954" s="2">
        <v>46017</v>
      </c>
      <c r="E2954" s="3">
        <f t="shared" si="46"/>
        <v>45992</v>
      </c>
      <c r="F2954" t="s">
        <v>2567</v>
      </c>
      <c r="G2954" t="s">
        <v>122</v>
      </c>
      <c r="H2954" s="4">
        <v>1.34</v>
      </c>
      <c r="I2954" t="s">
        <v>108</v>
      </c>
      <c r="J2954" t="s">
        <v>109</v>
      </c>
      <c r="L2954" s="2">
        <v>45992</v>
      </c>
      <c r="M2954" t="s">
        <v>109</v>
      </c>
      <c r="N2954">
        <v>0</v>
      </c>
      <c r="O2954" t="s">
        <v>111</v>
      </c>
      <c r="P2954" t="s">
        <v>112</v>
      </c>
      <c r="Q2954" t="s">
        <v>113</v>
      </c>
    </row>
    <row r="2955" spans="1:17" x14ac:dyDescent="0.3">
      <c r="A2955" t="s">
        <v>17</v>
      </c>
      <c r="B2955">
        <v>68</v>
      </c>
      <c r="C2955" t="s">
        <v>34</v>
      </c>
      <c r="D2955" s="2">
        <v>46017</v>
      </c>
      <c r="E2955" s="3">
        <f t="shared" si="46"/>
        <v>45992</v>
      </c>
      <c r="F2955" t="s">
        <v>2568</v>
      </c>
      <c r="G2955" t="s">
        <v>122</v>
      </c>
      <c r="H2955" s="4">
        <v>39</v>
      </c>
      <c r="I2955" t="s">
        <v>108</v>
      </c>
      <c r="J2955" t="s">
        <v>109</v>
      </c>
      <c r="K2955" t="s">
        <v>2560</v>
      </c>
      <c r="L2955" s="2">
        <v>45992</v>
      </c>
      <c r="M2955" t="s">
        <v>109</v>
      </c>
      <c r="N2955">
        <v>0</v>
      </c>
      <c r="O2955" t="s">
        <v>111</v>
      </c>
      <c r="P2955" t="s">
        <v>112</v>
      </c>
      <c r="Q2955" t="s">
        <v>113</v>
      </c>
    </row>
    <row r="2956" spans="1:17" x14ac:dyDescent="0.3">
      <c r="A2956" t="s">
        <v>17</v>
      </c>
      <c r="B2956">
        <v>68</v>
      </c>
      <c r="C2956" t="s">
        <v>34</v>
      </c>
      <c r="D2956" s="2">
        <v>46017</v>
      </c>
      <c r="E2956" s="3">
        <f t="shared" si="46"/>
        <v>45992</v>
      </c>
      <c r="F2956" t="s">
        <v>2568</v>
      </c>
      <c r="G2956" t="s">
        <v>122</v>
      </c>
      <c r="H2956" s="4">
        <v>17</v>
      </c>
      <c r="I2956" t="s">
        <v>108</v>
      </c>
      <c r="J2956" t="s">
        <v>109</v>
      </c>
      <c r="K2956" t="s">
        <v>2561</v>
      </c>
      <c r="L2956" s="2">
        <v>45992</v>
      </c>
      <c r="M2956" t="s">
        <v>109</v>
      </c>
      <c r="N2956">
        <v>0</v>
      </c>
      <c r="O2956" t="s">
        <v>111</v>
      </c>
      <c r="P2956" t="s">
        <v>112</v>
      </c>
      <c r="Q2956" t="s">
        <v>113</v>
      </c>
    </row>
    <row r="2957" spans="1:17" x14ac:dyDescent="0.3">
      <c r="A2957" t="s">
        <v>17</v>
      </c>
      <c r="B2957">
        <v>68</v>
      </c>
      <c r="C2957" t="s">
        <v>34</v>
      </c>
      <c r="D2957" s="2">
        <v>46017</v>
      </c>
      <c r="E2957" s="3">
        <f t="shared" si="46"/>
        <v>45992</v>
      </c>
      <c r="F2957" t="s">
        <v>2568</v>
      </c>
      <c r="G2957" t="s">
        <v>122</v>
      </c>
      <c r="H2957" s="4">
        <v>1.34</v>
      </c>
      <c r="I2957" t="s">
        <v>108</v>
      </c>
      <c r="J2957" t="s">
        <v>109</v>
      </c>
      <c r="K2957" t="s">
        <v>1457</v>
      </c>
      <c r="L2957" s="2">
        <v>45992</v>
      </c>
      <c r="M2957" t="s">
        <v>109</v>
      </c>
      <c r="N2957">
        <v>0</v>
      </c>
      <c r="O2957" t="s">
        <v>111</v>
      </c>
      <c r="P2957" t="s">
        <v>112</v>
      </c>
      <c r="Q2957" t="s">
        <v>113</v>
      </c>
    </row>
    <row r="2958" spans="1:17" x14ac:dyDescent="0.3">
      <c r="A2958" t="s">
        <v>17</v>
      </c>
      <c r="B2958">
        <v>68</v>
      </c>
      <c r="C2958" t="s">
        <v>34</v>
      </c>
      <c r="D2958" s="2">
        <v>46017</v>
      </c>
      <c r="E2958" s="3">
        <f t="shared" si="46"/>
        <v>45992</v>
      </c>
      <c r="F2958" t="s">
        <v>2569</v>
      </c>
      <c r="G2958" t="s">
        <v>122</v>
      </c>
      <c r="H2958" s="4">
        <v>3.9</v>
      </c>
      <c r="I2958" t="s">
        <v>108</v>
      </c>
      <c r="J2958" t="s">
        <v>109</v>
      </c>
      <c r="L2958" s="2">
        <v>45992</v>
      </c>
      <c r="M2958" t="s">
        <v>109</v>
      </c>
      <c r="N2958">
        <v>0</v>
      </c>
      <c r="O2958" t="s">
        <v>111</v>
      </c>
      <c r="P2958" t="s">
        <v>112</v>
      </c>
      <c r="Q2958" t="s">
        <v>113</v>
      </c>
    </row>
    <row r="2959" spans="1:17" x14ac:dyDescent="0.3">
      <c r="A2959" t="s">
        <v>17</v>
      </c>
      <c r="B2959">
        <v>68</v>
      </c>
      <c r="C2959" t="s">
        <v>34</v>
      </c>
      <c r="D2959" s="2">
        <v>46017</v>
      </c>
      <c r="E2959" s="3">
        <f t="shared" si="46"/>
        <v>45992</v>
      </c>
      <c r="F2959" t="s">
        <v>2569</v>
      </c>
      <c r="G2959" t="s">
        <v>122</v>
      </c>
      <c r="H2959" s="4">
        <v>17</v>
      </c>
      <c r="I2959" t="s">
        <v>108</v>
      </c>
      <c r="J2959" t="s">
        <v>109</v>
      </c>
      <c r="L2959" s="2">
        <v>45992</v>
      </c>
      <c r="M2959" t="s">
        <v>109</v>
      </c>
      <c r="N2959">
        <v>0</v>
      </c>
      <c r="O2959" t="s">
        <v>111</v>
      </c>
      <c r="P2959" t="s">
        <v>112</v>
      </c>
      <c r="Q2959" t="s">
        <v>113</v>
      </c>
    </row>
    <row r="2960" spans="1:17" x14ac:dyDescent="0.3">
      <c r="A2960" t="s">
        <v>17</v>
      </c>
      <c r="B2960">
        <v>68</v>
      </c>
      <c r="C2960" t="s">
        <v>34</v>
      </c>
      <c r="D2960" s="2">
        <v>46017</v>
      </c>
      <c r="E2960" s="3">
        <f t="shared" si="46"/>
        <v>45992</v>
      </c>
      <c r="F2960" t="s">
        <v>2569</v>
      </c>
      <c r="G2960" t="s">
        <v>122</v>
      </c>
      <c r="H2960" s="4">
        <v>1.34</v>
      </c>
      <c r="I2960" t="s">
        <v>108</v>
      </c>
      <c r="J2960" t="s">
        <v>109</v>
      </c>
      <c r="K2960" t="s">
        <v>2333</v>
      </c>
      <c r="L2960" s="2">
        <v>45992</v>
      </c>
      <c r="M2960" t="s">
        <v>109</v>
      </c>
      <c r="N2960">
        <v>0</v>
      </c>
      <c r="O2960" t="s">
        <v>111</v>
      </c>
      <c r="P2960" t="s">
        <v>112</v>
      </c>
      <c r="Q2960" t="s">
        <v>113</v>
      </c>
    </row>
    <row r="2961" spans="1:17" x14ac:dyDescent="0.3">
      <c r="A2961" t="s">
        <v>17</v>
      </c>
      <c r="B2961">
        <v>67</v>
      </c>
      <c r="C2961" t="s">
        <v>28</v>
      </c>
      <c r="D2961" s="2">
        <v>46017</v>
      </c>
      <c r="E2961" s="3">
        <f t="shared" si="46"/>
        <v>45992</v>
      </c>
      <c r="F2961" t="s">
        <v>2570</v>
      </c>
      <c r="G2961" t="s">
        <v>259</v>
      </c>
      <c r="H2961" s="4">
        <v>10551.21</v>
      </c>
      <c r="I2961" t="s">
        <v>31</v>
      </c>
      <c r="J2961" t="s">
        <v>32</v>
      </c>
      <c r="K2961" t="s">
        <v>2571</v>
      </c>
      <c r="L2961" s="2">
        <v>45992</v>
      </c>
      <c r="M2961" t="s">
        <v>32</v>
      </c>
      <c r="N2961">
        <v>0</v>
      </c>
      <c r="O2961" t="s">
        <v>31</v>
      </c>
      <c r="P2961" t="s">
        <v>28</v>
      </c>
      <c r="Q2961">
        <v>0</v>
      </c>
    </row>
    <row r="2962" spans="1:17" x14ac:dyDescent="0.3">
      <c r="A2962" t="s">
        <v>17</v>
      </c>
      <c r="B2962">
        <v>67</v>
      </c>
      <c r="C2962" t="s">
        <v>28</v>
      </c>
      <c r="D2962" s="2">
        <v>46017</v>
      </c>
      <c r="E2962" s="3">
        <f t="shared" si="46"/>
        <v>45992</v>
      </c>
      <c r="F2962" t="s">
        <v>2572</v>
      </c>
      <c r="H2962" s="4">
        <v>-1.2</v>
      </c>
      <c r="I2962" t="s">
        <v>31</v>
      </c>
      <c r="J2962" t="s">
        <v>60</v>
      </c>
      <c r="L2962" s="2">
        <v>45992</v>
      </c>
      <c r="M2962" t="s">
        <v>60</v>
      </c>
      <c r="N2962">
        <v>0</v>
      </c>
      <c r="O2962" t="s">
        <v>31</v>
      </c>
      <c r="P2962" t="s">
        <v>28</v>
      </c>
      <c r="Q2962">
        <v>0</v>
      </c>
    </row>
    <row r="2963" spans="1:17" x14ac:dyDescent="0.3">
      <c r="A2963" t="s">
        <v>17</v>
      </c>
      <c r="B2963">
        <v>67</v>
      </c>
      <c r="C2963" t="s">
        <v>28</v>
      </c>
      <c r="D2963" s="2">
        <v>46017</v>
      </c>
      <c r="E2963" s="3">
        <f t="shared" si="46"/>
        <v>45992</v>
      </c>
      <c r="F2963" t="s">
        <v>2572</v>
      </c>
      <c r="H2963" s="4">
        <v>-39.71</v>
      </c>
      <c r="I2963" t="s">
        <v>31</v>
      </c>
      <c r="J2963" t="s">
        <v>60</v>
      </c>
      <c r="L2963" s="2">
        <v>45992</v>
      </c>
      <c r="M2963" t="s">
        <v>60</v>
      </c>
      <c r="N2963">
        <v>0</v>
      </c>
      <c r="O2963" t="s">
        <v>31</v>
      </c>
      <c r="P2963" t="s">
        <v>28</v>
      </c>
      <c r="Q2963">
        <v>0</v>
      </c>
    </row>
    <row r="2964" spans="1:17" x14ac:dyDescent="0.3">
      <c r="A2964" t="s">
        <v>17</v>
      </c>
      <c r="B2964">
        <v>67</v>
      </c>
      <c r="C2964" t="s">
        <v>28</v>
      </c>
      <c r="D2964" s="2">
        <v>46017</v>
      </c>
      <c r="E2964" s="3">
        <f t="shared" si="46"/>
        <v>45992</v>
      </c>
      <c r="F2964" t="s">
        <v>2572</v>
      </c>
      <c r="H2964" s="4">
        <v>0</v>
      </c>
      <c r="I2964" t="s">
        <v>31</v>
      </c>
      <c r="J2964" t="s">
        <v>60</v>
      </c>
      <c r="L2964" s="2">
        <v>45992</v>
      </c>
      <c r="M2964" t="s">
        <v>60</v>
      </c>
      <c r="N2964">
        <v>0</v>
      </c>
      <c r="O2964" t="s">
        <v>31</v>
      </c>
      <c r="P2964" t="s">
        <v>28</v>
      </c>
      <c r="Q2964">
        <v>0</v>
      </c>
    </row>
    <row r="2965" spans="1:17" x14ac:dyDescent="0.3">
      <c r="A2965" t="s">
        <v>17</v>
      </c>
      <c r="B2965">
        <v>67</v>
      </c>
      <c r="C2965" t="s">
        <v>28</v>
      </c>
      <c r="D2965" s="2">
        <v>46017</v>
      </c>
      <c r="E2965" s="3">
        <f t="shared" si="46"/>
        <v>45992</v>
      </c>
      <c r="F2965" t="s">
        <v>2572</v>
      </c>
      <c r="H2965" s="4">
        <v>-23.55</v>
      </c>
      <c r="I2965" t="s">
        <v>31</v>
      </c>
      <c r="J2965" t="s">
        <v>60</v>
      </c>
      <c r="L2965" s="2">
        <v>45992</v>
      </c>
      <c r="M2965" t="s">
        <v>60</v>
      </c>
      <c r="N2965">
        <v>0</v>
      </c>
      <c r="O2965" t="s">
        <v>31</v>
      </c>
      <c r="P2965" t="s">
        <v>28</v>
      </c>
      <c r="Q2965">
        <v>0</v>
      </c>
    </row>
    <row r="2966" spans="1:17" x14ac:dyDescent="0.3">
      <c r="A2966" t="s">
        <v>17</v>
      </c>
      <c r="B2966">
        <v>67</v>
      </c>
      <c r="C2966" t="s">
        <v>28</v>
      </c>
      <c r="D2966" s="2">
        <v>46017</v>
      </c>
      <c r="E2966" s="3">
        <f t="shared" si="46"/>
        <v>45992</v>
      </c>
      <c r="F2966" t="s">
        <v>2572</v>
      </c>
      <c r="H2966" s="4">
        <v>-13.23</v>
      </c>
      <c r="I2966" t="s">
        <v>31</v>
      </c>
      <c r="J2966" t="s">
        <v>60</v>
      </c>
      <c r="L2966" s="2">
        <v>45992</v>
      </c>
      <c r="M2966" t="s">
        <v>60</v>
      </c>
      <c r="N2966">
        <v>0</v>
      </c>
      <c r="O2966" t="s">
        <v>31</v>
      </c>
      <c r="P2966" t="s">
        <v>28</v>
      </c>
      <c r="Q2966">
        <v>0</v>
      </c>
    </row>
    <row r="2967" spans="1:17" x14ac:dyDescent="0.3">
      <c r="A2967" t="s">
        <v>17</v>
      </c>
      <c r="B2967">
        <v>67</v>
      </c>
      <c r="C2967" t="s">
        <v>28</v>
      </c>
      <c r="D2967" s="2">
        <v>46017</v>
      </c>
      <c r="E2967" s="3">
        <f t="shared" si="46"/>
        <v>45992</v>
      </c>
      <c r="F2967" t="s">
        <v>2572</v>
      </c>
      <c r="H2967" s="4">
        <v>-16.12</v>
      </c>
      <c r="I2967" t="s">
        <v>31</v>
      </c>
      <c r="J2967" t="s">
        <v>60</v>
      </c>
      <c r="L2967" s="2">
        <v>45992</v>
      </c>
      <c r="M2967" t="s">
        <v>60</v>
      </c>
      <c r="N2967">
        <v>0</v>
      </c>
      <c r="O2967" t="s">
        <v>31</v>
      </c>
      <c r="P2967" t="s">
        <v>28</v>
      </c>
      <c r="Q2967">
        <v>0</v>
      </c>
    </row>
    <row r="2968" spans="1:17" x14ac:dyDescent="0.3">
      <c r="A2968" t="s">
        <v>17</v>
      </c>
      <c r="B2968">
        <v>67</v>
      </c>
      <c r="C2968" t="s">
        <v>28</v>
      </c>
      <c r="D2968" s="2">
        <v>46017</v>
      </c>
      <c r="E2968" s="3">
        <f t="shared" si="46"/>
        <v>45992</v>
      </c>
      <c r="F2968" t="s">
        <v>2572</v>
      </c>
      <c r="H2968" s="4">
        <v>-12.98</v>
      </c>
      <c r="I2968" t="s">
        <v>31</v>
      </c>
      <c r="J2968" t="s">
        <v>60</v>
      </c>
      <c r="L2968" s="2">
        <v>45992</v>
      </c>
      <c r="M2968" t="s">
        <v>60</v>
      </c>
      <c r="N2968">
        <v>0</v>
      </c>
      <c r="O2968" t="s">
        <v>31</v>
      </c>
      <c r="P2968" t="s">
        <v>28</v>
      </c>
      <c r="Q2968">
        <v>0</v>
      </c>
    </row>
    <row r="2969" spans="1:17" x14ac:dyDescent="0.3">
      <c r="A2969" t="s">
        <v>17</v>
      </c>
      <c r="B2969">
        <v>67</v>
      </c>
      <c r="C2969" t="s">
        <v>28</v>
      </c>
      <c r="D2969" s="2">
        <v>46017</v>
      </c>
      <c r="E2969" s="3">
        <f t="shared" si="46"/>
        <v>45992</v>
      </c>
      <c r="F2969" t="s">
        <v>2572</v>
      </c>
      <c r="H2969" s="4">
        <v>-10.62</v>
      </c>
      <c r="I2969" t="s">
        <v>31</v>
      </c>
      <c r="J2969" t="s">
        <v>60</v>
      </c>
      <c r="L2969" s="2">
        <v>45992</v>
      </c>
      <c r="M2969" t="s">
        <v>60</v>
      </c>
      <c r="N2969">
        <v>0</v>
      </c>
      <c r="O2969" t="s">
        <v>31</v>
      </c>
      <c r="P2969" t="s">
        <v>28</v>
      </c>
      <c r="Q2969">
        <v>0</v>
      </c>
    </row>
    <row r="2970" spans="1:17" x14ac:dyDescent="0.3">
      <c r="A2970" t="s">
        <v>17</v>
      </c>
      <c r="B2970">
        <v>68</v>
      </c>
      <c r="C2970" t="s">
        <v>34</v>
      </c>
      <c r="D2970" s="2">
        <v>46018</v>
      </c>
      <c r="E2970" s="3">
        <f t="shared" si="46"/>
        <v>45992</v>
      </c>
      <c r="F2970" t="s">
        <v>2573</v>
      </c>
      <c r="G2970" t="s">
        <v>122</v>
      </c>
      <c r="H2970" s="4">
        <v>0.92</v>
      </c>
      <c r="I2970" t="s">
        <v>108</v>
      </c>
      <c r="J2970" t="s">
        <v>109</v>
      </c>
      <c r="K2970" t="s">
        <v>2574</v>
      </c>
      <c r="L2970" s="2">
        <v>45992</v>
      </c>
      <c r="M2970" t="s">
        <v>109</v>
      </c>
      <c r="N2970">
        <v>0</v>
      </c>
      <c r="O2970" t="s">
        <v>111</v>
      </c>
      <c r="P2970" t="s">
        <v>112</v>
      </c>
      <c r="Q2970" t="s">
        <v>113</v>
      </c>
    </row>
    <row r="2971" spans="1:17" x14ac:dyDescent="0.3">
      <c r="A2971" t="s">
        <v>17</v>
      </c>
      <c r="B2971">
        <v>68</v>
      </c>
      <c r="C2971" t="s">
        <v>34</v>
      </c>
      <c r="D2971" s="2">
        <v>46018</v>
      </c>
      <c r="E2971" s="3">
        <f t="shared" si="46"/>
        <v>45992</v>
      </c>
      <c r="F2971" t="s">
        <v>2573</v>
      </c>
      <c r="G2971" t="s">
        <v>122</v>
      </c>
      <c r="H2971" s="4">
        <v>17</v>
      </c>
      <c r="I2971" t="s">
        <v>108</v>
      </c>
      <c r="J2971" t="s">
        <v>109</v>
      </c>
      <c r="K2971" t="s">
        <v>2575</v>
      </c>
      <c r="L2971" s="2">
        <v>45992</v>
      </c>
      <c r="M2971" t="s">
        <v>109</v>
      </c>
      <c r="N2971">
        <v>0</v>
      </c>
      <c r="O2971" t="s">
        <v>111</v>
      </c>
      <c r="P2971" t="s">
        <v>112</v>
      </c>
      <c r="Q2971" t="s">
        <v>113</v>
      </c>
    </row>
    <row r="2972" spans="1:17" x14ac:dyDescent="0.3">
      <c r="A2972" t="s">
        <v>17</v>
      </c>
      <c r="B2972">
        <v>68</v>
      </c>
      <c r="C2972" t="s">
        <v>34</v>
      </c>
      <c r="D2972" s="2">
        <v>46018</v>
      </c>
      <c r="E2972" s="3">
        <f t="shared" si="46"/>
        <v>45992</v>
      </c>
      <c r="F2972" t="s">
        <v>2573</v>
      </c>
      <c r="G2972" t="s">
        <v>122</v>
      </c>
      <c r="H2972" s="4">
        <v>1.34</v>
      </c>
      <c r="I2972" t="s">
        <v>108</v>
      </c>
      <c r="J2972" t="s">
        <v>109</v>
      </c>
      <c r="K2972" t="s">
        <v>2562</v>
      </c>
      <c r="L2972" s="2">
        <v>45992</v>
      </c>
      <c r="M2972" t="s">
        <v>109</v>
      </c>
      <c r="N2972">
        <v>0</v>
      </c>
      <c r="O2972" t="s">
        <v>111</v>
      </c>
      <c r="P2972" t="s">
        <v>112</v>
      </c>
      <c r="Q2972" t="s">
        <v>113</v>
      </c>
    </row>
    <row r="2973" spans="1:17" x14ac:dyDescent="0.3">
      <c r="A2973" t="s">
        <v>17</v>
      </c>
      <c r="B2973">
        <v>68</v>
      </c>
      <c r="C2973" t="s">
        <v>34</v>
      </c>
      <c r="D2973" s="2">
        <v>46018</v>
      </c>
      <c r="E2973" s="3">
        <f t="shared" si="46"/>
        <v>45992</v>
      </c>
      <c r="F2973" t="s">
        <v>2576</v>
      </c>
      <c r="G2973" t="s">
        <v>122</v>
      </c>
      <c r="H2973" s="4">
        <v>15.38</v>
      </c>
      <c r="I2973" t="s">
        <v>108</v>
      </c>
      <c r="J2973" t="s">
        <v>109</v>
      </c>
      <c r="K2973" t="s">
        <v>2560</v>
      </c>
      <c r="L2973" s="2">
        <v>45992</v>
      </c>
      <c r="M2973" t="s">
        <v>109</v>
      </c>
      <c r="N2973">
        <v>0</v>
      </c>
      <c r="O2973" t="s">
        <v>111</v>
      </c>
      <c r="P2973" t="s">
        <v>112</v>
      </c>
      <c r="Q2973" t="s">
        <v>113</v>
      </c>
    </row>
    <row r="2974" spans="1:17" x14ac:dyDescent="0.3">
      <c r="A2974" t="s">
        <v>17</v>
      </c>
      <c r="B2974">
        <v>68</v>
      </c>
      <c r="C2974" t="s">
        <v>34</v>
      </c>
      <c r="D2974" s="2">
        <v>46018</v>
      </c>
      <c r="E2974" s="3">
        <f t="shared" si="46"/>
        <v>45992</v>
      </c>
      <c r="F2974" t="s">
        <v>2576</v>
      </c>
      <c r="G2974" t="s">
        <v>122</v>
      </c>
      <c r="H2974" s="4">
        <v>17</v>
      </c>
      <c r="I2974" t="s">
        <v>108</v>
      </c>
      <c r="J2974" t="s">
        <v>109</v>
      </c>
      <c r="K2974" t="s">
        <v>2561</v>
      </c>
      <c r="L2974" s="2">
        <v>45992</v>
      </c>
      <c r="M2974" t="s">
        <v>109</v>
      </c>
      <c r="N2974">
        <v>0</v>
      </c>
      <c r="O2974" t="s">
        <v>111</v>
      </c>
      <c r="P2974" t="s">
        <v>112</v>
      </c>
      <c r="Q2974" t="s">
        <v>113</v>
      </c>
    </row>
    <row r="2975" spans="1:17" x14ac:dyDescent="0.3">
      <c r="A2975" t="s">
        <v>17</v>
      </c>
      <c r="B2975">
        <v>68</v>
      </c>
      <c r="C2975" t="s">
        <v>34</v>
      </c>
      <c r="D2975" s="2">
        <v>46018</v>
      </c>
      <c r="E2975" s="3">
        <f t="shared" si="46"/>
        <v>45992</v>
      </c>
      <c r="F2975" t="s">
        <v>2576</v>
      </c>
      <c r="G2975" t="s">
        <v>122</v>
      </c>
      <c r="H2975" s="4">
        <v>1.34</v>
      </c>
      <c r="I2975" t="s">
        <v>108</v>
      </c>
      <c r="J2975" t="s">
        <v>109</v>
      </c>
      <c r="K2975" t="s">
        <v>1457</v>
      </c>
      <c r="L2975" s="2">
        <v>45992</v>
      </c>
      <c r="M2975" t="s">
        <v>109</v>
      </c>
      <c r="N2975">
        <v>0</v>
      </c>
      <c r="O2975" t="s">
        <v>111</v>
      </c>
      <c r="P2975" t="s">
        <v>112</v>
      </c>
      <c r="Q2975" t="s">
        <v>113</v>
      </c>
    </row>
    <row r="2976" spans="1:17" x14ac:dyDescent="0.3">
      <c r="A2976" t="s">
        <v>17</v>
      </c>
      <c r="B2976">
        <v>68</v>
      </c>
      <c r="C2976" t="s">
        <v>34</v>
      </c>
      <c r="D2976" s="2">
        <v>46018</v>
      </c>
      <c r="E2976" s="3">
        <f t="shared" si="46"/>
        <v>45992</v>
      </c>
      <c r="F2976" t="s">
        <v>2577</v>
      </c>
      <c r="G2976" t="s">
        <v>122</v>
      </c>
      <c r="H2976" s="4">
        <v>30</v>
      </c>
      <c r="I2976" t="s">
        <v>108</v>
      </c>
      <c r="J2976" t="s">
        <v>109</v>
      </c>
      <c r="K2976" t="s">
        <v>2578</v>
      </c>
      <c r="L2976" s="2">
        <v>45992</v>
      </c>
      <c r="M2976" t="s">
        <v>109</v>
      </c>
      <c r="N2976">
        <v>0</v>
      </c>
      <c r="O2976" t="s">
        <v>111</v>
      </c>
      <c r="P2976" t="s">
        <v>112</v>
      </c>
      <c r="Q2976" t="s">
        <v>113</v>
      </c>
    </row>
    <row r="2977" spans="1:17" x14ac:dyDescent="0.3">
      <c r="A2977" t="s">
        <v>17</v>
      </c>
      <c r="B2977">
        <v>68</v>
      </c>
      <c r="C2977" t="s">
        <v>34</v>
      </c>
      <c r="D2977" s="2">
        <v>46018</v>
      </c>
      <c r="E2977" s="3">
        <f t="shared" si="46"/>
        <v>45992</v>
      </c>
      <c r="F2977" t="s">
        <v>2577</v>
      </c>
      <c r="G2977" t="s">
        <v>122</v>
      </c>
      <c r="H2977" s="4">
        <v>3.3</v>
      </c>
      <c r="I2977" t="s">
        <v>108</v>
      </c>
      <c r="J2977" t="s">
        <v>109</v>
      </c>
      <c r="K2977" t="s">
        <v>1450</v>
      </c>
      <c r="L2977" s="2">
        <v>45992</v>
      </c>
      <c r="M2977" t="s">
        <v>109</v>
      </c>
      <c r="N2977">
        <v>0</v>
      </c>
      <c r="O2977" t="s">
        <v>111</v>
      </c>
      <c r="P2977" t="s">
        <v>112</v>
      </c>
      <c r="Q2977" t="s">
        <v>113</v>
      </c>
    </row>
    <row r="2978" spans="1:17" x14ac:dyDescent="0.3">
      <c r="A2978" t="s">
        <v>17</v>
      </c>
      <c r="B2978">
        <v>68</v>
      </c>
      <c r="C2978" t="s">
        <v>34</v>
      </c>
      <c r="D2978" s="2">
        <v>46018</v>
      </c>
      <c r="E2978" s="3">
        <f t="shared" si="46"/>
        <v>45992</v>
      </c>
      <c r="F2978" t="s">
        <v>2577</v>
      </c>
      <c r="G2978" t="s">
        <v>122</v>
      </c>
      <c r="H2978" s="4">
        <v>17</v>
      </c>
      <c r="I2978" t="s">
        <v>108</v>
      </c>
      <c r="J2978" t="s">
        <v>109</v>
      </c>
      <c r="K2978" t="s">
        <v>2092</v>
      </c>
      <c r="L2978" s="2">
        <v>45992</v>
      </c>
      <c r="M2978" t="s">
        <v>109</v>
      </c>
      <c r="N2978">
        <v>0</v>
      </c>
      <c r="O2978" t="s">
        <v>111</v>
      </c>
      <c r="P2978" t="s">
        <v>112</v>
      </c>
      <c r="Q2978" t="s">
        <v>113</v>
      </c>
    </row>
    <row r="2979" spans="1:17" x14ac:dyDescent="0.3">
      <c r="A2979" t="s">
        <v>17</v>
      </c>
      <c r="B2979">
        <v>68</v>
      </c>
      <c r="C2979" t="s">
        <v>34</v>
      </c>
      <c r="D2979" s="2">
        <v>46018</v>
      </c>
      <c r="E2979" s="3">
        <f t="shared" si="46"/>
        <v>45992</v>
      </c>
      <c r="F2979" t="s">
        <v>2577</v>
      </c>
      <c r="G2979" t="s">
        <v>122</v>
      </c>
      <c r="H2979" s="4">
        <v>1.34</v>
      </c>
      <c r="I2979" t="s">
        <v>108</v>
      </c>
      <c r="J2979" t="s">
        <v>109</v>
      </c>
      <c r="K2979" t="s">
        <v>2579</v>
      </c>
      <c r="L2979" s="2">
        <v>45992</v>
      </c>
      <c r="M2979" t="s">
        <v>109</v>
      </c>
      <c r="N2979">
        <v>0</v>
      </c>
      <c r="O2979" t="s">
        <v>111</v>
      </c>
      <c r="P2979" t="s">
        <v>112</v>
      </c>
      <c r="Q2979" t="s">
        <v>113</v>
      </c>
    </row>
    <row r="2980" spans="1:17" x14ac:dyDescent="0.3">
      <c r="A2980" t="s">
        <v>17</v>
      </c>
      <c r="B2980">
        <v>68</v>
      </c>
      <c r="C2980" t="s">
        <v>34</v>
      </c>
      <c r="D2980" s="2">
        <v>46018</v>
      </c>
      <c r="E2980" s="3">
        <f t="shared" si="46"/>
        <v>45992</v>
      </c>
      <c r="F2980" t="s">
        <v>2580</v>
      </c>
      <c r="G2980" t="s">
        <v>122</v>
      </c>
      <c r="H2980" s="4">
        <v>3.64</v>
      </c>
      <c r="I2980" t="s">
        <v>108</v>
      </c>
      <c r="J2980" t="s">
        <v>109</v>
      </c>
      <c r="K2980" t="s">
        <v>2560</v>
      </c>
      <c r="L2980" s="2">
        <v>45992</v>
      </c>
      <c r="M2980" t="s">
        <v>109</v>
      </c>
      <c r="N2980">
        <v>0</v>
      </c>
      <c r="O2980" t="s">
        <v>111</v>
      </c>
      <c r="P2980" t="s">
        <v>112</v>
      </c>
      <c r="Q2980" t="s">
        <v>113</v>
      </c>
    </row>
    <row r="2981" spans="1:17" x14ac:dyDescent="0.3">
      <c r="A2981" t="s">
        <v>17</v>
      </c>
      <c r="B2981">
        <v>68</v>
      </c>
      <c r="C2981" t="s">
        <v>34</v>
      </c>
      <c r="D2981" s="2">
        <v>46018</v>
      </c>
      <c r="E2981" s="3">
        <f t="shared" si="46"/>
        <v>45992</v>
      </c>
      <c r="F2981" t="s">
        <v>2580</v>
      </c>
      <c r="G2981" t="s">
        <v>122</v>
      </c>
      <c r="H2981" s="4">
        <v>17</v>
      </c>
      <c r="I2981" t="s">
        <v>108</v>
      </c>
      <c r="J2981" t="s">
        <v>109</v>
      </c>
      <c r="K2981" t="s">
        <v>2561</v>
      </c>
      <c r="L2981" s="2">
        <v>45992</v>
      </c>
      <c r="M2981" t="s">
        <v>109</v>
      </c>
      <c r="N2981">
        <v>0</v>
      </c>
      <c r="O2981" t="s">
        <v>111</v>
      </c>
      <c r="P2981" t="s">
        <v>112</v>
      </c>
      <c r="Q2981" t="s">
        <v>113</v>
      </c>
    </row>
    <row r="2982" spans="1:17" x14ac:dyDescent="0.3">
      <c r="A2982" t="s">
        <v>17</v>
      </c>
      <c r="B2982">
        <v>68</v>
      </c>
      <c r="C2982" t="s">
        <v>34</v>
      </c>
      <c r="D2982" s="2">
        <v>46018</v>
      </c>
      <c r="E2982" s="3">
        <f t="shared" si="46"/>
        <v>45992</v>
      </c>
      <c r="F2982" t="s">
        <v>2580</v>
      </c>
      <c r="G2982" t="s">
        <v>122</v>
      </c>
      <c r="H2982" s="4">
        <v>1.34</v>
      </c>
      <c r="I2982" t="s">
        <v>108</v>
      </c>
      <c r="J2982" t="s">
        <v>109</v>
      </c>
      <c r="K2982" t="s">
        <v>2562</v>
      </c>
      <c r="L2982" s="2">
        <v>45992</v>
      </c>
      <c r="M2982" t="s">
        <v>109</v>
      </c>
      <c r="N2982">
        <v>0</v>
      </c>
      <c r="O2982" t="s">
        <v>111</v>
      </c>
      <c r="P2982" t="s">
        <v>112</v>
      </c>
      <c r="Q2982" t="s">
        <v>113</v>
      </c>
    </row>
    <row r="2983" spans="1:17" x14ac:dyDescent="0.3">
      <c r="A2983" t="s">
        <v>17</v>
      </c>
      <c r="B2983">
        <v>68</v>
      </c>
      <c r="C2983" t="s">
        <v>34</v>
      </c>
      <c r="D2983" s="2">
        <v>46018</v>
      </c>
      <c r="E2983" s="3">
        <f t="shared" si="46"/>
        <v>45992</v>
      </c>
      <c r="F2983" t="s">
        <v>2581</v>
      </c>
      <c r="G2983" t="s">
        <v>122</v>
      </c>
      <c r="H2983" s="4">
        <v>52.36</v>
      </c>
      <c r="I2983" t="s">
        <v>108</v>
      </c>
      <c r="J2983" t="s">
        <v>109</v>
      </c>
      <c r="K2983" t="s">
        <v>2560</v>
      </c>
      <c r="L2983" s="2">
        <v>45992</v>
      </c>
      <c r="M2983" t="s">
        <v>109</v>
      </c>
      <c r="N2983">
        <v>0</v>
      </c>
      <c r="O2983" t="s">
        <v>111</v>
      </c>
      <c r="P2983" t="s">
        <v>112</v>
      </c>
      <c r="Q2983" t="s">
        <v>113</v>
      </c>
    </row>
    <row r="2984" spans="1:17" x14ac:dyDescent="0.3">
      <c r="A2984" t="s">
        <v>17</v>
      </c>
      <c r="B2984">
        <v>68</v>
      </c>
      <c r="C2984" t="s">
        <v>34</v>
      </c>
      <c r="D2984" s="2">
        <v>46018</v>
      </c>
      <c r="E2984" s="3">
        <f t="shared" si="46"/>
        <v>45992</v>
      </c>
      <c r="F2984" t="s">
        <v>2581</v>
      </c>
      <c r="G2984" t="s">
        <v>122</v>
      </c>
      <c r="H2984" s="4">
        <v>17</v>
      </c>
      <c r="I2984" t="s">
        <v>108</v>
      </c>
      <c r="J2984" t="s">
        <v>109</v>
      </c>
      <c r="K2984" t="s">
        <v>2582</v>
      </c>
      <c r="L2984" s="2">
        <v>45992</v>
      </c>
      <c r="M2984" t="s">
        <v>109</v>
      </c>
      <c r="N2984">
        <v>0</v>
      </c>
      <c r="O2984" t="s">
        <v>111</v>
      </c>
      <c r="P2984" t="s">
        <v>112</v>
      </c>
      <c r="Q2984" t="s">
        <v>113</v>
      </c>
    </row>
    <row r="2985" spans="1:17" x14ac:dyDescent="0.3">
      <c r="A2985" t="s">
        <v>17</v>
      </c>
      <c r="B2985">
        <v>68</v>
      </c>
      <c r="C2985" t="s">
        <v>34</v>
      </c>
      <c r="D2985" s="2">
        <v>46018</v>
      </c>
      <c r="E2985" s="3">
        <f t="shared" si="46"/>
        <v>45992</v>
      </c>
      <c r="F2985" t="s">
        <v>2581</v>
      </c>
      <c r="G2985" t="s">
        <v>122</v>
      </c>
      <c r="H2985" s="4">
        <v>1.34</v>
      </c>
      <c r="I2985" t="s">
        <v>108</v>
      </c>
      <c r="J2985" t="s">
        <v>109</v>
      </c>
      <c r="K2985" t="s">
        <v>2562</v>
      </c>
      <c r="L2985" s="2">
        <v>45992</v>
      </c>
      <c r="M2985" t="s">
        <v>109</v>
      </c>
      <c r="N2985">
        <v>0</v>
      </c>
      <c r="O2985" t="s">
        <v>111</v>
      </c>
      <c r="P2985" t="s">
        <v>112</v>
      </c>
      <c r="Q2985" t="s">
        <v>113</v>
      </c>
    </row>
    <row r="2986" spans="1:17" x14ac:dyDescent="0.3">
      <c r="A2986" t="s">
        <v>17</v>
      </c>
      <c r="B2986">
        <v>68</v>
      </c>
      <c r="C2986" t="s">
        <v>34</v>
      </c>
      <c r="D2986" s="2">
        <v>46018</v>
      </c>
      <c r="E2986" s="3">
        <f t="shared" si="46"/>
        <v>45992</v>
      </c>
      <c r="F2986" t="s">
        <v>2583</v>
      </c>
      <c r="G2986" t="s">
        <v>122</v>
      </c>
      <c r="H2986" s="4">
        <v>17</v>
      </c>
      <c r="I2986" t="s">
        <v>108</v>
      </c>
      <c r="J2986" t="s">
        <v>109</v>
      </c>
      <c r="K2986" t="s">
        <v>1455</v>
      </c>
      <c r="L2986" s="2">
        <v>45992</v>
      </c>
      <c r="M2986" t="s">
        <v>109</v>
      </c>
      <c r="N2986">
        <v>0</v>
      </c>
      <c r="O2986" t="s">
        <v>111</v>
      </c>
      <c r="P2986" t="s">
        <v>112</v>
      </c>
      <c r="Q2986" t="s">
        <v>113</v>
      </c>
    </row>
    <row r="2987" spans="1:17" x14ac:dyDescent="0.3">
      <c r="A2987" t="s">
        <v>17</v>
      </c>
      <c r="B2987">
        <v>68</v>
      </c>
      <c r="C2987" t="s">
        <v>34</v>
      </c>
      <c r="D2987" s="2">
        <v>46018</v>
      </c>
      <c r="E2987" s="3">
        <f t="shared" si="46"/>
        <v>45992</v>
      </c>
      <c r="F2987" t="s">
        <v>2583</v>
      </c>
      <c r="G2987" t="s">
        <v>122</v>
      </c>
      <c r="H2987" s="4">
        <v>1.34</v>
      </c>
      <c r="I2987" t="s">
        <v>108</v>
      </c>
      <c r="J2987" t="s">
        <v>109</v>
      </c>
      <c r="K2987" t="s">
        <v>1457</v>
      </c>
      <c r="L2987" s="2">
        <v>45992</v>
      </c>
      <c r="M2987" t="s">
        <v>109</v>
      </c>
      <c r="N2987">
        <v>0</v>
      </c>
      <c r="O2987" t="s">
        <v>111</v>
      </c>
      <c r="P2987" t="s">
        <v>112</v>
      </c>
      <c r="Q2987" t="s">
        <v>113</v>
      </c>
    </row>
    <row r="2988" spans="1:17" x14ac:dyDescent="0.3">
      <c r="A2988" t="s">
        <v>17</v>
      </c>
      <c r="B2988">
        <v>68</v>
      </c>
      <c r="C2988" t="s">
        <v>34</v>
      </c>
      <c r="D2988" s="2">
        <v>46018</v>
      </c>
      <c r="E2988" s="3">
        <f t="shared" si="46"/>
        <v>45992</v>
      </c>
      <c r="F2988" t="s">
        <v>2583</v>
      </c>
      <c r="G2988" t="s">
        <v>122</v>
      </c>
      <c r="H2988" s="4">
        <v>13.05</v>
      </c>
      <c r="I2988" t="s">
        <v>108</v>
      </c>
      <c r="J2988" t="s">
        <v>109</v>
      </c>
      <c r="K2988" t="s">
        <v>2560</v>
      </c>
      <c r="L2988" s="2">
        <v>45992</v>
      </c>
      <c r="M2988" t="s">
        <v>109</v>
      </c>
      <c r="N2988">
        <v>0</v>
      </c>
      <c r="O2988" t="s">
        <v>111</v>
      </c>
      <c r="P2988" t="s">
        <v>112</v>
      </c>
      <c r="Q2988" t="s">
        <v>113</v>
      </c>
    </row>
    <row r="2989" spans="1:17" x14ac:dyDescent="0.3">
      <c r="A2989" t="s">
        <v>17</v>
      </c>
      <c r="B2989">
        <v>68</v>
      </c>
      <c r="C2989" t="s">
        <v>34</v>
      </c>
      <c r="D2989" s="2">
        <v>46018</v>
      </c>
      <c r="E2989" s="3">
        <f t="shared" si="46"/>
        <v>45992</v>
      </c>
      <c r="F2989" t="s">
        <v>2584</v>
      </c>
      <c r="G2989" t="s">
        <v>43</v>
      </c>
      <c r="H2989" s="4">
        <v>270.87</v>
      </c>
      <c r="I2989" t="s">
        <v>31</v>
      </c>
      <c r="J2989" t="s">
        <v>37</v>
      </c>
      <c r="K2989" t="s">
        <v>1734</v>
      </c>
      <c r="L2989" s="2">
        <v>45992</v>
      </c>
      <c r="M2989" t="s">
        <v>37</v>
      </c>
      <c r="N2989">
        <v>0</v>
      </c>
      <c r="O2989" t="s">
        <v>31</v>
      </c>
      <c r="P2989" t="s">
        <v>34</v>
      </c>
      <c r="Q2989">
        <v>0</v>
      </c>
    </row>
    <row r="2990" spans="1:17" x14ac:dyDescent="0.3">
      <c r="A2990" t="s">
        <v>17</v>
      </c>
      <c r="B2990">
        <v>68</v>
      </c>
      <c r="C2990" t="s">
        <v>34</v>
      </c>
      <c r="D2990" s="2">
        <v>46020</v>
      </c>
      <c r="E2990" s="3">
        <f t="shared" si="46"/>
        <v>45992</v>
      </c>
      <c r="F2990" t="s">
        <v>2585</v>
      </c>
      <c r="G2990" t="s">
        <v>107</v>
      </c>
      <c r="H2990" s="4">
        <v>141.75</v>
      </c>
      <c r="I2990" t="s">
        <v>108</v>
      </c>
      <c r="J2990" t="s">
        <v>109</v>
      </c>
      <c r="K2990" t="s">
        <v>110</v>
      </c>
      <c r="L2990" s="2">
        <v>45992</v>
      </c>
      <c r="M2990" t="s">
        <v>109</v>
      </c>
      <c r="N2990">
        <v>0</v>
      </c>
      <c r="O2990" t="s">
        <v>111</v>
      </c>
      <c r="P2990" t="s">
        <v>112</v>
      </c>
      <c r="Q2990" t="s">
        <v>113</v>
      </c>
    </row>
    <row r="2991" spans="1:17" x14ac:dyDescent="0.3">
      <c r="A2991" t="s">
        <v>17</v>
      </c>
      <c r="B2991">
        <v>68</v>
      </c>
      <c r="C2991" t="s">
        <v>34</v>
      </c>
      <c r="D2991" s="2">
        <v>46020</v>
      </c>
      <c r="E2991" s="3">
        <f t="shared" si="46"/>
        <v>45992</v>
      </c>
      <c r="F2991" t="s">
        <v>2586</v>
      </c>
      <c r="G2991" t="s">
        <v>291</v>
      </c>
      <c r="H2991" s="4">
        <v>229.24</v>
      </c>
      <c r="I2991" t="s">
        <v>47</v>
      </c>
      <c r="J2991" t="s">
        <v>109</v>
      </c>
      <c r="K2991" t="s">
        <v>1700</v>
      </c>
      <c r="L2991" s="2">
        <v>45992</v>
      </c>
      <c r="M2991" t="s">
        <v>109</v>
      </c>
      <c r="N2991">
        <v>0</v>
      </c>
      <c r="O2991" t="s">
        <v>26</v>
      </c>
      <c r="P2991" t="s">
        <v>112</v>
      </c>
      <c r="Q2991" t="s">
        <v>113</v>
      </c>
    </row>
    <row r="2992" spans="1:17" x14ac:dyDescent="0.3">
      <c r="A2992" t="s">
        <v>17</v>
      </c>
      <c r="B2992">
        <v>68</v>
      </c>
      <c r="C2992" t="s">
        <v>34</v>
      </c>
      <c r="D2992" s="2">
        <v>46020</v>
      </c>
      <c r="E2992" s="3">
        <f t="shared" si="46"/>
        <v>45992</v>
      </c>
      <c r="F2992" t="s">
        <v>2586</v>
      </c>
      <c r="G2992" t="s">
        <v>291</v>
      </c>
      <c r="H2992" s="4">
        <v>127.34</v>
      </c>
      <c r="I2992" t="s">
        <v>47</v>
      </c>
      <c r="J2992" t="s">
        <v>109</v>
      </c>
      <c r="K2992" t="s">
        <v>2587</v>
      </c>
      <c r="L2992" s="2">
        <v>45992</v>
      </c>
      <c r="M2992" t="s">
        <v>109</v>
      </c>
      <c r="N2992">
        <v>0</v>
      </c>
      <c r="O2992" t="s">
        <v>26</v>
      </c>
      <c r="P2992" t="s">
        <v>112</v>
      </c>
      <c r="Q2992" t="s">
        <v>113</v>
      </c>
    </row>
    <row r="2993" spans="1:17" x14ac:dyDescent="0.3">
      <c r="A2993" t="s">
        <v>17</v>
      </c>
      <c r="B2993">
        <v>68</v>
      </c>
      <c r="C2993" t="s">
        <v>34</v>
      </c>
      <c r="D2993" s="2">
        <v>46020</v>
      </c>
      <c r="E2993" s="3">
        <f t="shared" si="46"/>
        <v>45992</v>
      </c>
      <c r="F2993" t="s">
        <v>2586</v>
      </c>
      <c r="G2993" t="s">
        <v>291</v>
      </c>
      <c r="H2993" s="4">
        <v>412.83</v>
      </c>
      <c r="I2993" t="s">
        <v>47</v>
      </c>
      <c r="J2993" t="s">
        <v>109</v>
      </c>
      <c r="K2993" t="s">
        <v>2588</v>
      </c>
      <c r="L2993" s="2">
        <v>45992</v>
      </c>
      <c r="M2993" t="s">
        <v>109</v>
      </c>
      <c r="N2993">
        <v>0</v>
      </c>
      <c r="O2993" t="s">
        <v>26</v>
      </c>
      <c r="P2993" t="s">
        <v>112</v>
      </c>
      <c r="Q2993" t="s">
        <v>113</v>
      </c>
    </row>
    <row r="2994" spans="1:17" x14ac:dyDescent="0.3">
      <c r="A2994" t="s">
        <v>17</v>
      </c>
      <c r="B2994">
        <v>68</v>
      </c>
      <c r="C2994" t="s">
        <v>34</v>
      </c>
      <c r="D2994" s="2">
        <v>46021</v>
      </c>
      <c r="E2994" s="3">
        <f t="shared" si="46"/>
        <v>45992</v>
      </c>
      <c r="F2994" t="s">
        <v>2589</v>
      </c>
      <c r="G2994" t="s">
        <v>107</v>
      </c>
      <c r="H2994" s="4">
        <v>111.53</v>
      </c>
      <c r="I2994" t="s">
        <v>108</v>
      </c>
      <c r="J2994" t="s">
        <v>109</v>
      </c>
      <c r="K2994" t="s">
        <v>110</v>
      </c>
      <c r="L2994" s="2">
        <v>45992</v>
      </c>
      <c r="M2994" t="s">
        <v>109</v>
      </c>
      <c r="N2994">
        <v>0</v>
      </c>
      <c r="O2994" t="s">
        <v>111</v>
      </c>
      <c r="P2994" t="s">
        <v>112</v>
      </c>
      <c r="Q2994" t="s">
        <v>113</v>
      </c>
    </row>
    <row r="2995" spans="1:17" x14ac:dyDescent="0.3">
      <c r="A2995" t="s">
        <v>17</v>
      </c>
      <c r="B2995">
        <v>64</v>
      </c>
      <c r="C2995" t="s">
        <v>83</v>
      </c>
      <c r="D2995" s="2">
        <v>46022</v>
      </c>
      <c r="E2995" s="3">
        <f t="shared" si="46"/>
        <v>45992</v>
      </c>
      <c r="F2995" t="s">
        <v>2590</v>
      </c>
      <c r="H2995" s="4">
        <v>22.93</v>
      </c>
      <c r="I2995" t="s">
        <v>47</v>
      </c>
      <c r="J2995" t="s">
        <v>91</v>
      </c>
      <c r="K2995" t="s">
        <v>2591</v>
      </c>
      <c r="L2995" s="2">
        <v>45992</v>
      </c>
      <c r="M2995" t="s">
        <v>93</v>
      </c>
      <c r="N2995">
        <v>0</v>
      </c>
      <c r="O2995" t="s">
        <v>26</v>
      </c>
      <c r="P2995" t="s">
        <v>83</v>
      </c>
      <c r="Q2995">
        <v>0</v>
      </c>
    </row>
    <row r="2996" spans="1:17" x14ac:dyDescent="0.3">
      <c r="A2996" t="s">
        <v>17</v>
      </c>
      <c r="B2996">
        <v>64</v>
      </c>
      <c r="C2996" t="s">
        <v>83</v>
      </c>
      <c r="D2996" s="2">
        <v>46022</v>
      </c>
      <c r="E2996" s="3">
        <f t="shared" si="46"/>
        <v>45992</v>
      </c>
      <c r="F2996" t="s">
        <v>2590</v>
      </c>
      <c r="H2996" s="4">
        <v>59.73</v>
      </c>
      <c r="I2996" t="s">
        <v>47</v>
      </c>
      <c r="J2996" t="s">
        <v>91</v>
      </c>
      <c r="K2996" t="s">
        <v>2591</v>
      </c>
      <c r="L2996" s="2">
        <v>45992</v>
      </c>
      <c r="M2996" t="s">
        <v>93</v>
      </c>
      <c r="N2996">
        <v>0</v>
      </c>
      <c r="O2996" t="s">
        <v>26</v>
      </c>
      <c r="P2996" t="s">
        <v>83</v>
      </c>
      <c r="Q2996">
        <v>0</v>
      </c>
    </row>
    <row r="2997" spans="1:17" x14ac:dyDescent="0.3">
      <c r="A2997" t="s">
        <v>17</v>
      </c>
      <c r="B2997">
        <v>64</v>
      </c>
      <c r="C2997" t="s">
        <v>83</v>
      </c>
      <c r="D2997" s="2">
        <v>46022</v>
      </c>
      <c r="E2997" s="3">
        <f t="shared" si="46"/>
        <v>45992</v>
      </c>
      <c r="F2997" t="s">
        <v>2590</v>
      </c>
      <c r="H2997" s="4">
        <v>16.39</v>
      </c>
      <c r="I2997" t="s">
        <v>47</v>
      </c>
      <c r="J2997" t="s">
        <v>91</v>
      </c>
      <c r="K2997" t="s">
        <v>2591</v>
      </c>
      <c r="L2997" s="2">
        <v>45992</v>
      </c>
      <c r="M2997" t="s">
        <v>93</v>
      </c>
      <c r="N2997">
        <v>0</v>
      </c>
      <c r="O2997" t="s">
        <v>26</v>
      </c>
      <c r="P2997" t="s">
        <v>83</v>
      </c>
      <c r="Q2997">
        <v>0</v>
      </c>
    </row>
    <row r="2998" spans="1:17" x14ac:dyDescent="0.3">
      <c r="A2998" t="s">
        <v>17</v>
      </c>
      <c r="B2998">
        <v>64</v>
      </c>
      <c r="C2998" t="s">
        <v>83</v>
      </c>
      <c r="D2998" s="2">
        <v>46022</v>
      </c>
      <c r="E2998" s="3">
        <f t="shared" si="46"/>
        <v>45992</v>
      </c>
      <c r="F2998" t="s">
        <v>2590</v>
      </c>
      <c r="H2998" s="4">
        <v>29.9</v>
      </c>
      <c r="I2998" t="s">
        <v>47</v>
      </c>
      <c r="J2998" t="s">
        <v>91</v>
      </c>
      <c r="K2998" t="s">
        <v>2591</v>
      </c>
      <c r="L2998" s="2">
        <v>45992</v>
      </c>
      <c r="M2998" t="s">
        <v>93</v>
      </c>
      <c r="N2998">
        <v>0</v>
      </c>
      <c r="O2998" t="s">
        <v>26</v>
      </c>
      <c r="P2998" t="s">
        <v>83</v>
      </c>
      <c r="Q2998">
        <v>0</v>
      </c>
    </row>
    <row r="2999" spans="1:17" x14ac:dyDescent="0.3">
      <c r="A2999" t="s">
        <v>17</v>
      </c>
      <c r="B2999">
        <v>64</v>
      </c>
      <c r="C2999" t="s">
        <v>83</v>
      </c>
      <c r="D2999" s="2">
        <v>46022</v>
      </c>
      <c r="E2999" s="3">
        <f t="shared" si="46"/>
        <v>45992</v>
      </c>
      <c r="F2999" t="s">
        <v>2590</v>
      </c>
      <c r="H2999" s="4">
        <v>26.69</v>
      </c>
      <c r="I2999" t="s">
        <v>47</v>
      </c>
      <c r="J2999" t="s">
        <v>91</v>
      </c>
      <c r="K2999" t="s">
        <v>2591</v>
      </c>
      <c r="L2999" s="2">
        <v>45992</v>
      </c>
      <c r="M2999" t="s">
        <v>93</v>
      </c>
      <c r="N2999">
        <v>0</v>
      </c>
      <c r="O2999" t="s">
        <v>26</v>
      </c>
      <c r="P2999" t="s">
        <v>83</v>
      </c>
      <c r="Q2999">
        <v>0</v>
      </c>
    </row>
    <row r="3000" spans="1:17" x14ac:dyDescent="0.3">
      <c r="A3000" t="s">
        <v>17</v>
      </c>
      <c r="B3000">
        <v>64</v>
      </c>
      <c r="C3000" t="s">
        <v>83</v>
      </c>
      <c r="D3000" s="2">
        <v>46022</v>
      </c>
      <c r="E3000" s="3">
        <f t="shared" si="46"/>
        <v>45992</v>
      </c>
      <c r="F3000" t="s">
        <v>2590</v>
      </c>
      <c r="H3000" s="4">
        <v>51.97</v>
      </c>
      <c r="I3000" t="s">
        <v>47</v>
      </c>
      <c r="J3000" t="s">
        <v>91</v>
      </c>
      <c r="K3000" t="s">
        <v>2591</v>
      </c>
      <c r="L3000" s="2">
        <v>45992</v>
      </c>
      <c r="M3000" t="s">
        <v>93</v>
      </c>
      <c r="N3000">
        <v>0</v>
      </c>
      <c r="O3000" t="s">
        <v>26</v>
      </c>
      <c r="P3000" t="s">
        <v>83</v>
      </c>
      <c r="Q3000">
        <v>0</v>
      </c>
    </row>
    <row r="3001" spans="1:17" x14ac:dyDescent="0.3">
      <c r="A3001" t="s">
        <v>17</v>
      </c>
      <c r="B3001">
        <v>64</v>
      </c>
      <c r="C3001" t="s">
        <v>83</v>
      </c>
      <c r="D3001" s="2">
        <v>46022</v>
      </c>
      <c r="E3001" s="3">
        <f t="shared" si="46"/>
        <v>45992</v>
      </c>
      <c r="F3001" t="s">
        <v>2590</v>
      </c>
      <c r="H3001" s="4">
        <v>34</v>
      </c>
      <c r="I3001" t="s">
        <v>47</v>
      </c>
      <c r="J3001" t="s">
        <v>91</v>
      </c>
      <c r="K3001" t="s">
        <v>2591</v>
      </c>
      <c r="L3001" s="2">
        <v>45992</v>
      </c>
      <c r="M3001" t="s">
        <v>93</v>
      </c>
      <c r="N3001">
        <v>0</v>
      </c>
      <c r="O3001" t="s">
        <v>26</v>
      </c>
      <c r="P3001" t="s">
        <v>83</v>
      </c>
      <c r="Q3001">
        <v>0</v>
      </c>
    </row>
    <row r="3002" spans="1:17" x14ac:dyDescent="0.3">
      <c r="A3002" t="s">
        <v>17</v>
      </c>
      <c r="B3002">
        <v>64</v>
      </c>
      <c r="C3002" t="s">
        <v>83</v>
      </c>
      <c r="D3002" s="2">
        <v>46022</v>
      </c>
      <c r="E3002" s="3">
        <f t="shared" si="46"/>
        <v>45992</v>
      </c>
      <c r="F3002" t="s">
        <v>2590</v>
      </c>
      <c r="H3002" s="4">
        <v>38.270000000000003</v>
      </c>
      <c r="I3002" t="s">
        <v>47</v>
      </c>
      <c r="J3002" t="s">
        <v>91</v>
      </c>
      <c r="K3002" t="s">
        <v>2591</v>
      </c>
      <c r="L3002" s="2">
        <v>45992</v>
      </c>
      <c r="M3002" t="s">
        <v>93</v>
      </c>
      <c r="N3002">
        <v>0</v>
      </c>
      <c r="O3002" t="s">
        <v>26</v>
      </c>
      <c r="P3002" t="s">
        <v>83</v>
      </c>
      <c r="Q3002">
        <v>0</v>
      </c>
    </row>
    <row r="3003" spans="1:17" x14ac:dyDescent="0.3">
      <c r="A3003" t="s">
        <v>17</v>
      </c>
      <c r="B3003">
        <v>64</v>
      </c>
      <c r="C3003" t="s">
        <v>83</v>
      </c>
      <c r="D3003" s="2">
        <v>46022</v>
      </c>
      <c r="E3003" s="3">
        <f t="shared" si="46"/>
        <v>45992</v>
      </c>
      <c r="F3003" t="s">
        <v>2590</v>
      </c>
      <c r="H3003" s="4">
        <v>44.75</v>
      </c>
      <c r="I3003" t="s">
        <v>47</v>
      </c>
      <c r="J3003" t="s">
        <v>91</v>
      </c>
      <c r="K3003" t="s">
        <v>2591</v>
      </c>
      <c r="L3003" s="2">
        <v>45992</v>
      </c>
      <c r="M3003" t="s">
        <v>93</v>
      </c>
      <c r="N3003">
        <v>0</v>
      </c>
      <c r="O3003" t="s">
        <v>26</v>
      </c>
      <c r="P3003" t="s">
        <v>83</v>
      </c>
      <c r="Q3003">
        <v>0</v>
      </c>
    </row>
    <row r="3004" spans="1:17" x14ac:dyDescent="0.3">
      <c r="A3004" t="s">
        <v>17</v>
      </c>
      <c r="B3004">
        <v>64</v>
      </c>
      <c r="C3004" t="s">
        <v>83</v>
      </c>
      <c r="D3004" s="2">
        <v>46022</v>
      </c>
      <c r="E3004" s="3">
        <f t="shared" si="46"/>
        <v>45992</v>
      </c>
      <c r="F3004" t="s">
        <v>2590</v>
      </c>
      <c r="H3004" s="4">
        <v>42.65</v>
      </c>
      <c r="I3004" t="s">
        <v>47</v>
      </c>
      <c r="J3004" t="s">
        <v>91</v>
      </c>
      <c r="K3004" t="s">
        <v>2591</v>
      </c>
      <c r="L3004" s="2">
        <v>45992</v>
      </c>
      <c r="M3004" t="s">
        <v>93</v>
      </c>
      <c r="N3004">
        <v>0</v>
      </c>
      <c r="O3004" t="s">
        <v>26</v>
      </c>
      <c r="P3004" t="s">
        <v>83</v>
      </c>
      <c r="Q3004">
        <v>0</v>
      </c>
    </row>
    <row r="3005" spans="1:17" x14ac:dyDescent="0.3">
      <c r="A3005" t="s">
        <v>17</v>
      </c>
      <c r="B3005">
        <v>64</v>
      </c>
      <c r="C3005" t="s">
        <v>83</v>
      </c>
      <c r="D3005" s="2">
        <v>46022</v>
      </c>
      <c r="E3005" s="3">
        <f t="shared" si="46"/>
        <v>45992</v>
      </c>
      <c r="F3005" t="s">
        <v>2590</v>
      </c>
      <c r="H3005" s="4">
        <v>7.48</v>
      </c>
      <c r="I3005" t="s">
        <v>47</v>
      </c>
      <c r="J3005" t="s">
        <v>91</v>
      </c>
      <c r="K3005" t="s">
        <v>2591</v>
      </c>
      <c r="L3005" s="2">
        <v>45992</v>
      </c>
      <c r="M3005" t="s">
        <v>93</v>
      </c>
      <c r="N3005">
        <v>0</v>
      </c>
      <c r="O3005" t="s">
        <v>26</v>
      </c>
      <c r="P3005" t="s">
        <v>83</v>
      </c>
      <c r="Q3005">
        <v>0</v>
      </c>
    </row>
    <row r="3006" spans="1:17" x14ac:dyDescent="0.3">
      <c r="A3006" t="s">
        <v>17</v>
      </c>
      <c r="B3006">
        <v>64</v>
      </c>
      <c r="C3006" t="s">
        <v>83</v>
      </c>
      <c r="D3006" s="2">
        <v>46022</v>
      </c>
      <c r="E3006" s="3">
        <f t="shared" si="46"/>
        <v>45992</v>
      </c>
      <c r="F3006" t="s">
        <v>2590</v>
      </c>
      <c r="H3006" s="4">
        <v>9.41</v>
      </c>
      <c r="I3006" t="s">
        <v>47</v>
      </c>
      <c r="J3006" t="s">
        <v>91</v>
      </c>
      <c r="K3006" t="s">
        <v>2591</v>
      </c>
      <c r="L3006" s="2">
        <v>45992</v>
      </c>
      <c r="M3006" t="s">
        <v>93</v>
      </c>
      <c r="N3006">
        <v>0</v>
      </c>
      <c r="O3006" t="s">
        <v>26</v>
      </c>
      <c r="P3006" t="s">
        <v>83</v>
      </c>
      <c r="Q3006">
        <v>0</v>
      </c>
    </row>
    <row r="3007" spans="1:17" x14ac:dyDescent="0.3">
      <c r="A3007" t="s">
        <v>17</v>
      </c>
      <c r="B3007">
        <v>64</v>
      </c>
      <c r="C3007" t="s">
        <v>83</v>
      </c>
      <c r="D3007" s="2">
        <v>46022</v>
      </c>
      <c r="E3007" s="3">
        <f t="shared" si="46"/>
        <v>45992</v>
      </c>
      <c r="F3007" t="s">
        <v>2590</v>
      </c>
      <c r="H3007" s="4">
        <v>19.87</v>
      </c>
      <c r="I3007" t="s">
        <v>47</v>
      </c>
      <c r="J3007" t="s">
        <v>91</v>
      </c>
      <c r="K3007" t="s">
        <v>2591</v>
      </c>
      <c r="L3007" s="2">
        <v>45992</v>
      </c>
      <c r="M3007" t="s">
        <v>93</v>
      </c>
      <c r="N3007">
        <v>0</v>
      </c>
      <c r="O3007" t="s">
        <v>26</v>
      </c>
      <c r="P3007" t="s">
        <v>83</v>
      </c>
      <c r="Q3007">
        <v>0</v>
      </c>
    </row>
    <row r="3008" spans="1:17" x14ac:dyDescent="0.3">
      <c r="A3008" t="s">
        <v>17</v>
      </c>
      <c r="B3008">
        <v>64</v>
      </c>
      <c r="C3008" t="s">
        <v>83</v>
      </c>
      <c r="D3008" s="2">
        <v>46022</v>
      </c>
      <c r="E3008" s="3">
        <f t="shared" si="46"/>
        <v>45992</v>
      </c>
      <c r="F3008" t="s">
        <v>2590</v>
      </c>
      <c r="H3008" s="4">
        <v>33.31</v>
      </c>
      <c r="I3008" t="s">
        <v>47</v>
      </c>
      <c r="J3008" t="s">
        <v>91</v>
      </c>
      <c r="K3008" t="s">
        <v>2591</v>
      </c>
      <c r="L3008" s="2">
        <v>45992</v>
      </c>
      <c r="M3008" t="s">
        <v>93</v>
      </c>
      <c r="N3008">
        <v>0</v>
      </c>
      <c r="O3008" t="s">
        <v>26</v>
      </c>
      <c r="P3008" t="s">
        <v>83</v>
      </c>
      <c r="Q3008">
        <v>0</v>
      </c>
    </row>
    <row r="3009" spans="1:17" x14ac:dyDescent="0.3">
      <c r="A3009" t="s">
        <v>17</v>
      </c>
      <c r="B3009">
        <v>64</v>
      </c>
      <c r="C3009" t="s">
        <v>83</v>
      </c>
      <c r="D3009" s="2">
        <v>46022</v>
      </c>
      <c r="E3009" s="3">
        <f t="shared" si="46"/>
        <v>45992</v>
      </c>
      <c r="F3009" t="s">
        <v>2590</v>
      </c>
      <c r="H3009" s="4">
        <v>126.3</v>
      </c>
      <c r="I3009" t="s">
        <v>47</v>
      </c>
      <c r="J3009" t="s">
        <v>91</v>
      </c>
      <c r="K3009" t="s">
        <v>2592</v>
      </c>
      <c r="L3009" s="2">
        <v>45992</v>
      </c>
      <c r="M3009" t="s">
        <v>93</v>
      </c>
      <c r="N3009">
        <v>0</v>
      </c>
      <c r="O3009" t="s">
        <v>26</v>
      </c>
      <c r="P3009" t="s">
        <v>83</v>
      </c>
      <c r="Q3009">
        <v>0</v>
      </c>
    </row>
    <row r="3010" spans="1:17" x14ac:dyDescent="0.3">
      <c r="A3010" t="s">
        <v>17</v>
      </c>
      <c r="B3010">
        <v>64</v>
      </c>
      <c r="C3010" t="s">
        <v>83</v>
      </c>
      <c r="D3010" s="2">
        <v>46022</v>
      </c>
      <c r="E3010" s="3">
        <f t="shared" si="46"/>
        <v>45992</v>
      </c>
      <c r="F3010" t="s">
        <v>2593</v>
      </c>
      <c r="H3010" s="4">
        <v>466.96</v>
      </c>
      <c r="I3010" t="s">
        <v>47</v>
      </c>
      <c r="J3010" t="s">
        <v>530</v>
      </c>
      <c r="K3010" t="s">
        <v>2594</v>
      </c>
      <c r="L3010" s="2">
        <v>45992</v>
      </c>
      <c r="M3010" t="s">
        <v>531</v>
      </c>
      <c r="N3010">
        <v>0</v>
      </c>
      <c r="O3010" t="s">
        <v>26</v>
      </c>
      <c r="P3010" t="s">
        <v>83</v>
      </c>
      <c r="Q3010">
        <v>0</v>
      </c>
    </row>
    <row r="3011" spans="1:17" x14ac:dyDescent="0.3">
      <c r="A3011" t="s">
        <v>17</v>
      </c>
      <c r="B3011">
        <v>64</v>
      </c>
      <c r="C3011" t="s">
        <v>83</v>
      </c>
      <c r="D3011" s="2">
        <v>46022</v>
      </c>
      <c r="E3011" s="3">
        <f t="shared" ref="E3011:E3074" si="47">IF($D3011="","",DATE(YEAR($D3011),MONTH($D3011),1))</f>
        <v>45992</v>
      </c>
      <c r="F3011" t="s">
        <v>2590</v>
      </c>
      <c r="H3011" s="4">
        <v>112.35</v>
      </c>
      <c r="I3011" t="s">
        <v>47</v>
      </c>
      <c r="J3011" t="s">
        <v>84</v>
      </c>
      <c r="K3011" t="s">
        <v>2591</v>
      </c>
      <c r="L3011" s="2">
        <v>45992</v>
      </c>
      <c r="M3011" t="s">
        <v>86</v>
      </c>
      <c r="N3011">
        <v>0</v>
      </c>
      <c r="O3011" t="s">
        <v>26</v>
      </c>
      <c r="P3011" t="s">
        <v>83</v>
      </c>
      <c r="Q3011">
        <v>0</v>
      </c>
    </row>
    <row r="3012" spans="1:17" x14ac:dyDescent="0.3">
      <c r="A3012" t="s">
        <v>17</v>
      </c>
      <c r="B3012">
        <v>64</v>
      </c>
      <c r="C3012" t="s">
        <v>83</v>
      </c>
      <c r="D3012" s="2">
        <v>46022</v>
      </c>
      <c r="E3012" s="3">
        <f t="shared" si="47"/>
        <v>45992</v>
      </c>
      <c r="F3012" t="s">
        <v>2590</v>
      </c>
      <c r="H3012" s="4">
        <v>191.13</v>
      </c>
      <c r="I3012" t="s">
        <v>47</v>
      </c>
      <c r="J3012" t="s">
        <v>84</v>
      </c>
      <c r="K3012" t="s">
        <v>2591</v>
      </c>
      <c r="L3012" s="2">
        <v>45992</v>
      </c>
      <c r="M3012" t="s">
        <v>86</v>
      </c>
      <c r="N3012">
        <v>0</v>
      </c>
      <c r="O3012" t="s">
        <v>26</v>
      </c>
      <c r="P3012" t="s">
        <v>83</v>
      </c>
      <c r="Q3012">
        <v>0</v>
      </c>
    </row>
    <row r="3013" spans="1:17" x14ac:dyDescent="0.3">
      <c r="A3013" t="s">
        <v>17</v>
      </c>
      <c r="B3013">
        <v>64</v>
      </c>
      <c r="C3013" t="s">
        <v>83</v>
      </c>
      <c r="D3013" s="2">
        <v>46022</v>
      </c>
      <c r="E3013" s="3">
        <f t="shared" si="47"/>
        <v>45992</v>
      </c>
      <c r="F3013" t="s">
        <v>2590</v>
      </c>
      <c r="H3013" s="4">
        <v>35.25</v>
      </c>
      <c r="I3013" t="s">
        <v>47</v>
      </c>
      <c r="J3013" t="s">
        <v>84</v>
      </c>
      <c r="K3013" t="s">
        <v>2595</v>
      </c>
      <c r="L3013" s="2">
        <v>45992</v>
      </c>
      <c r="M3013" t="s">
        <v>86</v>
      </c>
      <c r="N3013">
        <v>0</v>
      </c>
      <c r="O3013" t="s">
        <v>26</v>
      </c>
      <c r="P3013" t="s">
        <v>83</v>
      </c>
      <c r="Q3013">
        <v>0</v>
      </c>
    </row>
    <row r="3014" spans="1:17" x14ac:dyDescent="0.3">
      <c r="A3014" t="s">
        <v>17</v>
      </c>
      <c r="B3014">
        <v>64</v>
      </c>
      <c r="C3014" t="s">
        <v>83</v>
      </c>
      <c r="D3014" s="2">
        <v>46022</v>
      </c>
      <c r="E3014" s="3">
        <f t="shared" si="47"/>
        <v>45992</v>
      </c>
      <c r="F3014" t="s">
        <v>2593</v>
      </c>
      <c r="H3014" s="4">
        <v>780.92</v>
      </c>
      <c r="I3014" t="s">
        <v>47</v>
      </c>
      <c r="J3014" t="s">
        <v>84</v>
      </c>
      <c r="K3014" t="s">
        <v>2594</v>
      </c>
      <c r="L3014" s="2">
        <v>45992</v>
      </c>
      <c r="M3014" t="s">
        <v>86</v>
      </c>
      <c r="N3014">
        <v>0</v>
      </c>
      <c r="O3014" t="s">
        <v>26</v>
      </c>
      <c r="P3014" t="s">
        <v>83</v>
      </c>
      <c r="Q3014">
        <v>0</v>
      </c>
    </row>
    <row r="3015" spans="1:17" x14ac:dyDescent="0.3">
      <c r="A3015" t="s">
        <v>17</v>
      </c>
      <c r="B3015">
        <v>64</v>
      </c>
      <c r="C3015" t="s">
        <v>83</v>
      </c>
      <c r="D3015" s="2">
        <v>46022</v>
      </c>
      <c r="E3015" s="3">
        <f t="shared" si="47"/>
        <v>45992</v>
      </c>
      <c r="F3015" t="s">
        <v>2590</v>
      </c>
      <c r="H3015" s="4">
        <v>92.49</v>
      </c>
      <c r="I3015" t="s">
        <v>47</v>
      </c>
      <c r="J3015" t="s">
        <v>87</v>
      </c>
      <c r="K3015" t="s">
        <v>2591</v>
      </c>
      <c r="L3015" s="2">
        <v>45992</v>
      </c>
      <c r="M3015" t="s">
        <v>89</v>
      </c>
      <c r="N3015">
        <v>0</v>
      </c>
      <c r="O3015" t="s">
        <v>26</v>
      </c>
      <c r="P3015" t="s">
        <v>83</v>
      </c>
      <c r="Q3015">
        <v>0</v>
      </c>
    </row>
    <row r="3016" spans="1:17" x14ac:dyDescent="0.3">
      <c r="A3016" t="s">
        <v>17</v>
      </c>
      <c r="B3016">
        <v>64</v>
      </c>
      <c r="C3016" t="s">
        <v>83</v>
      </c>
      <c r="D3016" s="2">
        <v>46022</v>
      </c>
      <c r="E3016" s="3">
        <f t="shared" si="47"/>
        <v>45992</v>
      </c>
      <c r="F3016" t="s">
        <v>2590</v>
      </c>
      <c r="H3016" s="4">
        <v>33.229999999999997</v>
      </c>
      <c r="I3016" t="s">
        <v>47</v>
      </c>
      <c r="J3016" t="s">
        <v>87</v>
      </c>
      <c r="K3016" t="s">
        <v>2591</v>
      </c>
      <c r="L3016" s="2">
        <v>45992</v>
      </c>
      <c r="M3016" t="s">
        <v>89</v>
      </c>
      <c r="N3016">
        <v>0</v>
      </c>
      <c r="O3016" t="s">
        <v>26</v>
      </c>
      <c r="P3016" t="s">
        <v>83</v>
      </c>
      <c r="Q3016">
        <v>0</v>
      </c>
    </row>
    <row r="3017" spans="1:17" x14ac:dyDescent="0.3">
      <c r="A3017" t="s">
        <v>17</v>
      </c>
      <c r="B3017">
        <v>64</v>
      </c>
      <c r="C3017" t="s">
        <v>83</v>
      </c>
      <c r="D3017" s="2">
        <v>46022</v>
      </c>
      <c r="E3017" s="3">
        <f t="shared" si="47"/>
        <v>45992</v>
      </c>
      <c r="F3017" t="s">
        <v>2590</v>
      </c>
      <c r="H3017" s="4">
        <v>22.77</v>
      </c>
      <c r="I3017" t="s">
        <v>47</v>
      </c>
      <c r="J3017" t="s">
        <v>87</v>
      </c>
      <c r="K3017" t="s">
        <v>2591</v>
      </c>
      <c r="L3017" s="2">
        <v>45992</v>
      </c>
      <c r="M3017" t="s">
        <v>89</v>
      </c>
      <c r="N3017">
        <v>0</v>
      </c>
      <c r="O3017" t="s">
        <v>26</v>
      </c>
      <c r="P3017" t="s">
        <v>83</v>
      </c>
      <c r="Q3017">
        <v>0</v>
      </c>
    </row>
    <row r="3018" spans="1:17" x14ac:dyDescent="0.3">
      <c r="A3018" t="s">
        <v>17</v>
      </c>
      <c r="B3018">
        <v>64</v>
      </c>
      <c r="C3018" t="s">
        <v>83</v>
      </c>
      <c r="D3018" s="2">
        <v>46022</v>
      </c>
      <c r="E3018" s="3">
        <f t="shared" si="47"/>
        <v>45992</v>
      </c>
      <c r="F3018" t="s">
        <v>2590</v>
      </c>
      <c r="H3018" s="4">
        <v>31.33</v>
      </c>
      <c r="I3018" t="s">
        <v>47</v>
      </c>
      <c r="J3018" t="s">
        <v>87</v>
      </c>
      <c r="K3018" t="s">
        <v>2591</v>
      </c>
      <c r="L3018" s="2">
        <v>45992</v>
      </c>
      <c r="M3018" t="s">
        <v>89</v>
      </c>
      <c r="N3018">
        <v>0</v>
      </c>
      <c r="O3018" t="s">
        <v>26</v>
      </c>
      <c r="P3018" t="s">
        <v>83</v>
      </c>
      <c r="Q3018">
        <v>0</v>
      </c>
    </row>
    <row r="3019" spans="1:17" x14ac:dyDescent="0.3">
      <c r="A3019" t="s">
        <v>17</v>
      </c>
      <c r="B3019">
        <v>64</v>
      </c>
      <c r="C3019" t="s">
        <v>83</v>
      </c>
      <c r="D3019" s="2">
        <v>46022</v>
      </c>
      <c r="E3019" s="3">
        <f t="shared" si="47"/>
        <v>45992</v>
      </c>
      <c r="F3019" t="s">
        <v>2590</v>
      </c>
      <c r="H3019" s="4">
        <v>19.93</v>
      </c>
      <c r="I3019" t="s">
        <v>47</v>
      </c>
      <c r="J3019" t="s">
        <v>87</v>
      </c>
      <c r="K3019" t="s">
        <v>2591</v>
      </c>
      <c r="L3019" s="2">
        <v>45992</v>
      </c>
      <c r="M3019" t="s">
        <v>89</v>
      </c>
      <c r="N3019">
        <v>0</v>
      </c>
      <c r="O3019" t="s">
        <v>26</v>
      </c>
      <c r="P3019" t="s">
        <v>83</v>
      </c>
      <c r="Q3019">
        <v>0</v>
      </c>
    </row>
    <row r="3020" spans="1:17" x14ac:dyDescent="0.3">
      <c r="A3020" t="s">
        <v>17</v>
      </c>
      <c r="B3020">
        <v>64</v>
      </c>
      <c r="C3020" t="s">
        <v>83</v>
      </c>
      <c r="D3020" s="2">
        <v>46022</v>
      </c>
      <c r="E3020" s="3">
        <f t="shared" si="47"/>
        <v>45992</v>
      </c>
      <c r="F3020" t="s">
        <v>2590</v>
      </c>
      <c r="H3020" s="4">
        <v>59.82</v>
      </c>
      <c r="I3020" t="s">
        <v>47</v>
      </c>
      <c r="J3020" t="s">
        <v>87</v>
      </c>
      <c r="K3020" t="s">
        <v>2591</v>
      </c>
      <c r="L3020" s="2">
        <v>45992</v>
      </c>
      <c r="M3020" t="s">
        <v>89</v>
      </c>
      <c r="N3020">
        <v>0</v>
      </c>
      <c r="O3020" t="s">
        <v>26</v>
      </c>
      <c r="P3020" t="s">
        <v>83</v>
      </c>
      <c r="Q3020">
        <v>0</v>
      </c>
    </row>
    <row r="3021" spans="1:17" x14ac:dyDescent="0.3">
      <c r="A3021" t="s">
        <v>17</v>
      </c>
      <c r="B3021">
        <v>64</v>
      </c>
      <c r="C3021" t="s">
        <v>83</v>
      </c>
      <c r="D3021" s="2">
        <v>46022</v>
      </c>
      <c r="E3021" s="3">
        <f t="shared" si="47"/>
        <v>45992</v>
      </c>
      <c r="F3021" t="s">
        <v>2590</v>
      </c>
      <c r="H3021" s="4">
        <v>28.48</v>
      </c>
      <c r="I3021" t="s">
        <v>47</v>
      </c>
      <c r="J3021" t="s">
        <v>87</v>
      </c>
      <c r="K3021" t="s">
        <v>2591</v>
      </c>
      <c r="L3021" s="2">
        <v>45992</v>
      </c>
      <c r="M3021" t="s">
        <v>89</v>
      </c>
      <c r="N3021">
        <v>0</v>
      </c>
      <c r="O3021" t="s">
        <v>26</v>
      </c>
      <c r="P3021" t="s">
        <v>83</v>
      </c>
      <c r="Q3021">
        <v>0</v>
      </c>
    </row>
    <row r="3022" spans="1:17" x14ac:dyDescent="0.3">
      <c r="A3022" t="s">
        <v>17</v>
      </c>
      <c r="B3022">
        <v>64</v>
      </c>
      <c r="C3022" t="s">
        <v>83</v>
      </c>
      <c r="D3022" s="2">
        <v>46022</v>
      </c>
      <c r="E3022" s="3">
        <f t="shared" si="47"/>
        <v>45992</v>
      </c>
      <c r="F3022" t="s">
        <v>2590</v>
      </c>
      <c r="H3022" s="4">
        <v>20.64</v>
      </c>
      <c r="I3022" t="s">
        <v>47</v>
      </c>
      <c r="J3022" t="s">
        <v>87</v>
      </c>
      <c r="K3022" t="s">
        <v>2591</v>
      </c>
      <c r="L3022" s="2">
        <v>45992</v>
      </c>
      <c r="M3022" t="s">
        <v>89</v>
      </c>
      <c r="N3022">
        <v>0</v>
      </c>
      <c r="O3022" t="s">
        <v>26</v>
      </c>
      <c r="P3022" t="s">
        <v>83</v>
      </c>
      <c r="Q3022">
        <v>0</v>
      </c>
    </row>
    <row r="3023" spans="1:17" x14ac:dyDescent="0.3">
      <c r="A3023" t="s">
        <v>17</v>
      </c>
      <c r="B3023">
        <v>64</v>
      </c>
      <c r="C3023" t="s">
        <v>83</v>
      </c>
      <c r="D3023" s="2">
        <v>46022</v>
      </c>
      <c r="E3023" s="3">
        <f t="shared" si="47"/>
        <v>45992</v>
      </c>
      <c r="F3023" t="s">
        <v>2590</v>
      </c>
      <c r="H3023" s="4">
        <v>32.479999999999997</v>
      </c>
      <c r="I3023" t="s">
        <v>47</v>
      </c>
      <c r="J3023" t="s">
        <v>87</v>
      </c>
      <c r="K3023" t="s">
        <v>2591</v>
      </c>
      <c r="L3023" s="2">
        <v>45992</v>
      </c>
      <c r="M3023" t="s">
        <v>89</v>
      </c>
      <c r="N3023">
        <v>0</v>
      </c>
      <c r="O3023" t="s">
        <v>26</v>
      </c>
      <c r="P3023" t="s">
        <v>83</v>
      </c>
      <c r="Q3023">
        <v>0</v>
      </c>
    </row>
    <row r="3024" spans="1:17" x14ac:dyDescent="0.3">
      <c r="A3024" t="s">
        <v>17</v>
      </c>
      <c r="B3024">
        <v>64</v>
      </c>
      <c r="C3024" t="s">
        <v>83</v>
      </c>
      <c r="D3024" s="2">
        <v>46022</v>
      </c>
      <c r="E3024" s="3">
        <f t="shared" si="47"/>
        <v>45992</v>
      </c>
      <c r="F3024" t="s">
        <v>2590</v>
      </c>
      <c r="H3024" s="4">
        <v>54.41</v>
      </c>
      <c r="I3024" t="s">
        <v>47</v>
      </c>
      <c r="J3024" t="s">
        <v>87</v>
      </c>
      <c r="K3024" t="s">
        <v>2591</v>
      </c>
      <c r="L3024" s="2">
        <v>45992</v>
      </c>
      <c r="M3024" t="s">
        <v>89</v>
      </c>
      <c r="N3024">
        <v>0</v>
      </c>
      <c r="O3024" t="s">
        <v>26</v>
      </c>
      <c r="P3024" t="s">
        <v>83</v>
      </c>
      <c r="Q3024">
        <v>0</v>
      </c>
    </row>
    <row r="3025" spans="1:17" x14ac:dyDescent="0.3">
      <c r="A3025" t="s">
        <v>17</v>
      </c>
      <c r="B3025">
        <v>64</v>
      </c>
      <c r="C3025" t="s">
        <v>83</v>
      </c>
      <c r="D3025" s="2">
        <v>46022</v>
      </c>
      <c r="E3025" s="3">
        <f t="shared" si="47"/>
        <v>45992</v>
      </c>
      <c r="F3025" t="s">
        <v>2590</v>
      </c>
      <c r="H3025" s="4">
        <v>32.25</v>
      </c>
      <c r="I3025" t="s">
        <v>47</v>
      </c>
      <c r="J3025" t="s">
        <v>87</v>
      </c>
      <c r="K3025" t="s">
        <v>2591</v>
      </c>
      <c r="L3025" s="2">
        <v>45992</v>
      </c>
      <c r="M3025" t="s">
        <v>89</v>
      </c>
      <c r="N3025">
        <v>0</v>
      </c>
      <c r="O3025" t="s">
        <v>26</v>
      </c>
      <c r="P3025" t="s">
        <v>83</v>
      </c>
      <c r="Q3025">
        <v>0</v>
      </c>
    </row>
    <row r="3026" spans="1:17" x14ac:dyDescent="0.3">
      <c r="A3026" t="s">
        <v>17</v>
      </c>
      <c r="B3026">
        <v>64</v>
      </c>
      <c r="C3026" t="s">
        <v>83</v>
      </c>
      <c r="D3026" s="2">
        <v>46022</v>
      </c>
      <c r="E3026" s="3">
        <f t="shared" si="47"/>
        <v>45992</v>
      </c>
      <c r="F3026" t="s">
        <v>2590</v>
      </c>
      <c r="H3026" s="4">
        <v>26.93</v>
      </c>
      <c r="I3026" t="s">
        <v>47</v>
      </c>
      <c r="J3026" t="s">
        <v>87</v>
      </c>
      <c r="K3026" t="s">
        <v>2591</v>
      </c>
      <c r="L3026" s="2">
        <v>45992</v>
      </c>
      <c r="M3026" t="s">
        <v>89</v>
      </c>
      <c r="N3026">
        <v>0</v>
      </c>
      <c r="O3026" t="s">
        <v>26</v>
      </c>
      <c r="P3026" t="s">
        <v>83</v>
      </c>
      <c r="Q3026">
        <v>0</v>
      </c>
    </row>
    <row r="3027" spans="1:17" x14ac:dyDescent="0.3">
      <c r="A3027" t="s">
        <v>17</v>
      </c>
      <c r="B3027">
        <v>64</v>
      </c>
      <c r="C3027" t="s">
        <v>83</v>
      </c>
      <c r="D3027" s="2">
        <v>46022</v>
      </c>
      <c r="E3027" s="3">
        <f t="shared" si="47"/>
        <v>45992</v>
      </c>
      <c r="F3027" t="s">
        <v>2590</v>
      </c>
      <c r="H3027" s="4">
        <v>36.03</v>
      </c>
      <c r="I3027" t="s">
        <v>47</v>
      </c>
      <c r="J3027" t="s">
        <v>87</v>
      </c>
      <c r="K3027" t="s">
        <v>2591</v>
      </c>
      <c r="L3027" s="2">
        <v>45992</v>
      </c>
      <c r="M3027" t="s">
        <v>89</v>
      </c>
      <c r="N3027">
        <v>0</v>
      </c>
      <c r="O3027" t="s">
        <v>26</v>
      </c>
      <c r="P3027" t="s">
        <v>83</v>
      </c>
      <c r="Q3027">
        <v>0</v>
      </c>
    </row>
    <row r="3028" spans="1:17" x14ac:dyDescent="0.3">
      <c r="A3028" t="s">
        <v>17</v>
      </c>
      <c r="B3028">
        <v>67</v>
      </c>
      <c r="C3028" t="s">
        <v>28</v>
      </c>
      <c r="D3028" s="2">
        <v>46022</v>
      </c>
      <c r="E3028" s="3">
        <f t="shared" si="47"/>
        <v>45992</v>
      </c>
      <c r="F3028">
        <v>1131443</v>
      </c>
      <c r="G3028" t="s">
        <v>283</v>
      </c>
      <c r="H3028" s="4">
        <v>134.25</v>
      </c>
      <c r="I3028" t="s">
        <v>31</v>
      </c>
      <c r="J3028" t="s">
        <v>48</v>
      </c>
      <c r="K3028" t="s">
        <v>2596</v>
      </c>
      <c r="L3028" s="2">
        <v>45992</v>
      </c>
      <c r="M3028" t="s">
        <v>50</v>
      </c>
      <c r="N3028">
        <v>0</v>
      </c>
      <c r="O3028" t="s">
        <v>31</v>
      </c>
      <c r="P3028" t="s">
        <v>28</v>
      </c>
      <c r="Q3028">
        <v>0</v>
      </c>
    </row>
    <row r="3029" spans="1:17" x14ac:dyDescent="0.3">
      <c r="A3029" t="s">
        <v>17</v>
      </c>
      <c r="B3029">
        <v>67</v>
      </c>
      <c r="C3029" t="s">
        <v>28</v>
      </c>
      <c r="D3029" s="2">
        <v>46022</v>
      </c>
      <c r="E3029" s="3">
        <f t="shared" si="47"/>
        <v>45992</v>
      </c>
      <c r="F3029">
        <v>1131443</v>
      </c>
      <c r="G3029" t="s">
        <v>283</v>
      </c>
      <c r="H3029" s="4">
        <v>13.75</v>
      </c>
      <c r="I3029" t="s">
        <v>31</v>
      </c>
      <c r="J3029" t="s">
        <v>48</v>
      </c>
      <c r="K3029" t="s">
        <v>2597</v>
      </c>
      <c r="L3029" s="2">
        <v>45992</v>
      </c>
      <c r="M3029" t="s">
        <v>50</v>
      </c>
      <c r="N3029">
        <v>0</v>
      </c>
      <c r="O3029" t="s">
        <v>31</v>
      </c>
      <c r="P3029" t="s">
        <v>28</v>
      </c>
      <c r="Q3029">
        <v>0</v>
      </c>
    </row>
    <row r="3030" spans="1:17" x14ac:dyDescent="0.3">
      <c r="A3030" t="s">
        <v>17</v>
      </c>
      <c r="B3030">
        <v>67</v>
      </c>
      <c r="C3030" t="s">
        <v>28</v>
      </c>
      <c r="D3030" s="2">
        <v>46022</v>
      </c>
      <c r="E3030" s="3">
        <f t="shared" si="47"/>
        <v>45992</v>
      </c>
      <c r="F3030">
        <v>1131443</v>
      </c>
      <c r="G3030" t="s">
        <v>283</v>
      </c>
      <c r="H3030" s="4">
        <v>27</v>
      </c>
      <c r="I3030" t="s">
        <v>31</v>
      </c>
      <c r="J3030" t="s">
        <v>48</v>
      </c>
      <c r="K3030" t="s">
        <v>2598</v>
      </c>
      <c r="L3030" s="2">
        <v>45992</v>
      </c>
      <c r="M3030" t="s">
        <v>50</v>
      </c>
      <c r="N3030">
        <v>0</v>
      </c>
      <c r="O3030" t="s">
        <v>31</v>
      </c>
      <c r="P3030" t="s">
        <v>28</v>
      </c>
      <c r="Q3030">
        <v>0</v>
      </c>
    </row>
    <row r="3031" spans="1:17" x14ac:dyDescent="0.3">
      <c r="A3031" t="s">
        <v>17</v>
      </c>
      <c r="B3031">
        <v>67</v>
      </c>
      <c r="C3031" t="s">
        <v>28</v>
      </c>
      <c r="D3031" s="2">
        <v>46022</v>
      </c>
      <c r="E3031" s="3">
        <f t="shared" si="47"/>
        <v>45992</v>
      </c>
      <c r="F3031" t="s">
        <v>2599</v>
      </c>
      <c r="H3031" s="4">
        <v>833.33</v>
      </c>
      <c r="I3031" t="s">
        <v>31</v>
      </c>
      <c r="J3031" t="s">
        <v>48</v>
      </c>
      <c r="K3031" t="s">
        <v>937</v>
      </c>
      <c r="L3031" s="2">
        <v>45992</v>
      </c>
      <c r="M3031" t="s">
        <v>50</v>
      </c>
      <c r="N3031">
        <v>0</v>
      </c>
      <c r="O3031" t="s">
        <v>31</v>
      </c>
      <c r="P3031" t="s">
        <v>28</v>
      </c>
      <c r="Q3031">
        <v>0</v>
      </c>
    </row>
    <row r="3032" spans="1:17" x14ac:dyDescent="0.3">
      <c r="A3032" t="s">
        <v>17</v>
      </c>
      <c r="B3032">
        <v>63</v>
      </c>
      <c r="C3032" t="s">
        <v>18</v>
      </c>
      <c r="D3032" s="2">
        <v>46022</v>
      </c>
      <c r="E3032" s="3">
        <f t="shared" si="47"/>
        <v>45992</v>
      </c>
      <c r="F3032" t="s">
        <v>2600</v>
      </c>
      <c r="H3032" s="4">
        <v>28833.33</v>
      </c>
      <c r="I3032" t="s">
        <v>47</v>
      </c>
      <c r="J3032" t="s">
        <v>272</v>
      </c>
      <c r="K3032" t="s">
        <v>1782</v>
      </c>
      <c r="L3032" s="2">
        <v>45992</v>
      </c>
      <c r="M3032" t="s">
        <v>272</v>
      </c>
      <c r="N3032">
        <v>0</v>
      </c>
      <c r="O3032" t="s">
        <v>26</v>
      </c>
      <c r="P3032" t="s">
        <v>18</v>
      </c>
      <c r="Q3032" t="s">
        <v>274</v>
      </c>
    </row>
    <row r="3033" spans="1:17" x14ac:dyDescent="0.3">
      <c r="A3033" t="s">
        <v>17</v>
      </c>
      <c r="B3033">
        <v>63</v>
      </c>
      <c r="C3033" t="s">
        <v>18</v>
      </c>
      <c r="D3033" s="2">
        <v>46022</v>
      </c>
      <c r="E3033" s="3">
        <f t="shared" si="47"/>
        <v>45992</v>
      </c>
      <c r="F3033" t="s">
        <v>2601</v>
      </c>
      <c r="H3033" s="4">
        <v>29348</v>
      </c>
      <c r="I3033" t="s">
        <v>116</v>
      </c>
      <c r="J3033" t="s">
        <v>364</v>
      </c>
      <c r="K3033" t="s">
        <v>2602</v>
      </c>
      <c r="L3033" s="2">
        <v>45992</v>
      </c>
      <c r="M3033" t="s">
        <v>366</v>
      </c>
      <c r="N3033">
        <v>0</v>
      </c>
      <c r="O3033" t="s">
        <v>26</v>
      </c>
      <c r="P3033" t="s">
        <v>18</v>
      </c>
      <c r="Q3033" t="s">
        <v>367</v>
      </c>
    </row>
    <row r="3034" spans="1:17" x14ac:dyDescent="0.3">
      <c r="A3034" t="s">
        <v>17</v>
      </c>
      <c r="B3034">
        <v>63</v>
      </c>
      <c r="C3034" t="s">
        <v>18</v>
      </c>
      <c r="D3034" s="2">
        <v>46022</v>
      </c>
      <c r="E3034" s="3">
        <f t="shared" si="47"/>
        <v>45992</v>
      </c>
      <c r="F3034" t="s">
        <v>2603</v>
      </c>
      <c r="H3034" s="4">
        <v>3333.34</v>
      </c>
      <c r="I3034" t="s">
        <v>47</v>
      </c>
      <c r="J3034" t="s">
        <v>331</v>
      </c>
      <c r="K3034" t="s">
        <v>2254</v>
      </c>
      <c r="L3034" s="2">
        <v>45992</v>
      </c>
      <c r="M3034" t="s">
        <v>333</v>
      </c>
      <c r="N3034">
        <v>0</v>
      </c>
      <c r="O3034" t="s">
        <v>26</v>
      </c>
      <c r="P3034" t="s">
        <v>18</v>
      </c>
      <c r="Q3034" t="s">
        <v>18</v>
      </c>
    </row>
    <row r="3035" spans="1:17" x14ac:dyDescent="0.3">
      <c r="A3035" t="s">
        <v>17</v>
      </c>
      <c r="B3035">
        <v>63</v>
      </c>
      <c r="C3035" t="s">
        <v>18</v>
      </c>
      <c r="D3035" s="2">
        <v>46022</v>
      </c>
      <c r="E3035" s="3">
        <f t="shared" si="47"/>
        <v>45992</v>
      </c>
      <c r="F3035" t="s">
        <v>2604</v>
      </c>
      <c r="H3035" s="4">
        <v>3093.29</v>
      </c>
      <c r="I3035" t="s">
        <v>47</v>
      </c>
      <c r="J3035" t="s">
        <v>326</v>
      </c>
      <c r="K3035" t="s">
        <v>2605</v>
      </c>
      <c r="L3035" s="2">
        <v>45992</v>
      </c>
      <c r="M3035" t="s">
        <v>328</v>
      </c>
      <c r="N3035">
        <v>0</v>
      </c>
      <c r="O3035" t="s">
        <v>26</v>
      </c>
      <c r="P3035" t="s">
        <v>18</v>
      </c>
      <c r="Q3035" t="s">
        <v>329</v>
      </c>
    </row>
    <row r="3036" spans="1:17" x14ac:dyDescent="0.3">
      <c r="A3036" t="s">
        <v>17</v>
      </c>
      <c r="B3036">
        <v>67</v>
      </c>
      <c r="C3036" t="s">
        <v>28</v>
      </c>
      <c r="D3036" s="2">
        <v>46022</v>
      </c>
      <c r="E3036" s="3">
        <f t="shared" si="47"/>
        <v>45992</v>
      </c>
      <c r="F3036" t="s">
        <v>2606</v>
      </c>
      <c r="G3036" t="s">
        <v>119</v>
      </c>
      <c r="H3036" s="4">
        <v>360</v>
      </c>
      <c r="I3036" t="s">
        <v>31</v>
      </c>
      <c r="J3036" t="s">
        <v>68</v>
      </c>
      <c r="K3036" t="s">
        <v>1567</v>
      </c>
      <c r="L3036" s="2">
        <v>45992</v>
      </c>
      <c r="M3036" t="s">
        <v>68</v>
      </c>
      <c r="N3036">
        <v>0</v>
      </c>
      <c r="O3036" t="s">
        <v>31</v>
      </c>
      <c r="P3036" t="s">
        <v>28</v>
      </c>
      <c r="Q3036">
        <v>0</v>
      </c>
    </row>
    <row r="3037" spans="1:17" x14ac:dyDescent="0.3">
      <c r="A3037" t="s">
        <v>17</v>
      </c>
      <c r="B3037">
        <v>65</v>
      </c>
      <c r="C3037" t="s">
        <v>54</v>
      </c>
      <c r="D3037" s="2">
        <v>46022</v>
      </c>
      <c r="E3037" s="3">
        <f t="shared" si="47"/>
        <v>45992</v>
      </c>
      <c r="F3037" t="s">
        <v>2607</v>
      </c>
      <c r="H3037" s="4">
        <v>-31017.18</v>
      </c>
      <c r="I3037" t="s">
        <v>31</v>
      </c>
      <c r="J3037" t="s">
        <v>55</v>
      </c>
      <c r="L3037" s="2">
        <v>45992</v>
      </c>
      <c r="M3037" t="s">
        <v>55</v>
      </c>
      <c r="N3037">
        <v>0</v>
      </c>
      <c r="O3037" t="s">
        <v>31</v>
      </c>
      <c r="P3037" t="s">
        <v>54</v>
      </c>
      <c r="Q3037">
        <v>0</v>
      </c>
    </row>
    <row r="3038" spans="1:17" x14ac:dyDescent="0.3">
      <c r="A3038" t="s">
        <v>17</v>
      </c>
      <c r="B3038">
        <v>68</v>
      </c>
      <c r="C3038" t="s">
        <v>34</v>
      </c>
      <c r="D3038" s="2">
        <v>46022</v>
      </c>
      <c r="E3038" s="3">
        <f t="shared" si="47"/>
        <v>45992</v>
      </c>
      <c r="F3038" t="s">
        <v>2590</v>
      </c>
      <c r="G3038" t="s">
        <v>1964</v>
      </c>
      <c r="H3038" s="4">
        <v>56.25</v>
      </c>
      <c r="I3038" t="s">
        <v>47</v>
      </c>
      <c r="J3038" t="s">
        <v>79</v>
      </c>
      <c r="K3038" t="s">
        <v>2608</v>
      </c>
      <c r="L3038" s="2">
        <v>45992</v>
      </c>
      <c r="M3038" t="s">
        <v>79</v>
      </c>
      <c r="N3038">
        <v>0</v>
      </c>
      <c r="O3038" t="s">
        <v>26</v>
      </c>
      <c r="P3038" t="s">
        <v>34</v>
      </c>
      <c r="Q3038">
        <v>0</v>
      </c>
    </row>
    <row r="3039" spans="1:17" x14ac:dyDescent="0.3">
      <c r="A3039" t="s">
        <v>17</v>
      </c>
      <c r="B3039">
        <v>68</v>
      </c>
      <c r="C3039" t="s">
        <v>34</v>
      </c>
      <c r="D3039" s="2">
        <v>46022</v>
      </c>
      <c r="E3039" s="3">
        <f t="shared" si="47"/>
        <v>45992</v>
      </c>
      <c r="F3039" t="s">
        <v>2590</v>
      </c>
      <c r="G3039" t="s">
        <v>1964</v>
      </c>
      <c r="H3039" s="4">
        <v>41.72</v>
      </c>
      <c r="I3039" t="s">
        <v>47</v>
      </c>
      <c r="J3039" t="s">
        <v>79</v>
      </c>
      <c r="K3039" t="s">
        <v>2609</v>
      </c>
      <c r="L3039" s="2">
        <v>45992</v>
      </c>
      <c r="M3039" t="s">
        <v>79</v>
      </c>
      <c r="N3039">
        <v>0</v>
      </c>
      <c r="O3039" t="s">
        <v>26</v>
      </c>
      <c r="P3039" t="s">
        <v>34</v>
      </c>
      <c r="Q3039">
        <v>0</v>
      </c>
    </row>
    <row r="3040" spans="1:17" x14ac:dyDescent="0.3">
      <c r="A3040" t="s">
        <v>17</v>
      </c>
      <c r="B3040">
        <v>68</v>
      </c>
      <c r="C3040" t="s">
        <v>34</v>
      </c>
      <c r="D3040" s="2">
        <v>46022</v>
      </c>
      <c r="E3040" s="3">
        <f t="shared" si="47"/>
        <v>45992</v>
      </c>
      <c r="F3040" t="s">
        <v>2590</v>
      </c>
      <c r="G3040" t="s">
        <v>1964</v>
      </c>
      <c r="H3040" s="4">
        <v>42.79</v>
      </c>
      <c r="I3040" t="s">
        <v>47</v>
      </c>
      <c r="J3040" t="s">
        <v>79</v>
      </c>
      <c r="K3040" t="s">
        <v>2609</v>
      </c>
      <c r="L3040" s="2">
        <v>45992</v>
      </c>
      <c r="M3040" t="s">
        <v>79</v>
      </c>
      <c r="N3040">
        <v>0</v>
      </c>
      <c r="O3040" t="s">
        <v>26</v>
      </c>
      <c r="P3040" t="s">
        <v>34</v>
      </c>
      <c r="Q3040">
        <v>0</v>
      </c>
    </row>
    <row r="3041" spans="1:17" x14ac:dyDescent="0.3">
      <c r="A3041" t="s">
        <v>17</v>
      </c>
      <c r="B3041">
        <v>68</v>
      </c>
      <c r="C3041" t="s">
        <v>34</v>
      </c>
      <c r="D3041" s="2">
        <v>46022</v>
      </c>
      <c r="E3041" s="3">
        <f t="shared" si="47"/>
        <v>45992</v>
      </c>
      <c r="F3041" t="s">
        <v>2590</v>
      </c>
      <c r="G3041" t="s">
        <v>1964</v>
      </c>
      <c r="H3041" s="4">
        <v>101.29</v>
      </c>
      <c r="I3041" t="s">
        <v>47</v>
      </c>
      <c r="J3041" t="s">
        <v>79</v>
      </c>
      <c r="K3041" t="s">
        <v>2609</v>
      </c>
      <c r="L3041" s="2">
        <v>45992</v>
      </c>
      <c r="M3041" t="s">
        <v>79</v>
      </c>
      <c r="N3041">
        <v>0</v>
      </c>
      <c r="O3041" t="s">
        <v>26</v>
      </c>
      <c r="P3041" t="s">
        <v>34</v>
      </c>
      <c r="Q3041">
        <v>0</v>
      </c>
    </row>
    <row r="3042" spans="1:17" x14ac:dyDescent="0.3">
      <c r="A3042" t="s">
        <v>17</v>
      </c>
      <c r="B3042">
        <v>68</v>
      </c>
      <c r="C3042" t="s">
        <v>34</v>
      </c>
      <c r="D3042" s="2">
        <v>46022</v>
      </c>
      <c r="E3042" s="3">
        <f t="shared" si="47"/>
        <v>45992</v>
      </c>
      <c r="F3042" t="s">
        <v>2610</v>
      </c>
      <c r="G3042" t="s">
        <v>266</v>
      </c>
      <c r="H3042" s="4">
        <v>2.5</v>
      </c>
      <c r="I3042" t="s">
        <v>31</v>
      </c>
      <c r="J3042" t="s">
        <v>79</v>
      </c>
      <c r="K3042" t="s">
        <v>34</v>
      </c>
      <c r="L3042" s="2">
        <v>45992</v>
      </c>
      <c r="M3042" t="s">
        <v>79</v>
      </c>
      <c r="N3042">
        <v>0</v>
      </c>
      <c r="O3042" t="s">
        <v>31</v>
      </c>
      <c r="P3042" t="s">
        <v>34</v>
      </c>
      <c r="Q3042">
        <v>0</v>
      </c>
    </row>
    <row r="3043" spans="1:17" x14ac:dyDescent="0.3">
      <c r="A3043" t="s">
        <v>17</v>
      </c>
      <c r="B3043">
        <v>68</v>
      </c>
      <c r="C3043" t="s">
        <v>34</v>
      </c>
      <c r="D3043" s="2">
        <v>46022</v>
      </c>
      <c r="E3043" s="3">
        <f t="shared" si="47"/>
        <v>45992</v>
      </c>
      <c r="F3043" t="s">
        <v>2610</v>
      </c>
      <c r="G3043" t="s">
        <v>266</v>
      </c>
      <c r="H3043" s="4">
        <v>7.11</v>
      </c>
      <c r="I3043" t="s">
        <v>31</v>
      </c>
      <c r="J3043" t="s">
        <v>79</v>
      </c>
      <c r="K3043" t="s">
        <v>2611</v>
      </c>
      <c r="L3043" s="2">
        <v>45992</v>
      </c>
      <c r="M3043" t="s">
        <v>79</v>
      </c>
      <c r="N3043">
        <v>0</v>
      </c>
      <c r="O3043" t="s">
        <v>31</v>
      </c>
      <c r="P3043" t="s">
        <v>34</v>
      </c>
      <c r="Q3043">
        <v>0</v>
      </c>
    </row>
    <row r="3044" spans="1:17" x14ac:dyDescent="0.3">
      <c r="A3044" t="s">
        <v>17</v>
      </c>
      <c r="B3044">
        <v>68</v>
      </c>
      <c r="C3044" t="s">
        <v>34</v>
      </c>
      <c r="D3044" s="2">
        <v>46022</v>
      </c>
      <c r="E3044" s="3">
        <f t="shared" si="47"/>
        <v>45992</v>
      </c>
      <c r="F3044" t="s">
        <v>2610</v>
      </c>
      <c r="G3044" t="s">
        <v>266</v>
      </c>
      <c r="H3044" s="4">
        <v>19.739999999999998</v>
      </c>
      <c r="I3044" t="s">
        <v>31</v>
      </c>
      <c r="J3044" t="s">
        <v>79</v>
      </c>
      <c r="K3044" t="s">
        <v>2612</v>
      </c>
      <c r="L3044" s="2">
        <v>45992</v>
      </c>
      <c r="M3044" t="s">
        <v>79</v>
      </c>
      <c r="N3044">
        <v>0</v>
      </c>
      <c r="O3044" t="s">
        <v>31</v>
      </c>
      <c r="P3044" t="s">
        <v>34</v>
      </c>
      <c r="Q3044">
        <v>0</v>
      </c>
    </row>
    <row r="3045" spans="1:17" x14ac:dyDescent="0.3">
      <c r="A3045" t="s">
        <v>17</v>
      </c>
      <c r="B3045">
        <v>68</v>
      </c>
      <c r="C3045" t="s">
        <v>34</v>
      </c>
      <c r="D3045" s="2">
        <v>46022</v>
      </c>
      <c r="E3045" s="3">
        <f t="shared" si="47"/>
        <v>45992</v>
      </c>
      <c r="F3045" t="s">
        <v>2610</v>
      </c>
      <c r="G3045" t="s">
        <v>266</v>
      </c>
      <c r="H3045" s="4">
        <v>0.14000000000000001</v>
      </c>
      <c r="I3045" t="s">
        <v>31</v>
      </c>
      <c r="J3045" t="s">
        <v>79</v>
      </c>
      <c r="L3045" s="2">
        <v>45992</v>
      </c>
      <c r="M3045" t="s">
        <v>79</v>
      </c>
      <c r="N3045">
        <v>0</v>
      </c>
      <c r="O3045" t="s">
        <v>31</v>
      </c>
      <c r="P3045" t="s">
        <v>34</v>
      </c>
      <c r="Q3045">
        <v>0</v>
      </c>
    </row>
    <row r="3046" spans="1:17" x14ac:dyDescent="0.3">
      <c r="A3046" t="s">
        <v>17</v>
      </c>
      <c r="B3046">
        <v>68</v>
      </c>
      <c r="C3046" t="s">
        <v>34</v>
      </c>
      <c r="D3046" s="2">
        <v>46022</v>
      </c>
      <c r="E3046" s="3">
        <f t="shared" si="47"/>
        <v>45992</v>
      </c>
      <c r="F3046" t="s">
        <v>2610</v>
      </c>
      <c r="G3046" t="s">
        <v>266</v>
      </c>
      <c r="H3046" s="4">
        <v>49.99</v>
      </c>
      <c r="I3046" t="s">
        <v>31</v>
      </c>
      <c r="J3046" t="s">
        <v>79</v>
      </c>
      <c r="K3046" t="s">
        <v>2613</v>
      </c>
      <c r="L3046" s="2">
        <v>45992</v>
      </c>
      <c r="M3046" t="s">
        <v>79</v>
      </c>
      <c r="N3046">
        <v>0</v>
      </c>
      <c r="O3046" t="s">
        <v>31</v>
      </c>
      <c r="P3046" t="s">
        <v>34</v>
      </c>
      <c r="Q3046">
        <v>0</v>
      </c>
    </row>
    <row r="3047" spans="1:17" x14ac:dyDescent="0.3">
      <c r="A3047" t="s">
        <v>17</v>
      </c>
      <c r="B3047">
        <v>68</v>
      </c>
      <c r="C3047" t="s">
        <v>34</v>
      </c>
      <c r="D3047" s="2">
        <v>46022</v>
      </c>
      <c r="E3047" s="3">
        <f t="shared" si="47"/>
        <v>45992</v>
      </c>
      <c r="F3047" t="s">
        <v>2610</v>
      </c>
      <c r="G3047" t="s">
        <v>266</v>
      </c>
      <c r="H3047" s="4">
        <v>43.93</v>
      </c>
      <c r="I3047" t="s">
        <v>31</v>
      </c>
      <c r="J3047" t="s">
        <v>79</v>
      </c>
      <c r="K3047" t="s">
        <v>2614</v>
      </c>
      <c r="L3047" s="2">
        <v>45992</v>
      </c>
      <c r="M3047" t="s">
        <v>79</v>
      </c>
      <c r="N3047">
        <v>0</v>
      </c>
      <c r="O3047" t="s">
        <v>31</v>
      </c>
      <c r="P3047" t="s">
        <v>34</v>
      </c>
      <c r="Q3047">
        <v>0</v>
      </c>
    </row>
    <row r="3048" spans="1:17" x14ac:dyDescent="0.3">
      <c r="A3048" t="s">
        <v>17</v>
      </c>
      <c r="B3048">
        <v>68</v>
      </c>
      <c r="C3048" t="s">
        <v>34</v>
      </c>
      <c r="D3048" s="2">
        <v>46022</v>
      </c>
      <c r="E3048" s="3">
        <f t="shared" si="47"/>
        <v>45992</v>
      </c>
      <c r="F3048" t="s">
        <v>2610</v>
      </c>
      <c r="G3048" t="s">
        <v>266</v>
      </c>
      <c r="H3048" s="4">
        <v>42.97</v>
      </c>
      <c r="I3048" t="s">
        <v>31</v>
      </c>
      <c r="J3048" t="s">
        <v>79</v>
      </c>
      <c r="K3048" t="s">
        <v>2615</v>
      </c>
      <c r="L3048" s="2">
        <v>45992</v>
      </c>
      <c r="M3048" t="s">
        <v>79</v>
      </c>
      <c r="N3048">
        <v>0</v>
      </c>
      <c r="O3048" t="s">
        <v>31</v>
      </c>
      <c r="P3048" t="s">
        <v>34</v>
      </c>
      <c r="Q3048">
        <v>0</v>
      </c>
    </row>
    <row r="3049" spans="1:17" x14ac:dyDescent="0.3">
      <c r="A3049" t="s">
        <v>17</v>
      </c>
      <c r="B3049">
        <v>68</v>
      </c>
      <c r="C3049" t="s">
        <v>34</v>
      </c>
      <c r="D3049" s="2">
        <v>46022</v>
      </c>
      <c r="E3049" s="3">
        <f t="shared" si="47"/>
        <v>45992</v>
      </c>
      <c r="F3049" t="s">
        <v>2610</v>
      </c>
      <c r="G3049" t="s">
        <v>266</v>
      </c>
      <c r="H3049" s="4">
        <v>9.94</v>
      </c>
      <c r="I3049" t="s">
        <v>31</v>
      </c>
      <c r="J3049" t="s">
        <v>79</v>
      </c>
      <c r="K3049" t="s">
        <v>2616</v>
      </c>
      <c r="L3049" s="2">
        <v>45992</v>
      </c>
      <c r="M3049" t="s">
        <v>79</v>
      </c>
      <c r="N3049">
        <v>0</v>
      </c>
      <c r="O3049" t="s">
        <v>31</v>
      </c>
      <c r="P3049" t="s">
        <v>34</v>
      </c>
      <c r="Q3049">
        <v>0</v>
      </c>
    </row>
    <row r="3050" spans="1:17" x14ac:dyDescent="0.3">
      <c r="A3050" t="s">
        <v>17</v>
      </c>
      <c r="B3050">
        <v>68</v>
      </c>
      <c r="C3050" t="s">
        <v>34</v>
      </c>
      <c r="D3050" s="2">
        <v>46022</v>
      </c>
      <c r="E3050" s="3">
        <f t="shared" si="47"/>
        <v>45992</v>
      </c>
      <c r="F3050" t="s">
        <v>2610</v>
      </c>
      <c r="G3050" t="s">
        <v>266</v>
      </c>
      <c r="H3050" s="4">
        <v>38.82</v>
      </c>
      <c r="I3050" t="s">
        <v>31</v>
      </c>
      <c r="J3050" t="s">
        <v>79</v>
      </c>
      <c r="K3050" t="s">
        <v>2617</v>
      </c>
      <c r="L3050" s="2">
        <v>45992</v>
      </c>
      <c r="M3050" t="s">
        <v>79</v>
      </c>
      <c r="N3050">
        <v>0</v>
      </c>
      <c r="O3050" t="s">
        <v>31</v>
      </c>
      <c r="P3050" t="s">
        <v>34</v>
      </c>
      <c r="Q3050">
        <v>0</v>
      </c>
    </row>
    <row r="3051" spans="1:17" x14ac:dyDescent="0.3">
      <c r="A3051" t="s">
        <v>17</v>
      </c>
      <c r="B3051">
        <v>68</v>
      </c>
      <c r="C3051" t="s">
        <v>34</v>
      </c>
      <c r="D3051" s="2">
        <v>46022</v>
      </c>
      <c r="E3051" s="3">
        <f t="shared" si="47"/>
        <v>45992</v>
      </c>
      <c r="F3051" t="s">
        <v>2610</v>
      </c>
      <c r="G3051" t="s">
        <v>266</v>
      </c>
      <c r="H3051" s="4">
        <v>35.700000000000003</v>
      </c>
      <c r="I3051" t="s">
        <v>31</v>
      </c>
      <c r="J3051" t="s">
        <v>79</v>
      </c>
      <c r="K3051" t="s">
        <v>2618</v>
      </c>
      <c r="L3051" s="2">
        <v>45992</v>
      </c>
      <c r="M3051" t="s">
        <v>79</v>
      </c>
      <c r="N3051">
        <v>0</v>
      </c>
      <c r="O3051" t="s">
        <v>31</v>
      </c>
      <c r="P3051" t="s">
        <v>34</v>
      </c>
      <c r="Q3051">
        <v>0</v>
      </c>
    </row>
    <row r="3052" spans="1:17" x14ac:dyDescent="0.3">
      <c r="A3052" t="s">
        <v>17</v>
      </c>
      <c r="B3052">
        <v>68</v>
      </c>
      <c r="C3052" t="s">
        <v>34</v>
      </c>
      <c r="D3052" s="2">
        <v>46022</v>
      </c>
      <c r="E3052" s="3">
        <f t="shared" si="47"/>
        <v>45992</v>
      </c>
      <c r="F3052" t="s">
        <v>2610</v>
      </c>
      <c r="G3052" t="s">
        <v>266</v>
      </c>
      <c r="H3052" s="4">
        <v>28.94</v>
      </c>
      <c r="I3052" t="s">
        <v>31</v>
      </c>
      <c r="J3052" t="s">
        <v>79</v>
      </c>
      <c r="K3052" t="s">
        <v>2619</v>
      </c>
      <c r="L3052" s="2">
        <v>45992</v>
      </c>
      <c r="M3052" t="s">
        <v>79</v>
      </c>
      <c r="N3052">
        <v>0</v>
      </c>
      <c r="O3052" t="s">
        <v>31</v>
      </c>
      <c r="P3052" t="s">
        <v>34</v>
      </c>
      <c r="Q3052">
        <v>0</v>
      </c>
    </row>
    <row r="3053" spans="1:17" x14ac:dyDescent="0.3">
      <c r="A3053" t="s">
        <v>17</v>
      </c>
      <c r="B3053">
        <v>68</v>
      </c>
      <c r="C3053" t="s">
        <v>34</v>
      </c>
      <c r="D3053" s="2">
        <v>46022</v>
      </c>
      <c r="E3053" s="3">
        <f t="shared" si="47"/>
        <v>45992</v>
      </c>
      <c r="F3053" t="s">
        <v>2610</v>
      </c>
      <c r="G3053" t="s">
        <v>266</v>
      </c>
      <c r="H3053" s="4">
        <v>25.99</v>
      </c>
      <c r="I3053" t="s">
        <v>31</v>
      </c>
      <c r="J3053" t="s">
        <v>79</v>
      </c>
      <c r="K3053" t="s">
        <v>2620</v>
      </c>
      <c r="L3053" s="2">
        <v>45992</v>
      </c>
      <c r="M3053" t="s">
        <v>79</v>
      </c>
      <c r="N3053">
        <v>0</v>
      </c>
      <c r="O3053" t="s">
        <v>31</v>
      </c>
      <c r="P3053" t="s">
        <v>34</v>
      </c>
      <c r="Q3053">
        <v>0</v>
      </c>
    </row>
    <row r="3054" spans="1:17" x14ac:dyDescent="0.3">
      <c r="A3054" t="s">
        <v>17</v>
      </c>
      <c r="B3054">
        <v>68</v>
      </c>
      <c r="C3054" t="s">
        <v>34</v>
      </c>
      <c r="D3054" s="2">
        <v>46022</v>
      </c>
      <c r="E3054" s="3">
        <f t="shared" si="47"/>
        <v>45992</v>
      </c>
      <c r="F3054" t="s">
        <v>2610</v>
      </c>
      <c r="G3054" t="s">
        <v>266</v>
      </c>
      <c r="H3054" s="4">
        <v>5.72</v>
      </c>
      <c r="I3054" t="s">
        <v>31</v>
      </c>
      <c r="J3054" t="s">
        <v>79</v>
      </c>
      <c r="K3054" t="s">
        <v>2621</v>
      </c>
      <c r="L3054" s="2">
        <v>45992</v>
      </c>
      <c r="M3054" t="s">
        <v>79</v>
      </c>
      <c r="N3054">
        <v>0</v>
      </c>
      <c r="O3054" t="s">
        <v>31</v>
      </c>
      <c r="P3054" t="s">
        <v>34</v>
      </c>
      <c r="Q3054">
        <v>0</v>
      </c>
    </row>
    <row r="3055" spans="1:17" x14ac:dyDescent="0.3">
      <c r="A3055" t="s">
        <v>17</v>
      </c>
      <c r="B3055">
        <v>68</v>
      </c>
      <c r="C3055" t="s">
        <v>34</v>
      </c>
      <c r="D3055" s="2">
        <v>46022</v>
      </c>
      <c r="E3055" s="3">
        <f t="shared" si="47"/>
        <v>45992</v>
      </c>
      <c r="F3055" t="s">
        <v>2610</v>
      </c>
      <c r="G3055" t="s">
        <v>266</v>
      </c>
      <c r="H3055" s="4">
        <v>14.22</v>
      </c>
      <c r="I3055" t="s">
        <v>31</v>
      </c>
      <c r="J3055" t="s">
        <v>79</v>
      </c>
      <c r="K3055" t="s">
        <v>2622</v>
      </c>
      <c r="L3055" s="2">
        <v>45992</v>
      </c>
      <c r="M3055" t="s">
        <v>79</v>
      </c>
      <c r="N3055">
        <v>0</v>
      </c>
      <c r="O3055" t="s">
        <v>31</v>
      </c>
      <c r="P3055" t="s">
        <v>34</v>
      </c>
      <c r="Q3055">
        <v>0</v>
      </c>
    </row>
    <row r="3056" spans="1:17" x14ac:dyDescent="0.3">
      <c r="A3056" t="s">
        <v>17</v>
      </c>
      <c r="B3056">
        <v>68</v>
      </c>
      <c r="C3056" t="s">
        <v>34</v>
      </c>
      <c r="D3056" s="2">
        <v>46022</v>
      </c>
      <c r="E3056" s="3">
        <f t="shared" si="47"/>
        <v>45992</v>
      </c>
      <c r="F3056" t="s">
        <v>2610</v>
      </c>
      <c r="G3056" t="s">
        <v>266</v>
      </c>
      <c r="H3056" s="4">
        <v>8.98</v>
      </c>
      <c r="I3056" t="s">
        <v>31</v>
      </c>
      <c r="J3056" t="s">
        <v>79</v>
      </c>
      <c r="K3056" t="s">
        <v>2623</v>
      </c>
      <c r="L3056" s="2">
        <v>45992</v>
      </c>
      <c r="M3056" t="s">
        <v>79</v>
      </c>
      <c r="N3056">
        <v>0</v>
      </c>
      <c r="O3056" t="s">
        <v>31</v>
      </c>
      <c r="P3056" t="s">
        <v>34</v>
      </c>
      <c r="Q3056">
        <v>0</v>
      </c>
    </row>
    <row r="3057" spans="1:17" x14ac:dyDescent="0.3">
      <c r="A3057" t="s">
        <v>17</v>
      </c>
      <c r="B3057">
        <v>68</v>
      </c>
      <c r="C3057" t="s">
        <v>34</v>
      </c>
      <c r="D3057" s="2">
        <v>46022</v>
      </c>
      <c r="E3057" s="3">
        <f t="shared" si="47"/>
        <v>45992</v>
      </c>
      <c r="F3057" t="s">
        <v>2610</v>
      </c>
      <c r="G3057" t="s">
        <v>266</v>
      </c>
      <c r="H3057" s="4">
        <v>26.46</v>
      </c>
      <c r="I3057" t="s">
        <v>31</v>
      </c>
      <c r="J3057" t="s">
        <v>79</v>
      </c>
      <c r="K3057" t="s">
        <v>1276</v>
      </c>
      <c r="L3057" s="2">
        <v>45992</v>
      </c>
      <c r="M3057" t="s">
        <v>79</v>
      </c>
      <c r="N3057">
        <v>0</v>
      </c>
      <c r="O3057" t="s">
        <v>31</v>
      </c>
      <c r="P3057" t="s">
        <v>34</v>
      </c>
      <c r="Q3057">
        <v>0</v>
      </c>
    </row>
    <row r="3058" spans="1:17" x14ac:dyDescent="0.3">
      <c r="A3058" t="s">
        <v>17</v>
      </c>
      <c r="B3058">
        <v>68</v>
      </c>
      <c r="C3058" t="s">
        <v>34</v>
      </c>
      <c r="D3058" s="2">
        <v>46022</v>
      </c>
      <c r="E3058" s="3">
        <f t="shared" si="47"/>
        <v>45992</v>
      </c>
      <c r="F3058" t="s">
        <v>2610</v>
      </c>
      <c r="G3058" t="s">
        <v>266</v>
      </c>
      <c r="H3058" s="4">
        <v>10</v>
      </c>
      <c r="I3058" t="s">
        <v>31</v>
      </c>
      <c r="J3058" t="s">
        <v>79</v>
      </c>
      <c r="K3058" t="s">
        <v>2624</v>
      </c>
      <c r="L3058" s="2">
        <v>45992</v>
      </c>
      <c r="M3058" t="s">
        <v>79</v>
      </c>
      <c r="N3058">
        <v>0</v>
      </c>
      <c r="O3058" t="s">
        <v>31</v>
      </c>
      <c r="P3058" t="s">
        <v>34</v>
      </c>
      <c r="Q3058">
        <v>0</v>
      </c>
    </row>
    <row r="3059" spans="1:17" x14ac:dyDescent="0.3">
      <c r="A3059" t="s">
        <v>17</v>
      </c>
      <c r="B3059">
        <v>68</v>
      </c>
      <c r="C3059" t="s">
        <v>34</v>
      </c>
      <c r="D3059" s="2">
        <v>46022</v>
      </c>
      <c r="E3059" s="3">
        <f t="shared" si="47"/>
        <v>45992</v>
      </c>
      <c r="F3059" t="s">
        <v>2625</v>
      </c>
      <c r="H3059" s="4">
        <v>0</v>
      </c>
      <c r="I3059" t="s">
        <v>21</v>
      </c>
      <c r="J3059" t="s">
        <v>79</v>
      </c>
      <c r="K3059" t="s">
        <v>320</v>
      </c>
      <c r="L3059" s="2">
        <v>45992</v>
      </c>
      <c r="M3059" t="s">
        <v>79</v>
      </c>
      <c r="N3059" t="s">
        <v>25</v>
      </c>
      <c r="O3059" t="s">
        <v>81</v>
      </c>
      <c r="P3059" t="s">
        <v>34</v>
      </c>
      <c r="Q3059">
        <v>0</v>
      </c>
    </row>
    <row r="3060" spans="1:17" x14ac:dyDescent="0.3">
      <c r="A3060" t="s">
        <v>17</v>
      </c>
      <c r="B3060">
        <v>68</v>
      </c>
      <c r="C3060" t="s">
        <v>34</v>
      </c>
      <c r="D3060" s="2">
        <v>46022</v>
      </c>
      <c r="E3060" s="3">
        <f t="shared" si="47"/>
        <v>45992</v>
      </c>
      <c r="F3060" t="s">
        <v>2626</v>
      </c>
      <c r="H3060" s="4">
        <v>-0.03</v>
      </c>
      <c r="I3060" t="s">
        <v>241</v>
      </c>
      <c r="J3060" t="s">
        <v>79</v>
      </c>
      <c r="K3060" t="s">
        <v>2627</v>
      </c>
      <c r="L3060" s="2">
        <v>45992</v>
      </c>
      <c r="M3060" t="s">
        <v>79</v>
      </c>
      <c r="N3060" t="s">
        <v>242</v>
      </c>
      <c r="O3060" t="s">
        <v>81</v>
      </c>
      <c r="P3060" t="s">
        <v>34</v>
      </c>
      <c r="Q3060">
        <v>0</v>
      </c>
    </row>
    <row r="3061" spans="1:17" x14ac:dyDescent="0.3">
      <c r="A3061" t="s">
        <v>17</v>
      </c>
      <c r="B3061">
        <v>68</v>
      </c>
      <c r="C3061" t="s">
        <v>34</v>
      </c>
      <c r="D3061" s="2">
        <v>46022</v>
      </c>
      <c r="E3061" s="3">
        <f t="shared" si="47"/>
        <v>45992</v>
      </c>
      <c r="F3061" t="s">
        <v>2628</v>
      </c>
      <c r="H3061" s="4">
        <v>-0.37</v>
      </c>
      <c r="I3061" t="s">
        <v>31</v>
      </c>
      <c r="J3061" t="s">
        <v>79</v>
      </c>
      <c r="K3061" t="s">
        <v>2629</v>
      </c>
      <c r="L3061" s="2">
        <v>45992</v>
      </c>
      <c r="M3061" t="s">
        <v>79</v>
      </c>
      <c r="N3061">
        <v>0</v>
      </c>
      <c r="O3061" t="s">
        <v>31</v>
      </c>
      <c r="P3061" t="s">
        <v>34</v>
      </c>
      <c r="Q3061">
        <v>0</v>
      </c>
    </row>
    <row r="3062" spans="1:17" x14ac:dyDescent="0.3">
      <c r="A3062" t="s">
        <v>17</v>
      </c>
      <c r="B3062">
        <v>66</v>
      </c>
      <c r="C3062" t="s">
        <v>134</v>
      </c>
      <c r="D3062" s="2">
        <v>46022</v>
      </c>
      <c r="E3062" s="3">
        <f t="shared" si="47"/>
        <v>45992</v>
      </c>
      <c r="F3062" t="s">
        <v>2630</v>
      </c>
      <c r="G3062" t="s">
        <v>2015</v>
      </c>
      <c r="H3062" s="4">
        <v>76.25</v>
      </c>
      <c r="I3062" t="s">
        <v>108</v>
      </c>
      <c r="J3062" t="s">
        <v>223</v>
      </c>
      <c r="K3062" t="s">
        <v>2631</v>
      </c>
      <c r="L3062" s="2">
        <v>45992</v>
      </c>
      <c r="M3062" t="s">
        <v>223</v>
      </c>
      <c r="N3062">
        <v>0</v>
      </c>
      <c r="O3062" t="s">
        <v>111</v>
      </c>
      <c r="P3062" t="s">
        <v>134</v>
      </c>
      <c r="Q3062">
        <v>0</v>
      </c>
    </row>
    <row r="3063" spans="1:17" x14ac:dyDescent="0.3">
      <c r="A3063" t="s">
        <v>17</v>
      </c>
      <c r="B3063">
        <v>66</v>
      </c>
      <c r="C3063" t="s">
        <v>134</v>
      </c>
      <c r="D3063" s="2">
        <v>46022</v>
      </c>
      <c r="E3063" s="3">
        <f t="shared" si="47"/>
        <v>45992</v>
      </c>
      <c r="F3063" t="s">
        <v>2630</v>
      </c>
      <c r="G3063" t="s">
        <v>2015</v>
      </c>
      <c r="H3063" s="4">
        <v>50</v>
      </c>
      <c r="I3063" t="s">
        <v>108</v>
      </c>
      <c r="J3063" t="s">
        <v>223</v>
      </c>
      <c r="K3063" t="s">
        <v>2632</v>
      </c>
      <c r="L3063" s="2">
        <v>45992</v>
      </c>
      <c r="M3063" t="s">
        <v>223</v>
      </c>
      <c r="N3063">
        <v>0</v>
      </c>
      <c r="O3063" t="s">
        <v>111</v>
      </c>
      <c r="P3063" t="s">
        <v>134</v>
      </c>
      <c r="Q3063">
        <v>0</v>
      </c>
    </row>
    <row r="3064" spans="1:17" x14ac:dyDescent="0.3">
      <c r="A3064" t="s">
        <v>17</v>
      </c>
      <c r="B3064">
        <v>66</v>
      </c>
      <c r="C3064" t="s">
        <v>134</v>
      </c>
      <c r="D3064" s="2">
        <v>46022</v>
      </c>
      <c r="E3064" s="3">
        <f t="shared" si="47"/>
        <v>45992</v>
      </c>
      <c r="F3064" t="s">
        <v>2630</v>
      </c>
      <c r="G3064" t="s">
        <v>2015</v>
      </c>
      <c r="H3064" s="4">
        <v>50</v>
      </c>
      <c r="I3064" t="s">
        <v>108</v>
      </c>
      <c r="J3064" t="s">
        <v>223</v>
      </c>
      <c r="K3064" t="s">
        <v>2633</v>
      </c>
      <c r="L3064" s="2">
        <v>45992</v>
      </c>
      <c r="M3064" t="s">
        <v>223</v>
      </c>
      <c r="N3064">
        <v>0</v>
      </c>
      <c r="O3064" t="s">
        <v>111</v>
      </c>
      <c r="P3064" t="s">
        <v>134</v>
      </c>
      <c r="Q3064">
        <v>0</v>
      </c>
    </row>
    <row r="3065" spans="1:17" x14ac:dyDescent="0.3">
      <c r="A3065" t="s">
        <v>17</v>
      </c>
      <c r="B3065">
        <v>66</v>
      </c>
      <c r="C3065" t="s">
        <v>134</v>
      </c>
      <c r="D3065" s="2">
        <v>46022</v>
      </c>
      <c r="E3065" s="3">
        <f t="shared" si="47"/>
        <v>45992</v>
      </c>
      <c r="F3065" t="s">
        <v>2630</v>
      </c>
      <c r="G3065" t="s">
        <v>2015</v>
      </c>
      <c r="H3065" s="4">
        <v>50</v>
      </c>
      <c r="I3065" t="s">
        <v>108</v>
      </c>
      <c r="J3065" t="s">
        <v>223</v>
      </c>
      <c r="K3065" t="s">
        <v>2634</v>
      </c>
      <c r="L3065" s="2">
        <v>45992</v>
      </c>
      <c r="M3065" t="s">
        <v>223</v>
      </c>
      <c r="N3065">
        <v>0</v>
      </c>
      <c r="O3065" t="s">
        <v>111</v>
      </c>
      <c r="P3065" t="s">
        <v>134</v>
      </c>
      <c r="Q3065">
        <v>0</v>
      </c>
    </row>
    <row r="3066" spans="1:17" x14ac:dyDescent="0.3">
      <c r="A3066" t="s">
        <v>17</v>
      </c>
      <c r="B3066">
        <v>66</v>
      </c>
      <c r="C3066" t="s">
        <v>134</v>
      </c>
      <c r="D3066" s="2">
        <v>46022</v>
      </c>
      <c r="E3066" s="3">
        <f t="shared" si="47"/>
        <v>45992</v>
      </c>
      <c r="F3066" t="s">
        <v>2630</v>
      </c>
      <c r="G3066" t="s">
        <v>2015</v>
      </c>
      <c r="H3066" s="4">
        <v>50</v>
      </c>
      <c r="I3066" t="s">
        <v>108</v>
      </c>
      <c r="J3066" t="s">
        <v>223</v>
      </c>
      <c r="K3066" t="s">
        <v>2635</v>
      </c>
      <c r="L3066" s="2">
        <v>45992</v>
      </c>
      <c r="M3066" t="s">
        <v>223</v>
      </c>
      <c r="N3066">
        <v>0</v>
      </c>
      <c r="O3066" t="s">
        <v>111</v>
      </c>
      <c r="P3066" t="s">
        <v>134</v>
      </c>
      <c r="Q3066">
        <v>0</v>
      </c>
    </row>
    <row r="3067" spans="1:17" x14ac:dyDescent="0.3">
      <c r="A3067" t="s">
        <v>17</v>
      </c>
      <c r="B3067">
        <v>68</v>
      </c>
      <c r="C3067" t="s">
        <v>34</v>
      </c>
      <c r="D3067" s="2">
        <v>46022</v>
      </c>
      <c r="E3067" s="3">
        <f t="shared" si="47"/>
        <v>45992</v>
      </c>
      <c r="F3067" t="s">
        <v>2636</v>
      </c>
      <c r="G3067" t="s">
        <v>122</v>
      </c>
      <c r="H3067" s="4">
        <v>372.54</v>
      </c>
      <c r="I3067" t="s">
        <v>108</v>
      </c>
      <c r="J3067" t="s">
        <v>109</v>
      </c>
      <c r="K3067" t="s">
        <v>1442</v>
      </c>
      <c r="L3067" s="2">
        <v>45992</v>
      </c>
      <c r="M3067" t="s">
        <v>109</v>
      </c>
      <c r="N3067">
        <v>0</v>
      </c>
      <c r="O3067" t="s">
        <v>111</v>
      </c>
      <c r="P3067" t="s">
        <v>112</v>
      </c>
      <c r="Q3067" t="s">
        <v>113</v>
      </c>
    </row>
    <row r="3068" spans="1:17" x14ac:dyDescent="0.3">
      <c r="A3068" t="s">
        <v>17</v>
      </c>
      <c r="B3068">
        <v>68</v>
      </c>
      <c r="C3068" t="s">
        <v>34</v>
      </c>
      <c r="D3068" s="2">
        <v>46022</v>
      </c>
      <c r="E3068" s="3">
        <f t="shared" si="47"/>
        <v>45992</v>
      </c>
      <c r="F3068" t="s">
        <v>2637</v>
      </c>
      <c r="G3068" t="s">
        <v>122</v>
      </c>
      <c r="H3068" s="4">
        <v>30.45</v>
      </c>
      <c r="I3068" t="s">
        <v>108</v>
      </c>
      <c r="J3068" t="s">
        <v>109</v>
      </c>
      <c r="L3068" s="2">
        <v>45992</v>
      </c>
      <c r="M3068" t="s">
        <v>109</v>
      </c>
      <c r="N3068">
        <v>0</v>
      </c>
      <c r="O3068" t="s">
        <v>111</v>
      </c>
      <c r="P3068" t="s">
        <v>112</v>
      </c>
      <c r="Q3068" t="s">
        <v>113</v>
      </c>
    </row>
    <row r="3069" spans="1:17" x14ac:dyDescent="0.3">
      <c r="A3069" t="s">
        <v>17</v>
      </c>
      <c r="B3069">
        <v>68</v>
      </c>
      <c r="C3069" t="s">
        <v>34</v>
      </c>
      <c r="D3069" s="2">
        <v>46022</v>
      </c>
      <c r="E3069" s="3">
        <f t="shared" si="47"/>
        <v>45992</v>
      </c>
      <c r="F3069" t="s">
        <v>2637</v>
      </c>
      <c r="G3069" t="s">
        <v>122</v>
      </c>
      <c r="H3069" s="4">
        <v>17</v>
      </c>
      <c r="I3069" t="s">
        <v>108</v>
      </c>
      <c r="J3069" t="s">
        <v>109</v>
      </c>
      <c r="K3069" t="s">
        <v>1455</v>
      </c>
      <c r="L3069" s="2">
        <v>45992</v>
      </c>
      <c r="M3069" t="s">
        <v>109</v>
      </c>
      <c r="N3069">
        <v>0</v>
      </c>
      <c r="O3069" t="s">
        <v>111</v>
      </c>
      <c r="P3069" t="s">
        <v>112</v>
      </c>
      <c r="Q3069" t="s">
        <v>113</v>
      </c>
    </row>
    <row r="3070" spans="1:17" x14ac:dyDescent="0.3">
      <c r="A3070" t="s">
        <v>17</v>
      </c>
      <c r="B3070">
        <v>68</v>
      </c>
      <c r="C3070" t="s">
        <v>34</v>
      </c>
      <c r="D3070" s="2">
        <v>46022</v>
      </c>
      <c r="E3070" s="3">
        <f t="shared" si="47"/>
        <v>45992</v>
      </c>
      <c r="F3070" t="s">
        <v>2637</v>
      </c>
      <c r="G3070" t="s">
        <v>122</v>
      </c>
      <c r="H3070" s="4">
        <v>1.34</v>
      </c>
      <c r="I3070" t="s">
        <v>108</v>
      </c>
      <c r="J3070" t="s">
        <v>109</v>
      </c>
      <c r="K3070" t="s">
        <v>1457</v>
      </c>
      <c r="L3070" s="2">
        <v>45992</v>
      </c>
      <c r="M3070" t="s">
        <v>109</v>
      </c>
      <c r="N3070">
        <v>0</v>
      </c>
      <c r="O3070" t="s">
        <v>111</v>
      </c>
      <c r="P3070" t="s">
        <v>112</v>
      </c>
      <c r="Q3070" t="s">
        <v>113</v>
      </c>
    </row>
    <row r="3071" spans="1:17" x14ac:dyDescent="0.3">
      <c r="A3071" t="s">
        <v>17</v>
      </c>
      <c r="B3071">
        <v>68</v>
      </c>
      <c r="C3071" t="s">
        <v>34</v>
      </c>
      <c r="D3071" s="2">
        <v>46022</v>
      </c>
      <c r="E3071" s="3">
        <f t="shared" si="47"/>
        <v>45992</v>
      </c>
      <c r="F3071">
        <v>2037684578</v>
      </c>
      <c r="G3071" t="s">
        <v>1261</v>
      </c>
      <c r="H3071" s="4">
        <v>1969.24</v>
      </c>
      <c r="I3071" t="s">
        <v>108</v>
      </c>
      <c r="J3071" t="s">
        <v>109</v>
      </c>
      <c r="K3071" t="s">
        <v>2109</v>
      </c>
      <c r="L3071" s="2">
        <v>45992</v>
      </c>
      <c r="M3071" t="s">
        <v>109</v>
      </c>
      <c r="N3071">
        <v>0</v>
      </c>
      <c r="O3071" t="s">
        <v>111</v>
      </c>
      <c r="P3071" t="s">
        <v>112</v>
      </c>
      <c r="Q3071" t="s">
        <v>113</v>
      </c>
    </row>
    <row r="3072" spans="1:17" x14ac:dyDescent="0.3">
      <c r="A3072" t="s">
        <v>17</v>
      </c>
      <c r="B3072">
        <v>67</v>
      </c>
      <c r="C3072" t="s">
        <v>28</v>
      </c>
      <c r="D3072" s="2">
        <v>46022</v>
      </c>
      <c r="E3072" s="3">
        <f t="shared" si="47"/>
        <v>45992</v>
      </c>
      <c r="F3072">
        <v>1002555915</v>
      </c>
      <c r="G3072" t="s">
        <v>774</v>
      </c>
      <c r="H3072" s="4">
        <v>1340.23</v>
      </c>
      <c r="I3072" t="s">
        <v>31</v>
      </c>
      <c r="J3072" t="s">
        <v>32</v>
      </c>
      <c r="K3072" t="s">
        <v>2638</v>
      </c>
      <c r="L3072" s="2">
        <v>45992</v>
      </c>
      <c r="M3072" t="s">
        <v>32</v>
      </c>
      <c r="N3072">
        <v>0</v>
      </c>
      <c r="O3072" t="s">
        <v>31</v>
      </c>
      <c r="P3072" t="s">
        <v>28</v>
      </c>
      <c r="Q3072">
        <v>0</v>
      </c>
    </row>
    <row r="3073" spans="1:17" x14ac:dyDescent="0.3">
      <c r="A3073" t="s">
        <v>17</v>
      </c>
      <c r="B3073">
        <v>67</v>
      </c>
      <c r="C3073" t="s">
        <v>28</v>
      </c>
      <c r="D3073" s="2">
        <v>46022</v>
      </c>
      <c r="E3073" s="3">
        <f t="shared" si="47"/>
        <v>45992</v>
      </c>
      <c r="F3073" t="s">
        <v>2639</v>
      </c>
      <c r="H3073" s="4">
        <v>4629611.67</v>
      </c>
      <c r="I3073" t="s">
        <v>31</v>
      </c>
      <c r="J3073" t="s">
        <v>32</v>
      </c>
      <c r="L3073" s="2">
        <v>45992</v>
      </c>
      <c r="M3073" t="s">
        <v>32</v>
      </c>
      <c r="N3073">
        <v>0</v>
      </c>
      <c r="O3073" t="s">
        <v>31</v>
      </c>
      <c r="P3073" t="s">
        <v>28</v>
      </c>
      <c r="Q3073">
        <v>0</v>
      </c>
    </row>
    <row r="3074" spans="1:17" x14ac:dyDescent="0.3">
      <c r="A3074" t="s">
        <v>17</v>
      </c>
      <c r="B3074">
        <v>67</v>
      </c>
      <c r="C3074" t="s">
        <v>28</v>
      </c>
      <c r="D3074" s="2">
        <v>46022</v>
      </c>
      <c r="E3074" s="3">
        <f t="shared" si="47"/>
        <v>45992</v>
      </c>
      <c r="F3074" t="s">
        <v>2640</v>
      </c>
      <c r="H3074" s="4">
        <v>6000</v>
      </c>
      <c r="I3074" t="s">
        <v>31</v>
      </c>
      <c r="J3074" t="s">
        <v>32</v>
      </c>
      <c r="K3074" t="s">
        <v>2641</v>
      </c>
      <c r="L3074" s="2">
        <v>45992</v>
      </c>
      <c r="M3074" t="s">
        <v>32</v>
      </c>
      <c r="N3074">
        <v>0</v>
      </c>
      <c r="O3074" t="s">
        <v>31</v>
      </c>
      <c r="P3074" t="s">
        <v>28</v>
      </c>
      <c r="Q3074">
        <v>0</v>
      </c>
    </row>
    <row r="3075" spans="1:17" x14ac:dyDescent="0.3">
      <c r="A3075" t="s">
        <v>17</v>
      </c>
      <c r="B3075">
        <v>67</v>
      </c>
      <c r="C3075" t="s">
        <v>28</v>
      </c>
      <c r="D3075" s="2">
        <v>46022</v>
      </c>
      <c r="E3075" s="3">
        <f t="shared" ref="E3075:E3138" si="48">IF($D3075="","",DATE(YEAR($D3075),MONTH($D3075),1))</f>
        <v>45992</v>
      </c>
      <c r="F3075" t="s">
        <v>2640</v>
      </c>
      <c r="H3075" s="4">
        <v>19000</v>
      </c>
      <c r="I3075" t="s">
        <v>31</v>
      </c>
      <c r="J3075" t="s">
        <v>32</v>
      </c>
      <c r="K3075" t="s">
        <v>2641</v>
      </c>
      <c r="L3075" s="2">
        <v>45992</v>
      </c>
      <c r="M3075" t="s">
        <v>32</v>
      </c>
      <c r="N3075">
        <v>0</v>
      </c>
      <c r="O3075" t="s">
        <v>31</v>
      </c>
      <c r="P3075" t="s">
        <v>28</v>
      </c>
      <c r="Q3075">
        <v>0</v>
      </c>
    </row>
    <row r="3076" spans="1:17" x14ac:dyDescent="0.3">
      <c r="A3076" t="s">
        <v>17</v>
      </c>
      <c r="B3076">
        <v>67</v>
      </c>
      <c r="C3076" t="s">
        <v>28</v>
      </c>
      <c r="D3076" s="2">
        <v>46022</v>
      </c>
      <c r="E3076" s="3">
        <f t="shared" si="48"/>
        <v>45992</v>
      </c>
      <c r="F3076" t="s">
        <v>2642</v>
      </c>
      <c r="H3076" s="4">
        <v>24000</v>
      </c>
      <c r="I3076" t="s">
        <v>31</v>
      </c>
      <c r="J3076" t="s">
        <v>32</v>
      </c>
      <c r="K3076" t="s">
        <v>2643</v>
      </c>
      <c r="L3076" s="2">
        <v>45992</v>
      </c>
      <c r="M3076" t="s">
        <v>32</v>
      </c>
      <c r="N3076">
        <v>0</v>
      </c>
      <c r="O3076" t="s">
        <v>31</v>
      </c>
      <c r="P3076" t="s">
        <v>28</v>
      </c>
      <c r="Q3076">
        <v>0</v>
      </c>
    </row>
    <row r="3077" spans="1:17" x14ac:dyDescent="0.3">
      <c r="A3077" t="s">
        <v>17</v>
      </c>
      <c r="B3077">
        <v>67</v>
      </c>
      <c r="C3077" t="s">
        <v>28</v>
      </c>
      <c r="D3077" s="2">
        <v>46022</v>
      </c>
      <c r="E3077" s="3">
        <f t="shared" si="48"/>
        <v>45992</v>
      </c>
      <c r="F3077" t="s">
        <v>2642</v>
      </c>
      <c r="H3077" s="4">
        <v>40000</v>
      </c>
      <c r="I3077" t="s">
        <v>31</v>
      </c>
      <c r="J3077" t="s">
        <v>32</v>
      </c>
      <c r="K3077" t="s">
        <v>2643</v>
      </c>
      <c r="L3077" s="2">
        <v>45992</v>
      </c>
      <c r="M3077" t="s">
        <v>32</v>
      </c>
      <c r="N3077">
        <v>0</v>
      </c>
      <c r="O3077" t="s">
        <v>31</v>
      </c>
      <c r="P3077" t="s">
        <v>28</v>
      </c>
      <c r="Q3077">
        <v>0</v>
      </c>
    </row>
    <row r="3078" spans="1:17" x14ac:dyDescent="0.3">
      <c r="A3078" t="s">
        <v>17</v>
      </c>
      <c r="B3078">
        <v>67</v>
      </c>
      <c r="C3078" t="s">
        <v>28</v>
      </c>
      <c r="D3078" s="2">
        <v>46022</v>
      </c>
      <c r="E3078" s="3">
        <f t="shared" si="48"/>
        <v>45992</v>
      </c>
      <c r="F3078" t="s">
        <v>2644</v>
      </c>
      <c r="H3078" s="4">
        <v>777.15</v>
      </c>
      <c r="I3078" t="s">
        <v>31</v>
      </c>
      <c r="J3078" t="s">
        <v>60</v>
      </c>
      <c r="K3078" t="s">
        <v>1883</v>
      </c>
      <c r="L3078" s="2">
        <v>45992</v>
      </c>
      <c r="M3078" t="s">
        <v>60</v>
      </c>
      <c r="N3078">
        <v>0</v>
      </c>
      <c r="O3078" t="s">
        <v>31</v>
      </c>
      <c r="P3078" t="s">
        <v>28</v>
      </c>
      <c r="Q3078">
        <v>0</v>
      </c>
    </row>
    <row r="3079" spans="1:17" x14ac:dyDescent="0.3">
      <c r="A3079" t="s">
        <v>17</v>
      </c>
      <c r="B3079">
        <v>67</v>
      </c>
      <c r="C3079" t="s">
        <v>28</v>
      </c>
      <c r="D3079" s="2">
        <v>46022</v>
      </c>
      <c r="E3079" s="3">
        <f t="shared" si="48"/>
        <v>45992</v>
      </c>
      <c r="F3079" t="s">
        <v>2645</v>
      </c>
      <c r="H3079" s="4">
        <v>428.3</v>
      </c>
      <c r="I3079" t="s">
        <v>31</v>
      </c>
      <c r="J3079" t="s">
        <v>60</v>
      </c>
      <c r="K3079" t="s">
        <v>1123</v>
      </c>
      <c r="L3079" s="2">
        <v>45992</v>
      </c>
      <c r="M3079" t="s">
        <v>60</v>
      </c>
      <c r="N3079">
        <v>0</v>
      </c>
      <c r="O3079" t="s">
        <v>31</v>
      </c>
      <c r="P3079" t="s">
        <v>28</v>
      </c>
      <c r="Q3079">
        <v>0</v>
      </c>
    </row>
    <row r="3080" spans="1:17" x14ac:dyDescent="0.3">
      <c r="A3080" t="s">
        <v>17</v>
      </c>
      <c r="B3080">
        <v>67</v>
      </c>
      <c r="C3080" t="s">
        <v>28</v>
      </c>
      <c r="D3080" s="2">
        <v>46022</v>
      </c>
      <c r="E3080" s="3">
        <f t="shared" si="48"/>
        <v>45992</v>
      </c>
      <c r="F3080" t="s">
        <v>2646</v>
      </c>
      <c r="H3080" s="4">
        <v>-12.57</v>
      </c>
      <c r="I3080" t="s">
        <v>31</v>
      </c>
      <c r="J3080" t="s">
        <v>60</v>
      </c>
      <c r="L3080" s="2">
        <v>45992</v>
      </c>
      <c r="M3080" t="s">
        <v>60</v>
      </c>
      <c r="N3080">
        <v>0</v>
      </c>
      <c r="O3080" t="s">
        <v>31</v>
      </c>
      <c r="P3080" t="s">
        <v>28</v>
      </c>
      <c r="Q3080">
        <v>0</v>
      </c>
    </row>
    <row r="3081" spans="1:17" x14ac:dyDescent="0.3">
      <c r="A3081" t="s">
        <v>17</v>
      </c>
      <c r="B3081">
        <v>67</v>
      </c>
      <c r="C3081" t="s">
        <v>28</v>
      </c>
      <c r="D3081" s="2">
        <v>46022</v>
      </c>
      <c r="E3081" s="3">
        <f t="shared" si="48"/>
        <v>45992</v>
      </c>
      <c r="F3081" t="s">
        <v>2646</v>
      </c>
      <c r="H3081" s="4">
        <v>-10.39</v>
      </c>
      <c r="I3081" t="s">
        <v>31</v>
      </c>
      <c r="J3081" t="s">
        <v>60</v>
      </c>
      <c r="L3081" s="2">
        <v>45992</v>
      </c>
      <c r="M3081" t="s">
        <v>60</v>
      </c>
      <c r="N3081">
        <v>0</v>
      </c>
      <c r="O3081" t="s">
        <v>31</v>
      </c>
      <c r="P3081" t="s">
        <v>28</v>
      </c>
      <c r="Q3081">
        <v>0</v>
      </c>
    </row>
    <row r="3082" spans="1:17" x14ac:dyDescent="0.3">
      <c r="A3082" t="s">
        <v>17</v>
      </c>
      <c r="B3082">
        <v>67</v>
      </c>
      <c r="C3082" t="s">
        <v>28</v>
      </c>
      <c r="D3082" s="2">
        <v>46022</v>
      </c>
      <c r="E3082" s="3">
        <f t="shared" si="48"/>
        <v>45992</v>
      </c>
      <c r="F3082" t="s">
        <v>2646</v>
      </c>
      <c r="H3082" s="4">
        <v>-1.2</v>
      </c>
      <c r="I3082" t="s">
        <v>31</v>
      </c>
      <c r="J3082" t="s">
        <v>60</v>
      </c>
      <c r="L3082" s="2">
        <v>45992</v>
      </c>
      <c r="M3082" t="s">
        <v>60</v>
      </c>
      <c r="N3082">
        <v>0</v>
      </c>
      <c r="O3082" t="s">
        <v>31</v>
      </c>
      <c r="P3082" t="s">
        <v>28</v>
      </c>
      <c r="Q3082">
        <v>0</v>
      </c>
    </row>
    <row r="3083" spans="1:17" x14ac:dyDescent="0.3">
      <c r="A3083" t="s">
        <v>17</v>
      </c>
      <c r="B3083">
        <v>67</v>
      </c>
      <c r="C3083" t="s">
        <v>28</v>
      </c>
      <c r="D3083" s="2">
        <v>46022</v>
      </c>
      <c r="E3083" s="3">
        <f t="shared" si="48"/>
        <v>45992</v>
      </c>
      <c r="F3083" t="s">
        <v>2646</v>
      </c>
      <c r="H3083" s="4">
        <v>-32.24</v>
      </c>
      <c r="I3083" t="s">
        <v>31</v>
      </c>
      <c r="J3083" t="s">
        <v>60</v>
      </c>
      <c r="L3083" s="2">
        <v>45992</v>
      </c>
      <c r="M3083" t="s">
        <v>60</v>
      </c>
      <c r="N3083">
        <v>0</v>
      </c>
      <c r="O3083" t="s">
        <v>31</v>
      </c>
      <c r="P3083" t="s">
        <v>28</v>
      </c>
      <c r="Q3083">
        <v>0</v>
      </c>
    </row>
    <row r="3084" spans="1:17" x14ac:dyDescent="0.3">
      <c r="A3084" t="s">
        <v>17</v>
      </c>
      <c r="B3084">
        <v>67</v>
      </c>
      <c r="C3084" t="s">
        <v>28</v>
      </c>
      <c r="D3084" s="2">
        <v>46022</v>
      </c>
      <c r="E3084" s="3">
        <f t="shared" si="48"/>
        <v>45992</v>
      </c>
      <c r="F3084" t="s">
        <v>2646</v>
      </c>
      <c r="H3084" s="4">
        <v>0</v>
      </c>
      <c r="I3084" t="s">
        <v>31</v>
      </c>
      <c r="J3084" t="s">
        <v>60</v>
      </c>
      <c r="L3084" s="2">
        <v>45992</v>
      </c>
      <c r="M3084" t="s">
        <v>60</v>
      </c>
      <c r="N3084">
        <v>0</v>
      </c>
      <c r="O3084" t="s">
        <v>31</v>
      </c>
      <c r="P3084" t="s">
        <v>28</v>
      </c>
      <c r="Q3084">
        <v>0</v>
      </c>
    </row>
    <row r="3085" spans="1:17" x14ac:dyDescent="0.3">
      <c r="A3085" t="s">
        <v>17</v>
      </c>
      <c r="B3085">
        <v>67</v>
      </c>
      <c r="C3085" t="s">
        <v>28</v>
      </c>
      <c r="D3085" s="2">
        <v>46022</v>
      </c>
      <c r="E3085" s="3">
        <f t="shared" si="48"/>
        <v>45992</v>
      </c>
      <c r="F3085" t="s">
        <v>2646</v>
      </c>
      <c r="H3085" s="4">
        <v>-21.45</v>
      </c>
      <c r="I3085" t="s">
        <v>31</v>
      </c>
      <c r="J3085" t="s">
        <v>60</v>
      </c>
      <c r="L3085" s="2">
        <v>45992</v>
      </c>
      <c r="M3085" t="s">
        <v>60</v>
      </c>
      <c r="N3085">
        <v>0</v>
      </c>
      <c r="O3085" t="s">
        <v>31</v>
      </c>
      <c r="P3085" t="s">
        <v>28</v>
      </c>
      <c r="Q3085">
        <v>0</v>
      </c>
    </row>
    <row r="3086" spans="1:17" x14ac:dyDescent="0.3">
      <c r="A3086" t="s">
        <v>17</v>
      </c>
      <c r="B3086">
        <v>67</v>
      </c>
      <c r="C3086" t="s">
        <v>28</v>
      </c>
      <c r="D3086" s="2">
        <v>46022</v>
      </c>
      <c r="E3086" s="3">
        <f t="shared" si="48"/>
        <v>45992</v>
      </c>
      <c r="F3086" t="s">
        <v>2646</v>
      </c>
      <c r="H3086" s="4">
        <v>-9.84</v>
      </c>
      <c r="I3086" t="s">
        <v>31</v>
      </c>
      <c r="J3086" t="s">
        <v>60</v>
      </c>
      <c r="L3086" s="2">
        <v>45992</v>
      </c>
      <c r="M3086" t="s">
        <v>60</v>
      </c>
      <c r="N3086">
        <v>0</v>
      </c>
      <c r="O3086" t="s">
        <v>31</v>
      </c>
      <c r="P3086" t="s">
        <v>28</v>
      </c>
      <c r="Q3086">
        <v>0</v>
      </c>
    </row>
    <row r="3087" spans="1:17" x14ac:dyDescent="0.3">
      <c r="A3087" t="s">
        <v>17</v>
      </c>
      <c r="B3087">
        <v>67</v>
      </c>
      <c r="C3087" t="s">
        <v>28</v>
      </c>
      <c r="D3087" s="2">
        <v>46022</v>
      </c>
      <c r="E3087" s="3">
        <f t="shared" si="48"/>
        <v>45992</v>
      </c>
      <c r="F3087" t="s">
        <v>2646</v>
      </c>
      <c r="H3087" s="4">
        <v>-1.2</v>
      </c>
      <c r="I3087" t="s">
        <v>31</v>
      </c>
      <c r="J3087" t="s">
        <v>60</v>
      </c>
      <c r="L3087" s="2">
        <v>45992</v>
      </c>
      <c r="M3087" t="s">
        <v>60</v>
      </c>
      <c r="N3087">
        <v>0</v>
      </c>
      <c r="O3087" t="s">
        <v>31</v>
      </c>
      <c r="P3087" t="s">
        <v>28</v>
      </c>
      <c r="Q3087">
        <v>0</v>
      </c>
    </row>
    <row r="3088" spans="1:17" x14ac:dyDescent="0.3">
      <c r="A3088" t="s">
        <v>17</v>
      </c>
      <c r="B3088">
        <v>67</v>
      </c>
      <c r="C3088" t="s">
        <v>28</v>
      </c>
      <c r="D3088" s="2">
        <v>46022</v>
      </c>
      <c r="E3088" s="3">
        <f t="shared" si="48"/>
        <v>45992</v>
      </c>
      <c r="F3088" t="s">
        <v>2647</v>
      </c>
      <c r="G3088" t="s">
        <v>222</v>
      </c>
      <c r="H3088" s="4">
        <v>8</v>
      </c>
      <c r="I3088" t="s">
        <v>104</v>
      </c>
      <c r="J3088" t="s">
        <v>74</v>
      </c>
      <c r="K3088" t="s">
        <v>2359</v>
      </c>
      <c r="L3088" s="2">
        <v>45992</v>
      </c>
      <c r="M3088" t="s">
        <v>76</v>
      </c>
      <c r="N3088">
        <v>0</v>
      </c>
      <c r="O3088" t="s">
        <v>104</v>
      </c>
      <c r="P3088" t="s">
        <v>28</v>
      </c>
      <c r="Q3088">
        <v>0</v>
      </c>
    </row>
    <row r="3089" spans="1:17" x14ac:dyDescent="0.3">
      <c r="A3089" t="s">
        <v>17</v>
      </c>
      <c r="B3089">
        <v>67</v>
      </c>
      <c r="C3089" t="s">
        <v>28</v>
      </c>
      <c r="D3089" s="2">
        <v>46022</v>
      </c>
      <c r="E3089" s="3">
        <f t="shared" si="48"/>
        <v>45992</v>
      </c>
      <c r="F3089" t="s">
        <v>2648</v>
      </c>
      <c r="H3089" s="4">
        <v>24.5</v>
      </c>
      <c r="I3089" t="s">
        <v>47</v>
      </c>
      <c r="J3089" t="s">
        <v>74</v>
      </c>
      <c r="K3089" t="s">
        <v>2649</v>
      </c>
      <c r="L3089" s="2">
        <v>45992</v>
      </c>
      <c r="M3089" t="s">
        <v>76</v>
      </c>
      <c r="N3089">
        <v>0</v>
      </c>
      <c r="O3089" t="s">
        <v>26</v>
      </c>
      <c r="P3089" t="s">
        <v>28</v>
      </c>
      <c r="Q3089">
        <v>0</v>
      </c>
    </row>
    <row r="3090" spans="1:17" x14ac:dyDescent="0.3">
      <c r="A3090" t="s">
        <v>17</v>
      </c>
      <c r="B3090">
        <v>67</v>
      </c>
      <c r="C3090" t="s">
        <v>28</v>
      </c>
      <c r="D3090" s="2">
        <v>46022</v>
      </c>
      <c r="E3090" s="3">
        <f t="shared" si="48"/>
        <v>45992</v>
      </c>
      <c r="F3090" t="s">
        <v>2650</v>
      </c>
      <c r="H3090" s="4">
        <v>4148.26</v>
      </c>
      <c r="I3090" t="s">
        <v>31</v>
      </c>
      <c r="J3090" t="s">
        <v>74</v>
      </c>
      <c r="K3090" t="s">
        <v>2651</v>
      </c>
      <c r="L3090" s="2">
        <v>45992</v>
      </c>
      <c r="M3090" t="s">
        <v>76</v>
      </c>
      <c r="N3090">
        <v>0</v>
      </c>
      <c r="O3090" t="s">
        <v>31</v>
      </c>
      <c r="P3090" t="s">
        <v>28</v>
      </c>
      <c r="Q3090">
        <v>0</v>
      </c>
    </row>
    <row r="3091" spans="1:17" x14ac:dyDescent="0.3">
      <c r="A3091" t="s">
        <v>17</v>
      </c>
      <c r="B3091">
        <v>67</v>
      </c>
      <c r="C3091" t="s">
        <v>28</v>
      </c>
      <c r="D3091" s="2">
        <v>46022</v>
      </c>
      <c r="E3091" s="3">
        <f t="shared" si="48"/>
        <v>45992</v>
      </c>
      <c r="F3091" t="s">
        <v>2652</v>
      </c>
      <c r="H3091" s="4">
        <v>2268.23</v>
      </c>
      <c r="I3091" t="s">
        <v>47</v>
      </c>
      <c r="J3091" t="s">
        <v>74</v>
      </c>
      <c r="K3091" t="s">
        <v>1108</v>
      </c>
      <c r="L3091" s="2">
        <v>45992</v>
      </c>
      <c r="M3091" t="s">
        <v>76</v>
      </c>
      <c r="N3091">
        <v>0</v>
      </c>
      <c r="O3091" t="s">
        <v>26</v>
      </c>
      <c r="P3091" t="s">
        <v>28</v>
      </c>
      <c r="Q3091">
        <v>0</v>
      </c>
    </row>
    <row r="3092" spans="1:17" x14ac:dyDescent="0.3">
      <c r="A3092" t="s">
        <v>17</v>
      </c>
      <c r="B3092">
        <v>67</v>
      </c>
      <c r="C3092" t="s">
        <v>28</v>
      </c>
      <c r="D3092" s="2">
        <v>46022</v>
      </c>
      <c r="E3092" s="3">
        <f t="shared" si="48"/>
        <v>45992</v>
      </c>
      <c r="F3092" t="s">
        <v>2653</v>
      </c>
      <c r="H3092" s="4">
        <v>18.149999999999999</v>
      </c>
      <c r="I3092" t="s">
        <v>108</v>
      </c>
      <c r="J3092" t="s">
        <v>74</v>
      </c>
      <c r="K3092" t="s">
        <v>2366</v>
      </c>
      <c r="L3092" s="2">
        <v>45992</v>
      </c>
      <c r="M3092" t="s">
        <v>76</v>
      </c>
      <c r="N3092">
        <v>0</v>
      </c>
      <c r="O3092" t="s">
        <v>111</v>
      </c>
      <c r="P3092" t="s">
        <v>28</v>
      </c>
      <c r="Q3092">
        <v>0</v>
      </c>
    </row>
    <row r="3093" spans="1:17" x14ac:dyDescent="0.3">
      <c r="A3093" t="s">
        <v>17</v>
      </c>
      <c r="B3093">
        <v>67</v>
      </c>
      <c r="C3093" t="s">
        <v>28</v>
      </c>
      <c r="D3093" s="2">
        <v>46022</v>
      </c>
      <c r="E3093" s="3">
        <f t="shared" si="48"/>
        <v>45992</v>
      </c>
      <c r="F3093" t="s">
        <v>2654</v>
      </c>
      <c r="H3093" s="4">
        <v>226.86</v>
      </c>
      <c r="I3093" t="s">
        <v>31</v>
      </c>
      <c r="J3093" t="s">
        <v>74</v>
      </c>
      <c r="K3093" t="s">
        <v>355</v>
      </c>
      <c r="L3093" s="2">
        <v>45992</v>
      </c>
      <c r="M3093" t="s">
        <v>76</v>
      </c>
      <c r="N3093">
        <v>0</v>
      </c>
      <c r="O3093" t="s">
        <v>31</v>
      </c>
      <c r="P3093" t="s">
        <v>28</v>
      </c>
      <c r="Q3093">
        <v>0</v>
      </c>
    </row>
    <row r="3094" spans="1:17" x14ac:dyDescent="0.3">
      <c r="A3094" t="s">
        <v>17</v>
      </c>
      <c r="B3094">
        <v>67</v>
      </c>
      <c r="C3094" t="s">
        <v>28</v>
      </c>
      <c r="D3094" s="2">
        <v>46022</v>
      </c>
      <c r="E3094" s="3">
        <f t="shared" si="48"/>
        <v>45992</v>
      </c>
      <c r="F3094" t="s">
        <v>2655</v>
      </c>
      <c r="H3094" s="4">
        <v>41.67</v>
      </c>
      <c r="I3094" t="s">
        <v>47</v>
      </c>
      <c r="J3094" t="s">
        <v>74</v>
      </c>
      <c r="K3094" t="s">
        <v>2150</v>
      </c>
      <c r="L3094" s="2">
        <v>45992</v>
      </c>
      <c r="M3094" t="s">
        <v>76</v>
      </c>
      <c r="N3094">
        <v>0</v>
      </c>
      <c r="O3094" t="s">
        <v>26</v>
      </c>
      <c r="P3094" t="s">
        <v>28</v>
      </c>
      <c r="Q3094">
        <v>0</v>
      </c>
    </row>
    <row r="3095" spans="1:17" x14ac:dyDescent="0.3">
      <c r="A3095" t="s">
        <v>17</v>
      </c>
      <c r="B3095">
        <v>67</v>
      </c>
      <c r="C3095" t="s">
        <v>28</v>
      </c>
      <c r="D3095" s="2">
        <v>46022</v>
      </c>
      <c r="E3095" s="3">
        <f t="shared" si="48"/>
        <v>45992</v>
      </c>
      <c r="F3095" t="s">
        <v>2656</v>
      </c>
      <c r="H3095" s="4">
        <v>421.69</v>
      </c>
      <c r="I3095" t="s">
        <v>31</v>
      </c>
      <c r="J3095" t="s">
        <v>74</v>
      </c>
      <c r="K3095" t="s">
        <v>2657</v>
      </c>
      <c r="L3095" s="2">
        <v>45992</v>
      </c>
      <c r="M3095" t="s">
        <v>76</v>
      </c>
      <c r="N3095">
        <v>0</v>
      </c>
      <c r="O3095" t="s">
        <v>31</v>
      </c>
      <c r="P3095" t="s">
        <v>28</v>
      </c>
      <c r="Q3095">
        <v>0</v>
      </c>
    </row>
    <row r="3096" spans="1:17" x14ac:dyDescent="0.3">
      <c r="A3096" t="s">
        <v>17</v>
      </c>
      <c r="B3096">
        <v>67</v>
      </c>
      <c r="C3096" t="s">
        <v>28</v>
      </c>
      <c r="D3096" s="2">
        <v>46022</v>
      </c>
      <c r="E3096" s="3">
        <f t="shared" si="48"/>
        <v>45992</v>
      </c>
      <c r="F3096" t="s">
        <v>2658</v>
      </c>
      <c r="H3096" s="4">
        <v>19.600000000000001</v>
      </c>
      <c r="I3096" t="s">
        <v>159</v>
      </c>
      <c r="J3096" t="s">
        <v>74</v>
      </c>
      <c r="K3096" t="s">
        <v>2659</v>
      </c>
      <c r="L3096" s="2">
        <v>45992</v>
      </c>
      <c r="M3096" t="s">
        <v>76</v>
      </c>
      <c r="N3096">
        <v>0</v>
      </c>
      <c r="O3096" t="s">
        <v>159</v>
      </c>
      <c r="P3096" t="s">
        <v>28</v>
      </c>
      <c r="Q3096">
        <v>0</v>
      </c>
    </row>
    <row r="3097" spans="1:17" x14ac:dyDescent="0.3">
      <c r="A3097" t="s">
        <v>17</v>
      </c>
      <c r="B3097">
        <v>67</v>
      </c>
      <c r="C3097" t="s">
        <v>28</v>
      </c>
      <c r="D3097" s="2">
        <v>46022</v>
      </c>
      <c r="E3097" s="3">
        <f t="shared" si="48"/>
        <v>45992</v>
      </c>
      <c r="F3097" t="s">
        <v>2660</v>
      </c>
      <c r="H3097" s="4">
        <v>48.98</v>
      </c>
      <c r="I3097" t="s">
        <v>159</v>
      </c>
      <c r="J3097" t="s">
        <v>74</v>
      </c>
      <c r="K3097" t="s">
        <v>2361</v>
      </c>
      <c r="L3097" s="2">
        <v>45992</v>
      </c>
      <c r="M3097" t="s">
        <v>76</v>
      </c>
      <c r="N3097">
        <v>0</v>
      </c>
      <c r="O3097" t="s">
        <v>159</v>
      </c>
      <c r="P3097" t="s">
        <v>28</v>
      </c>
      <c r="Q3097">
        <v>0</v>
      </c>
    </row>
    <row r="3098" spans="1:17" x14ac:dyDescent="0.3">
      <c r="A3098" t="s">
        <v>17</v>
      </c>
      <c r="B3098">
        <v>67</v>
      </c>
      <c r="C3098" t="s">
        <v>28</v>
      </c>
      <c r="D3098" s="2">
        <v>46022</v>
      </c>
      <c r="E3098" s="3">
        <f t="shared" si="48"/>
        <v>45992</v>
      </c>
      <c r="F3098" t="s">
        <v>2661</v>
      </c>
      <c r="H3098" s="4">
        <v>9.99</v>
      </c>
      <c r="I3098" t="s">
        <v>31</v>
      </c>
      <c r="J3098" t="s">
        <v>74</v>
      </c>
      <c r="K3098" t="s">
        <v>1494</v>
      </c>
      <c r="L3098" s="2">
        <v>45992</v>
      </c>
      <c r="M3098" t="s">
        <v>76</v>
      </c>
      <c r="N3098">
        <v>0</v>
      </c>
      <c r="O3098" t="s">
        <v>31</v>
      </c>
      <c r="P3098" t="s">
        <v>28</v>
      </c>
      <c r="Q3098">
        <v>0</v>
      </c>
    </row>
    <row r="3099" spans="1:17" x14ac:dyDescent="0.3">
      <c r="A3099" t="s">
        <v>17</v>
      </c>
      <c r="B3099">
        <v>67</v>
      </c>
      <c r="C3099" t="s">
        <v>28</v>
      </c>
      <c r="D3099" s="2">
        <v>46022</v>
      </c>
      <c r="E3099" s="3">
        <f t="shared" si="48"/>
        <v>45992</v>
      </c>
      <c r="F3099" t="s">
        <v>2662</v>
      </c>
      <c r="H3099" s="4">
        <v>411.58</v>
      </c>
      <c r="I3099" t="s">
        <v>31</v>
      </c>
      <c r="J3099" t="s">
        <v>74</v>
      </c>
      <c r="K3099" t="s">
        <v>1501</v>
      </c>
      <c r="L3099" s="2">
        <v>45992</v>
      </c>
      <c r="M3099" t="s">
        <v>76</v>
      </c>
      <c r="N3099">
        <v>0</v>
      </c>
      <c r="O3099" t="s">
        <v>31</v>
      </c>
      <c r="P3099" t="s">
        <v>28</v>
      </c>
      <c r="Q3099">
        <v>0</v>
      </c>
    </row>
    <row r="3100" spans="1:17" x14ac:dyDescent="0.3">
      <c r="A3100" t="s">
        <v>17</v>
      </c>
      <c r="B3100">
        <v>67</v>
      </c>
      <c r="C3100" t="s">
        <v>28</v>
      </c>
      <c r="D3100" s="2">
        <v>46022</v>
      </c>
      <c r="E3100" s="3">
        <f t="shared" si="48"/>
        <v>45992</v>
      </c>
      <c r="F3100" t="s">
        <v>2663</v>
      </c>
      <c r="H3100" s="4">
        <v>2582.46</v>
      </c>
      <c r="I3100" t="s">
        <v>31</v>
      </c>
      <c r="J3100" t="s">
        <v>74</v>
      </c>
      <c r="K3100" t="s">
        <v>1100</v>
      </c>
      <c r="L3100" s="2">
        <v>45992</v>
      </c>
      <c r="M3100" t="s">
        <v>76</v>
      </c>
      <c r="N3100">
        <v>0</v>
      </c>
      <c r="O3100" t="s">
        <v>31</v>
      </c>
      <c r="P3100" t="s">
        <v>28</v>
      </c>
      <c r="Q3100">
        <v>0</v>
      </c>
    </row>
    <row r="3101" spans="1:17" x14ac:dyDescent="0.3">
      <c r="A3101" t="s">
        <v>17</v>
      </c>
      <c r="B3101">
        <v>67</v>
      </c>
      <c r="C3101" t="s">
        <v>28</v>
      </c>
      <c r="D3101" s="2">
        <v>46022</v>
      </c>
      <c r="E3101" s="3">
        <f t="shared" si="48"/>
        <v>45992</v>
      </c>
      <c r="F3101" t="s">
        <v>2664</v>
      </c>
      <c r="H3101" s="4">
        <v>3179.22</v>
      </c>
      <c r="I3101" t="s">
        <v>31</v>
      </c>
      <c r="J3101" t="s">
        <v>74</v>
      </c>
      <c r="K3101" t="s">
        <v>1098</v>
      </c>
      <c r="L3101" s="2">
        <v>45992</v>
      </c>
      <c r="M3101" t="s">
        <v>76</v>
      </c>
      <c r="N3101">
        <v>0</v>
      </c>
      <c r="O3101" t="s">
        <v>31</v>
      </c>
      <c r="P3101" t="s">
        <v>28</v>
      </c>
      <c r="Q3101">
        <v>0</v>
      </c>
    </row>
    <row r="3102" spans="1:17" x14ac:dyDescent="0.3">
      <c r="A3102" t="s">
        <v>17</v>
      </c>
      <c r="B3102">
        <v>68</v>
      </c>
      <c r="C3102" t="s">
        <v>34</v>
      </c>
      <c r="D3102" s="2">
        <v>46022</v>
      </c>
      <c r="E3102" s="3">
        <f t="shared" si="48"/>
        <v>45992</v>
      </c>
      <c r="F3102" t="s">
        <v>2665</v>
      </c>
      <c r="H3102" s="4">
        <v>359.22</v>
      </c>
      <c r="I3102" t="s">
        <v>31</v>
      </c>
      <c r="J3102" t="s">
        <v>37</v>
      </c>
      <c r="K3102" t="s">
        <v>2666</v>
      </c>
      <c r="L3102" s="2">
        <v>45992</v>
      </c>
      <c r="M3102" t="s">
        <v>37</v>
      </c>
      <c r="N3102">
        <v>0</v>
      </c>
      <c r="O3102" t="s">
        <v>31</v>
      </c>
      <c r="P3102" t="s">
        <v>34</v>
      </c>
      <c r="Q3102">
        <v>0</v>
      </c>
    </row>
    <row r="3103" spans="1:17" x14ac:dyDescent="0.3">
      <c r="A3103" t="s">
        <v>17</v>
      </c>
      <c r="B3103">
        <v>65</v>
      </c>
      <c r="C3103" t="s">
        <v>54</v>
      </c>
      <c r="D3103" s="2">
        <v>46022</v>
      </c>
      <c r="E3103" s="3">
        <f t="shared" si="48"/>
        <v>45992</v>
      </c>
      <c r="F3103" t="s">
        <v>2607</v>
      </c>
      <c r="H3103" s="4">
        <v>-606</v>
      </c>
      <c r="I3103" t="s">
        <v>31</v>
      </c>
      <c r="J3103" t="s">
        <v>155</v>
      </c>
      <c r="L3103" s="2">
        <v>45992</v>
      </c>
      <c r="M3103" t="s">
        <v>155</v>
      </c>
      <c r="N3103">
        <v>0</v>
      </c>
      <c r="O3103" t="s">
        <v>31</v>
      </c>
      <c r="P3103" t="s">
        <v>54</v>
      </c>
      <c r="Q3103">
        <v>0</v>
      </c>
    </row>
    <row r="3104" spans="1:17" x14ac:dyDescent="0.3">
      <c r="A3104" t="s">
        <v>17</v>
      </c>
      <c r="B3104">
        <v>67</v>
      </c>
      <c r="C3104" t="s">
        <v>28</v>
      </c>
      <c r="D3104" s="2">
        <v>46022</v>
      </c>
      <c r="E3104" s="3">
        <f t="shared" si="48"/>
        <v>45992</v>
      </c>
      <c r="F3104" t="s">
        <v>2667</v>
      </c>
      <c r="H3104" s="4">
        <v>175</v>
      </c>
      <c r="I3104" t="s">
        <v>108</v>
      </c>
      <c r="J3104" t="s">
        <v>352</v>
      </c>
      <c r="K3104" t="s">
        <v>2668</v>
      </c>
      <c r="L3104" s="2">
        <v>45992</v>
      </c>
      <c r="M3104" t="s">
        <v>352</v>
      </c>
      <c r="N3104">
        <v>0</v>
      </c>
      <c r="O3104" t="s">
        <v>111</v>
      </c>
      <c r="P3104" t="s">
        <v>28</v>
      </c>
      <c r="Q3104">
        <v>0</v>
      </c>
    </row>
    <row r="3105" spans="1:17" x14ac:dyDescent="0.3">
      <c r="A3105" t="s">
        <v>17</v>
      </c>
      <c r="B3105">
        <v>68</v>
      </c>
      <c r="C3105" t="s">
        <v>34</v>
      </c>
      <c r="D3105" s="2">
        <v>46022</v>
      </c>
      <c r="E3105" s="3">
        <f t="shared" si="48"/>
        <v>45992</v>
      </c>
      <c r="F3105" t="s">
        <v>2669</v>
      </c>
      <c r="H3105" s="4">
        <v>-88985</v>
      </c>
      <c r="I3105" t="s">
        <v>116</v>
      </c>
      <c r="J3105" t="s">
        <v>767</v>
      </c>
      <c r="K3105" t="s">
        <v>2670</v>
      </c>
      <c r="L3105" s="2">
        <v>45992</v>
      </c>
      <c r="M3105" t="s">
        <v>767</v>
      </c>
      <c r="N3105">
        <v>0</v>
      </c>
      <c r="O3105" t="s">
        <v>116</v>
      </c>
      <c r="P3105" t="s">
        <v>34</v>
      </c>
      <c r="Q3105">
        <v>0</v>
      </c>
    </row>
    <row r="3106" spans="1:17" x14ac:dyDescent="0.3">
      <c r="A3106" t="s">
        <v>17</v>
      </c>
      <c r="B3106">
        <v>68</v>
      </c>
      <c r="C3106" t="s">
        <v>34</v>
      </c>
      <c r="D3106" s="2">
        <v>46022</v>
      </c>
      <c r="E3106" s="3">
        <f t="shared" si="48"/>
        <v>45992</v>
      </c>
      <c r="F3106" t="s">
        <v>2671</v>
      </c>
      <c r="H3106" s="4">
        <v>-22236.16</v>
      </c>
      <c r="I3106" t="s">
        <v>21</v>
      </c>
      <c r="J3106" t="s">
        <v>726</v>
      </c>
      <c r="K3106" t="s">
        <v>2672</v>
      </c>
      <c r="L3106" s="2">
        <v>45992</v>
      </c>
      <c r="M3106" t="s">
        <v>726</v>
      </c>
      <c r="N3106" t="s">
        <v>25</v>
      </c>
      <c r="O3106" t="s">
        <v>81</v>
      </c>
      <c r="P3106" t="s">
        <v>34</v>
      </c>
      <c r="Q3106">
        <v>0</v>
      </c>
    </row>
    <row r="3107" spans="1:17" x14ac:dyDescent="0.3">
      <c r="A3107" t="s">
        <v>17</v>
      </c>
      <c r="B3107">
        <v>68</v>
      </c>
      <c r="C3107" t="s">
        <v>34</v>
      </c>
      <c r="D3107" s="2">
        <v>46022</v>
      </c>
      <c r="E3107" s="3">
        <f t="shared" si="48"/>
        <v>45992</v>
      </c>
      <c r="F3107" t="s">
        <v>2673</v>
      </c>
      <c r="H3107" s="4">
        <v>2610</v>
      </c>
      <c r="I3107" t="s">
        <v>31</v>
      </c>
      <c r="J3107" t="s">
        <v>613</v>
      </c>
      <c r="K3107" t="s">
        <v>2674</v>
      </c>
      <c r="L3107" s="2">
        <v>45992</v>
      </c>
      <c r="M3107" t="s">
        <v>613</v>
      </c>
      <c r="N3107">
        <v>0</v>
      </c>
      <c r="O3107" t="s">
        <v>31</v>
      </c>
      <c r="P3107" t="s">
        <v>34</v>
      </c>
      <c r="Q3107">
        <v>0</v>
      </c>
    </row>
    <row r="3108" spans="1:17" x14ac:dyDescent="0.3">
      <c r="A3108" t="s">
        <v>17</v>
      </c>
      <c r="B3108">
        <v>69</v>
      </c>
      <c r="C3108" t="s">
        <v>297</v>
      </c>
      <c r="D3108" s="2">
        <v>46022</v>
      </c>
      <c r="E3108" s="3">
        <f t="shared" si="48"/>
        <v>45992</v>
      </c>
      <c r="F3108" t="s">
        <v>2675</v>
      </c>
      <c r="H3108" s="4">
        <v>24.41</v>
      </c>
      <c r="I3108" t="s">
        <v>31</v>
      </c>
      <c r="J3108" t="s">
        <v>360</v>
      </c>
      <c r="L3108" s="2">
        <v>45992</v>
      </c>
      <c r="M3108" t="s">
        <v>361</v>
      </c>
      <c r="N3108">
        <v>0</v>
      </c>
      <c r="O3108" t="s">
        <v>31</v>
      </c>
      <c r="P3108" t="s">
        <v>297</v>
      </c>
      <c r="Q3108">
        <v>0</v>
      </c>
    </row>
    <row r="3109" spans="1:17" x14ac:dyDescent="0.3">
      <c r="A3109" t="s">
        <v>17</v>
      </c>
      <c r="B3109">
        <v>69</v>
      </c>
      <c r="C3109" t="s">
        <v>297</v>
      </c>
      <c r="D3109" s="2">
        <v>46022</v>
      </c>
      <c r="E3109" s="3">
        <f t="shared" si="48"/>
        <v>45992</v>
      </c>
      <c r="F3109" t="s">
        <v>2675</v>
      </c>
      <c r="H3109" s="4">
        <v>27.49</v>
      </c>
      <c r="I3109" t="s">
        <v>108</v>
      </c>
      <c r="J3109" t="s">
        <v>360</v>
      </c>
      <c r="L3109" s="2">
        <v>45992</v>
      </c>
      <c r="M3109" t="s">
        <v>361</v>
      </c>
      <c r="N3109">
        <v>0</v>
      </c>
      <c r="O3109" t="s">
        <v>111</v>
      </c>
      <c r="P3109" t="s">
        <v>297</v>
      </c>
      <c r="Q3109">
        <v>0</v>
      </c>
    </row>
    <row r="3110" spans="1:17" x14ac:dyDescent="0.3">
      <c r="A3110" t="s">
        <v>17</v>
      </c>
      <c r="B3110">
        <v>69</v>
      </c>
      <c r="C3110" t="s">
        <v>297</v>
      </c>
      <c r="D3110" s="2">
        <v>46022</v>
      </c>
      <c r="E3110" s="3">
        <f t="shared" si="48"/>
        <v>45992</v>
      </c>
      <c r="F3110" t="s">
        <v>2639</v>
      </c>
      <c r="H3110" s="4">
        <v>-169.6</v>
      </c>
      <c r="I3110" t="s">
        <v>31</v>
      </c>
      <c r="J3110" t="s">
        <v>349</v>
      </c>
      <c r="L3110" s="2">
        <v>45992</v>
      </c>
      <c r="M3110" t="s">
        <v>350</v>
      </c>
      <c r="N3110">
        <v>0</v>
      </c>
      <c r="O3110" t="s">
        <v>31</v>
      </c>
      <c r="P3110" t="s">
        <v>297</v>
      </c>
      <c r="Q3110">
        <v>0</v>
      </c>
    </row>
    <row r="3111" spans="1:17" x14ac:dyDescent="0.3">
      <c r="A3111" t="s">
        <v>17</v>
      </c>
      <c r="B3111">
        <v>69</v>
      </c>
      <c r="C3111" t="s">
        <v>297</v>
      </c>
      <c r="D3111" s="2">
        <v>46022</v>
      </c>
      <c r="E3111" s="3">
        <f t="shared" si="48"/>
        <v>45992</v>
      </c>
      <c r="F3111" t="s">
        <v>2675</v>
      </c>
      <c r="H3111" s="4">
        <v>259.97000000000003</v>
      </c>
      <c r="I3111" t="s">
        <v>137</v>
      </c>
      <c r="J3111" t="s">
        <v>349</v>
      </c>
      <c r="L3111" s="2">
        <v>45992</v>
      </c>
      <c r="M3111" t="s">
        <v>350</v>
      </c>
      <c r="N3111" t="s">
        <v>141</v>
      </c>
      <c r="O3111" t="s">
        <v>141</v>
      </c>
      <c r="P3111" t="s">
        <v>297</v>
      </c>
      <c r="Q3111">
        <v>0</v>
      </c>
    </row>
    <row r="3112" spans="1:17" x14ac:dyDescent="0.3">
      <c r="A3112" t="s">
        <v>17</v>
      </c>
      <c r="B3112">
        <v>69</v>
      </c>
      <c r="C3112" t="s">
        <v>297</v>
      </c>
      <c r="D3112" s="2">
        <v>46022</v>
      </c>
      <c r="E3112" s="3">
        <f t="shared" si="48"/>
        <v>45992</v>
      </c>
      <c r="F3112" t="s">
        <v>2675</v>
      </c>
      <c r="H3112" s="4">
        <v>58.03</v>
      </c>
      <c r="I3112" t="s">
        <v>31</v>
      </c>
      <c r="J3112" t="s">
        <v>349</v>
      </c>
      <c r="L3112" s="2">
        <v>45992</v>
      </c>
      <c r="M3112" t="s">
        <v>350</v>
      </c>
      <c r="N3112">
        <v>0</v>
      </c>
      <c r="O3112" t="s">
        <v>31</v>
      </c>
      <c r="P3112" t="s">
        <v>297</v>
      </c>
      <c r="Q3112">
        <v>0</v>
      </c>
    </row>
    <row r="3113" spans="1:17" x14ac:dyDescent="0.3">
      <c r="A3113" t="s">
        <v>17</v>
      </c>
      <c r="B3113">
        <v>69</v>
      </c>
      <c r="C3113" t="s">
        <v>297</v>
      </c>
      <c r="D3113" s="2">
        <v>46022</v>
      </c>
      <c r="E3113" s="3">
        <f t="shared" si="48"/>
        <v>45992</v>
      </c>
      <c r="F3113" t="s">
        <v>2675</v>
      </c>
      <c r="H3113" s="4">
        <v>66.72</v>
      </c>
      <c r="I3113" t="s">
        <v>159</v>
      </c>
      <c r="J3113" t="s">
        <v>346</v>
      </c>
      <c r="L3113" s="2">
        <v>45992</v>
      </c>
      <c r="M3113" t="s">
        <v>347</v>
      </c>
      <c r="N3113">
        <v>0</v>
      </c>
      <c r="O3113" t="s">
        <v>159</v>
      </c>
      <c r="P3113" t="s">
        <v>297</v>
      </c>
      <c r="Q3113">
        <v>0</v>
      </c>
    </row>
    <row r="3114" spans="1:17" x14ac:dyDescent="0.3">
      <c r="A3114" t="s">
        <v>17</v>
      </c>
      <c r="B3114">
        <v>69</v>
      </c>
      <c r="C3114" t="s">
        <v>297</v>
      </c>
      <c r="D3114" s="2">
        <v>46022</v>
      </c>
      <c r="E3114" s="3">
        <f t="shared" si="48"/>
        <v>45992</v>
      </c>
      <c r="F3114" t="s">
        <v>2675</v>
      </c>
      <c r="H3114" s="4">
        <v>113.67</v>
      </c>
      <c r="I3114" t="s">
        <v>137</v>
      </c>
      <c r="J3114" t="s">
        <v>346</v>
      </c>
      <c r="L3114" s="2">
        <v>45992</v>
      </c>
      <c r="M3114" t="s">
        <v>347</v>
      </c>
      <c r="N3114" t="s">
        <v>141</v>
      </c>
      <c r="O3114" t="s">
        <v>141</v>
      </c>
      <c r="P3114" t="s">
        <v>297</v>
      </c>
      <c r="Q3114">
        <v>0</v>
      </c>
    </row>
    <row r="3115" spans="1:17" x14ac:dyDescent="0.3">
      <c r="A3115" t="s">
        <v>17</v>
      </c>
      <c r="B3115">
        <v>69</v>
      </c>
      <c r="C3115" t="s">
        <v>297</v>
      </c>
      <c r="D3115" s="2">
        <v>46022</v>
      </c>
      <c r="E3115" s="3">
        <f t="shared" si="48"/>
        <v>45992</v>
      </c>
      <c r="F3115" t="s">
        <v>2675</v>
      </c>
      <c r="H3115" s="4">
        <v>274.3</v>
      </c>
      <c r="I3115" t="s">
        <v>21</v>
      </c>
      <c r="J3115" t="s">
        <v>346</v>
      </c>
      <c r="L3115" s="2">
        <v>45992</v>
      </c>
      <c r="M3115" t="s">
        <v>347</v>
      </c>
      <c r="N3115" t="s">
        <v>25</v>
      </c>
      <c r="O3115" t="s">
        <v>81</v>
      </c>
      <c r="P3115" t="s">
        <v>297</v>
      </c>
      <c r="Q3115">
        <v>0</v>
      </c>
    </row>
    <row r="3116" spans="1:17" x14ac:dyDescent="0.3">
      <c r="A3116" t="s">
        <v>17</v>
      </c>
      <c r="B3116">
        <v>69</v>
      </c>
      <c r="C3116" t="s">
        <v>297</v>
      </c>
      <c r="D3116" s="2">
        <v>46022</v>
      </c>
      <c r="E3116" s="3">
        <f t="shared" si="48"/>
        <v>45992</v>
      </c>
      <c r="F3116" t="s">
        <v>2675</v>
      </c>
      <c r="H3116" s="4">
        <v>156.94</v>
      </c>
      <c r="I3116" t="s">
        <v>108</v>
      </c>
      <c r="J3116" t="s">
        <v>346</v>
      </c>
      <c r="L3116" s="2">
        <v>45992</v>
      </c>
      <c r="M3116" t="s">
        <v>347</v>
      </c>
      <c r="N3116">
        <v>0</v>
      </c>
      <c r="O3116" t="s">
        <v>111</v>
      </c>
      <c r="P3116" t="s">
        <v>297</v>
      </c>
      <c r="Q3116">
        <v>0</v>
      </c>
    </row>
    <row r="3117" spans="1:17" x14ac:dyDescent="0.3">
      <c r="A3117" t="s">
        <v>17</v>
      </c>
      <c r="B3117">
        <v>69</v>
      </c>
      <c r="C3117" t="s">
        <v>297</v>
      </c>
      <c r="D3117" s="2">
        <v>46022</v>
      </c>
      <c r="E3117" s="3">
        <f t="shared" si="48"/>
        <v>45992</v>
      </c>
      <c r="F3117" t="s">
        <v>2675</v>
      </c>
      <c r="H3117" s="4">
        <v>216.66</v>
      </c>
      <c r="I3117" t="s">
        <v>104</v>
      </c>
      <c r="J3117" t="s">
        <v>346</v>
      </c>
      <c r="L3117" s="2">
        <v>45992</v>
      </c>
      <c r="M3117" t="s">
        <v>347</v>
      </c>
      <c r="N3117">
        <v>0</v>
      </c>
      <c r="O3117" t="s">
        <v>104</v>
      </c>
      <c r="P3117" t="s">
        <v>297</v>
      </c>
      <c r="Q3117">
        <v>0</v>
      </c>
    </row>
    <row r="3118" spans="1:17" x14ac:dyDescent="0.3">
      <c r="A3118" t="s">
        <v>17</v>
      </c>
      <c r="B3118">
        <v>69</v>
      </c>
      <c r="C3118" t="s">
        <v>297</v>
      </c>
      <c r="D3118" s="2">
        <v>46022</v>
      </c>
      <c r="E3118" s="3">
        <f t="shared" si="48"/>
        <v>45992</v>
      </c>
      <c r="F3118" t="s">
        <v>2675</v>
      </c>
      <c r="H3118" s="4">
        <v>49.52</v>
      </c>
      <c r="I3118" t="s">
        <v>348</v>
      </c>
      <c r="J3118" t="s">
        <v>346</v>
      </c>
      <c r="L3118" s="2">
        <v>45992</v>
      </c>
      <c r="M3118" t="s">
        <v>347</v>
      </c>
      <c r="N3118">
        <v>0</v>
      </c>
      <c r="O3118" t="s">
        <v>348</v>
      </c>
      <c r="P3118" t="s">
        <v>297</v>
      </c>
      <c r="Q3118">
        <v>0</v>
      </c>
    </row>
    <row r="3119" spans="1:17" x14ac:dyDescent="0.3">
      <c r="A3119" t="s">
        <v>17</v>
      </c>
      <c r="B3119">
        <v>69</v>
      </c>
      <c r="C3119" t="s">
        <v>297</v>
      </c>
      <c r="D3119" s="2">
        <v>46022</v>
      </c>
      <c r="E3119" s="3">
        <f t="shared" si="48"/>
        <v>45992</v>
      </c>
      <c r="F3119" t="s">
        <v>2675</v>
      </c>
      <c r="H3119" s="4">
        <v>149.81</v>
      </c>
      <c r="I3119" t="s">
        <v>47</v>
      </c>
      <c r="J3119" t="s">
        <v>346</v>
      </c>
      <c r="L3119" s="2">
        <v>45992</v>
      </c>
      <c r="M3119" t="s">
        <v>347</v>
      </c>
      <c r="N3119">
        <v>0</v>
      </c>
      <c r="O3119" t="s">
        <v>26</v>
      </c>
      <c r="P3119" t="s">
        <v>297</v>
      </c>
      <c r="Q3119">
        <v>0</v>
      </c>
    </row>
    <row r="3120" spans="1:17" x14ac:dyDescent="0.3">
      <c r="A3120" t="s">
        <v>17</v>
      </c>
      <c r="B3120">
        <v>69</v>
      </c>
      <c r="C3120" t="s">
        <v>297</v>
      </c>
      <c r="D3120" s="2">
        <v>46022</v>
      </c>
      <c r="E3120" s="3">
        <f t="shared" si="48"/>
        <v>45992</v>
      </c>
      <c r="F3120" t="s">
        <v>2675</v>
      </c>
      <c r="H3120" s="4">
        <v>557.34</v>
      </c>
      <c r="I3120" t="s">
        <v>31</v>
      </c>
      <c r="J3120" t="s">
        <v>346</v>
      </c>
      <c r="L3120" s="2">
        <v>45992</v>
      </c>
      <c r="M3120" t="s">
        <v>347</v>
      </c>
      <c r="N3120">
        <v>0</v>
      </c>
      <c r="O3120" t="s">
        <v>31</v>
      </c>
      <c r="P3120" t="s">
        <v>297</v>
      </c>
      <c r="Q3120">
        <v>0</v>
      </c>
    </row>
    <row r="3121" spans="1:17" x14ac:dyDescent="0.3">
      <c r="A3121" t="s">
        <v>17</v>
      </c>
      <c r="B3121">
        <v>69</v>
      </c>
      <c r="C3121" t="s">
        <v>297</v>
      </c>
      <c r="D3121" s="2">
        <v>46022</v>
      </c>
      <c r="E3121" s="3">
        <f t="shared" si="48"/>
        <v>45992</v>
      </c>
      <c r="F3121" t="s">
        <v>2676</v>
      </c>
      <c r="H3121" s="4">
        <v>1954.72</v>
      </c>
      <c r="I3121" t="s">
        <v>31</v>
      </c>
      <c r="J3121" t="s">
        <v>299</v>
      </c>
      <c r="K3121" t="s">
        <v>300</v>
      </c>
      <c r="L3121" s="2">
        <v>45992</v>
      </c>
      <c r="M3121" t="s">
        <v>301</v>
      </c>
      <c r="N3121">
        <v>0</v>
      </c>
      <c r="O3121" t="s">
        <v>31</v>
      </c>
      <c r="P3121" t="s">
        <v>297</v>
      </c>
      <c r="Q3121">
        <v>0</v>
      </c>
    </row>
    <row r="3122" spans="1:17" x14ac:dyDescent="0.3">
      <c r="A3122" t="s">
        <v>17</v>
      </c>
      <c r="B3122">
        <v>65</v>
      </c>
      <c r="C3122" t="s">
        <v>54</v>
      </c>
      <c r="D3122" s="2">
        <v>46022</v>
      </c>
      <c r="E3122" s="3">
        <f t="shared" si="48"/>
        <v>45992</v>
      </c>
      <c r="F3122" t="s">
        <v>2607</v>
      </c>
      <c r="H3122" s="4">
        <v>599.08000000000004</v>
      </c>
      <c r="I3122" t="s">
        <v>31</v>
      </c>
      <c r="J3122" t="s">
        <v>296</v>
      </c>
      <c r="L3122" s="2">
        <v>45992</v>
      </c>
      <c r="M3122" t="s">
        <v>296</v>
      </c>
      <c r="N3122">
        <v>0</v>
      </c>
      <c r="O3122" t="s">
        <v>31</v>
      </c>
      <c r="P3122" t="s">
        <v>54</v>
      </c>
      <c r="Q3122">
        <v>0</v>
      </c>
    </row>
    <row r="3123" spans="1:17" x14ac:dyDescent="0.3">
      <c r="A3123" t="s">
        <v>17</v>
      </c>
      <c r="B3123">
        <v>65</v>
      </c>
      <c r="C3123" t="s">
        <v>54</v>
      </c>
      <c r="D3123" s="2">
        <v>46022</v>
      </c>
      <c r="E3123" s="3">
        <f t="shared" si="48"/>
        <v>45992</v>
      </c>
      <c r="F3123" t="s">
        <v>2607</v>
      </c>
      <c r="H3123" s="4">
        <v>23940.66</v>
      </c>
      <c r="I3123" t="s">
        <v>31</v>
      </c>
      <c r="J3123" t="s">
        <v>296</v>
      </c>
      <c r="L3123" s="2">
        <v>45992</v>
      </c>
      <c r="M3123" t="s">
        <v>296</v>
      </c>
      <c r="N3123">
        <v>0</v>
      </c>
      <c r="O3123" t="s">
        <v>31</v>
      </c>
      <c r="P3123" t="s">
        <v>54</v>
      </c>
      <c r="Q3123">
        <v>0</v>
      </c>
    </row>
    <row r="3124" spans="1:17" x14ac:dyDescent="0.3">
      <c r="A3124" t="s">
        <v>17</v>
      </c>
      <c r="B3124">
        <v>67</v>
      </c>
      <c r="C3124" t="s">
        <v>28</v>
      </c>
      <c r="D3124" s="2">
        <v>46023</v>
      </c>
      <c r="E3124" s="3">
        <f t="shared" si="48"/>
        <v>46023</v>
      </c>
      <c r="F3124">
        <v>21342</v>
      </c>
      <c r="G3124" t="s">
        <v>52</v>
      </c>
      <c r="H3124" s="4">
        <v>18.899999999999999</v>
      </c>
      <c r="I3124" t="s">
        <v>31</v>
      </c>
      <c r="J3124" t="s">
        <v>48</v>
      </c>
      <c r="K3124" t="s">
        <v>1339</v>
      </c>
      <c r="L3124" s="2">
        <v>46023</v>
      </c>
      <c r="M3124" t="s">
        <v>50</v>
      </c>
      <c r="N3124">
        <v>0</v>
      </c>
      <c r="O3124" t="s">
        <v>31</v>
      </c>
      <c r="P3124" t="s">
        <v>28</v>
      </c>
      <c r="Q3124">
        <v>0</v>
      </c>
    </row>
    <row r="3125" spans="1:17" x14ac:dyDescent="0.3">
      <c r="A3125" t="s">
        <v>17</v>
      </c>
      <c r="B3125">
        <v>67</v>
      </c>
      <c r="C3125" t="s">
        <v>28</v>
      </c>
      <c r="D3125" s="2">
        <v>46023</v>
      </c>
      <c r="E3125" s="3">
        <f t="shared" si="48"/>
        <v>46023</v>
      </c>
      <c r="F3125">
        <v>21342</v>
      </c>
      <c r="G3125" t="s">
        <v>52</v>
      </c>
      <c r="H3125" s="4">
        <v>640</v>
      </c>
      <c r="I3125" t="s">
        <v>31</v>
      </c>
      <c r="J3125" t="s">
        <v>48</v>
      </c>
      <c r="K3125" t="s">
        <v>1340</v>
      </c>
      <c r="L3125" s="2">
        <v>46023</v>
      </c>
      <c r="M3125" t="s">
        <v>50</v>
      </c>
      <c r="N3125">
        <v>0</v>
      </c>
      <c r="O3125" t="s">
        <v>31</v>
      </c>
      <c r="P3125" t="s">
        <v>28</v>
      </c>
      <c r="Q3125">
        <v>0</v>
      </c>
    </row>
    <row r="3126" spans="1:17" x14ac:dyDescent="0.3">
      <c r="A3126" t="s">
        <v>17</v>
      </c>
      <c r="B3126">
        <v>67</v>
      </c>
      <c r="C3126" t="s">
        <v>28</v>
      </c>
      <c r="D3126" s="2">
        <v>46023</v>
      </c>
      <c r="E3126" s="3">
        <f t="shared" si="48"/>
        <v>46023</v>
      </c>
      <c r="F3126">
        <v>21342</v>
      </c>
      <c r="G3126" t="s">
        <v>52</v>
      </c>
      <c r="H3126" s="4">
        <v>9</v>
      </c>
      <c r="I3126" t="s">
        <v>31</v>
      </c>
      <c r="J3126" t="s">
        <v>48</v>
      </c>
      <c r="K3126" t="s">
        <v>1341</v>
      </c>
      <c r="L3126" s="2">
        <v>46023</v>
      </c>
      <c r="M3126" t="s">
        <v>50</v>
      </c>
      <c r="N3126">
        <v>0</v>
      </c>
      <c r="O3126" t="s">
        <v>31</v>
      </c>
      <c r="P3126" t="s">
        <v>28</v>
      </c>
      <c r="Q3126">
        <v>0</v>
      </c>
    </row>
    <row r="3127" spans="1:17" x14ac:dyDescent="0.3">
      <c r="A3127" t="s">
        <v>17</v>
      </c>
      <c r="B3127">
        <v>67</v>
      </c>
      <c r="C3127" t="s">
        <v>28</v>
      </c>
      <c r="D3127" s="2">
        <v>46023</v>
      </c>
      <c r="E3127" s="3">
        <f t="shared" si="48"/>
        <v>46023</v>
      </c>
      <c r="F3127">
        <v>21342</v>
      </c>
      <c r="G3127" t="s">
        <v>52</v>
      </c>
      <c r="H3127" s="4">
        <v>125</v>
      </c>
      <c r="I3127" t="s">
        <v>31</v>
      </c>
      <c r="J3127" t="s">
        <v>48</v>
      </c>
      <c r="K3127" t="s">
        <v>1342</v>
      </c>
      <c r="L3127" s="2">
        <v>46023</v>
      </c>
      <c r="M3127" t="s">
        <v>50</v>
      </c>
      <c r="N3127">
        <v>0</v>
      </c>
      <c r="O3127" t="s">
        <v>31</v>
      </c>
      <c r="P3127" t="s">
        <v>28</v>
      </c>
      <c r="Q3127">
        <v>0</v>
      </c>
    </row>
    <row r="3128" spans="1:17" x14ac:dyDescent="0.3">
      <c r="A3128" t="s">
        <v>17</v>
      </c>
      <c r="B3128">
        <v>67</v>
      </c>
      <c r="C3128" t="s">
        <v>28</v>
      </c>
      <c r="D3128" s="2">
        <v>46023</v>
      </c>
      <c r="E3128" s="3">
        <f t="shared" si="48"/>
        <v>46023</v>
      </c>
      <c r="F3128">
        <v>21342</v>
      </c>
      <c r="G3128" t="s">
        <v>52</v>
      </c>
      <c r="H3128" s="4">
        <v>2500</v>
      </c>
      <c r="I3128" t="s">
        <v>31</v>
      </c>
      <c r="J3128" t="s">
        <v>48</v>
      </c>
      <c r="K3128" t="s">
        <v>1343</v>
      </c>
      <c r="L3128" s="2">
        <v>46023</v>
      </c>
      <c r="M3128" t="s">
        <v>50</v>
      </c>
      <c r="N3128">
        <v>0</v>
      </c>
      <c r="O3128" t="s">
        <v>31</v>
      </c>
      <c r="P3128" t="s">
        <v>28</v>
      </c>
      <c r="Q3128">
        <v>0</v>
      </c>
    </row>
    <row r="3129" spans="1:17" x14ac:dyDescent="0.3">
      <c r="A3129" t="s">
        <v>17</v>
      </c>
      <c r="B3129">
        <v>63</v>
      </c>
      <c r="C3129" t="s">
        <v>18</v>
      </c>
      <c r="D3129" s="2">
        <v>46023</v>
      </c>
      <c r="E3129" s="3">
        <f t="shared" si="48"/>
        <v>46023</v>
      </c>
      <c r="F3129">
        <v>1</v>
      </c>
      <c r="G3129" t="s">
        <v>1962</v>
      </c>
      <c r="H3129" s="4">
        <v>500</v>
      </c>
      <c r="I3129" t="s">
        <v>47</v>
      </c>
      <c r="J3129" t="s">
        <v>272</v>
      </c>
      <c r="K3129" t="s">
        <v>2677</v>
      </c>
      <c r="L3129" s="2">
        <v>46023</v>
      </c>
      <c r="M3129" t="s">
        <v>272</v>
      </c>
      <c r="N3129">
        <v>0</v>
      </c>
      <c r="O3129" t="s">
        <v>26</v>
      </c>
      <c r="P3129" t="s">
        <v>18</v>
      </c>
      <c r="Q3129" t="s">
        <v>274</v>
      </c>
    </row>
    <row r="3130" spans="1:17" x14ac:dyDescent="0.3">
      <c r="A3130" t="s">
        <v>17</v>
      </c>
      <c r="B3130">
        <v>63</v>
      </c>
      <c r="C3130" t="s">
        <v>18</v>
      </c>
      <c r="D3130" s="2">
        <v>46023</v>
      </c>
      <c r="E3130" s="3">
        <f t="shared" si="48"/>
        <v>46023</v>
      </c>
      <c r="F3130">
        <v>4189</v>
      </c>
      <c r="G3130" t="s">
        <v>2678</v>
      </c>
      <c r="H3130" s="4">
        <v>1049</v>
      </c>
      <c r="I3130" t="s">
        <v>47</v>
      </c>
      <c r="J3130" t="s">
        <v>1785</v>
      </c>
      <c r="K3130" t="s">
        <v>2679</v>
      </c>
      <c r="L3130" s="2">
        <v>46023</v>
      </c>
      <c r="M3130" t="s">
        <v>1787</v>
      </c>
      <c r="N3130">
        <v>0</v>
      </c>
      <c r="O3130" t="s">
        <v>26</v>
      </c>
      <c r="P3130" t="s">
        <v>18</v>
      </c>
      <c r="Q3130" t="s">
        <v>1788</v>
      </c>
    </row>
    <row r="3131" spans="1:17" x14ac:dyDescent="0.3">
      <c r="A3131" t="s">
        <v>17</v>
      </c>
      <c r="B3131">
        <v>65</v>
      </c>
      <c r="C3131" t="s">
        <v>54</v>
      </c>
      <c r="D3131" s="2">
        <v>46023</v>
      </c>
      <c r="E3131" s="3">
        <f t="shared" si="48"/>
        <v>46023</v>
      </c>
      <c r="F3131" t="s">
        <v>2680</v>
      </c>
      <c r="G3131" t="s">
        <v>40</v>
      </c>
      <c r="H3131" s="4">
        <v>31017.18</v>
      </c>
      <c r="I3131" t="s">
        <v>31</v>
      </c>
      <c r="J3131" t="s">
        <v>55</v>
      </c>
      <c r="K3131" t="s">
        <v>2681</v>
      </c>
      <c r="L3131" s="2">
        <v>46023</v>
      </c>
      <c r="M3131" t="s">
        <v>55</v>
      </c>
      <c r="N3131">
        <v>0</v>
      </c>
      <c r="O3131" t="s">
        <v>31</v>
      </c>
      <c r="P3131" t="s">
        <v>54</v>
      </c>
      <c r="Q3131">
        <v>0</v>
      </c>
    </row>
    <row r="3132" spans="1:17" x14ac:dyDescent="0.3">
      <c r="A3132" t="s">
        <v>17</v>
      </c>
      <c r="B3132">
        <v>66</v>
      </c>
      <c r="C3132" t="s">
        <v>134</v>
      </c>
      <c r="D3132" s="2">
        <v>46023</v>
      </c>
      <c r="E3132" s="3">
        <f t="shared" si="48"/>
        <v>46023</v>
      </c>
      <c r="F3132" t="s">
        <v>2682</v>
      </c>
      <c r="G3132" t="s">
        <v>2683</v>
      </c>
      <c r="H3132" s="4">
        <v>137.55000000000001</v>
      </c>
      <c r="I3132" t="s">
        <v>21</v>
      </c>
      <c r="J3132" t="s">
        <v>2684</v>
      </c>
      <c r="L3132" s="2">
        <v>46023</v>
      </c>
      <c r="M3132" t="s">
        <v>2685</v>
      </c>
      <c r="N3132" t="s">
        <v>25</v>
      </c>
      <c r="O3132" t="s">
        <v>111</v>
      </c>
      <c r="P3132" t="s">
        <v>134</v>
      </c>
      <c r="Q3132">
        <v>0</v>
      </c>
    </row>
    <row r="3133" spans="1:17" x14ac:dyDescent="0.3">
      <c r="A3133" t="s">
        <v>17</v>
      </c>
      <c r="B3133">
        <v>66</v>
      </c>
      <c r="C3133" t="s">
        <v>134</v>
      </c>
      <c r="D3133" s="2">
        <v>46023</v>
      </c>
      <c r="E3133" s="3">
        <f t="shared" si="48"/>
        <v>46023</v>
      </c>
      <c r="F3133" t="s">
        <v>2682</v>
      </c>
      <c r="G3133" t="s">
        <v>2683</v>
      </c>
      <c r="H3133" s="4">
        <v>137.55000000000001</v>
      </c>
      <c r="I3133" t="s">
        <v>21</v>
      </c>
      <c r="J3133" t="s">
        <v>2684</v>
      </c>
      <c r="L3133" s="2">
        <v>46023</v>
      </c>
      <c r="M3133" t="s">
        <v>2685</v>
      </c>
      <c r="N3133" t="s">
        <v>25</v>
      </c>
      <c r="O3133" t="s">
        <v>111</v>
      </c>
      <c r="P3133" t="s">
        <v>134</v>
      </c>
      <c r="Q3133">
        <v>0</v>
      </c>
    </row>
    <row r="3134" spans="1:17" x14ac:dyDescent="0.3">
      <c r="A3134" t="s">
        <v>17</v>
      </c>
      <c r="B3134">
        <v>66</v>
      </c>
      <c r="C3134" t="s">
        <v>134</v>
      </c>
      <c r="D3134" s="2">
        <v>46023</v>
      </c>
      <c r="E3134" s="3">
        <f t="shared" si="48"/>
        <v>46023</v>
      </c>
      <c r="F3134" t="s">
        <v>2682</v>
      </c>
      <c r="G3134" t="s">
        <v>2683</v>
      </c>
      <c r="H3134" s="4">
        <v>137.55000000000001</v>
      </c>
      <c r="I3134" t="s">
        <v>21</v>
      </c>
      <c r="J3134" t="s">
        <v>2684</v>
      </c>
      <c r="L3134" s="2">
        <v>46023</v>
      </c>
      <c r="M3134" t="s">
        <v>2685</v>
      </c>
      <c r="N3134" t="s">
        <v>25</v>
      </c>
      <c r="O3134" t="s">
        <v>111</v>
      </c>
      <c r="P3134" t="s">
        <v>134</v>
      </c>
      <c r="Q3134">
        <v>0</v>
      </c>
    </row>
    <row r="3135" spans="1:17" x14ac:dyDescent="0.3">
      <c r="A3135" t="s">
        <v>17</v>
      </c>
      <c r="B3135">
        <v>66</v>
      </c>
      <c r="C3135" t="s">
        <v>134</v>
      </c>
      <c r="D3135" s="2">
        <v>46023</v>
      </c>
      <c r="E3135" s="3">
        <f t="shared" si="48"/>
        <v>46023</v>
      </c>
      <c r="F3135" t="s">
        <v>2682</v>
      </c>
      <c r="G3135" t="s">
        <v>2683</v>
      </c>
      <c r="H3135" s="4">
        <v>137.55000000000001</v>
      </c>
      <c r="I3135" t="s">
        <v>21</v>
      </c>
      <c r="J3135" t="s">
        <v>2684</v>
      </c>
      <c r="L3135" s="2">
        <v>46023</v>
      </c>
      <c r="M3135" t="s">
        <v>2685</v>
      </c>
      <c r="N3135" t="s">
        <v>25</v>
      </c>
      <c r="O3135" t="s">
        <v>111</v>
      </c>
      <c r="P3135" t="s">
        <v>134</v>
      </c>
      <c r="Q3135">
        <v>0</v>
      </c>
    </row>
    <row r="3136" spans="1:17" x14ac:dyDescent="0.3">
      <c r="A3136" t="s">
        <v>17</v>
      </c>
      <c r="B3136">
        <v>66</v>
      </c>
      <c r="C3136" t="s">
        <v>134</v>
      </c>
      <c r="D3136" s="2">
        <v>46023</v>
      </c>
      <c r="E3136" s="3">
        <f t="shared" si="48"/>
        <v>46023</v>
      </c>
      <c r="F3136" t="s">
        <v>2682</v>
      </c>
      <c r="G3136" t="s">
        <v>2683</v>
      </c>
      <c r="H3136" s="4">
        <v>137.55000000000001</v>
      </c>
      <c r="I3136" t="s">
        <v>21</v>
      </c>
      <c r="J3136" t="s">
        <v>2684</v>
      </c>
      <c r="L3136" s="2">
        <v>46023</v>
      </c>
      <c r="M3136" t="s">
        <v>2685</v>
      </c>
      <c r="N3136" t="s">
        <v>25</v>
      </c>
      <c r="O3136" t="s">
        <v>111</v>
      </c>
      <c r="P3136" t="s">
        <v>134</v>
      </c>
      <c r="Q3136">
        <v>0</v>
      </c>
    </row>
    <row r="3137" spans="1:17" x14ac:dyDescent="0.3">
      <c r="A3137" t="s">
        <v>17</v>
      </c>
      <c r="B3137">
        <v>66</v>
      </c>
      <c r="C3137" t="s">
        <v>134</v>
      </c>
      <c r="D3137" s="2">
        <v>46023</v>
      </c>
      <c r="E3137" s="3">
        <f t="shared" si="48"/>
        <v>46023</v>
      </c>
      <c r="F3137" t="s">
        <v>2682</v>
      </c>
      <c r="G3137" t="s">
        <v>2683</v>
      </c>
      <c r="H3137" s="4">
        <v>137.55000000000001</v>
      </c>
      <c r="I3137" t="s">
        <v>21</v>
      </c>
      <c r="J3137" t="s">
        <v>2684</v>
      </c>
      <c r="K3137" t="s">
        <v>2686</v>
      </c>
      <c r="L3137" s="2">
        <v>46023</v>
      </c>
      <c r="M3137" t="s">
        <v>2685</v>
      </c>
      <c r="N3137" t="s">
        <v>25</v>
      </c>
      <c r="O3137" t="s">
        <v>111</v>
      </c>
      <c r="P3137" t="s">
        <v>134</v>
      </c>
      <c r="Q3137">
        <v>0</v>
      </c>
    </row>
    <row r="3138" spans="1:17" x14ac:dyDescent="0.3">
      <c r="A3138" t="s">
        <v>17</v>
      </c>
      <c r="B3138">
        <v>68</v>
      </c>
      <c r="C3138" t="s">
        <v>34</v>
      </c>
      <c r="D3138" s="2">
        <v>46023</v>
      </c>
      <c r="E3138" s="3">
        <f t="shared" si="48"/>
        <v>46023</v>
      </c>
      <c r="F3138">
        <v>2031835693</v>
      </c>
      <c r="G3138" t="s">
        <v>1261</v>
      </c>
      <c r="H3138" s="4">
        <v>434.37</v>
      </c>
      <c r="I3138" t="s">
        <v>108</v>
      </c>
      <c r="J3138" t="s">
        <v>109</v>
      </c>
      <c r="K3138" t="s">
        <v>2109</v>
      </c>
      <c r="L3138" s="2">
        <v>46023</v>
      </c>
      <c r="M3138" t="s">
        <v>109</v>
      </c>
      <c r="N3138">
        <v>0</v>
      </c>
      <c r="O3138" t="s">
        <v>111</v>
      </c>
      <c r="P3138" t="s">
        <v>112</v>
      </c>
      <c r="Q3138" t="s">
        <v>113</v>
      </c>
    </row>
    <row r="3139" spans="1:17" x14ac:dyDescent="0.3">
      <c r="A3139" t="s">
        <v>17</v>
      </c>
      <c r="B3139">
        <v>67</v>
      </c>
      <c r="C3139" t="s">
        <v>28</v>
      </c>
      <c r="D3139" s="2">
        <v>46023</v>
      </c>
      <c r="E3139" s="3">
        <f t="shared" ref="E3139:E3202" si="49">IF($D3139="","",DATE(YEAR($D3139),MONTH($D3139),1))</f>
        <v>46023</v>
      </c>
      <c r="F3139" t="s">
        <v>2687</v>
      </c>
      <c r="G3139" t="s">
        <v>1726</v>
      </c>
      <c r="H3139" s="4">
        <v>10000</v>
      </c>
      <c r="I3139" t="s">
        <v>21</v>
      </c>
      <c r="J3139" t="s">
        <v>74</v>
      </c>
      <c r="K3139" t="s">
        <v>2688</v>
      </c>
      <c r="L3139" s="2">
        <v>46023</v>
      </c>
      <c r="M3139" t="s">
        <v>76</v>
      </c>
      <c r="N3139" t="s">
        <v>25</v>
      </c>
      <c r="O3139" t="s">
        <v>81</v>
      </c>
      <c r="P3139" t="s">
        <v>28</v>
      </c>
      <c r="Q3139">
        <v>0</v>
      </c>
    </row>
    <row r="3140" spans="1:17" x14ac:dyDescent="0.3">
      <c r="A3140" t="s">
        <v>17</v>
      </c>
      <c r="B3140">
        <v>68</v>
      </c>
      <c r="C3140" t="s">
        <v>34</v>
      </c>
      <c r="D3140" s="2">
        <v>46023</v>
      </c>
      <c r="E3140" s="3">
        <f t="shared" si="49"/>
        <v>46023</v>
      </c>
      <c r="F3140" t="s">
        <v>2680</v>
      </c>
      <c r="G3140" t="s">
        <v>40</v>
      </c>
      <c r="H3140" s="4">
        <v>359.22</v>
      </c>
      <c r="I3140" t="s">
        <v>31</v>
      </c>
      <c r="J3140" t="s">
        <v>37</v>
      </c>
      <c r="K3140" t="s">
        <v>2689</v>
      </c>
      <c r="L3140" s="2">
        <v>46023</v>
      </c>
      <c r="M3140" t="s">
        <v>37</v>
      </c>
      <c r="N3140">
        <v>0</v>
      </c>
      <c r="O3140" t="s">
        <v>31</v>
      </c>
      <c r="P3140" t="s">
        <v>34</v>
      </c>
      <c r="Q3140">
        <v>0</v>
      </c>
    </row>
    <row r="3141" spans="1:17" x14ac:dyDescent="0.3">
      <c r="A3141" t="s">
        <v>17</v>
      </c>
      <c r="B3141">
        <v>68</v>
      </c>
      <c r="C3141" t="s">
        <v>34</v>
      </c>
      <c r="D3141" s="2">
        <v>46023</v>
      </c>
      <c r="E3141" s="3">
        <f t="shared" si="49"/>
        <v>46023</v>
      </c>
      <c r="F3141" t="s">
        <v>2690</v>
      </c>
      <c r="G3141" t="s">
        <v>36</v>
      </c>
      <c r="H3141" s="4">
        <v>35</v>
      </c>
      <c r="I3141" t="s">
        <v>31</v>
      </c>
      <c r="J3141" t="s">
        <v>37</v>
      </c>
      <c r="K3141" t="s">
        <v>1901</v>
      </c>
      <c r="L3141" s="2">
        <v>46023</v>
      </c>
      <c r="M3141" t="s">
        <v>37</v>
      </c>
      <c r="N3141">
        <v>0</v>
      </c>
      <c r="O3141" t="s">
        <v>31</v>
      </c>
      <c r="P3141" t="s">
        <v>34</v>
      </c>
      <c r="Q3141">
        <v>0</v>
      </c>
    </row>
    <row r="3142" spans="1:17" x14ac:dyDescent="0.3">
      <c r="A3142" t="s">
        <v>17</v>
      </c>
      <c r="B3142">
        <v>68</v>
      </c>
      <c r="C3142" t="s">
        <v>34</v>
      </c>
      <c r="D3142" s="2">
        <v>46023</v>
      </c>
      <c r="E3142" s="3">
        <f t="shared" si="49"/>
        <v>46023</v>
      </c>
      <c r="F3142" t="s">
        <v>2690</v>
      </c>
      <c r="G3142" t="s">
        <v>36</v>
      </c>
      <c r="H3142" s="4">
        <v>5.33</v>
      </c>
      <c r="I3142" t="s">
        <v>31</v>
      </c>
      <c r="J3142" t="s">
        <v>37</v>
      </c>
      <c r="K3142" t="s">
        <v>1276</v>
      </c>
      <c r="L3142" s="2">
        <v>46023</v>
      </c>
      <c r="M3142" t="s">
        <v>37</v>
      </c>
      <c r="N3142">
        <v>0</v>
      </c>
      <c r="O3142" t="s">
        <v>31</v>
      </c>
      <c r="P3142" t="s">
        <v>34</v>
      </c>
      <c r="Q3142">
        <v>0</v>
      </c>
    </row>
    <row r="3143" spans="1:17" x14ac:dyDescent="0.3">
      <c r="A3143" t="s">
        <v>17</v>
      </c>
      <c r="B3143">
        <v>68</v>
      </c>
      <c r="C3143" t="s">
        <v>34</v>
      </c>
      <c r="D3143" s="2">
        <v>46023</v>
      </c>
      <c r="E3143" s="3">
        <f t="shared" si="49"/>
        <v>46023</v>
      </c>
      <c r="F3143" t="s">
        <v>2690</v>
      </c>
      <c r="G3143" t="s">
        <v>36</v>
      </c>
      <c r="H3143" s="4">
        <v>25</v>
      </c>
      <c r="I3143" t="s">
        <v>31</v>
      </c>
      <c r="J3143" t="s">
        <v>37</v>
      </c>
      <c r="K3143" t="s">
        <v>1902</v>
      </c>
      <c r="L3143" s="2">
        <v>46023</v>
      </c>
      <c r="M3143" t="s">
        <v>37</v>
      </c>
      <c r="N3143">
        <v>0</v>
      </c>
      <c r="O3143" t="s">
        <v>31</v>
      </c>
      <c r="P3143" t="s">
        <v>34</v>
      </c>
      <c r="Q3143">
        <v>0</v>
      </c>
    </row>
    <row r="3144" spans="1:17" x14ac:dyDescent="0.3">
      <c r="A3144" t="s">
        <v>17</v>
      </c>
      <c r="B3144">
        <v>68</v>
      </c>
      <c r="C3144" t="s">
        <v>34</v>
      </c>
      <c r="D3144" s="2">
        <v>46023</v>
      </c>
      <c r="E3144" s="3">
        <f t="shared" si="49"/>
        <v>46023</v>
      </c>
      <c r="F3144" t="s">
        <v>2691</v>
      </c>
      <c r="H3144" s="4">
        <v>-359.22</v>
      </c>
      <c r="I3144" t="s">
        <v>31</v>
      </c>
      <c r="J3144" t="s">
        <v>37</v>
      </c>
      <c r="K3144" t="s">
        <v>2666</v>
      </c>
      <c r="L3144" s="2">
        <v>46023</v>
      </c>
      <c r="M3144" t="s">
        <v>37</v>
      </c>
      <c r="N3144">
        <v>0</v>
      </c>
      <c r="O3144" t="s">
        <v>31</v>
      </c>
      <c r="P3144" t="s">
        <v>34</v>
      </c>
      <c r="Q3144">
        <v>0</v>
      </c>
    </row>
    <row r="3145" spans="1:17" x14ac:dyDescent="0.3">
      <c r="A3145" t="s">
        <v>17</v>
      </c>
      <c r="B3145">
        <v>63</v>
      </c>
      <c r="C3145" t="s">
        <v>18</v>
      </c>
      <c r="D3145" s="2">
        <v>46024</v>
      </c>
      <c r="E3145" s="3">
        <f t="shared" si="49"/>
        <v>46023</v>
      </c>
      <c r="F3145" t="s">
        <v>2692</v>
      </c>
      <c r="H3145" s="4">
        <v>1200</v>
      </c>
      <c r="I3145" t="s">
        <v>47</v>
      </c>
      <c r="J3145" t="s">
        <v>331</v>
      </c>
      <c r="K3145" t="s">
        <v>2693</v>
      </c>
      <c r="L3145" s="2">
        <v>46023</v>
      </c>
      <c r="M3145" t="s">
        <v>333</v>
      </c>
      <c r="N3145">
        <v>0</v>
      </c>
      <c r="O3145" t="s">
        <v>26</v>
      </c>
      <c r="P3145" t="s">
        <v>18</v>
      </c>
      <c r="Q3145" t="s">
        <v>18</v>
      </c>
    </row>
    <row r="3146" spans="1:17" x14ac:dyDescent="0.3">
      <c r="A3146" t="s">
        <v>17</v>
      </c>
      <c r="B3146">
        <v>67</v>
      </c>
      <c r="C3146" t="s">
        <v>28</v>
      </c>
      <c r="D3146" s="2">
        <v>46024</v>
      </c>
      <c r="E3146" s="3">
        <f t="shared" si="49"/>
        <v>46023</v>
      </c>
      <c r="F3146" t="s">
        <v>2694</v>
      </c>
      <c r="G3146" t="s">
        <v>67</v>
      </c>
      <c r="H3146" s="4">
        <v>299.91000000000003</v>
      </c>
      <c r="I3146" t="s">
        <v>31</v>
      </c>
      <c r="J3146" t="s">
        <v>68</v>
      </c>
      <c r="K3146" t="s">
        <v>2695</v>
      </c>
      <c r="L3146" s="2">
        <v>46023</v>
      </c>
      <c r="M3146" t="s">
        <v>68</v>
      </c>
      <c r="N3146">
        <v>0</v>
      </c>
      <c r="O3146" t="s">
        <v>31</v>
      </c>
      <c r="P3146" t="s">
        <v>28</v>
      </c>
      <c r="Q3146">
        <v>0</v>
      </c>
    </row>
    <row r="3147" spans="1:17" x14ac:dyDescent="0.3">
      <c r="A3147" t="s">
        <v>17</v>
      </c>
      <c r="B3147">
        <v>67</v>
      </c>
      <c r="C3147" t="s">
        <v>28</v>
      </c>
      <c r="D3147" s="2">
        <v>46024</v>
      </c>
      <c r="E3147" s="3">
        <f t="shared" si="49"/>
        <v>46023</v>
      </c>
      <c r="F3147" t="s">
        <v>2696</v>
      </c>
      <c r="G3147" t="s">
        <v>67</v>
      </c>
      <c r="H3147" s="4">
        <v>557.41999999999996</v>
      </c>
      <c r="I3147" t="s">
        <v>31</v>
      </c>
      <c r="J3147" t="s">
        <v>68</v>
      </c>
      <c r="K3147" t="s">
        <v>2695</v>
      </c>
      <c r="L3147" s="2">
        <v>46023</v>
      </c>
      <c r="M3147" t="s">
        <v>68</v>
      </c>
      <c r="N3147">
        <v>0</v>
      </c>
      <c r="O3147" t="s">
        <v>31</v>
      </c>
      <c r="P3147" t="s">
        <v>28</v>
      </c>
      <c r="Q3147">
        <v>0</v>
      </c>
    </row>
    <row r="3148" spans="1:17" x14ac:dyDescent="0.3">
      <c r="A3148" t="s">
        <v>17</v>
      </c>
      <c r="B3148">
        <v>64</v>
      </c>
      <c r="C3148" t="s">
        <v>83</v>
      </c>
      <c r="D3148" s="2">
        <v>46026</v>
      </c>
      <c r="E3148" s="3">
        <f t="shared" si="49"/>
        <v>46023</v>
      </c>
      <c r="F3148" t="s">
        <v>2697</v>
      </c>
      <c r="H3148" s="4">
        <v>404.99</v>
      </c>
      <c r="I3148" t="s">
        <v>31</v>
      </c>
      <c r="J3148" t="s">
        <v>530</v>
      </c>
      <c r="K3148" t="s">
        <v>2698</v>
      </c>
      <c r="L3148" s="2">
        <v>46023</v>
      </c>
      <c r="M3148" t="s">
        <v>531</v>
      </c>
      <c r="N3148">
        <v>0</v>
      </c>
      <c r="O3148" t="s">
        <v>31</v>
      </c>
      <c r="P3148" t="s">
        <v>83</v>
      </c>
      <c r="Q3148">
        <v>0</v>
      </c>
    </row>
    <row r="3149" spans="1:17" x14ac:dyDescent="0.3">
      <c r="A3149" t="s">
        <v>17</v>
      </c>
      <c r="B3149">
        <v>64</v>
      </c>
      <c r="C3149" t="s">
        <v>83</v>
      </c>
      <c r="D3149" s="2">
        <v>46026</v>
      </c>
      <c r="E3149" s="3">
        <f t="shared" si="49"/>
        <v>46023</v>
      </c>
      <c r="F3149" t="s">
        <v>2697</v>
      </c>
      <c r="H3149" s="4">
        <v>201.79</v>
      </c>
      <c r="I3149" t="s">
        <v>31</v>
      </c>
      <c r="J3149" t="s">
        <v>84</v>
      </c>
      <c r="K3149" t="s">
        <v>2699</v>
      </c>
      <c r="L3149" s="2">
        <v>46023</v>
      </c>
      <c r="M3149" t="s">
        <v>86</v>
      </c>
      <c r="N3149">
        <v>0</v>
      </c>
      <c r="O3149" t="s">
        <v>31</v>
      </c>
      <c r="P3149" t="s">
        <v>83</v>
      </c>
      <c r="Q3149">
        <v>0</v>
      </c>
    </row>
    <row r="3150" spans="1:17" x14ac:dyDescent="0.3">
      <c r="A3150" t="s">
        <v>17</v>
      </c>
      <c r="B3150">
        <v>67</v>
      </c>
      <c r="C3150" t="s">
        <v>28</v>
      </c>
      <c r="D3150" s="2">
        <v>46026</v>
      </c>
      <c r="E3150" s="3">
        <f t="shared" si="49"/>
        <v>46023</v>
      </c>
      <c r="F3150" t="s">
        <v>2697</v>
      </c>
      <c r="G3150" t="s">
        <v>101</v>
      </c>
      <c r="H3150" s="4">
        <v>543.66999999999996</v>
      </c>
      <c r="I3150" t="s">
        <v>31</v>
      </c>
      <c r="J3150" t="s">
        <v>74</v>
      </c>
      <c r="K3150" t="s">
        <v>1722</v>
      </c>
      <c r="L3150" s="2">
        <v>46023</v>
      </c>
      <c r="M3150" t="s">
        <v>76</v>
      </c>
      <c r="N3150">
        <v>0</v>
      </c>
      <c r="O3150" t="s">
        <v>31</v>
      </c>
      <c r="P3150" t="s">
        <v>28</v>
      </c>
      <c r="Q3150">
        <v>0</v>
      </c>
    </row>
    <row r="3151" spans="1:17" x14ac:dyDescent="0.3">
      <c r="A3151" t="s">
        <v>17</v>
      </c>
      <c r="B3151">
        <v>67</v>
      </c>
      <c r="C3151" t="s">
        <v>28</v>
      </c>
      <c r="D3151" s="2">
        <v>46026</v>
      </c>
      <c r="E3151" s="3">
        <f t="shared" si="49"/>
        <v>46023</v>
      </c>
      <c r="F3151" t="s">
        <v>2697</v>
      </c>
      <c r="G3151" t="s">
        <v>101</v>
      </c>
      <c r="H3151" s="4">
        <v>506</v>
      </c>
      <c r="I3151" t="s">
        <v>108</v>
      </c>
      <c r="J3151" t="s">
        <v>74</v>
      </c>
      <c r="K3151" t="s">
        <v>2700</v>
      </c>
      <c r="L3151" s="2">
        <v>46023</v>
      </c>
      <c r="M3151" t="s">
        <v>76</v>
      </c>
      <c r="N3151">
        <v>0</v>
      </c>
      <c r="O3151" t="s">
        <v>111</v>
      </c>
      <c r="P3151" t="s">
        <v>28</v>
      </c>
      <c r="Q3151">
        <v>0</v>
      </c>
    </row>
    <row r="3152" spans="1:17" x14ac:dyDescent="0.3">
      <c r="A3152" t="s">
        <v>17</v>
      </c>
      <c r="B3152">
        <v>67</v>
      </c>
      <c r="C3152" t="s">
        <v>28</v>
      </c>
      <c r="D3152" s="2">
        <v>46026</v>
      </c>
      <c r="E3152" s="3">
        <f t="shared" si="49"/>
        <v>46023</v>
      </c>
      <c r="F3152" t="s">
        <v>2697</v>
      </c>
      <c r="G3152" t="s">
        <v>101</v>
      </c>
      <c r="H3152" s="4">
        <v>1494</v>
      </c>
      <c r="I3152" t="s">
        <v>104</v>
      </c>
      <c r="J3152" t="s">
        <v>74</v>
      </c>
      <c r="K3152" t="s">
        <v>2353</v>
      </c>
      <c r="L3152" s="2">
        <v>46023</v>
      </c>
      <c r="M3152" t="s">
        <v>76</v>
      </c>
      <c r="N3152">
        <v>0</v>
      </c>
      <c r="O3152" t="s">
        <v>104</v>
      </c>
      <c r="P3152" t="s">
        <v>28</v>
      </c>
      <c r="Q3152">
        <v>0</v>
      </c>
    </row>
    <row r="3153" spans="1:17" x14ac:dyDescent="0.3">
      <c r="A3153" t="s">
        <v>17</v>
      </c>
      <c r="B3153">
        <v>67</v>
      </c>
      <c r="C3153" t="s">
        <v>28</v>
      </c>
      <c r="D3153" s="2">
        <v>46026</v>
      </c>
      <c r="E3153" s="3">
        <f t="shared" si="49"/>
        <v>46023</v>
      </c>
      <c r="F3153" t="s">
        <v>2697</v>
      </c>
      <c r="G3153" t="s">
        <v>101</v>
      </c>
      <c r="H3153" s="4">
        <v>628</v>
      </c>
      <c r="I3153" t="s">
        <v>108</v>
      </c>
      <c r="J3153" t="s">
        <v>74</v>
      </c>
      <c r="K3153" t="s">
        <v>2700</v>
      </c>
      <c r="L3153" s="2">
        <v>46023</v>
      </c>
      <c r="M3153" t="s">
        <v>76</v>
      </c>
      <c r="N3153">
        <v>0</v>
      </c>
      <c r="O3153" t="s">
        <v>111</v>
      </c>
      <c r="P3153" t="s">
        <v>28</v>
      </c>
      <c r="Q3153">
        <v>0</v>
      </c>
    </row>
    <row r="3154" spans="1:17" x14ac:dyDescent="0.3">
      <c r="A3154" t="s">
        <v>17</v>
      </c>
      <c r="B3154">
        <v>67</v>
      </c>
      <c r="C3154" t="s">
        <v>28</v>
      </c>
      <c r="D3154" s="2">
        <v>46026</v>
      </c>
      <c r="E3154" s="3">
        <f t="shared" si="49"/>
        <v>46023</v>
      </c>
      <c r="F3154" t="s">
        <v>2697</v>
      </c>
      <c r="G3154" t="s">
        <v>101</v>
      </c>
      <c r="H3154" s="4">
        <v>2159.27</v>
      </c>
      <c r="I3154" t="s">
        <v>31</v>
      </c>
      <c r="J3154" t="s">
        <v>74</v>
      </c>
      <c r="K3154" t="s">
        <v>2354</v>
      </c>
      <c r="L3154" s="2">
        <v>46023</v>
      </c>
      <c r="M3154" t="s">
        <v>76</v>
      </c>
      <c r="N3154">
        <v>0</v>
      </c>
      <c r="O3154" t="s">
        <v>31</v>
      </c>
      <c r="P3154" t="s">
        <v>28</v>
      </c>
      <c r="Q3154">
        <v>0</v>
      </c>
    </row>
    <row r="3155" spans="1:17" x14ac:dyDescent="0.3">
      <c r="A3155" t="s">
        <v>17</v>
      </c>
      <c r="B3155">
        <v>68</v>
      </c>
      <c r="C3155" t="s">
        <v>34</v>
      </c>
      <c r="D3155" s="2">
        <v>46027</v>
      </c>
      <c r="E3155" s="3">
        <f t="shared" si="49"/>
        <v>46023</v>
      </c>
      <c r="F3155">
        <v>2042237738</v>
      </c>
      <c r="G3155" t="s">
        <v>1261</v>
      </c>
      <c r="H3155" s="4">
        <v>30.6</v>
      </c>
      <c r="I3155" t="s">
        <v>108</v>
      </c>
      <c r="J3155" t="s">
        <v>109</v>
      </c>
      <c r="L3155" s="2">
        <v>46023</v>
      </c>
      <c r="M3155" t="s">
        <v>109</v>
      </c>
      <c r="N3155">
        <v>0</v>
      </c>
      <c r="O3155" t="s">
        <v>111</v>
      </c>
      <c r="P3155" t="s">
        <v>112</v>
      </c>
      <c r="Q3155" t="s">
        <v>113</v>
      </c>
    </row>
    <row r="3156" spans="1:17" x14ac:dyDescent="0.3">
      <c r="A3156" t="s">
        <v>17</v>
      </c>
      <c r="B3156">
        <v>68</v>
      </c>
      <c r="C3156" t="s">
        <v>34</v>
      </c>
      <c r="D3156" s="2">
        <v>46027</v>
      </c>
      <c r="E3156" s="3">
        <f t="shared" si="49"/>
        <v>46023</v>
      </c>
      <c r="F3156">
        <v>2042237738</v>
      </c>
      <c r="G3156" t="s">
        <v>1261</v>
      </c>
      <c r="H3156" s="4">
        <v>13.96</v>
      </c>
      <c r="I3156" t="s">
        <v>108</v>
      </c>
      <c r="J3156" t="s">
        <v>109</v>
      </c>
      <c r="K3156" t="s">
        <v>2701</v>
      </c>
      <c r="L3156" s="2">
        <v>46023</v>
      </c>
      <c r="M3156" t="s">
        <v>109</v>
      </c>
      <c r="N3156">
        <v>0</v>
      </c>
      <c r="O3156" t="s">
        <v>111</v>
      </c>
      <c r="P3156" t="s">
        <v>112</v>
      </c>
      <c r="Q3156" t="s">
        <v>113</v>
      </c>
    </row>
    <row r="3157" spans="1:17" x14ac:dyDescent="0.3">
      <c r="A3157" t="s">
        <v>17</v>
      </c>
      <c r="B3157">
        <v>68</v>
      </c>
      <c r="C3157" t="s">
        <v>34</v>
      </c>
      <c r="D3157" s="2">
        <v>46027</v>
      </c>
      <c r="E3157" s="3">
        <f t="shared" si="49"/>
        <v>46023</v>
      </c>
      <c r="F3157">
        <v>2042237738</v>
      </c>
      <c r="G3157" t="s">
        <v>1261</v>
      </c>
      <c r="H3157" s="4">
        <v>25.96</v>
      </c>
      <c r="I3157" t="s">
        <v>108</v>
      </c>
      <c r="J3157" t="s">
        <v>109</v>
      </c>
      <c r="L3157" s="2">
        <v>46023</v>
      </c>
      <c r="M3157" t="s">
        <v>109</v>
      </c>
      <c r="N3157">
        <v>0</v>
      </c>
      <c r="O3157" t="s">
        <v>111</v>
      </c>
      <c r="P3157" t="s">
        <v>112</v>
      </c>
      <c r="Q3157" t="s">
        <v>113</v>
      </c>
    </row>
    <row r="3158" spans="1:17" x14ac:dyDescent="0.3">
      <c r="A3158" t="s">
        <v>17</v>
      </c>
      <c r="B3158">
        <v>68</v>
      </c>
      <c r="C3158" t="s">
        <v>34</v>
      </c>
      <c r="D3158" s="2">
        <v>46027</v>
      </c>
      <c r="E3158" s="3">
        <f t="shared" si="49"/>
        <v>46023</v>
      </c>
      <c r="F3158">
        <v>2042237738</v>
      </c>
      <c r="G3158" t="s">
        <v>1261</v>
      </c>
      <c r="H3158" s="4">
        <v>13.96</v>
      </c>
      <c r="I3158" t="s">
        <v>108</v>
      </c>
      <c r="J3158" t="s">
        <v>109</v>
      </c>
      <c r="K3158" t="s">
        <v>2701</v>
      </c>
      <c r="L3158" s="2">
        <v>46023</v>
      </c>
      <c r="M3158" t="s">
        <v>109</v>
      </c>
      <c r="N3158">
        <v>0</v>
      </c>
      <c r="O3158" t="s">
        <v>111</v>
      </c>
      <c r="P3158" t="s">
        <v>112</v>
      </c>
      <c r="Q3158" t="s">
        <v>113</v>
      </c>
    </row>
    <row r="3159" spans="1:17" x14ac:dyDescent="0.3">
      <c r="A3159" t="s">
        <v>17</v>
      </c>
      <c r="B3159">
        <v>68</v>
      </c>
      <c r="C3159" t="s">
        <v>34</v>
      </c>
      <c r="D3159" s="2">
        <v>46027</v>
      </c>
      <c r="E3159" s="3">
        <f t="shared" si="49"/>
        <v>46023</v>
      </c>
      <c r="F3159" t="s">
        <v>2702</v>
      </c>
      <c r="G3159" t="s">
        <v>122</v>
      </c>
      <c r="H3159" s="4">
        <v>46.44</v>
      </c>
      <c r="I3159" t="s">
        <v>108</v>
      </c>
      <c r="J3159" t="s">
        <v>109</v>
      </c>
      <c r="L3159" s="2">
        <v>46023</v>
      </c>
      <c r="M3159" t="s">
        <v>109</v>
      </c>
      <c r="N3159">
        <v>0</v>
      </c>
      <c r="O3159" t="s">
        <v>111</v>
      </c>
      <c r="P3159" t="s">
        <v>112</v>
      </c>
      <c r="Q3159" t="s">
        <v>113</v>
      </c>
    </row>
    <row r="3160" spans="1:17" x14ac:dyDescent="0.3">
      <c r="A3160" t="s">
        <v>17</v>
      </c>
      <c r="B3160">
        <v>64</v>
      </c>
      <c r="C3160" t="s">
        <v>83</v>
      </c>
      <c r="D3160" s="2">
        <v>46029</v>
      </c>
      <c r="E3160" s="3">
        <f t="shared" si="49"/>
        <v>46023</v>
      </c>
      <c r="F3160" t="s">
        <v>2703</v>
      </c>
      <c r="H3160" s="4">
        <v>126.95</v>
      </c>
      <c r="I3160" t="s">
        <v>31</v>
      </c>
      <c r="J3160" t="s">
        <v>91</v>
      </c>
      <c r="K3160" t="s">
        <v>2704</v>
      </c>
      <c r="L3160" s="2">
        <v>46023</v>
      </c>
      <c r="M3160" t="s">
        <v>93</v>
      </c>
      <c r="N3160">
        <v>0</v>
      </c>
      <c r="O3160" t="s">
        <v>31</v>
      </c>
      <c r="P3160" t="s">
        <v>83</v>
      </c>
      <c r="Q3160">
        <v>0</v>
      </c>
    </row>
    <row r="3161" spans="1:17" x14ac:dyDescent="0.3">
      <c r="A3161" t="s">
        <v>17</v>
      </c>
      <c r="B3161">
        <v>64</v>
      </c>
      <c r="C3161" t="s">
        <v>83</v>
      </c>
      <c r="D3161" s="2">
        <v>46029</v>
      </c>
      <c r="E3161" s="3">
        <f t="shared" si="49"/>
        <v>46023</v>
      </c>
      <c r="F3161" t="s">
        <v>2703</v>
      </c>
      <c r="H3161" s="4">
        <v>245.34</v>
      </c>
      <c r="I3161" t="s">
        <v>31</v>
      </c>
      <c r="J3161" t="s">
        <v>91</v>
      </c>
      <c r="K3161" t="s">
        <v>2705</v>
      </c>
      <c r="L3161" s="2">
        <v>46023</v>
      </c>
      <c r="M3161" t="s">
        <v>93</v>
      </c>
      <c r="N3161">
        <v>0</v>
      </c>
      <c r="O3161" t="s">
        <v>31</v>
      </c>
      <c r="P3161" t="s">
        <v>83</v>
      </c>
      <c r="Q3161">
        <v>0</v>
      </c>
    </row>
    <row r="3162" spans="1:17" x14ac:dyDescent="0.3">
      <c r="A3162" t="s">
        <v>17</v>
      </c>
      <c r="B3162">
        <v>64</v>
      </c>
      <c r="C3162" t="s">
        <v>83</v>
      </c>
      <c r="D3162" s="2">
        <v>46029</v>
      </c>
      <c r="E3162" s="3">
        <f t="shared" si="49"/>
        <v>46023</v>
      </c>
      <c r="F3162" t="s">
        <v>2703</v>
      </c>
      <c r="H3162" s="4">
        <v>207.49</v>
      </c>
      <c r="I3162" t="s">
        <v>31</v>
      </c>
      <c r="J3162" t="s">
        <v>91</v>
      </c>
      <c r="K3162" t="s">
        <v>2704</v>
      </c>
      <c r="L3162" s="2">
        <v>46023</v>
      </c>
      <c r="M3162" t="s">
        <v>93</v>
      </c>
      <c r="N3162">
        <v>0</v>
      </c>
      <c r="O3162" t="s">
        <v>31</v>
      </c>
      <c r="P3162" t="s">
        <v>83</v>
      </c>
      <c r="Q3162">
        <v>0</v>
      </c>
    </row>
    <row r="3163" spans="1:17" x14ac:dyDescent="0.3">
      <c r="A3163" t="s">
        <v>17</v>
      </c>
      <c r="B3163">
        <v>64</v>
      </c>
      <c r="C3163" t="s">
        <v>83</v>
      </c>
      <c r="D3163" s="2">
        <v>46029</v>
      </c>
      <c r="E3163" s="3">
        <f t="shared" si="49"/>
        <v>46023</v>
      </c>
      <c r="F3163" t="s">
        <v>2703</v>
      </c>
      <c r="H3163" s="4">
        <v>37.479999999999997</v>
      </c>
      <c r="I3163" t="s">
        <v>31</v>
      </c>
      <c r="J3163" t="s">
        <v>91</v>
      </c>
      <c r="K3163" t="s">
        <v>2706</v>
      </c>
      <c r="L3163" s="2">
        <v>46023</v>
      </c>
      <c r="M3163" t="s">
        <v>93</v>
      </c>
      <c r="N3163">
        <v>0</v>
      </c>
      <c r="O3163" t="s">
        <v>31</v>
      </c>
      <c r="P3163" t="s">
        <v>83</v>
      </c>
      <c r="Q3163">
        <v>0</v>
      </c>
    </row>
    <row r="3164" spans="1:17" x14ac:dyDescent="0.3">
      <c r="A3164" t="s">
        <v>17</v>
      </c>
      <c r="B3164">
        <v>64</v>
      </c>
      <c r="C3164" t="s">
        <v>83</v>
      </c>
      <c r="D3164" s="2">
        <v>46029</v>
      </c>
      <c r="E3164" s="3">
        <f t="shared" si="49"/>
        <v>46023</v>
      </c>
      <c r="F3164" t="s">
        <v>2703</v>
      </c>
      <c r="H3164" s="4">
        <v>90.56</v>
      </c>
      <c r="I3164" t="s">
        <v>31</v>
      </c>
      <c r="J3164" t="s">
        <v>91</v>
      </c>
      <c r="K3164" t="s">
        <v>2707</v>
      </c>
      <c r="L3164" s="2">
        <v>46023</v>
      </c>
      <c r="M3164" t="s">
        <v>93</v>
      </c>
      <c r="N3164">
        <v>0</v>
      </c>
      <c r="O3164" t="s">
        <v>31</v>
      </c>
      <c r="P3164" t="s">
        <v>83</v>
      </c>
      <c r="Q3164">
        <v>0</v>
      </c>
    </row>
    <row r="3165" spans="1:17" x14ac:dyDescent="0.3">
      <c r="A3165" t="s">
        <v>17</v>
      </c>
      <c r="B3165">
        <v>64</v>
      </c>
      <c r="C3165" t="s">
        <v>83</v>
      </c>
      <c r="D3165" s="2">
        <v>46029</v>
      </c>
      <c r="E3165" s="3">
        <f t="shared" si="49"/>
        <v>46023</v>
      </c>
      <c r="F3165" t="s">
        <v>2703</v>
      </c>
      <c r="H3165" s="4">
        <v>40.909999999999997</v>
      </c>
      <c r="I3165" t="s">
        <v>31</v>
      </c>
      <c r="J3165" t="s">
        <v>87</v>
      </c>
      <c r="K3165" t="s">
        <v>2708</v>
      </c>
      <c r="L3165" s="2">
        <v>46023</v>
      </c>
      <c r="M3165" t="s">
        <v>89</v>
      </c>
      <c r="N3165">
        <v>0</v>
      </c>
      <c r="O3165" t="s">
        <v>31</v>
      </c>
      <c r="P3165" t="s">
        <v>83</v>
      </c>
      <c r="Q3165">
        <v>0</v>
      </c>
    </row>
    <row r="3166" spans="1:17" x14ac:dyDescent="0.3">
      <c r="A3166" t="s">
        <v>17</v>
      </c>
      <c r="B3166">
        <v>64</v>
      </c>
      <c r="C3166" t="s">
        <v>83</v>
      </c>
      <c r="D3166" s="2">
        <v>46029</v>
      </c>
      <c r="E3166" s="3">
        <f t="shared" si="49"/>
        <v>46023</v>
      </c>
      <c r="F3166" t="s">
        <v>2703</v>
      </c>
      <c r="H3166" s="4">
        <v>32.99</v>
      </c>
      <c r="I3166" t="s">
        <v>31</v>
      </c>
      <c r="J3166" t="s">
        <v>87</v>
      </c>
      <c r="K3166" t="s">
        <v>2709</v>
      </c>
      <c r="L3166" s="2">
        <v>46023</v>
      </c>
      <c r="M3166" t="s">
        <v>89</v>
      </c>
      <c r="N3166">
        <v>0</v>
      </c>
      <c r="O3166" t="s">
        <v>31</v>
      </c>
      <c r="P3166" t="s">
        <v>83</v>
      </c>
      <c r="Q3166">
        <v>0</v>
      </c>
    </row>
    <row r="3167" spans="1:17" x14ac:dyDescent="0.3">
      <c r="A3167" t="s">
        <v>17</v>
      </c>
      <c r="B3167">
        <v>63</v>
      </c>
      <c r="C3167" t="s">
        <v>18</v>
      </c>
      <c r="D3167" s="2">
        <v>46029</v>
      </c>
      <c r="E3167" s="3">
        <f t="shared" si="49"/>
        <v>46023</v>
      </c>
      <c r="F3167" t="s">
        <v>2710</v>
      </c>
      <c r="G3167" t="s">
        <v>439</v>
      </c>
      <c r="H3167" s="4">
        <v>13.38</v>
      </c>
      <c r="I3167" t="s">
        <v>21</v>
      </c>
      <c r="J3167" t="s">
        <v>22</v>
      </c>
      <c r="K3167" t="s">
        <v>2524</v>
      </c>
      <c r="L3167" s="2">
        <v>46023</v>
      </c>
      <c r="M3167" t="s">
        <v>24</v>
      </c>
      <c r="N3167" t="s">
        <v>25</v>
      </c>
      <c r="O3167" t="s">
        <v>26</v>
      </c>
      <c r="P3167" t="s">
        <v>18</v>
      </c>
      <c r="Q3167" t="s">
        <v>27</v>
      </c>
    </row>
    <row r="3168" spans="1:17" x14ac:dyDescent="0.3">
      <c r="A3168" t="s">
        <v>17</v>
      </c>
      <c r="B3168">
        <v>67</v>
      </c>
      <c r="C3168" t="s">
        <v>28</v>
      </c>
      <c r="D3168" s="2">
        <v>46029</v>
      </c>
      <c r="E3168" s="3">
        <f t="shared" si="49"/>
        <v>46023</v>
      </c>
      <c r="F3168" t="s">
        <v>2711</v>
      </c>
      <c r="G3168" t="s">
        <v>119</v>
      </c>
      <c r="H3168" s="4">
        <v>300</v>
      </c>
      <c r="I3168" t="s">
        <v>31</v>
      </c>
      <c r="J3168" t="s">
        <v>68</v>
      </c>
      <c r="K3168" t="s">
        <v>2712</v>
      </c>
      <c r="L3168" s="2">
        <v>46023</v>
      </c>
      <c r="M3168" t="s">
        <v>68</v>
      </c>
      <c r="N3168">
        <v>0</v>
      </c>
      <c r="O3168" t="s">
        <v>31</v>
      </c>
      <c r="P3168" t="s">
        <v>28</v>
      </c>
      <c r="Q3168">
        <v>0</v>
      </c>
    </row>
    <row r="3169" spans="1:17" x14ac:dyDescent="0.3">
      <c r="A3169" t="s">
        <v>17</v>
      </c>
      <c r="B3169">
        <v>67</v>
      </c>
      <c r="C3169" t="s">
        <v>28</v>
      </c>
      <c r="D3169" s="2">
        <v>46029</v>
      </c>
      <c r="E3169" s="3">
        <f t="shared" si="49"/>
        <v>46023</v>
      </c>
      <c r="F3169" t="s">
        <v>2713</v>
      </c>
      <c r="G3169" t="s">
        <v>119</v>
      </c>
      <c r="H3169" s="4">
        <v>1011.25</v>
      </c>
      <c r="I3169" t="s">
        <v>31</v>
      </c>
      <c r="J3169" t="s">
        <v>68</v>
      </c>
      <c r="K3169" t="s">
        <v>1567</v>
      </c>
      <c r="L3169" s="2">
        <v>46023</v>
      </c>
      <c r="M3169" t="s">
        <v>68</v>
      </c>
      <c r="N3169">
        <v>0</v>
      </c>
      <c r="O3169" t="s">
        <v>31</v>
      </c>
      <c r="P3169" t="s">
        <v>28</v>
      </c>
      <c r="Q3169">
        <v>0</v>
      </c>
    </row>
    <row r="3170" spans="1:17" x14ac:dyDescent="0.3">
      <c r="A3170" t="s">
        <v>17</v>
      </c>
      <c r="B3170">
        <v>68</v>
      </c>
      <c r="C3170" t="s">
        <v>34</v>
      </c>
      <c r="D3170" s="2">
        <v>46029</v>
      </c>
      <c r="E3170" s="3">
        <f t="shared" si="49"/>
        <v>46023</v>
      </c>
      <c r="F3170" t="s">
        <v>2714</v>
      </c>
      <c r="G3170" t="s">
        <v>122</v>
      </c>
      <c r="H3170" s="4">
        <v>988.75</v>
      </c>
      <c r="I3170" t="s">
        <v>108</v>
      </c>
      <c r="J3170" t="s">
        <v>109</v>
      </c>
      <c r="K3170" t="s">
        <v>388</v>
      </c>
      <c r="L3170" s="2">
        <v>46023</v>
      </c>
      <c r="M3170" t="s">
        <v>109</v>
      </c>
      <c r="N3170">
        <v>0</v>
      </c>
      <c r="O3170" t="s">
        <v>111</v>
      </c>
      <c r="P3170" t="s">
        <v>112</v>
      </c>
      <c r="Q3170" t="s">
        <v>113</v>
      </c>
    </row>
    <row r="3171" spans="1:17" x14ac:dyDescent="0.3">
      <c r="A3171" t="s">
        <v>17</v>
      </c>
      <c r="B3171">
        <v>67</v>
      </c>
      <c r="C3171" t="s">
        <v>28</v>
      </c>
      <c r="D3171" s="2">
        <v>46031</v>
      </c>
      <c r="E3171" s="3">
        <f t="shared" si="49"/>
        <v>46023</v>
      </c>
      <c r="F3171" t="s">
        <v>2715</v>
      </c>
      <c r="G3171" t="s">
        <v>67</v>
      </c>
      <c r="H3171" s="4">
        <v>299.91000000000003</v>
      </c>
      <c r="I3171" t="s">
        <v>31</v>
      </c>
      <c r="J3171" t="s">
        <v>68</v>
      </c>
      <c r="K3171" t="s">
        <v>2715</v>
      </c>
      <c r="L3171" s="2">
        <v>46023</v>
      </c>
      <c r="M3171" t="s">
        <v>68</v>
      </c>
      <c r="N3171">
        <v>0</v>
      </c>
      <c r="O3171" t="s">
        <v>31</v>
      </c>
      <c r="P3171" t="s">
        <v>28</v>
      </c>
      <c r="Q3171">
        <v>0</v>
      </c>
    </row>
    <row r="3172" spans="1:17" x14ac:dyDescent="0.3">
      <c r="A3172" t="s">
        <v>17</v>
      </c>
      <c r="B3172">
        <v>67</v>
      </c>
      <c r="C3172" t="s">
        <v>28</v>
      </c>
      <c r="D3172" s="2">
        <v>46031</v>
      </c>
      <c r="E3172" s="3">
        <f t="shared" si="49"/>
        <v>46023</v>
      </c>
      <c r="F3172" t="s">
        <v>2716</v>
      </c>
      <c r="H3172" s="4">
        <v>927.78</v>
      </c>
      <c r="I3172" t="s">
        <v>116</v>
      </c>
      <c r="J3172" t="s">
        <v>64</v>
      </c>
      <c r="K3172" t="s">
        <v>2717</v>
      </c>
      <c r="L3172" s="2">
        <v>46023</v>
      </c>
      <c r="M3172" t="s">
        <v>64</v>
      </c>
      <c r="N3172">
        <v>0</v>
      </c>
      <c r="O3172" t="s">
        <v>116</v>
      </c>
      <c r="P3172" t="s">
        <v>28</v>
      </c>
      <c r="Q3172">
        <v>0</v>
      </c>
    </row>
    <row r="3173" spans="1:17" x14ac:dyDescent="0.3">
      <c r="A3173" t="s">
        <v>17</v>
      </c>
      <c r="B3173">
        <v>68</v>
      </c>
      <c r="C3173" t="s">
        <v>34</v>
      </c>
      <c r="D3173" s="2">
        <v>46032</v>
      </c>
      <c r="E3173" s="3">
        <f t="shared" si="49"/>
        <v>46023</v>
      </c>
      <c r="F3173">
        <v>12945</v>
      </c>
      <c r="G3173" t="s">
        <v>131</v>
      </c>
      <c r="H3173" s="4">
        <v>1034.31</v>
      </c>
      <c r="I3173" t="s">
        <v>31</v>
      </c>
      <c r="J3173" t="s">
        <v>79</v>
      </c>
      <c r="K3173" t="s">
        <v>1406</v>
      </c>
      <c r="L3173" s="2">
        <v>46023</v>
      </c>
      <c r="M3173" t="s">
        <v>79</v>
      </c>
      <c r="N3173">
        <v>0</v>
      </c>
      <c r="O3173" t="s">
        <v>31</v>
      </c>
      <c r="P3173" t="s">
        <v>34</v>
      </c>
      <c r="Q3173">
        <v>0</v>
      </c>
    </row>
    <row r="3174" spans="1:17" x14ac:dyDescent="0.3">
      <c r="A3174" t="s">
        <v>17</v>
      </c>
      <c r="B3174">
        <v>66</v>
      </c>
      <c r="C3174" t="s">
        <v>134</v>
      </c>
      <c r="D3174" s="2">
        <v>46032</v>
      </c>
      <c r="E3174" s="3">
        <f t="shared" si="49"/>
        <v>46023</v>
      </c>
      <c r="F3174" t="s">
        <v>2718</v>
      </c>
      <c r="G3174" t="s">
        <v>254</v>
      </c>
      <c r="H3174" s="4">
        <v>200</v>
      </c>
      <c r="I3174" t="s">
        <v>108</v>
      </c>
      <c r="J3174" t="s">
        <v>255</v>
      </c>
      <c r="K3174" t="s">
        <v>2719</v>
      </c>
      <c r="L3174" s="2">
        <v>46023</v>
      </c>
      <c r="M3174" t="s">
        <v>257</v>
      </c>
      <c r="N3174">
        <v>0</v>
      </c>
      <c r="O3174" t="s">
        <v>111</v>
      </c>
      <c r="P3174" t="s">
        <v>134</v>
      </c>
      <c r="Q3174">
        <v>0</v>
      </c>
    </row>
    <row r="3175" spans="1:17" x14ac:dyDescent="0.3">
      <c r="A3175" t="s">
        <v>17</v>
      </c>
      <c r="B3175">
        <v>66</v>
      </c>
      <c r="C3175" t="s">
        <v>134</v>
      </c>
      <c r="D3175" s="2">
        <v>46032</v>
      </c>
      <c r="E3175" s="3">
        <f t="shared" si="49"/>
        <v>46023</v>
      </c>
      <c r="F3175" t="s">
        <v>2718</v>
      </c>
      <c r="G3175" t="s">
        <v>254</v>
      </c>
      <c r="H3175" s="4">
        <v>300</v>
      </c>
      <c r="I3175" t="s">
        <v>108</v>
      </c>
      <c r="J3175" t="s">
        <v>255</v>
      </c>
      <c r="K3175" t="s">
        <v>2297</v>
      </c>
      <c r="L3175" s="2">
        <v>46023</v>
      </c>
      <c r="M3175" t="s">
        <v>257</v>
      </c>
      <c r="N3175">
        <v>0</v>
      </c>
      <c r="O3175" t="s">
        <v>111</v>
      </c>
      <c r="P3175" t="s">
        <v>134</v>
      </c>
      <c r="Q3175">
        <v>0</v>
      </c>
    </row>
    <row r="3176" spans="1:17" x14ac:dyDescent="0.3">
      <c r="A3176" t="s">
        <v>17</v>
      </c>
      <c r="B3176">
        <v>64</v>
      </c>
      <c r="C3176" t="s">
        <v>83</v>
      </c>
      <c r="D3176" s="2">
        <v>46033</v>
      </c>
      <c r="E3176" s="3">
        <f t="shared" si="49"/>
        <v>46023</v>
      </c>
      <c r="F3176" t="s">
        <v>2720</v>
      </c>
      <c r="H3176" s="4">
        <v>116.94</v>
      </c>
      <c r="I3176" t="s">
        <v>47</v>
      </c>
      <c r="J3176" t="s">
        <v>87</v>
      </c>
      <c r="K3176" t="s">
        <v>2721</v>
      </c>
      <c r="L3176" s="2">
        <v>46023</v>
      </c>
      <c r="M3176" t="s">
        <v>89</v>
      </c>
      <c r="N3176">
        <v>0</v>
      </c>
      <c r="O3176" t="s">
        <v>26</v>
      </c>
      <c r="P3176" t="s">
        <v>83</v>
      </c>
      <c r="Q3176">
        <v>0</v>
      </c>
    </row>
    <row r="3177" spans="1:17" x14ac:dyDescent="0.3">
      <c r="A3177" t="s">
        <v>17</v>
      </c>
      <c r="B3177">
        <v>64</v>
      </c>
      <c r="C3177" t="s">
        <v>83</v>
      </c>
      <c r="D3177" s="2">
        <v>46033</v>
      </c>
      <c r="E3177" s="3">
        <f t="shared" si="49"/>
        <v>46023</v>
      </c>
      <c r="F3177" t="s">
        <v>2720</v>
      </c>
      <c r="H3177" s="4">
        <v>114.35</v>
      </c>
      <c r="I3177" t="s">
        <v>47</v>
      </c>
      <c r="J3177" t="s">
        <v>87</v>
      </c>
      <c r="K3177" t="s">
        <v>2722</v>
      </c>
      <c r="L3177" s="2">
        <v>46023</v>
      </c>
      <c r="M3177" t="s">
        <v>89</v>
      </c>
      <c r="N3177">
        <v>0</v>
      </c>
      <c r="O3177" t="s">
        <v>26</v>
      </c>
      <c r="P3177" t="s">
        <v>83</v>
      </c>
      <c r="Q3177">
        <v>0</v>
      </c>
    </row>
    <row r="3178" spans="1:17" x14ac:dyDescent="0.3">
      <c r="A3178" t="s">
        <v>17</v>
      </c>
      <c r="B3178">
        <v>64</v>
      </c>
      <c r="C3178" t="s">
        <v>83</v>
      </c>
      <c r="D3178" s="2">
        <v>46033</v>
      </c>
      <c r="E3178" s="3">
        <f t="shared" si="49"/>
        <v>46023</v>
      </c>
      <c r="F3178" t="s">
        <v>2720</v>
      </c>
      <c r="H3178" s="4">
        <v>54.92</v>
      </c>
      <c r="I3178" t="s">
        <v>47</v>
      </c>
      <c r="J3178" t="s">
        <v>87</v>
      </c>
      <c r="K3178" t="s">
        <v>2723</v>
      </c>
      <c r="L3178" s="2">
        <v>46023</v>
      </c>
      <c r="M3178" t="s">
        <v>89</v>
      </c>
      <c r="N3178">
        <v>0</v>
      </c>
      <c r="O3178" t="s">
        <v>26</v>
      </c>
      <c r="P3178" t="s">
        <v>83</v>
      </c>
      <c r="Q3178">
        <v>0</v>
      </c>
    </row>
    <row r="3179" spans="1:17" x14ac:dyDescent="0.3">
      <c r="A3179" t="s">
        <v>17</v>
      </c>
      <c r="B3179">
        <v>68</v>
      </c>
      <c r="C3179" t="s">
        <v>34</v>
      </c>
      <c r="D3179" s="2">
        <v>46033</v>
      </c>
      <c r="E3179" s="3">
        <f t="shared" si="49"/>
        <v>46023</v>
      </c>
      <c r="F3179" t="s">
        <v>2720</v>
      </c>
      <c r="G3179" t="s">
        <v>1227</v>
      </c>
      <c r="H3179" s="4">
        <v>99.4</v>
      </c>
      <c r="I3179" t="s">
        <v>47</v>
      </c>
      <c r="J3179" t="s">
        <v>79</v>
      </c>
      <c r="K3179" t="s">
        <v>2724</v>
      </c>
      <c r="L3179" s="2">
        <v>46023</v>
      </c>
      <c r="M3179" t="s">
        <v>79</v>
      </c>
      <c r="N3179">
        <v>0</v>
      </c>
      <c r="O3179" t="s">
        <v>26</v>
      </c>
      <c r="P3179" t="s">
        <v>34</v>
      </c>
      <c r="Q3179">
        <v>0</v>
      </c>
    </row>
    <row r="3180" spans="1:17" x14ac:dyDescent="0.3">
      <c r="A3180" t="s">
        <v>17</v>
      </c>
      <c r="B3180">
        <v>68</v>
      </c>
      <c r="C3180" t="s">
        <v>34</v>
      </c>
      <c r="D3180" s="2">
        <v>46033</v>
      </c>
      <c r="E3180" s="3">
        <f t="shared" si="49"/>
        <v>46023</v>
      </c>
      <c r="F3180" t="s">
        <v>2720</v>
      </c>
      <c r="G3180" t="s">
        <v>1227</v>
      </c>
      <c r="H3180" s="4">
        <v>21.76</v>
      </c>
      <c r="I3180" t="s">
        <v>47</v>
      </c>
      <c r="J3180" t="s">
        <v>79</v>
      </c>
      <c r="K3180" t="s">
        <v>2725</v>
      </c>
      <c r="L3180" s="2">
        <v>46023</v>
      </c>
      <c r="M3180" t="s">
        <v>79</v>
      </c>
      <c r="N3180">
        <v>0</v>
      </c>
      <c r="O3180" t="s">
        <v>26</v>
      </c>
      <c r="P3180" t="s">
        <v>34</v>
      </c>
      <c r="Q3180">
        <v>0</v>
      </c>
    </row>
    <row r="3181" spans="1:17" x14ac:dyDescent="0.3">
      <c r="A3181" t="s">
        <v>17</v>
      </c>
      <c r="B3181">
        <v>64</v>
      </c>
      <c r="C3181" t="s">
        <v>83</v>
      </c>
      <c r="D3181" s="2">
        <v>46034</v>
      </c>
      <c r="E3181" s="3">
        <f t="shared" si="49"/>
        <v>46023</v>
      </c>
      <c r="F3181" t="s">
        <v>2726</v>
      </c>
      <c r="H3181" s="4">
        <v>66.959999999999994</v>
      </c>
      <c r="I3181" t="s">
        <v>31</v>
      </c>
      <c r="J3181" t="s">
        <v>91</v>
      </c>
      <c r="K3181" t="s">
        <v>2192</v>
      </c>
      <c r="L3181" s="2">
        <v>46023</v>
      </c>
      <c r="M3181" t="s">
        <v>93</v>
      </c>
      <c r="N3181">
        <v>0</v>
      </c>
      <c r="O3181" t="s">
        <v>31</v>
      </c>
      <c r="P3181" t="s">
        <v>83</v>
      </c>
      <c r="Q3181">
        <v>0</v>
      </c>
    </row>
    <row r="3182" spans="1:17" x14ac:dyDescent="0.3">
      <c r="A3182" t="s">
        <v>17</v>
      </c>
      <c r="B3182">
        <v>64</v>
      </c>
      <c r="C3182" t="s">
        <v>83</v>
      </c>
      <c r="D3182" s="2">
        <v>46034</v>
      </c>
      <c r="E3182" s="3">
        <f t="shared" si="49"/>
        <v>46023</v>
      </c>
      <c r="F3182" t="s">
        <v>2726</v>
      </c>
      <c r="H3182" s="4">
        <v>79.8</v>
      </c>
      <c r="I3182" t="s">
        <v>31</v>
      </c>
      <c r="J3182" t="s">
        <v>91</v>
      </c>
      <c r="K3182" t="s">
        <v>1199</v>
      </c>
      <c r="L3182" s="2">
        <v>46023</v>
      </c>
      <c r="M3182" t="s">
        <v>93</v>
      </c>
      <c r="N3182">
        <v>0</v>
      </c>
      <c r="O3182" t="s">
        <v>31</v>
      </c>
      <c r="P3182" t="s">
        <v>83</v>
      </c>
      <c r="Q3182">
        <v>0</v>
      </c>
    </row>
    <row r="3183" spans="1:17" x14ac:dyDescent="0.3">
      <c r="A3183" t="s">
        <v>17</v>
      </c>
      <c r="B3183">
        <v>64</v>
      </c>
      <c r="C3183" t="s">
        <v>83</v>
      </c>
      <c r="D3183" s="2">
        <v>46034</v>
      </c>
      <c r="E3183" s="3">
        <f t="shared" si="49"/>
        <v>46023</v>
      </c>
      <c r="F3183" t="s">
        <v>2726</v>
      </c>
      <c r="H3183" s="4">
        <v>28.98</v>
      </c>
      <c r="I3183" t="s">
        <v>31</v>
      </c>
      <c r="J3183" t="s">
        <v>91</v>
      </c>
      <c r="K3183" t="s">
        <v>2192</v>
      </c>
      <c r="L3183" s="2">
        <v>46023</v>
      </c>
      <c r="M3183" t="s">
        <v>93</v>
      </c>
      <c r="N3183">
        <v>0</v>
      </c>
      <c r="O3183" t="s">
        <v>31</v>
      </c>
      <c r="P3183" t="s">
        <v>83</v>
      </c>
      <c r="Q3183">
        <v>0</v>
      </c>
    </row>
    <row r="3184" spans="1:17" x14ac:dyDescent="0.3">
      <c r="A3184" t="s">
        <v>17</v>
      </c>
      <c r="B3184">
        <v>64</v>
      </c>
      <c r="C3184" t="s">
        <v>83</v>
      </c>
      <c r="D3184" s="2">
        <v>46034</v>
      </c>
      <c r="E3184" s="3">
        <f t="shared" si="49"/>
        <v>46023</v>
      </c>
      <c r="F3184" t="s">
        <v>2726</v>
      </c>
      <c r="H3184" s="4">
        <v>74.45</v>
      </c>
      <c r="I3184" t="s">
        <v>31</v>
      </c>
      <c r="J3184" t="s">
        <v>91</v>
      </c>
      <c r="K3184" t="s">
        <v>2727</v>
      </c>
      <c r="L3184" s="2">
        <v>46023</v>
      </c>
      <c r="M3184" t="s">
        <v>93</v>
      </c>
      <c r="N3184">
        <v>0</v>
      </c>
      <c r="O3184" t="s">
        <v>31</v>
      </c>
      <c r="P3184" t="s">
        <v>83</v>
      </c>
      <c r="Q3184">
        <v>0</v>
      </c>
    </row>
    <row r="3185" spans="1:17" x14ac:dyDescent="0.3">
      <c r="A3185" t="s">
        <v>17</v>
      </c>
      <c r="B3185">
        <v>68</v>
      </c>
      <c r="C3185" t="s">
        <v>34</v>
      </c>
      <c r="D3185" s="2">
        <v>46034</v>
      </c>
      <c r="E3185" s="3">
        <f t="shared" si="49"/>
        <v>46023</v>
      </c>
      <c r="F3185" t="s">
        <v>2728</v>
      </c>
      <c r="G3185" t="s">
        <v>122</v>
      </c>
      <c r="H3185" s="4">
        <v>5.0199999999999996</v>
      </c>
      <c r="I3185" t="s">
        <v>108</v>
      </c>
      <c r="J3185" t="s">
        <v>109</v>
      </c>
      <c r="K3185" t="s">
        <v>1450</v>
      </c>
      <c r="L3185" s="2">
        <v>46023</v>
      </c>
      <c r="M3185" t="s">
        <v>109</v>
      </c>
      <c r="N3185">
        <v>0</v>
      </c>
      <c r="O3185" t="s">
        <v>111</v>
      </c>
      <c r="P3185" t="s">
        <v>112</v>
      </c>
      <c r="Q3185" t="s">
        <v>113</v>
      </c>
    </row>
    <row r="3186" spans="1:17" x14ac:dyDescent="0.3">
      <c r="A3186" t="s">
        <v>17</v>
      </c>
      <c r="B3186">
        <v>68</v>
      </c>
      <c r="C3186" t="s">
        <v>34</v>
      </c>
      <c r="D3186" s="2">
        <v>46034</v>
      </c>
      <c r="E3186" s="3">
        <f t="shared" si="49"/>
        <v>46023</v>
      </c>
      <c r="F3186" t="s">
        <v>2728</v>
      </c>
      <c r="G3186" t="s">
        <v>122</v>
      </c>
      <c r="H3186" s="4">
        <v>17.5</v>
      </c>
      <c r="I3186" t="s">
        <v>108</v>
      </c>
      <c r="J3186" t="s">
        <v>109</v>
      </c>
      <c r="L3186" s="2">
        <v>46023</v>
      </c>
      <c r="M3186" t="s">
        <v>109</v>
      </c>
      <c r="N3186">
        <v>0</v>
      </c>
      <c r="O3186" t="s">
        <v>111</v>
      </c>
      <c r="P3186" t="s">
        <v>112</v>
      </c>
      <c r="Q3186" t="s">
        <v>113</v>
      </c>
    </row>
    <row r="3187" spans="1:17" x14ac:dyDescent="0.3">
      <c r="A3187" t="s">
        <v>17</v>
      </c>
      <c r="B3187">
        <v>68</v>
      </c>
      <c r="C3187" t="s">
        <v>34</v>
      </c>
      <c r="D3187" s="2">
        <v>46034</v>
      </c>
      <c r="E3187" s="3">
        <f t="shared" si="49"/>
        <v>46023</v>
      </c>
      <c r="F3187" t="s">
        <v>2728</v>
      </c>
      <c r="G3187" t="s">
        <v>122</v>
      </c>
      <c r="H3187" s="4">
        <v>1.34</v>
      </c>
      <c r="I3187" t="s">
        <v>108</v>
      </c>
      <c r="J3187" t="s">
        <v>109</v>
      </c>
      <c r="L3187" s="2">
        <v>46023</v>
      </c>
      <c r="M3187" t="s">
        <v>109</v>
      </c>
      <c r="N3187">
        <v>0</v>
      </c>
      <c r="O3187" t="s">
        <v>111</v>
      </c>
      <c r="P3187" t="s">
        <v>112</v>
      </c>
      <c r="Q3187" t="s">
        <v>113</v>
      </c>
    </row>
    <row r="3188" spans="1:17" x14ac:dyDescent="0.3">
      <c r="A3188" t="s">
        <v>17</v>
      </c>
      <c r="B3188">
        <v>68</v>
      </c>
      <c r="C3188" t="s">
        <v>34</v>
      </c>
      <c r="D3188" s="2">
        <v>46034</v>
      </c>
      <c r="E3188" s="3">
        <f t="shared" si="49"/>
        <v>46023</v>
      </c>
      <c r="F3188" t="s">
        <v>2729</v>
      </c>
      <c r="G3188" t="s">
        <v>122</v>
      </c>
      <c r="H3188" s="4">
        <v>26.1</v>
      </c>
      <c r="I3188" t="s">
        <v>108</v>
      </c>
      <c r="J3188" t="s">
        <v>109</v>
      </c>
      <c r="L3188" s="2">
        <v>46023</v>
      </c>
      <c r="M3188" t="s">
        <v>109</v>
      </c>
      <c r="N3188">
        <v>0</v>
      </c>
      <c r="O3188" t="s">
        <v>111</v>
      </c>
      <c r="P3188" t="s">
        <v>112</v>
      </c>
      <c r="Q3188" t="s">
        <v>113</v>
      </c>
    </row>
    <row r="3189" spans="1:17" x14ac:dyDescent="0.3">
      <c r="A3189" t="s">
        <v>17</v>
      </c>
      <c r="B3189">
        <v>68</v>
      </c>
      <c r="C3189" t="s">
        <v>34</v>
      </c>
      <c r="D3189" s="2">
        <v>46034</v>
      </c>
      <c r="E3189" s="3">
        <f t="shared" si="49"/>
        <v>46023</v>
      </c>
      <c r="F3189" t="s">
        <v>2729</v>
      </c>
      <c r="G3189" t="s">
        <v>122</v>
      </c>
      <c r="H3189" s="4">
        <v>17.5</v>
      </c>
      <c r="I3189" t="s">
        <v>108</v>
      </c>
      <c r="J3189" t="s">
        <v>109</v>
      </c>
      <c r="L3189" s="2">
        <v>46023</v>
      </c>
      <c r="M3189" t="s">
        <v>109</v>
      </c>
      <c r="N3189">
        <v>0</v>
      </c>
      <c r="O3189" t="s">
        <v>111</v>
      </c>
      <c r="P3189" t="s">
        <v>112</v>
      </c>
      <c r="Q3189" t="s">
        <v>113</v>
      </c>
    </row>
    <row r="3190" spans="1:17" x14ac:dyDescent="0.3">
      <c r="A3190" t="s">
        <v>17</v>
      </c>
      <c r="B3190">
        <v>68</v>
      </c>
      <c r="C3190" t="s">
        <v>34</v>
      </c>
      <c r="D3190" s="2">
        <v>46034</v>
      </c>
      <c r="E3190" s="3">
        <f t="shared" si="49"/>
        <v>46023</v>
      </c>
      <c r="F3190" t="s">
        <v>2729</v>
      </c>
      <c r="G3190" t="s">
        <v>122</v>
      </c>
      <c r="H3190" s="4">
        <v>1.34</v>
      </c>
      <c r="I3190" t="s">
        <v>108</v>
      </c>
      <c r="J3190" t="s">
        <v>109</v>
      </c>
      <c r="K3190" t="s">
        <v>1457</v>
      </c>
      <c r="L3190" s="2">
        <v>46023</v>
      </c>
      <c r="M3190" t="s">
        <v>109</v>
      </c>
      <c r="N3190">
        <v>0</v>
      </c>
      <c r="O3190" t="s">
        <v>111</v>
      </c>
      <c r="P3190" t="s">
        <v>112</v>
      </c>
      <c r="Q3190" t="s">
        <v>113</v>
      </c>
    </row>
    <row r="3191" spans="1:17" x14ac:dyDescent="0.3">
      <c r="A3191" t="s">
        <v>17</v>
      </c>
      <c r="B3191">
        <v>67</v>
      </c>
      <c r="C3191" t="s">
        <v>28</v>
      </c>
      <c r="D3191" s="2">
        <v>46036</v>
      </c>
      <c r="E3191" s="3">
        <f t="shared" si="49"/>
        <v>46023</v>
      </c>
      <c r="F3191" t="s">
        <v>2730</v>
      </c>
      <c r="G3191" t="s">
        <v>119</v>
      </c>
      <c r="H3191" s="4">
        <v>1715</v>
      </c>
      <c r="I3191" t="s">
        <v>31</v>
      </c>
      <c r="J3191" t="s">
        <v>68</v>
      </c>
      <c r="K3191" t="s">
        <v>1567</v>
      </c>
      <c r="L3191" s="2">
        <v>46023</v>
      </c>
      <c r="M3191" t="s">
        <v>68</v>
      </c>
      <c r="N3191">
        <v>0</v>
      </c>
      <c r="O3191" t="s">
        <v>31</v>
      </c>
      <c r="P3191" t="s">
        <v>28</v>
      </c>
      <c r="Q3191">
        <v>0</v>
      </c>
    </row>
    <row r="3192" spans="1:17" x14ac:dyDescent="0.3">
      <c r="A3192" t="s">
        <v>17</v>
      </c>
      <c r="B3192">
        <v>68</v>
      </c>
      <c r="C3192" t="s">
        <v>34</v>
      </c>
      <c r="D3192" s="2">
        <v>46036</v>
      </c>
      <c r="E3192" s="3">
        <f t="shared" si="49"/>
        <v>46023</v>
      </c>
      <c r="F3192" t="s">
        <v>2731</v>
      </c>
      <c r="G3192" t="s">
        <v>122</v>
      </c>
      <c r="H3192" s="4">
        <v>1487.89</v>
      </c>
      <c r="I3192" t="s">
        <v>108</v>
      </c>
      <c r="J3192" t="s">
        <v>109</v>
      </c>
      <c r="K3192" t="s">
        <v>2732</v>
      </c>
      <c r="L3192" s="2">
        <v>46023</v>
      </c>
      <c r="M3192" t="s">
        <v>109</v>
      </c>
      <c r="N3192">
        <v>0</v>
      </c>
      <c r="O3192" t="s">
        <v>111</v>
      </c>
      <c r="P3192" t="s">
        <v>112</v>
      </c>
      <c r="Q3192" t="s">
        <v>113</v>
      </c>
    </row>
    <row r="3193" spans="1:17" x14ac:dyDescent="0.3">
      <c r="A3193" t="s">
        <v>17</v>
      </c>
      <c r="B3193">
        <v>65</v>
      </c>
      <c r="C3193" t="s">
        <v>54</v>
      </c>
      <c r="D3193" s="2">
        <v>46036</v>
      </c>
      <c r="E3193" s="3">
        <f t="shared" si="49"/>
        <v>46023</v>
      </c>
      <c r="F3193">
        <v>42533458</v>
      </c>
      <c r="G3193" t="s">
        <v>154</v>
      </c>
      <c r="H3193" s="4">
        <v>10.62</v>
      </c>
      <c r="I3193" t="s">
        <v>31</v>
      </c>
      <c r="J3193" t="s">
        <v>155</v>
      </c>
      <c r="K3193" t="s">
        <v>1742</v>
      </c>
      <c r="L3193" s="2">
        <v>46023</v>
      </c>
      <c r="M3193" t="s">
        <v>155</v>
      </c>
      <c r="N3193">
        <v>0</v>
      </c>
      <c r="O3193" t="s">
        <v>31</v>
      </c>
      <c r="P3193" t="s">
        <v>54</v>
      </c>
      <c r="Q3193">
        <v>0</v>
      </c>
    </row>
    <row r="3194" spans="1:17" x14ac:dyDescent="0.3">
      <c r="A3194" t="s">
        <v>17</v>
      </c>
      <c r="B3194">
        <v>65</v>
      </c>
      <c r="C3194" t="s">
        <v>54</v>
      </c>
      <c r="D3194" s="2">
        <v>46036</v>
      </c>
      <c r="E3194" s="3">
        <f t="shared" si="49"/>
        <v>46023</v>
      </c>
      <c r="F3194">
        <v>42533458</v>
      </c>
      <c r="G3194" t="s">
        <v>154</v>
      </c>
      <c r="H3194" s="4">
        <v>30.61</v>
      </c>
      <c r="I3194" t="s">
        <v>31</v>
      </c>
      <c r="J3194" t="s">
        <v>155</v>
      </c>
      <c r="K3194" t="s">
        <v>2379</v>
      </c>
      <c r="L3194" s="2">
        <v>46023</v>
      </c>
      <c r="M3194" t="s">
        <v>155</v>
      </c>
      <c r="N3194">
        <v>0</v>
      </c>
      <c r="O3194" t="s">
        <v>31</v>
      </c>
      <c r="P3194" t="s">
        <v>54</v>
      </c>
      <c r="Q3194">
        <v>0</v>
      </c>
    </row>
    <row r="3195" spans="1:17" x14ac:dyDescent="0.3">
      <c r="A3195" t="s">
        <v>17</v>
      </c>
      <c r="B3195">
        <v>65</v>
      </c>
      <c r="C3195" t="s">
        <v>54</v>
      </c>
      <c r="D3195" s="2">
        <v>46036</v>
      </c>
      <c r="E3195" s="3">
        <f t="shared" si="49"/>
        <v>46023</v>
      </c>
      <c r="F3195">
        <v>42533458</v>
      </c>
      <c r="G3195" t="s">
        <v>154</v>
      </c>
      <c r="H3195" s="4">
        <v>721.98</v>
      </c>
      <c r="I3195" t="s">
        <v>31</v>
      </c>
      <c r="J3195" t="s">
        <v>155</v>
      </c>
      <c r="K3195" t="s">
        <v>2156</v>
      </c>
      <c r="L3195" s="2">
        <v>46023</v>
      </c>
      <c r="M3195" t="s">
        <v>155</v>
      </c>
      <c r="N3195">
        <v>0</v>
      </c>
      <c r="O3195" t="s">
        <v>31</v>
      </c>
      <c r="P3195" t="s">
        <v>54</v>
      </c>
      <c r="Q3195">
        <v>0</v>
      </c>
    </row>
    <row r="3196" spans="1:17" x14ac:dyDescent="0.3">
      <c r="A3196" t="s">
        <v>17</v>
      </c>
      <c r="B3196">
        <v>68</v>
      </c>
      <c r="C3196" t="s">
        <v>34</v>
      </c>
      <c r="D3196" s="2">
        <v>46037</v>
      </c>
      <c r="E3196" s="3">
        <f t="shared" si="49"/>
        <v>46023</v>
      </c>
      <c r="F3196" t="s">
        <v>2733</v>
      </c>
      <c r="G3196" t="s">
        <v>122</v>
      </c>
      <c r="H3196" s="4">
        <v>23.34</v>
      </c>
      <c r="I3196" t="s">
        <v>108</v>
      </c>
      <c r="J3196" t="s">
        <v>109</v>
      </c>
      <c r="L3196" s="2">
        <v>46023</v>
      </c>
      <c r="M3196" t="s">
        <v>109</v>
      </c>
      <c r="N3196">
        <v>0</v>
      </c>
      <c r="O3196" t="s">
        <v>111</v>
      </c>
      <c r="P3196" t="s">
        <v>112</v>
      </c>
      <c r="Q3196" t="s">
        <v>113</v>
      </c>
    </row>
    <row r="3197" spans="1:17" x14ac:dyDescent="0.3">
      <c r="A3197" t="s">
        <v>17</v>
      </c>
      <c r="B3197">
        <v>68</v>
      </c>
      <c r="C3197" t="s">
        <v>34</v>
      </c>
      <c r="D3197" s="2">
        <v>46037</v>
      </c>
      <c r="E3197" s="3">
        <f t="shared" si="49"/>
        <v>46023</v>
      </c>
      <c r="F3197" t="s">
        <v>2734</v>
      </c>
      <c r="G3197" t="s">
        <v>122</v>
      </c>
      <c r="H3197" s="4">
        <v>2.14</v>
      </c>
      <c r="I3197" t="s">
        <v>108</v>
      </c>
      <c r="J3197" t="s">
        <v>109</v>
      </c>
      <c r="L3197" s="2">
        <v>46023</v>
      </c>
      <c r="M3197" t="s">
        <v>109</v>
      </c>
      <c r="N3197">
        <v>0</v>
      </c>
      <c r="O3197" t="s">
        <v>111</v>
      </c>
      <c r="P3197" t="s">
        <v>112</v>
      </c>
      <c r="Q3197" t="s">
        <v>113</v>
      </c>
    </row>
    <row r="3198" spans="1:17" x14ac:dyDescent="0.3">
      <c r="A3198" t="s">
        <v>17</v>
      </c>
      <c r="B3198">
        <v>68</v>
      </c>
      <c r="C3198" t="s">
        <v>34</v>
      </c>
      <c r="D3198" s="2">
        <v>46037</v>
      </c>
      <c r="E3198" s="3">
        <f t="shared" si="49"/>
        <v>46023</v>
      </c>
      <c r="F3198" t="s">
        <v>2734</v>
      </c>
      <c r="G3198" t="s">
        <v>122</v>
      </c>
      <c r="H3198" s="4">
        <v>17.5</v>
      </c>
      <c r="I3198" t="s">
        <v>108</v>
      </c>
      <c r="J3198" t="s">
        <v>109</v>
      </c>
      <c r="L3198" s="2">
        <v>46023</v>
      </c>
      <c r="M3198" t="s">
        <v>109</v>
      </c>
      <c r="N3198">
        <v>0</v>
      </c>
      <c r="O3198" t="s">
        <v>111</v>
      </c>
      <c r="P3198" t="s">
        <v>112</v>
      </c>
      <c r="Q3198" t="s">
        <v>113</v>
      </c>
    </row>
    <row r="3199" spans="1:17" x14ac:dyDescent="0.3">
      <c r="A3199" t="s">
        <v>17</v>
      </c>
      <c r="B3199">
        <v>68</v>
      </c>
      <c r="C3199" t="s">
        <v>34</v>
      </c>
      <c r="D3199" s="2">
        <v>46037</v>
      </c>
      <c r="E3199" s="3">
        <f t="shared" si="49"/>
        <v>46023</v>
      </c>
      <c r="F3199" t="s">
        <v>2734</v>
      </c>
      <c r="G3199" t="s">
        <v>122</v>
      </c>
      <c r="H3199" s="4">
        <v>1.34</v>
      </c>
      <c r="I3199" t="s">
        <v>108</v>
      </c>
      <c r="J3199" t="s">
        <v>109</v>
      </c>
      <c r="L3199" s="2">
        <v>46023</v>
      </c>
      <c r="M3199" t="s">
        <v>109</v>
      </c>
      <c r="N3199">
        <v>0</v>
      </c>
      <c r="O3199" t="s">
        <v>111</v>
      </c>
      <c r="P3199" t="s">
        <v>112</v>
      </c>
      <c r="Q3199" t="s">
        <v>113</v>
      </c>
    </row>
    <row r="3200" spans="1:17" x14ac:dyDescent="0.3">
      <c r="A3200" t="s">
        <v>17</v>
      </c>
      <c r="B3200">
        <v>67</v>
      </c>
      <c r="C3200" t="s">
        <v>28</v>
      </c>
      <c r="D3200" s="2">
        <v>46037</v>
      </c>
      <c r="E3200" s="3">
        <f t="shared" si="49"/>
        <v>46023</v>
      </c>
      <c r="F3200" t="s">
        <v>2735</v>
      </c>
      <c r="H3200" s="4">
        <v>-19.3</v>
      </c>
      <c r="I3200" t="s">
        <v>31</v>
      </c>
      <c r="J3200" t="s">
        <v>60</v>
      </c>
      <c r="L3200" s="2">
        <v>46023</v>
      </c>
      <c r="M3200" t="s">
        <v>60</v>
      </c>
      <c r="N3200">
        <v>0</v>
      </c>
      <c r="O3200" t="s">
        <v>31</v>
      </c>
      <c r="P3200" t="s">
        <v>28</v>
      </c>
      <c r="Q3200">
        <v>0</v>
      </c>
    </row>
    <row r="3201" spans="1:17" x14ac:dyDescent="0.3">
      <c r="A3201" t="s">
        <v>17</v>
      </c>
      <c r="B3201">
        <v>67</v>
      </c>
      <c r="C3201" t="s">
        <v>28</v>
      </c>
      <c r="D3201" s="2">
        <v>46037</v>
      </c>
      <c r="E3201" s="3">
        <f t="shared" si="49"/>
        <v>46023</v>
      </c>
      <c r="F3201" t="s">
        <v>2735</v>
      </c>
      <c r="H3201" s="4">
        <v>-16.96</v>
      </c>
      <c r="I3201" t="s">
        <v>31</v>
      </c>
      <c r="J3201" t="s">
        <v>60</v>
      </c>
      <c r="L3201" s="2">
        <v>46023</v>
      </c>
      <c r="M3201" t="s">
        <v>60</v>
      </c>
      <c r="N3201">
        <v>0</v>
      </c>
      <c r="O3201" t="s">
        <v>31</v>
      </c>
      <c r="P3201" t="s">
        <v>28</v>
      </c>
      <c r="Q3201">
        <v>0</v>
      </c>
    </row>
    <row r="3202" spans="1:17" x14ac:dyDescent="0.3">
      <c r="A3202" t="s">
        <v>17</v>
      </c>
      <c r="B3202">
        <v>67</v>
      </c>
      <c r="C3202" t="s">
        <v>28</v>
      </c>
      <c r="D3202" s="2">
        <v>46037</v>
      </c>
      <c r="E3202" s="3">
        <f t="shared" si="49"/>
        <v>46023</v>
      </c>
      <c r="F3202" t="s">
        <v>2735</v>
      </c>
      <c r="H3202" s="4">
        <v>-74.78</v>
      </c>
      <c r="I3202" t="s">
        <v>31</v>
      </c>
      <c r="J3202" t="s">
        <v>60</v>
      </c>
      <c r="L3202" s="2">
        <v>46023</v>
      </c>
      <c r="M3202" t="s">
        <v>60</v>
      </c>
      <c r="N3202">
        <v>0</v>
      </c>
      <c r="O3202" t="s">
        <v>31</v>
      </c>
      <c r="P3202" t="s">
        <v>28</v>
      </c>
      <c r="Q3202">
        <v>0</v>
      </c>
    </row>
    <row r="3203" spans="1:17" x14ac:dyDescent="0.3">
      <c r="A3203" t="s">
        <v>17</v>
      </c>
      <c r="B3203">
        <v>67</v>
      </c>
      <c r="C3203" t="s">
        <v>28</v>
      </c>
      <c r="D3203" s="2">
        <v>46037</v>
      </c>
      <c r="E3203" s="3">
        <f t="shared" ref="E3203:E3266" si="50">IF($D3203="","",DATE(YEAR($D3203),MONTH($D3203),1))</f>
        <v>46023</v>
      </c>
      <c r="F3203" t="s">
        <v>2735</v>
      </c>
      <c r="H3203" s="4">
        <v>-47.6</v>
      </c>
      <c r="I3203" t="s">
        <v>31</v>
      </c>
      <c r="J3203" t="s">
        <v>60</v>
      </c>
      <c r="L3203" s="2">
        <v>46023</v>
      </c>
      <c r="M3203" t="s">
        <v>60</v>
      </c>
      <c r="N3203">
        <v>0</v>
      </c>
      <c r="O3203" t="s">
        <v>31</v>
      </c>
      <c r="P3203" t="s">
        <v>28</v>
      </c>
      <c r="Q3203">
        <v>0</v>
      </c>
    </row>
    <row r="3204" spans="1:17" x14ac:dyDescent="0.3">
      <c r="A3204" t="s">
        <v>17</v>
      </c>
      <c r="B3204">
        <v>67</v>
      </c>
      <c r="C3204" t="s">
        <v>28</v>
      </c>
      <c r="D3204" s="2">
        <v>46037</v>
      </c>
      <c r="E3204" s="3">
        <f t="shared" si="50"/>
        <v>46023</v>
      </c>
      <c r="F3204" t="s">
        <v>2735</v>
      </c>
      <c r="H3204" s="4">
        <v>-54.53</v>
      </c>
      <c r="I3204" t="s">
        <v>31</v>
      </c>
      <c r="J3204" t="s">
        <v>60</v>
      </c>
      <c r="L3204" s="2">
        <v>46023</v>
      </c>
      <c r="M3204" t="s">
        <v>60</v>
      </c>
      <c r="N3204">
        <v>0</v>
      </c>
      <c r="O3204" t="s">
        <v>31</v>
      </c>
      <c r="P3204" t="s">
        <v>28</v>
      </c>
      <c r="Q3204">
        <v>0</v>
      </c>
    </row>
    <row r="3205" spans="1:17" x14ac:dyDescent="0.3">
      <c r="A3205" t="s">
        <v>17</v>
      </c>
      <c r="B3205">
        <v>67</v>
      </c>
      <c r="C3205" t="s">
        <v>28</v>
      </c>
      <c r="D3205" s="2">
        <v>46037</v>
      </c>
      <c r="E3205" s="3">
        <f t="shared" si="50"/>
        <v>46023</v>
      </c>
      <c r="F3205" t="s">
        <v>2735</v>
      </c>
      <c r="H3205" s="4">
        <v>-102.12</v>
      </c>
      <c r="I3205" t="s">
        <v>31</v>
      </c>
      <c r="J3205" t="s">
        <v>60</v>
      </c>
      <c r="L3205" s="2">
        <v>46023</v>
      </c>
      <c r="M3205" t="s">
        <v>60</v>
      </c>
      <c r="N3205">
        <v>0</v>
      </c>
      <c r="O3205" t="s">
        <v>31</v>
      </c>
      <c r="P3205" t="s">
        <v>28</v>
      </c>
      <c r="Q3205">
        <v>0</v>
      </c>
    </row>
    <row r="3206" spans="1:17" x14ac:dyDescent="0.3">
      <c r="A3206" t="s">
        <v>17</v>
      </c>
      <c r="B3206">
        <v>67</v>
      </c>
      <c r="C3206" t="s">
        <v>28</v>
      </c>
      <c r="D3206" s="2">
        <v>46037</v>
      </c>
      <c r="E3206" s="3">
        <f t="shared" si="50"/>
        <v>46023</v>
      </c>
      <c r="F3206" t="s">
        <v>2735</v>
      </c>
      <c r="H3206" s="4">
        <v>-111.5</v>
      </c>
      <c r="I3206" t="s">
        <v>31</v>
      </c>
      <c r="J3206" t="s">
        <v>60</v>
      </c>
      <c r="L3206" s="2">
        <v>46023</v>
      </c>
      <c r="M3206" t="s">
        <v>60</v>
      </c>
      <c r="N3206">
        <v>0</v>
      </c>
      <c r="O3206" t="s">
        <v>31</v>
      </c>
      <c r="P3206" t="s">
        <v>28</v>
      </c>
      <c r="Q3206">
        <v>0</v>
      </c>
    </row>
    <row r="3207" spans="1:17" x14ac:dyDescent="0.3">
      <c r="A3207" t="s">
        <v>17</v>
      </c>
      <c r="B3207">
        <v>67</v>
      </c>
      <c r="C3207" t="s">
        <v>28</v>
      </c>
      <c r="D3207" s="2">
        <v>46037</v>
      </c>
      <c r="E3207" s="3">
        <f t="shared" si="50"/>
        <v>46023</v>
      </c>
      <c r="F3207" t="s">
        <v>2735</v>
      </c>
      <c r="H3207" s="4">
        <v>-64.09</v>
      </c>
      <c r="I3207" t="s">
        <v>31</v>
      </c>
      <c r="J3207" t="s">
        <v>60</v>
      </c>
      <c r="L3207" s="2">
        <v>46023</v>
      </c>
      <c r="M3207" t="s">
        <v>60</v>
      </c>
      <c r="N3207">
        <v>0</v>
      </c>
      <c r="O3207" t="s">
        <v>31</v>
      </c>
      <c r="P3207" t="s">
        <v>28</v>
      </c>
      <c r="Q3207">
        <v>0</v>
      </c>
    </row>
    <row r="3208" spans="1:17" x14ac:dyDescent="0.3">
      <c r="A3208" t="s">
        <v>17</v>
      </c>
      <c r="B3208">
        <v>67</v>
      </c>
      <c r="C3208" t="s">
        <v>28</v>
      </c>
      <c r="D3208" s="2">
        <v>46038</v>
      </c>
      <c r="E3208" s="3">
        <f t="shared" si="50"/>
        <v>46023</v>
      </c>
      <c r="F3208">
        <v>7374.2610000000004</v>
      </c>
      <c r="G3208" t="s">
        <v>439</v>
      </c>
      <c r="H3208" s="4">
        <v>2500</v>
      </c>
      <c r="I3208" t="s">
        <v>31</v>
      </c>
      <c r="J3208" t="s">
        <v>48</v>
      </c>
      <c r="K3208" t="s">
        <v>2736</v>
      </c>
      <c r="L3208" s="2">
        <v>46023</v>
      </c>
      <c r="M3208" t="s">
        <v>50</v>
      </c>
      <c r="N3208">
        <v>0</v>
      </c>
      <c r="O3208" t="s">
        <v>31</v>
      </c>
      <c r="P3208" t="s">
        <v>28</v>
      </c>
      <c r="Q3208">
        <v>0</v>
      </c>
    </row>
    <row r="3209" spans="1:17" x14ac:dyDescent="0.3">
      <c r="A3209" t="s">
        <v>17</v>
      </c>
      <c r="B3209">
        <v>67</v>
      </c>
      <c r="C3209" t="s">
        <v>28</v>
      </c>
      <c r="D3209" s="2">
        <v>46038</v>
      </c>
      <c r="E3209" s="3">
        <f t="shared" si="50"/>
        <v>46023</v>
      </c>
      <c r="F3209">
        <v>29741</v>
      </c>
      <c r="G3209" t="s">
        <v>673</v>
      </c>
      <c r="H3209" s="4">
        <v>3.34</v>
      </c>
      <c r="I3209" t="s">
        <v>47</v>
      </c>
      <c r="J3209" t="s">
        <v>48</v>
      </c>
      <c r="K3209" t="s">
        <v>2737</v>
      </c>
      <c r="L3209" s="2">
        <v>46023</v>
      </c>
      <c r="M3209" t="s">
        <v>50</v>
      </c>
      <c r="N3209">
        <v>0</v>
      </c>
      <c r="O3209" t="s">
        <v>26</v>
      </c>
      <c r="P3209" t="s">
        <v>28</v>
      </c>
      <c r="Q3209">
        <v>0</v>
      </c>
    </row>
    <row r="3210" spans="1:17" x14ac:dyDescent="0.3">
      <c r="A3210" t="s">
        <v>17</v>
      </c>
      <c r="B3210">
        <v>67</v>
      </c>
      <c r="C3210" t="s">
        <v>28</v>
      </c>
      <c r="D3210" s="2">
        <v>46038</v>
      </c>
      <c r="E3210" s="3">
        <f t="shared" si="50"/>
        <v>46023</v>
      </c>
      <c r="F3210">
        <v>29741</v>
      </c>
      <c r="G3210" t="s">
        <v>673</v>
      </c>
      <c r="H3210" s="4">
        <v>2.35</v>
      </c>
      <c r="I3210" t="s">
        <v>47</v>
      </c>
      <c r="J3210" t="s">
        <v>48</v>
      </c>
      <c r="K3210" t="s">
        <v>2738</v>
      </c>
      <c r="L3210" s="2">
        <v>46023</v>
      </c>
      <c r="M3210" t="s">
        <v>50</v>
      </c>
      <c r="N3210">
        <v>0</v>
      </c>
      <c r="O3210" t="s">
        <v>26</v>
      </c>
      <c r="P3210" t="s">
        <v>28</v>
      </c>
      <c r="Q3210">
        <v>0</v>
      </c>
    </row>
    <row r="3211" spans="1:17" x14ac:dyDescent="0.3">
      <c r="A3211" t="s">
        <v>17</v>
      </c>
      <c r="B3211">
        <v>67</v>
      </c>
      <c r="C3211" t="s">
        <v>28</v>
      </c>
      <c r="D3211" s="2">
        <v>46038</v>
      </c>
      <c r="E3211" s="3">
        <f t="shared" si="50"/>
        <v>46023</v>
      </c>
      <c r="F3211">
        <v>29741</v>
      </c>
      <c r="G3211" t="s">
        <v>673</v>
      </c>
      <c r="H3211" s="4">
        <v>3.42</v>
      </c>
      <c r="I3211" t="s">
        <v>47</v>
      </c>
      <c r="J3211" t="s">
        <v>48</v>
      </c>
      <c r="K3211" t="s">
        <v>2739</v>
      </c>
      <c r="L3211" s="2">
        <v>46023</v>
      </c>
      <c r="M3211" t="s">
        <v>50</v>
      </c>
      <c r="N3211">
        <v>0</v>
      </c>
      <c r="O3211" t="s">
        <v>26</v>
      </c>
      <c r="P3211" t="s">
        <v>28</v>
      </c>
      <c r="Q3211">
        <v>0</v>
      </c>
    </row>
    <row r="3212" spans="1:17" x14ac:dyDescent="0.3">
      <c r="A3212" t="s">
        <v>17</v>
      </c>
      <c r="B3212">
        <v>67</v>
      </c>
      <c r="C3212" t="s">
        <v>28</v>
      </c>
      <c r="D3212" s="2">
        <v>46038</v>
      </c>
      <c r="E3212" s="3">
        <f t="shared" si="50"/>
        <v>46023</v>
      </c>
      <c r="F3212">
        <v>29741</v>
      </c>
      <c r="G3212" t="s">
        <v>673</v>
      </c>
      <c r="H3212" s="4">
        <v>22.59</v>
      </c>
      <c r="I3212" t="s">
        <v>47</v>
      </c>
      <c r="J3212" t="s">
        <v>48</v>
      </c>
      <c r="K3212" t="s">
        <v>2740</v>
      </c>
      <c r="L3212" s="2">
        <v>46023</v>
      </c>
      <c r="M3212" t="s">
        <v>50</v>
      </c>
      <c r="N3212">
        <v>0</v>
      </c>
      <c r="O3212" t="s">
        <v>26</v>
      </c>
      <c r="P3212" t="s">
        <v>28</v>
      </c>
      <c r="Q3212">
        <v>0</v>
      </c>
    </row>
    <row r="3213" spans="1:17" x14ac:dyDescent="0.3">
      <c r="A3213" t="s">
        <v>17</v>
      </c>
      <c r="B3213">
        <v>67</v>
      </c>
      <c r="C3213" t="s">
        <v>28</v>
      </c>
      <c r="D3213" s="2">
        <v>46038</v>
      </c>
      <c r="E3213" s="3">
        <f t="shared" si="50"/>
        <v>46023</v>
      </c>
      <c r="F3213">
        <v>29741</v>
      </c>
      <c r="G3213" t="s">
        <v>673</v>
      </c>
      <c r="H3213" s="4">
        <v>1.73</v>
      </c>
      <c r="I3213" t="s">
        <v>47</v>
      </c>
      <c r="J3213" t="s">
        <v>48</v>
      </c>
      <c r="K3213" t="s">
        <v>2741</v>
      </c>
      <c r="L3213" s="2">
        <v>46023</v>
      </c>
      <c r="M3213" t="s">
        <v>50</v>
      </c>
      <c r="N3213">
        <v>0</v>
      </c>
      <c r="O3213" t="s">
        <v>26</v>
      </c>
      <c r="P3213" t="s">
        <v>28</v>
      </c>
      <c r="Q3213">
        <v>0</v>
      </c>
    </row>
    <row r="3214" spans="1:17" x14ac:dyDescent="0.3">
      <c r="A3214" t="s">
        <v>17</v>
      </c>
      <c r="B3214">
        <v>67</v>
      </c>
      <c r="C3214" t="s">
        <v>28</v>
      </c>
      <c r="D3214" s="2">
        <v>46038</v>
      </c>
      <c r="E3214" s="3">
        <f t="shared" si="50"/>
        <v>46023</v>
      </c>
      <c r="F3214">
        <v>29741</v>
      </c>
      <c r="G3214" t="s">
        <v>673</v>
      </c>
      <c r="H3214" s="4">
        <v>19.91</v>
      </c>
      <c r="I3214" t="s">
        <v>47</v>
      </c>
      <c r="J3214" t="s">
        <v>48</v>
      </c>
      <c r="K3214" t="s">
        <v>2742</v>
      </c>
      <c r="L3214" s="2">
        <v>46023</v>
      </c>
      <c r="M3214" t="s">
        <v>50</v>
      </c>
      <c r="N3214">
        <v>0</v>
      </c>
      <c r="O3214" t="s">
        <v>26</v>
      </c>
      <c r="P3214" t="s">
        <v>28</v>
      </c>
      <c r="Q3214">
        <v>0</v>
      </c>
    </row>
    <row r="3215" spans="1:17" x14ac:dyDescent="0.3">
      <c r="A3215" t="s">
        <v>17</v>
      </c>
      <c r="B3215">
        <v>67</v>
      </c>
      <c r="C3215" t="s">
        <v>28</v>
      </c>
      <c r="D3215" s="2">
        <v>46038</v>
      </c>
      <c r="E3215" s="3">
        <f t="shared" si="50"/>
        <v>46023</v>
      </c>
      <c r="F3215">
        <v>29741</v>
      </c>
      <c r="G3215" t="s">
        <v>673</v>
      </c>
      <c r="H3215" s="4">
        <v>19.829999999999998</v>
      </c>
      <c r="I3215" t="s">
        <v>47</v>
      </c>
      <c r="J3215" t="s">
        <v>48</v>
      </c>
      <c r="K3215" t="s">
        <v>2743</v>
      </c>
      <c r="L3215" s="2">
        <v>46023</v>
      </c>
      <c r="M3215" t="s">
        <v>50</v>
      </c>
      <c r="N3215">
        <v>0</v>
      </c>
      <c r="O3215" t="s">
        <v>26</v>
      </c>
      <c r="P3215" t="s">
        <v>28</v>
      </c>
      <c r="Q3215">
        <v>0</v>
      </c>
    </row>
    <row r="3216" spans="1:17" x14ac:dyDescent="0.3">
      <c r="A3216" t="s">
        <v>17</v>
      </c>
      <c r="B3216">
        <v>67</v>
      </c>
      <c r="C3216" t="s">
        <v>28</v>
      </c>
      <c r="D3216" s="2">
        <v>46038</v>
      </c>
      <c r="E3216" s="3">
        <f t="shared" si="50"/>
        <v>46023</v>
      </c>
      <c r="F3216">
        <v>29741</v>
      </c>
      <c r="G3216" t="s">
        <v>673</v>
      </c>
      <c r="H3216" s="4">
        <v>19.91</v>
      </c>
      <c r="I3216" t="s">
        <v>47</v>
      </c>
      <c r="J3216" t="s">
        <v>48</v>
      </c>
      <c r="K3216" t="s">
        <v>2744</v>
      </c>
      <c r="L3216" s="2">
        <v>46023</v>
      </c>
      <c r="M3216" t="s">
        <v>50</v>
      </c>
      <c r="N3216">
        <v>0</v>
      </c>
      <c r="O3216" t="s">
        <v>26</v>
      </c>
      <c r="P3216" t="s">
        <v>28</v>
      </c>
      <c r="Q3216">
        <v>0</v>
      </c>
    </row>
    <row r="3217" spans="1:17" x14ac:dyDescent="0.3">
      <c r="A3217" t="s">
        <v>17</v>
      </c>
      <c r="B3217">
        <v>67</v>
      </c>
      <c r="C3217" t="s">
        <v>28</v>
      </c>
      <c r="D3217" s="2">
        <v>46038</v>
      </c>
      <c r="E3217" s="3">
        <f t="shared" si="50"/>
        <v>46023</v>
      </c>
      <c r="F3217">
        <v>29741</v>
      </c>
      <c r="G3217" t="s">
        <v>673</v>
      </c>
      <c r="H3217" s="4">
        <v>19.91</v>
      </c>
      <c r="I3217" t="s">
        <v>47</v>
      </c>
      <c r="J3217" t="s">
        <v>48</v>
      </c>
      <c r="K3217" t="s">
        <v>2745</v>
      </c>
      <c r="L3217" s="2">
        <v>46023</v>
      </c>
      <c r="M3217" t="s">
        <v>50</v>
      </c>
      <c r="N3217">
        <v>0</v>
      </c>
      <c r="O3217" t="s">
        <v>26</v>
      </c>
      <c r="P3217" t="s">
        <v>28</v>
      </c>
      <c r="Q3217">
        <v>0</v>
      </c>
    </row>
    <row r="3218" spans="1:17" x14ac:dyDescent="0.3">
      <c r="A3218" t="s">
        <v>17</v>
      </c>
      <c r="B3218">
        <v>67</v>
      </c>
      <c r="C3218" t="s">
        <v>28</v>
      </c>
      <c r="D3218" s="2">
        <v>46038</v>
      </c>
      <c r="E3218" s="3">
        <f t="shared" si="50"/>
        <v>46023</v>
      </c>
      <c r="F3218">
        <v>29741</v>
      </c>
      <c r="G3218" t="s">
        <v>673</v>
      </c>
      <c r="H3218" s="4">
        <v>17.399999999999999</v>
      </c>
      <c r="I3218" t="s">
        <v>47</v>
      </c>
      <c r="J3218" t="s">
        <v>48</v>
      </c>
      <c r="K3218" t="s">
        <v>2746</v>
      </c>
      <c r="L3218" s="2">
        <v>46023</v>
      </c>
      <c r="M3218" t="s">
        <v>50</v>
      </c>
      <c r="N3218">
        <v>0</v>
      </c>
      <c r="O3218" t="s">
        <v>26</v>
      </c>
      <c r="P3218" t="s">
        <v>28</v>
      </c>
      <c r="Q3218">
        <v>0</v>
      </c>
    </row>
    <row r="3219" spans="1:17" x14ac:dyDescent="0.3">
      <c r="A3219" t="s">
        <v>17</v>
      </c>
      <c r="B3219">
        <v>67</v>
      </c>
      <c r="C3219" t="s">
        <v>28</v>
      </c>
      <c r="D3219" s="2">
        <v>46038</v>
      </c>
      <c r="E3219" s="3">
        <f t="shared" si="50"/>
        <v>46023</v>
      </c>
      <c r="F3219">
        <v>29741</v>
      </c>
      <c r="G3219" t="s">
        <v>673</v>
      </c>
      <c r="H3219" s="4">
        <v>25.48</v>
      </c>
      <c r="I3219" t="s">
        <v>47</v>
      </c>
      <c r="J3219" t="s">
        <v>48</v>
      </c>
      <c r="K3219" t="s">
        <v>2747</v>
      </c>
      <c r="L3219" s="2">
        <v>46023</v>
      </c>
      <c r="M3219" t="s">
        <v>50</v>
      </c>
      <c r="N3219">
        <v>0</v>
      </c>
      <c r="O3219" t="s">
        <v>26</v>
      </c>
      <c r="P3219" t="s">
        <v>28</v>
      </c>
      <c r="Q3219">
        <v>0</v>
      </c>
    </row>
    <row r="3220" spans="1:17" x14ac:dyDescent="0.3">
      <c r="A3220" t="s">
        <v>17</v>
      </c>
      <c r="B3220">
        <v>67</v>
      </c>
      <c r="C3220" t="s">
        <v>28</v>
      </c>
      <c r="D3220" s="2">
        <v>46038</v>
      </c>
      <c r="E3220" s="3">
        <f t="shared" si="50"/>
        <v>46023</v>
      </c>
      <c r="F3220">
        <v>29741</v>
      </c>
      <c r="G3220" t="s">
        <v>673</v>
      </c>
      <c r="H3220" s="4">
        <v>19.91</v>
      </c>
      <c r="I3220" t="s">
        <v>47</v>
      </c>
      <c r="J3220" t="s">
        <v>48</v>
      </c>
      <c r="K3220" t="s">
        <v>2748</v>
      </c>
      <c r="L3220" s="2">
        <v>46023</v>
      </c>
      <c r="M3220" t="s">
        <v>50</v>
      </c>
      <c r="N3220">
        <v>0</v>
      </c>
      <c r="O3220" t="s">
        <v>26</v>
      </c>
      <c r="P3220" t="s">
        <v>28</v>
      </c>
      <c r="Q3220">
        <v>0</v>
      </c>
    </row>
    <row r="3221" spans="1:17" x14ac:dyDescent="0.3">
      <c r="A3221" t="s">
        <v>17</v>
      </c>
      <c r="B3221">
        <v>67</v>
      </c>
      <c r="C3221" t="s">
        <v>28</v>
      </c>
      <c r="D3221" s="2">
        <v>46038</v>
      </c>
      <c r="E3221" s="3">
        <f t="shared" si="50"/>
        <v>46023</v>
      </c>
      <c r="F3221">
        <v>29741</v>
      </c>
      <c r="G3221" t="s">
        <v>673</v>
      </c>
      <c r="H3221" s="4">
        <v>19.829999999999998</v>
      </c>
      <c r="I3221" t="s">
        <v>47</v>
      </c>
      <c r="J3221" t="s">
        <v>48</v>
      </c>
      <c r="K3221" t="s">
        <v>2749</v>
      </c>
      <c r="L3221" s="2">
        <v>46023</v>
      </c>
      <c r="M3221" t="s">
        <v>50</v>
      </c>
      <c r="N3221">
        <v>0</v>
      </c>
      <c r="O3221" t="s">
        <v>26</v>
      </c>
      <c r="P3221" t="s">
        <v>28</v>
      </c>
      <c r="Q3221">
        <v>0</v>
      </c>
    </row>
    <row r="3222" spans="1:17" x14ac:dyDescent="0.3">
      <c r="A3222" t="s">
        <v>17</v>
      </c>
      <c r="B3222">
        <v>67</v>
      </c>
      <c r="C3222" t="s">
        <v>28</v>
      </c>
      <c r="D3222" s="2">
        <v>46038</v>
      </c>
      <c r="E3222" s="3">
        <f t="shared" si="50"/>
        <v>46023</v>
      </c>
      <c r="F3222">
        <v>29741</v>
      </c>
      <c r="G3222" t="s">
        <v>673</v>
      </c>
      <c r="H3222" s="4">
        <v>17.399999999999999</v>
      </c>
      <c r="I3222" t="s">
        <v>47</v>
      </c>
      <c r="J3222" t="s">
        <v>48</v>
      </c>
      <c r="K3222" t="s">
        <v>2750</v>
      </c>
      <c r="L3222" s="2">
        <v>46023</v>
      </c>
      <c r="M3222" t="s">
        <v>50</v>
      </c>
      <c r="N3222">
        <v>0</v>
      </c>
      <c r="O3222" t="s">
        <v>26</v>
      </c>
      <c r="P3222" t="s">
        <v>28</v>
      </c>
      <c r="Q3222">
        <v>0</v>
      </c>
    </row>
    <row r="3223" spans="1:17" x14ac:dyDescent="0.3">
      <c r="A3223" t="s">
        <v>17</v>
      </c>
      <c r="B3223">
        <v>67</v>
      </c>
      <c r="C3223" t="s">
        <v>28</v>
      </c>
      <c r="D3223" s="2">
        <v>46038</v>
      </c>
      <c r="E3223" s="3">
        <f t="shared" si="50"/>
        <v>46023</v>
      </c>
      <c r="F3223">
        <v>29741</v>
      </c>
      <c r="G3223" t="s">
        <v>673</v>
      </c>
      <c r="H3223" s="4">
        <v>2.17</v>
      </c>
      <c r="I3223" t="s">
        <v>47</v>
      </c>
      <c r="J3223" t="s">
        <v>48</v>
      </c>
      <c r="K3223" t="s">
        <v>2751</v>
      </c>
      <c r="L3223" s="2">
        <v>46023</v>
      </c>
      <c r="M3223" t="s">
        <v>50</v>
      </c>
      <c r="N3223">
        <v>0</v>
      </c>
      <c r="O3223" t="s">
        <v>26</v>
      </c>
      <c r="P3223" t="s">
        <v>28</v>
      </c>
      <c r="Q3223">
        <v>0</v>
      </c>
    </row>
    <row r="3224" spans="1:17" x14ac:dyDescent="0.3">
      <c r="A3224" t="s">
        <v>17</v>
      </c>
      <c r="B3224">
        <v>67</v>
      </c>
      <c r="C3224" t="s">
        <v>28</v>
      </c>
      <c r="D3224" s="2">
        <v>46038</v>
      </c>
      <c r="E3224" s="3">
        <f t="shared" si="50"/>
        <v>46023</v>
      </c>
      <c r="F3224">
        <v>29741</v>
      </c>
      <c r="G3224" t="s">
        <v>673</v>
      </c>
      <c r="H3224" s="4">
        <v>15.33</v>
      </c>
      <c r="I3224" t="s">
        <v>47</v>
      </c>
      <c r="J3224" t="s">
        <v>48</v>
      </c>
      <c r="K3224" t="s">
        <v>2752</v>
      </c>
      <c r="L3224" s="2">
        <v>46023</v>
      </c>
      <c r="M3224" t="s">
        <v>50</v>
      </c>
      <c r="N3224">
        <v>0</v>
      </c>
      <c r="O3224" t="s">
        <v>26</v>
      </c>
      <c r="P3224" t="s">
        <v>28</v>
      </c>
      <c r="Q3224">
        <v>0</v>
      </c>
    </row>
    <row r="3225" spans="1:17" x14ac:dyDescent="0.3">
      <c r="A3225" t="s">
        <v>17</v>
      </c>
      <c r="B3225">
        <v>67</v>
      </c>
      <c r="C3225" t="s">
        <v>28</v>
      </c>
      <c r="D3225" s="2">
        <v>46038</v>
      </c>
      <c r="E3225" s="3">
        <f t="shared" si="50"/>
        <v>46023</v>
      </c>
      <c r="F3225">
        <v>29741</v>
      </c>
      <c r="G3225" t="s">
        <v>673</v>
      </c>
      <c r="H3225" s="4">
        <v>2.17</v>
      </c>
      <c r="I3225" t="s">
        <v>47</v>
      </c>
      <c r="J3225" t="s">
        <v>48</v>
      </c>
      <c r="K3225" t="s">
        <v>2753</v>
      </c>
      <c r="L3225" s="2">
        <v>46023</v>
      </c>
      <c r="M3225" t="s">
        <v>50</v>
      </c>
      <c r="N3225">
        <v>0</v>
      </c>
      <c r="O3225" t="s">
        <v>26</v>
      </c>
      <c r="P3225" t="s">
        <v>28</v>
      </c>
      <c r="Q3225">
        <v>0</v>
      </c>
    </row>
    <row r="3226" spans="1:17" x14ac:dyDescent="0.3">
      <c r="A3226" t="s">
        <v>17</v>
      </c>
      <c r="B3226">
        <v>67</v>
      </c>
      <c r="C3226" t="s">
        <v>28</v>
      </c>
      <c r="D3226" s="2">
        <v>46038</v>
      </c>
      <c r="E3226" s="3">
        <f t="shared" si="50"/>
        <v>46023</v>
      </c>
      <c r="F3226">
        <v>29741</v>
      </c>
      <c r="G3226" t="s">
        <v>673</v>
      </c>
      <c r="H3226" s="4">
        <v>15.33</v>
      </c>
      <c r="I3226" t="s">
        <v>47</v>
      </c>
      <c r="J3226" t="s">
        <v>48</v>
      </c>
      <c r="K3226" t="s">
        <v>2752</v>
      </c>
      <c r="L3226" s="2">
        <v>46023</v>
      </c>
      <c r="M3226" t="s">
        <v>50</v>
      </c>
      <c r="N3226">
        <v>0</v>
      </c>
      <c r="O3226" t="s">
        <v>26</v>
      </c>
      <c r="P3226" t="s">
        <v>28</v>
      </c>
      <c r="Q3226">
        <v>0</v>
      </c>
    </row>
    <row r="3227" spans="1:17" x14ac:dyDescent="0.3">
      <c r="A3227" t="s">
        <v>17</v>
      </c>
      <c r="B3227">
        <v>67</v>
      </c>
      <c r="C3227" t="s">
        <v>28</v>
      </c>
      <c r="D3227" s="2">
        <v>46038</v>
      </c>
      <c r="E3227" s="3">
        <f t="shared" si="50"/>
        <v>46023</v>
      </c>
      <c r="F3227">
        <v>29741</v>
      </c>
      <c r="G3227" t="s">
        <v>673</v>
      </c>
      <c r="H3227" s="4">
        <v>2.17</v>
      </c>
      <c r="I3227" t="s">
        <v>47</v>
      </c>
      <c r="J3227" t="s">
        <v>48</v>
      </c>
      <c r="K3227" t="s">
        <v>2753</v>
      </c>
      <c r="L3227" s="2">
        <v>46023</v>
      </c>
      <c r="M3227" t="s">
        <v>50</v>
      </c>
      <c r="N3227">
        <v>0</v>
      </c>
      <c r="O3227" t="s">
        <v>26</v>
      </c>
      <c r="P3227" t="s">
        <v>28</v>
      </c>
      <c r="Q3227">
        <v>0</v>
      </c>
    </row>
    <row r="3228" spans="1:17" x14ac:dyDescent="0.3">
      <c r="A3228" t="s">
        <v>17</v>
      </c>
      <c r="B3228">
        <v>67</v>
      </c>
      <c r="C3228" t="s">
        <v>28</v>
      </c>
      <c r="D3228" s="2">
        <v>46038</v>
      </c>
      <c r="E3228" s="3">
        <f t="shared" si="50"/>
        <v>46023</v>
      </c>
      <c r="F3228">
        <v>29741</v>
      </c>
      <c r="G3228" t="s">
        <v>673</v>
      </c>
      <c r="H3228" s="4">
        <v>40.799999999999997</v>
      </c>
      <c r="I3228" t="s">
        <v>47</v>
      </c>
      <c r="J3228" t="s">
        <v>48</v>
      </c>
      <c r="K3228" t="s">
        <v>2754</v>
      </c>
      <c r="L3228" s="2">
        <v>46023</v>
      </c>
      <c r="M3228" t="s">
        <v>50</v>
      </c>
      <c r="N3228">
        <v>0</v>
      </c>
      <c r="O3228" t="s">
        <v>26</v>
      </c>
      <c r="P3228" t="s">
        <v>28</v>
      </c>
      <c r="Q3228">
        <v>0</v>
      </c>
    </row>
    <row r="3229" spans="1:17" x14ac:dyDescent="0.3">
      <c r="A3229" t="s">
        <v>17</v>
      </c>
      <c r="B3229">
        <v>67</v>
      </c>
      <c r="C3229" t="s">
        <v>28</v>
      </c>
      <c r="D3229" s="2">
        <v>46038</v>
      </c>
      <c r="E3229" s="3">
        <f t="shared" si="50"/>
        <v>46023</v>
      </c>
      <c r="F3229">
        <v>29741</v>
      </c>
      <c r="G3229" t="s">
        <v>673</v>
      </c>
      <c r="H3229" s="4">
        <v>300</v>
      </c>
      <c r="I3229" t="s">
        <v>47</v>
      </c>
      <c r="J3229" t="s">
        <v>48</v>
      </c>
      <c r="K3229" t="s">
        <v>1350</v>
      </c>
      <c r="L3229" s="2">
        <v>46023</v>
      </c>
      <c r="M3229" t="s">
        <v>50</v>
      </c>
      <c r="N3229">
        <v>0</v>
      </c>
      <c r="O3229" t="s">
        <v>26</v>
      </c>
      <c r="P3229" t="s">
        <v>28</v>
      </c>
      <c r="Q3229">
        <v>0</v>
      </c>
    </row>
    <row r="3230" spans="1:17" x14ac:dyDescent="0.3">
      <c r="A3230" t="s">
        <v>17</v>
      </c>
      <c r="B3230">
        <v>67</v>
      </c>
      <c r="C3230" t="s">
        <v>28</v>
      </c>
      <c r="D3230" s="2">
        <v>46038</v>
      </c>
      <c r="E3230" s="3">
        <f t="shared" si="50"/>
        <v>46023</v>
      </c>
      <c r="F3230">
        <v>29741</v>
      </c>
      <c r="G3230" t="s">
        <v>673</v>
      </c>
      <c r="H3230" s="4">
        <v>300</v>
      </c>
      <c r="I3230" t="s">
        <v>47</v>
      </c>
      <c r="J3230" t="s">
        <v>48</v>
      </c>
      <c r="K3230" t="s">
        <v>1351</v>
      </c>
      <c r="L3230" s="2">
        <v>46023</v>
      </c>
      <c r="M3230" t="s">
        <v>50</v>
      </c>
      <c r="N3230">
        <v>0</v>
      </c>
      <c r="O3230" t="s">
        <v>26</v>
      </c>
      <c r="P3230" t="s">
        <v>28</v>
      </c>
      <c r="Q3230">
        <v>0</v>
      </c>
    </row>
    <row r="3231" spans="1:17" x14ac:dyDescent="0.3">
      <c r="A3231" t="s">
        <v>17</v>
      </c>
      <c r="B3231">
        <v>67</v>
      </c>
      <c r="C3231" t="s">
        <v>28</v>
      </c>
      <c r="D3231" s="2">
        <v>46038</v>
      </c>
      <c r="E3231" s="3">
        <f t="shared" si="50"/>
        <v>46023</v>
      </c>
      <c r="F3231">
        <v>29741</v>
      </c>
      <c r="G3231" t="s">
        <v>673</v>
      </c>
      <c r="H3231" s="4">
        <v>500</v>
      </c>
      <c r="I3231" t="s">
        <v>47</v>
      </c>
      <c r="J3231" t="s">
        <v>48</v>
      </c>
      <c r="K3231" t="s">
        <v>1353</v>
      </c>
      <c r="L3231" s="2">
        <v>46023</v>
      </c>
      <c r="M3231" t="s">
        <v>50</v>
      </c>
      <c r="N3231">
        <v>0</v>
      </c>
      <c r="O3231" t="s">
        <v>26</v>
      </c>
      <c r="P3231" t="s">
        <v>28</v>
      </c>
      <c r="Q3231">
        <v>0</v>
      </c>
    </row>
    <row r="3232" spans="1:17" x14ac:dyDescent="0.3">
      <c r="A3232" t="s">
        <v>17</v>
      </c>
      <c r="B3232">
        <v>67</v>
      </c>
      <c r="C3232" t="s">
        <v>28</v>
      </c>
      <c r="D3232" s="2">
        <v>46038</v>
      </c>
      <c r="E3232" s="3">
        <f t="shared" si="50"/>
        <v>46023</v>
      </c>
      <c r="F3232">
        <v>29741</v>
      </c>
      <c r="G3232" t="s">
        <v>673</v>
      </c>
      <c r="H3232" s="4">
        <v>10000</v>
      </c>
      <c r="I3232" t="s">
        <v>47</v>
      </c>
      <c r="J3232" t="s">
        <v>48</v>
      </c>
      <c r="K3232" t="s">
        <v>2755</v>
      </c>
      <c r="L3232" s="2">
        <v>46023</v>
      </c>
      <c r="M3232" t="s">
        <v>50</v>
      </c>
      <c r="N3232">
        <v>0</v>
      </c>
      <c r="O3232" t="s">
        <v>26</v>
      </c>
      <c r="P3232" t="s">
        <v>28</v>
      </c>
      <c r="Q3232">
        <v>0</v>
      </c>
    </row>
    <row r="3233" spans="1:17" x14ac:dyDescent="0.3">
      <c r="A3233" t="s">
        <v>17</v>
      </c>
      <c r="B3233">
        <v>63</v>
      </c>
      <c r="C3233" t="s">
        <v>18</v>
      </c>
      <c r="D3233" s="2">
        <v>46038</v>
      </c>
      <c r="E3233" s="3">
        <f t="shared" si="50"/>
        <v>46023</v>
      </c>
      <c r="F3233">
        <v>842994</v>
      </c>
      <c r="G3233" t="s">
        <v>125</v>
      </c>
      <c r="H3233" s="4">
        <v>110</v>
      </c>
      <c r="I3233" t="s">
        <v>47</v>
      </c>
      <c r="J3233" t="s">
        <v>22</v>
      </c>
      <c r="K3233" t="s">
        <v>2258</v>
      </c>
      <c r="L3233" s="2">
        <v>46023</v>
      </c>
      <c r="M3233" t="s">
        <v>24</v>
      </c>
      <c r="N3233">
        <v>0</v>
      </c>
      <c r="O3233" t="s">
        <v>26</v>
      </c>
      <c r="P3233" t="s">
        <v>18</v>
      </c>
      <c r="Q3233" t="s">
        <v>27</v>
      </c>
    </row>
    <row r="3234" spans="1:17" x14ac:dyDescent="0.3">
      <c r="A3234" t="s">
        <v>17</v>
      </c>
      <c r="B3234">
        <v>63</v>
      </c>
      <c r="C3234" t="s">
        <v>18</v>
      </c>
      <c r="D3234" s="2">
        <v>46038</v>
      </c>
      <c r="E3234" s="3">
        <f t="shared" si="50"/>
        <v>46023</v>
      </c>
      <c r="F3234">
        <v>842994</v>
      </c>
      <c r="G3234" t="s">
        <v>125</v>
      </c>
      <c r="H3234" s="4">
        <v>550</v>
      </c>
      <c r="I3234" t="s">
        <v>47</v>
      </c>
      <c r="J3234" t="s">
        <v>22</v>
      </c>
      <c r="K3234" t="s">
        <v>2756</v>
      </c>
      <c r="L3234" s="2">
        <v>46023</v>
      </c>
      <c r="M3234" t="s">
        <v>24</v>
      </c>
      <c r="N3234">
        <v>0</v>
      </c>
      <c r="O3234" t="s">
        <v>26</v>
      </c>
      <c r="P3234" t="s">
        <v>18</v>
      </c>
      <c r="Q3234" t="s">
        <v>27</v>
      </c>
    </row>
    <row r="3235" spans="1:17" x14ac:dyDescent="0.3">
      <c r="A3235" t="s">
        <v>17</v>
      </c>
      <c r="B3235">
        <v>68</v>
      </c>
      <c r="C3235" t="s">
        <v>34</v>
      </c>
      <c r="D3235" s="2">
        <v>46038</v>
      </c>
      <c r="E3235" s="3">
        <f t="shared" si="50"/>
        <v>46023</v>
      </c>
      <c r="F3235" t="s">
        <v>2757</v>
      </c>
      <c r="G3235" t="s">
        <v>122</v>
      </c>
      <c r="H3235" s="4">
        <v>2.64</v>
      </c>
      <c r="I3235" t="s">
        <v>108</v>
      </c>
      <c r="J3235" t="s">
        <v>109</v>
      </c>
      <c r="K3235" t="s">
        <v>1450</v>
      </c>
      <c r="L3235" s="2">
        <v>46023</v>
      </c>
      <c r="M3235" t="s">
        <v>109</v>
      </c>
      <c r="N3235">
        <v>0</v>
      </c>
      <c r="O3235" t="s">
        <v>111</v>
      </c>
      <c r="P3235" t="s">
        <v>112</v>
      </c>
      <c r="Q3235" t="s">
        <v>113</v>
      </c>
    </row>
    <row r="3236" spans="1:17" x14ac:dyDescent="0.3">
      <c r="A3236" t="s">
        <v>17</v>
      </c>
      <c r="B3236">
        <v>68</v>
      </c>
      <c r="C3236" t="s">
        <v>34</v>
      </c>
      <c r="D3236" s="2">
        <v>46038</v>
      </c>
      <c r="E3236" s="3">
        <f t="shared" si="50"/>
        <v>46023</v>
      </c>
      <c r="F3236" t="s">
        <v>2757</v>
      </c>
      <c r="G3236" t="s">
        <v>122</v>
      </c>
      <c r="H3236" s="4">
        <v>17.5</v>
      </c>
      <c r="I3236" t="s">
        <v>108</v>
      </c>
      <c r="J3236" t="s">
        <v>109</v>
      </c>
      <c r="K3236" t="s">
        <v>2758</v>
      </c>
      <c r="L3236" s="2">
        <v>46023</v>
      </c>
      <c r="M3236" t="s">
        <v>109</v>
      </c>
      <c r="N3236">
        <v>0</v>
      </c>
      <c r="O3236" t="s">
        <v>111</v>
      </c>
      <c r="P3236" t="s">
        <v>112</v>
      </c>
      <c r="Q3236" t="s">
        <v>113</v>
      </c>
    </row>
    <row r="3237" spans="1:17" x14ac:dyDescent="0.3">
      <c r="A3237" t="s">
        <v>17</v>
      </c>
      <c r="B3237">
        <v>68</v>
      </c>
      <c r="C3237" t="s">
        <v>34</v>
      </c>
      <c r="D3237" s="2">
        <v>46038</v>
      </c>
      <c r="E3237" s="3">
        <f t="shared" si="50"/>
        <v>46023</v>
      </c>
      <c r="F3237" t="s">
        <v>2757</v>
      </c>
      <c r="G3237" t="s">
        <v>122</v>
      </c>
      <c r="H3237" s="4">
        <v>1.34</v>
      </c>
      <c r="I3237" t="s">
        <v>108</v>
      </c>
      <c r="J3237" t="s">
        <v>109</v>
      </c>
      <c r="K3237" t="s">
        <v>1665</v>
      </c>
      <c r="L3237" s="2">
        <v>46023</v>
      </c>
      <c r="M3237" t="s">
        <v>109</v>
      </c>
      <c r="N3237">
        <v>0</v>
      </c>
      <c r="O3237" t="s">
        <v>111</v>
      </c>
      <c r="P3237" t="s">
        <v>112</v>
      </c>
      <c r="Q3237" t="s">
        <v>113</v>
      </c>
    </row>
    <row r="3238" spans="1:17" x14ac:dyDescent="0.3">
      <c r="A3238" t="s">
        <v>17</v>
      </c>
      <c r="B3238">
        <v>68</v>
      </c>
      <c r="C3238" t="s">
        <v>34</v>
      </c>
      <c r="D3238" s="2">
        <v>46038</v>
      </c>
      <c r="E3238" s="3">
        <f t="shared" si="50"/>
        <v>46023</v>
      </c>
      <c r="F3238" t="s">
        <v>2759</v>
      </c>
      <c r="G3238" t="s">
        <v>122</v>
      </c>
      <c r="H3238" s="4">
        <v>11.9</v>
      </c>
      <c r="I3238" t="s">
        <v>108</v>
      </c>
      <c r="J3238" t="s">
        <v>109</v>
      </c>
      <c r="K3238" t="s">
        <v>1450</v>
      </c>
      <c r="L3238" s="2">
        <v>46023</v>
      </c>
      <c r="M3238" t="s">
        <v>109</v>
      </c>
      <c r="N3238">
        <v>0</v>
      </c>
      <c r="O3238" t="s">
        <v>111</v>
      </c>
      <c r="P3238" t="s">
        <v>112</v>
      </c>
      <c r="Q3238" t="s">
        <v>113</v>
      </c>
    </row>
    <row r="3239" spans="1:17" x14ac:dyDescent="0.3">
      <c r="A3239" t="s">
        <v>17</v>
      </c>
      <c r="B3239">
        <v>68</v>
      </c>
      <c r="C3239" t="s">
        <v>34</v>
      </c>
      <c r="D3239" s="2">
        <v>46038</v>
      </c>
      <c r="E3239" s="3">
        <f t="shared" si="50"/>
        <v>46023</v>
      </c>
      <c r="F3239" t="s">
        <v>2759</v>
      </c>
      <c r="G3239" t="s">
        <v>122</v>
      </c>
      <c r="H3239" s="4">
        <v>17.5</v>
      </c>
      <c r="I3239" t="s">
        <v>108</v>
      </c>
      <c r="J3239" t="s">
        <v>109</v>
      </c>
      <c r="L3239" s="2">
        <v>46023</v>
      </c>
      <c r="M3239" t="s">
        <v>109</v>
      </c>
      <c r="N3239">
        <v>0</v>
      </c>
      <c r="O3239" t="s">
        <v>111</v>
      </c>
      <c r="P3239" t="s">
        <v>112</v>
      </c>
      <c r="Q3239" t="s">
        <v>113</v>
      </c>
    </row>
    <row r="3240" spans="1:17" x14ac:dyDescent="0.3">
      <c r="A3240" t="s">
        <v>17</v>
      </c>
      <c r="B3240">
        <v>68</v>
      </c>
      <c r="C3240" t="s">
        <v>34</v>
      </c>
      <c r="D3240" s="2">
        <v>46038</v>
      </c>
      <c r="E3240" s="3">
        <f t="shared" si="50"/>
        <v>46023</v>
      </c>
      <c r="F3240" t="s">
        <v>2759</v>
      </c>
      <c r="G3240" t="s">
        <v>122</v>
      </c>
      <c r="H3240" s="4">
        <v>1.34</v>
      </c>
      <c r="I3240" t="s">
        <v>108</v>
      </c>
      <c r="J3240" t="s">
        <v>109</v>
      </c>
      <c r="L3240" s="2">
        <v>46023</v>
      </c>
      <c r="M3240" t="s">
        <v>109</v>
      </c>
      <c r="N3240">
        <v>0</v>
      </c>
      <c r="O3240" t="s">
        <v>111</v>
      </c>
      <c r="P3240" t="s">
        <v>112</v>
      </c>
      <c r="Q3240" t="s">
        <v>113</v>
      </c>
    </row>
    <row r="3241" spans="1:17" x14ac:dyDescent="0.3">
      <c r="A3241" t="s">
        <v>17</v>
      </c>
      <c r="B3241">
        <v>64</v>
      </c>
      <c r="C3241" t="s">
        <v>83</v>
      </c>
      <c r="D3241" s="2">
        <v>46040</v>
      </c>
      <c r="E3241" s="3">
        <f t="shared" si="50"/>
        <v>46023</v>
      </c>
      <c r="F3241" t="s">
        <v>2760</v>
      </c>
      <c r="H3241" s="4">
        <v>60.74</v>
      </c>
      <c r="I3241" t="s">
        <v>108</v>
      </c>
      <c r="J3241" t="s">
        <v>91</v>
      </c>
      <c r="K3241" t="s">
        <v>2761</v>
      </c>
      <c r="L3241" s="2">
        <v>46023</v>
      </c>
      <c r="M3241" t="s">
        <v>93</v>
      </c>
      <c r="N3241">
        <v>0</v>
      </c>
      <c r="O3241" t="s">
        <v>111</v>
      </c>
      <c r="P3241" t="s">
        <v>83</v>
      </c>
      <c r="Q3241">
        <v>0</v>
      </c>
    </row>
    <row r="3242" spans="1:17" x14ac:dyDescent="0.3">
      <c r="A3242" t="s">
        <v>17</v>
      </c>
      <c r="B3242">
        <v>64</v>
      </c>
      <c r="C3242" t="s">
        <v>83</v>
      </c>
      <c r="D3242" s="2">
        <v>46040</v>
      </c>
      <c r="E3242" s="3">
        <f t="shared" si="50"/>
        <v>46023</v>
      </c>
      <c r="F3242" t="s">
        <v>2760</v>
      </c>
      <c r="H3242" s="4">
        <v>74.25</v>
      </c>
      <c r="I3242" t="s">
        <v>108</v>
      </c>
      <c r="J3242" t="s">
        <v>87</v>
      </c>
      <c r="K3242" t="s">
        <v>2762</v>
      </c>
      <c r="L3242" s="2">
        <v>46023</v>
      </c>
      <c r="M3242" t="s">
        <v>89</v>
      </c>
      <c r="N3242">
        <v>0</v>
      </c>
      <c r="O3242" t="s">
        <v>111</v>
      </c>
      <c r="P3242" t="s">
        <v>83</v>
      </c>
      <c r="Q3242">
        <v>0</v>
      </c>
    </row>
    <row r="3243" spans="1:17" x14ac:dyDescent="0.3">
      <c r="A3243" t="s">
        <v>17</v>
      </c>
      <c r="B3243">
        <v>68</v>
      </c>
      <c r="C3243" t="s">
        <v>34</v>
      </c>
      <c r="D3243" s="2">
        <v>46040</v>
      </c>
      <c r="E3243" s="3">
        <f t="shared" si="50"/>
        <v>46023</v>
      </c>
      <c r="F3243" t="s">
        <v>2760</v>
      </c>
      <c r="G3243" t="s">
        <v>824</v>
      </c>
      <c r="H3243" s="4">
        <v>27.04</v>
      </c>
      <c r="I3243" t="s">
        <v>108</v>
      </c>
      <c r="J3243" t="s">
        <v>109</v>
      </c>
      <c r="K3243" t="s">
        <v>2763</v>
      </c>
      <c r="L3243" s="2">
        <v>46023</v>
      </c>
      <c r="M3243" t="s">
        <v>109</v>
      </c>
      <c r="N3243">
        <v>0</v>
      </c>
      <c r="O3243" t="s">
        <v>111</v>
      </c>
      <c r="P3243" t="s">
        <v>112</v>
      </c>
      <c r="Q3243" t="s">
        <v>113</v>
      </c>
    </row>
    <row r="3244" spans="1:17" x14ac:dyDescent="0.3">
      <c r="A3244" t="s">
        <v>17</v>
      </c>
      <c r="B3244">
        <v>68</v>
      </c>
      <c r="C3244" t="s">
        <v>34</v>
      </c>
      <c r="D3244" s="2">
        <v>46042</v>
      </c>
      <c r="E3244" s="3">
        <f t="shared" si="50"/>
        <v>46023</v>
      </c>
      <c r="F3244" t="s">
        <v>2764</v>
      </c>
      <c r="G3244" t="s">
        <v>107</v>
      </c>
      <c r="H3244" s="4">
        <v>52.68</v>
      </c>
      <c r="I3244" t="s">
        <v>108</v>
      </c>
      <c r="J3244" t="s">
        <v>109</v>
      </c>
      <c r="K3244" t="s">
        <v>110</v>
      </c>
      <c r="L3244" s="2">
        <v>46023</v>
      </c>
      <c r="M3244" t="s">
        <v>109</v>
      </c>
      <c r="N3244">
        <v>0</v>
      </c>
      <c r="O3244" t="s">
        <v>111</v>
      </c>
      <c r="P3244" t="s">
        <v>112</v>
      </c>
      <c r="Q3244" t="s">
        <v>113</v>
      </c>
    </row>
    <row r="3245" spans="1:17" x14ac:dyDescent="0.3">
      <c r="A3245" t="s">
        <v>17</v>
      </c>
      <c r="B3245">
        <v>67</v>
      </c>
      <c r="C3245" t="s">
        <v>28</v>
      </c>
      <c r="D3245" s="2">
        <v>46042</v>
      </c>
      <c r="E3245" s="3">
        <f t="shared" si="50"/>
        <v>46023</v>
      </c>
      <c r="F3245" t="s">
        <v>2765</v>
      </c>
      <c r="G3245" t="s">
        <v>2766</v>
      </c>
      <c r="H3245" s="4">
        <v>2600</v>
      </c>
      <c r="I3245" t="s">
        <v>31</v>
      </c>
      <c r="J3245" t="s">
        <v>32</v>
      </c>
      <c r="K3245" t="s">
        <v>2767</v>
      </c>
      <c r="L3245" s="2">
        <v>46023</v>
      </c>
      <c r="M3245" t="s">
        <v>32</v>
      </c>
      <c r="N3245">
        <v>0</v>
      </c>
      <c r="O3245" t="s">
        <v>31</v>
      </c>
      <c r="P3245" t="s">
        <v>28</v>
      </c>
      <c r="Q3245">
        <v>0</v>
      </c>
    </row>
    <row r="3246" spans="1:17" x14ac:dyDescent="0.3">
      <c r="A3246" t="s">
        <v>17</v>
      </c>
      <c r="B3246">
        <v>63</v>
      </c>
      <c r="C3246" t="s">
        <v>18</v>
      </c>
      <c r="D3246" s="2">
        <v>46043</v>
      </c>
      <c r="E3246" s="3">
        <f t="shared" si="50"/>
        <v>46023</v>
      </c>
      <c r="F3246">
        <v>843289</v>
      </c>
      <c r="G3246" t="s">
        <v>125</v>
      </c>
      <c r="H3246" s="4">
        <v>110</v>
      </c>
      <c r="I3246" t="s">
        <v>47</v>
      </c>
      <c r="J3246" t="s">
        <v>22</v>
      </c>
      <c r="K3246" t="s">
        <v>2258</v>
      </c>
      <c r="L3246" s="2">
        <v>46023</v>
      </c>
      <c r="M3246" t="s">
        <v>24</v>
      </c>
      <c r="N3246">
        <v>0</v>
      </c>
      <c r="O3246" t="s">
        <v>26</v>
      </c>
      <c r="P3246" t="s">
        <v>18</v>
      </c>
      <c r="Q3246" t="s">
        <v>27</v>
      </c>
    </row>
    <row r="3247" spans="1:17" x14ac:dyDescent="0.3">
      <c r="A3247" t="s">
        <v>17</v>
      </c>
      <c r="B3247">
        <v>63</v>
      </c>
      <c r="C3247" t="s">
        <v>18</v>
      </c>
      <c r="D3247" s="2">
        <v>46043</v>
      </c>
      <c r="E3247" s="3">
        <f t="shared" si="50"/>
        <v>46023</v>
      </c>
      <c r="F3247">
        <v>843289</v>
      </c>
      <c r="G3247" t="s">
        <v>125</v>
      </c>
      <c r="H3247" s="4">
        <v>550</v>
      </c>
      <c r="I3247" t="s">
        <v>47</v>
      </c>
      <c r="J3247" t="s">
        <v>22</v>
      </c>
      <c r="K3247" t="s">
        <v>2768</v>
      </c>
      <c r="L3247" s="2">
        <v>46023</v>
      </c>
      <c r="M3247" t="s">
        <v>24</v>
      </c>
      <c r="N3247">
        <v>0</v>
      </c>
      <c r="O3247" t="s">
        <v>26</v>
      </c>
      <c r="P3247" t="s">
        <v>18</v>
      </c>
      <c r="Q3247" t="s">
        <v>27</v>
      </c>
    </row>
    <row r="3248" spans="1:17" x14ac:dyDescent="0.3">
      <c r="A3248" t="s">
        <v>17</v>
      </c>
      <c r="B3248">
        <v>67</v>
      </c>
      <c r="C3248" t="s">
        <v>28</v>
      </c>
      <c r="D3248" s="2">
        <v>46043</v>
      </c>
      <c r="E3248" s="3">
        <f t="shared" si="50"/>
        <v>46023</v>
      </c>
      <c r="F3248" t="s">
        <v>2769</v>
      </c>
      <c r="G3248" t="s">
        <v>119</v>
      </c>
      <c r="H3248" s="4">
        <v>843.75</v>
      </c>
      <c r="I3248" t="s">
        <v>31</v>
      </c>
      <c r="J3248" t="s">
        <v>68</v>
      </c>
      <c r="K3248" t="s">
        <v>1387</v>
      </c>
      <c r="L3248" s="2">
        <v>46023</v>
      </c>
      <c r="M3248" t="s">
        <v>68</v>
      </c>
      <c r="N3248">
        <v>0</v>
      </c>
      <c r="O3248" t="s">
        <v>31</v>
      </c>
      <c r="P3248" t="s">
        <v>28</v>
      </c>
      <c r="Q3248">
        <v>0</v>
      </c>
    </row>
    <row r="3249" spans="1:17" x14ac:dyDescent="0.3">
      <c r="A3249" t="s">
        <v>17</v>
      </c>
      <c r="B3249">
        <v>67</v>
      </c>
      <c r="C3249" t="s">
        <v>28</v>
      </c>
      <c r="D3249" s="2">
        <v>46043</v>
      </c>
      <c r="E3249" s="3">
        <f t="shared" si="50"/>
        <v>46023</v>
      </c>
      <c r="F3249" t="s">
        <v>2769</v>
      </c>
      <c r="G3249" t="s">
        <v>119</v>
      </c>
      <c r="H3249" s="4">
        <v>1162.5</v>
      </c>
      <c r="I3249" t="s">
        <v>31</v>
      </c>
      <c r="J3249" t="s">
        <v>68</v>
      </c>
      <c r="K3249" t="s">
        <v>1567</v>
      </c>
      <c r="L3249" s="2">
        <v>46023</v>
      </c>
      <c r="M3249" t="s">
        <v>68</v>
      </c>
      <c r="N3249">
        <v>0</v>
      </c>
      <c r="O3249" t="s">
        <v>31</v>
      </c>
      <c r="P3249" t="s">
        <v>28</v>
      </c>
      <c r="Q3249">
        <v>0</v>
      </c>
    </row>
    <row r="3250" spans="1:17" x14ac:dyDescent="0.3">
      <c r="A3250" t="s">
        <v>17</v>
      </c>
      <c r="B3250">
        <v>68</v>
      </c>
      <c r="C3250" t="s">
        <v>34</v>
      </c>
      <c r="D3250" s="2">
        <v>46043</v>
      </c>
      <c r="E3250" s="3">
        <f t="shared" si="50"/>
        <v>46023</v>
      </c>
      <c r="F3250" t="s">
        <v>2770</v>
      </c>
      <c r="G3250" t="s">
        <v>122</v>
      </c>
      <c r="H3250" s="4">
        <v>15.96</v>
      </c>
      <c r="I3250" t="s">
        <v>108</v>
      </c>
      <c r="J3250" t="s">
        <v>109</v>
      </c>
      <c r="L3250" s="2">
        <v>46023</v>
      </c>
      <c r="M3250" t="s">
        <v>109</v>
      </c>
      <c r="N3250">
        <v>0</v>
      </c>
      <c r="O3250" t="s">
        <v>111</v>
      </c>
      <c r="P3250" t="s">
        <v>112</v>
      </c>
      <c r="Q3250" t="s">
        <v>113</v>
      </c>
    </row>
    <row r="3251" spans="1:17" x14ac:dyDescent="0.3">
      <c r="A3251" t="s">
        <v>17</v>
      </c>
      <c r="B3251">
        <v>68</v>
      </c>
      <c r="C3251" t="s">
        <v>34</v>
      </c>
      <c r="D3251" s="2">
        <v>46043</v>
      </c>
      <c r="E3251" s="3">
        <f t="shared" si="50"/>
        <v>46023</v>
      </c>
      <c r="F3251" t="s">
        <v>2770</v>
      </c>
      <c r="G3251" t="s">
        <v>122</v>
      </c>
      <c r="H3251" s="4">
        <v>17.5</v>
      </c>
      <c r="I3251" t="s">
        <v>108</v>
      </c>
      <c r="J3251" t="s">
        <v>109</v>
      </c>
      <c r="L3251" s="2">
        <v>46023</v>
      </c>
      <c r="M3251" t="s">
        <v>109</v>
      </c>
      <c r="N3251">
        <v>0</v>
      </c>
      <c r="O3251" t="s">
        <v>111</v>
      </c>
      <c r="P3251" t="s">
        <v>112</v>
      </c>
      <c r="Q3251" t="s">
        <v>113</v>
      </c>
    </row>
    <row r="3252" spans="1:17" x14ac:dyDescent="0.3">
      <c r="A3252" t="s">
        <v>17</v>
      </c>
      <c r="B3252">
        <v>68</v>
      </c>
      <c r="C3252" t="s">
        <v>34</v>
      </c>
      <c r="D3252" s="2">
        <v>46043</v>
      </c>
      <c r="E3252" s="3">
        <f t="shared" si="50"/>
        <v>46023</v>
      </c>
      <c r="F3252" t="s">
        <v>2770</v>
      </c>
      <c r="G3252" t="s">
        <v>122</v>
      </c>
      <c r="H3252" s="4">
        <v>1.34</v>
      </c>
      <c r="I3252" t="s">
        <v>108</v>
      </c>
      <c r="J3252" t="s">
        <v>109</v>
      </c>
      <c r="K3252" t="s">
        <v>1665</v>
      </c>
      <c r="L3252" s="2">
        <v>46023</v>
      </c>
      <c r="M3252" t="s">
        <v>109</v>
      </c>
      <c r="N3252">
        <v>0</v>
      </c>
      <c r="O3252" t="s">
        <v>111</v>
      </c>
      <c r="P3252" t="s">
        <v>112</v>
      </c>
      <c r="Q3252" t="s">
        <v>113</v>
      </c>
    </row>
    <row r="3253" spans="1:17" x14ac:dyDescent="0.3">
      <c r="A3253" t="s">
        <v>17</v>
      </c>
      <c r="B3253">
        <v>68</v>
      </c>
      <c r="C3253" t="s">
        <v>34</v>
      </c>
      <c r="D3253" s="2">
        <v>46043</v>
      </c>
      <c r="E3253" s="3">
        <f t="shared" si="50"/>
        <v>46023</v>
      </c>
      <c r="F3253" t="s">
        <v>2771</v>
      </c>
      <c r="G3253" t="s">
        <v>122</v>
      </c>
      <c r="H3253" s="4">
        <v>3.06</v>
      </c>
      <c r="I3253" t="s">
        <v>108</v>
      </c>
      <c r="J3253" t="s">
        <v>109</v>
      </c>
      <c r="K3253" t="s">
        <v>1450</v>
      </c>
      <c r="L3253" s="2">
        <v>46023</v>
      </c>
      <c r="M3253" t="s">
        <v>109</v>
      </c>
      <c r="N3253">
        <v>0</v>
      </c>
      <c r="O3253" t="s">
        <v>111</v>
      </c>
      <c r="P3253" t="s">
        <v>112</v>
      </c>
      <c r="Q3253" t="s">
        <v>113</v>
      </c>
    </row>
    <row r="3254" spans="1:17" x14ac:dyDescent="0.3">
      <c r="A3254" t="s">
        <v>17</v>
      </c>
      <c r="B3254">
        <v>68</v>
      </c>
      <c r="C3254" t="s">
        <v>34</v>
      </c>
      <c r="D3254" s="2">
        <v>46043</v>
      </c>
      <c r="E3254" s="3">
        <f t="shared" si="50"/>
        <v>46023</v>
      </c>
      <c r="F3254" t="s">
        <v>2771</v>
      </c>
      <c r="G3254" t="s">
        <v>122</v>
      </c>
      <c r="H3254" s="4">
        <v>17.5</v>
      </c>
      <c r="I3254" t="s">
        <v>108</v>
      </c>
      <c r="J3254" t="s">
        <v>109</v>
      </c>
      <c r="L3254" s="2">
        <v>46023</v>
      </c>
      <c r="M3254" t="s">
        <v>109</v>
      </c>
      <c r="N3254">
        <v>0</v>
      </c>
      <c r="O3254" t="s">
        <v>111</v>
      </c>
      <c r="P3254" t="s">
        <v>112</v>
      </c>
      <c r="Q3254" t="s">
        <v>113</v>
      </c>
    </row>
    <row r="3255" spans="1:17" x14ac:dyDescent="0.3">
      <c r="A3255" t="s">
        <v>17</v>
      </c>
      <c r="B3255">
        <v>68</v>
      </c>
      <c r="C3255" t="s">
        <v>34</v>
      </c>
      <c r="D3255" s="2">
        <v>46043</v>
      </c>
      <c r="E3255" s="3">
        <f t="shared" si="50"/>
        <v>46023</v>
      </c>
      <c r="F3255" t="s">
        <v>2771</v>
      </c>
      <c r="G3255" t="s">
        <v>122</v>
      </c>
      <c r="H3255" s="4">
        <v>1.34</v>
      </c>
      <c r="I3255" t="s">
        <v>108</v>
      </c>
      <c r="J3255" t="s">
        <v>109</v>
      </c>
      <c r="L3255" s="2">
        <v>46023</v>
      </c>
      <c r="M3255" t="s">
        <v>109</v>
      </c>
      <c r="N3255">
        <v>0</v>
      </c>
      <c r="O3255" t="s">
        <v>111</v>
      </c>
      <c r="P3255" t="s">
        <v>112</v>
      </c>
      <c r="Q3255" t="s">
        <v>113</v>
      </c>
    </row>
    <row r="3256" spans="1:17" x14ac:dyDescent="0.3">
      <c r="A3256" t="s">
        <v>17</v>
      </c>
      <c r="B3256">
        <v>68</v>
      </c>
      <c r="C3256" t="s">
        <v>34</v>
      </c>
      <c r="D3256" s="2">
        <v>46043</v>
      </c>
      <c r="E3256" s="3">
        <f t="shared" si="50"/>
        <v>46023</v>
      </c>
      <c r="F3256" t="s">
        <v>2772</v>
      </c>
      <c r="G3256" t="s">
        <v>122</v>
      </c>
      <c r="H3256" s="4">
        <v>15.09</v>
      </c>
      <c r="I3256" t="s">
        <v>108</v>
      </c>
      <c r="J3256" t="s">
        <v>109</v>
      </c>
      <c r="K3256" t="s">
        <v>1437</v>
      </c>
      <c r="L3256" s="2">
        <v>46023</v>
      </c>
      <c r="M3256" t="s">
        <v>109</v>
      </c>
      <c r="N3256">
        <v>0</v>
      </c>
      <c r="O3256" t="s">
        <v>111</v>
      </c>
      <c r="P3256" t="s">
        <v>112</v>
      </c>
      <c r="Q3256" t="s">
        <v>113</v>
      </c>
    </row>
    <row r="3257" spans="1:17" x14ac:dyDescent="0.3">
      <c r="A3257" t="s">
        <v>17</v>
      </c>
      <c r="B3257">
        <v>68</v>
      </c>
      <c r="C3257" t="s">
        <v>34</v>
      </c>
      <c r="D3257" s="2">
        <v>46043</v>
      </c>
      <c r="E3257" s="3">
        <f t="shared" si="50"/>
        <v>46023</v>
      </c>
      <c r="F3257" t="s">
        <v>2772</v>
      </c>
      <c r="G3257" t="s">
        <v>122</v>
      </c>
      <c r="H3257" s="4">
        <v>0.36</v>
      </c>
      <c r="I3257" t="s">
        <v>108</v>
      </c>
      <c r="J3257" t="s">
        <v>109</v>
      </c>
      <c r="K3257" t="s">
        <v>1436</v>
      </c>
      <c r="L3257" s="2">
        <v>46023</v>
      </c>
      <c r="M3257" t="s">
        <v>109</v>
      </c>
      <c r="N3257">
        <v>0</v>
      </c>
      <c r="O3257" t="s">
        <v>111</v>
      </c>
      <c r="P3257" t="s">
        <v>112</v>
      </c>
      <c r="Q3257" t="s">
        <v>113</v>
      </c>
    </row>
    <row r="3258" spans="1:17" x14ac:dyDescent="0.3">
      <c r="A3258" t="s">
        <v>17</v>
      </c>
      <c r="B3258">
        <v>68</v>
      </c>
      <c r="C3258" t="s">
        <v>34</v>
      </c>
      <c r="D3258" s="2">
        <v>46043</v>
      </c>
      <c r="E3258" s="3">
        <f t="shared" si="50"/>
        <v>46023</v>
      </c>
      <c r="F3258" t="s">
        <v>2772</v>
      </c>
      <c r="G3258" t="s">
        <v>122</v>
      </c>
      <c r="H3258" s="4">
        <v>4.4000000000000004</v>
      </c>
      <c r="I3258" t="s">
        <v>108</v>
      </c>
      <c r="J3258" t="s">
        <v>109</v>
      </c>
      <c r="K3258" t="s">
        <v>1438</v>
      </c>
      <c r="L3258" s="2">
        <v>46023</v>
      </c>
      <c r="M3258" t="s">
        <v>109</v>
      </c>
      <c r="N3258">
        <v>0</v>
      </c>
      <c r="O3258" t="s">
        <v>111</v>
      </c>
      <c r="P3258" t="s">
        <v>112</v>
      </c>
      <c r="Q3258" t="s">
        <v>113</v>
      </c>
    </row>
    <row r="3259" spans="1:17" x14ac:dyDescent="0.3">
      <c r="A3259" t="s">
        <v>17</v>
      </c>
      <c r="B3259">
        <v>68</v>
      </c>
      <c r="C3259" t="s">
        <v>34</v>
      </c>
      <c r="D3259" s="2">
        <v>46043</v>
      </c>
      <c r="E3259" s="3">
        <f t="shared" si="50"/>
        <v>46023</v>
      </c>
      <c r="F3259" t="s">
        <v>2772</v>
      </c>
      <c r="G3259" t="s">
        <v>122</v>
      </c>
      <c r="H3259" s="4">
        <v>61.94</v>
      </c>
      <c r="I3259" t="s">
        <v>108</v>
      </c>
      <c r="J3259" t="s">
        <v>109</v>
      </c>
      <c r="K3259" t="s">
        <v>2773</v>
      </c>
      <c r="L3259" s="2">
        <v>46023</v>
      </c>
      <c r="M3259" t="s">
        <v>109</v>
      </c>
      <c r="N3259">
        <v>0</v>
      </c>
      <c r="O3259" t="s">
        <v>111</v>
      </c>
      <c r="P3259" t="s">
        <v>112</v>
      </c>
      <c r="Q3259" t="s">
        <v>113</v>
      </c>
    </row>
    <row r="3260" spans="1:17" x14ac:dyDescent="0.3">
      <c r="A3260" t="s">
        <v>17</v>
      </c>
      <c r="B3260">
        <v>68</v>
      </c>
      <c r="C3260" t="s">
        <v>34</v>
      </c>
      <c r="D3260" s="2">
        <v>46043</v>
      </c>
      <c r="E3260" s="3">
        <f t="shared" si="50"/>
        <v>46023</v>
      </c>
      <c r="F3260" t="s">
        <v>2774</v>
      </c>
      <c r="G3260" t="s">
        <v>122</v>
      </c>
      <c r="H3260" s="4">
        <v>11.9</v>
      </c>
      <c r="I3260" t="s">
        <v>108</v>
      </c>
      <c r="J3260" t="s">
        <v>109</v>
      </c>
      <c r="K3260" t="s">
        <v>1450</v>
      </c>
      <c r="L3260" s="2">
        <v>46023</v>
      </c>
      <c r="M3260" t="s">
        <v>109</v>
      </c>
      <c r="N3260">
        <v>0</v>
      </c>
      <c r="O3260" t="s">
        <v>111</v>
      </c>
      <c r="P3260" t="s">
        <v>112</v>
      </c>
      <c r="Q3260" t="s">
        <v>113</v>
      </c>
    </row>
    <row r="3261" spans="1:17" x14ac:dyDescent="0.3">
      <c r="A3261" t="s">
        <v>17</v>
      </c>
      <c r="B3261">
        <v>68</v>
      </c>
      <c r="C3261" t="s">
        <v>34</v>
      </c>
      <c r="D3261" s="2">
        <v>46043</v>
      </c>
      <c r="E3261" s="3">
        <f t="shared" si="50"/>
        <v>46023</v>
      </c>
      <c r="F3261" t="s">
        <v>2774</v>
      </c>
      <c r="G3261" t="s">
        <v>122</v>
      </c>
      <c r="H3261" s="4">
        <v>17.5</v>
      </c>
      <c r="I3261" t="s">
        <v>108</v>
      </c>
      <c r="J3261" t="s">
        <v>109</v>
      </c>
      <c r="L3261" s="2">
        <v>46023</v>
      </c>
      <c r="M3261" t="s">
        <v>109</v>
      </c>
      <c r="N3261">
        <v>0</v>
      </c>
      <c r="O3261" t="s">
        <v>111</v>
      </c>
      <c r="P3261" t="s">
        <v>112</v>
      </c>
      <c r="Q3261" t="s">
        <v>113</v>
      </c>
    </row>
    <row r="3262" spans="1:17" x14ac:dyDescent="0.3">
      <c r="A3262" t="s">
        <v>17</v>
      </c>
      <c r="B3262">
        <v>68</v>
      </c>
      <c r="C3262" t="s">
        <v>34</v>
      </c>
      <c r="D3262" s="2">
        <v>46043</v>
      </c>
      <c r="E3262" s="3">
        <f t="shared" si="50"/>
        <v>46023</v>
      </c>
      <c r="F3262" t="s">
        <v>2774</v>
      </c>
      <c r="G3262" t="s">
        <v>122</v>
      </c>
      <c r="H3262" s="4">
        <v>1.34</v>
      </c>
      <c r="I3262" t="s">
        <v>108</v>
      </c>
      <c r="J3262" t="s">
        <v>109</v>
      </c>
      <c r="L3262" s="2">
        <v>46023</v>
      </c>
      <c r="M3262" t="s">
        <v>109</v>
      </c>
      <c r="N3262">
        <v>0</v>
      </c>
      <c r="O3262" t="s">
        <v>111</v>
      </c>
      <c r="P3262" t="s">
        <v>112</v>
      </c>
      <c r="Q3262" t="s">
        <v>113</v>
      </c>
    </row>
    <row r="3263" spans="1:17" x14ac:dyDescent="0.3">
      <c r="A3263" t="s">
        <v>17</v>
      </c>
      <c r="B3263">
        <v>68</v>
      </c>
      <c r="C3263" t="s">
        <v>34</v>
      </c>
      <c r="D3263" s="2">
        <v>46043</v>
      </c>
      <c r="E3263" s="3">
        <f t="shared" si="50"/>
        <v>46023</v>
      </c>
      <c r="F3263" t="s">
        <v>2775</v>
      </c>
      <c r="G3263" t="s">
        <v>122</v>
      </c>
      <c r="H3263" s="4">
        <v>20.03</v>
      </c>
      <c r="I3263" t="s">
        <v>108</v>
      </c>
      <c r="J3263" t="s">
        <v>109</v>
      </c>
      <c r="K3263" t="s">
        <v>2776</v>
      </c>
      <c r="L3263" s="2">
        <v>46023</v>
      </c>
      <c r="M3263" t="s">
        <v>109</v>
      </c>
      <c r="N3263">
        <v>0</v>
      </c>
      <c r="O3263" t="s">
        <v>111</v>
      </c>
      <c r="P3263" t="s">
        <v>112</v>
      </c>
      <c r="Q3263" t="s">
        <v>113</v>
      </c>
    </row>
    <row r="3264" spans="1:17" x14ac:dyDescent="0.3">
      <c r="A3264" t="s">
        <v>17</v>
      </c>
      <c r="B3264">
        <v>68</v>
      </c>
      <c r="C3264" t="s">
        <v>34</v>
      </c>
      <c r="D3264" s="2">
        <v>46043</v>
      </c>
      <c r="E3264" s="3">
        <f t="shared" si="50"/>
        <v>46023</v>
      </c>
      <c r="F3264" t="s">
        <v>2777</v>
      </c>
      <c r="G3264" t="s">
        <v>122</v>
      </c>
      <c r="H3264" s="4">
        <v>1.56</v>
      </c>
      <c r="I3264" t="s">
        <v>108</v>
      </c>
      <c r="J3264" t="s">
        <v>109</v>
      </c>
      <c r="L3264" s="2">
        <v>46023</v>
      </c>
      <c r="M3264" t="s">
        <v>109</v>
      </c>
      <c r="N3264">
        <v>0</v>
      </c>
      <c r="O3264" t="s">
        <v>111</v>
      </c>
      <c r="P3264" t="s">
        <v>112</v>
      </c>
      <c r="Q3264" t="s">
        <v>113</v>
      </c>
    </row>
    <row r="3265" spans="1:17" x14ac:dyDescent="0.3">
      <c r="A3265" t="s">
        <v>17</v>
      </c>
      <c r="B3265">
        <v>68</v>
      </c>
      <c r="C3265" t="s">
        <v>34</v>
      </c>
      <c r="D3265" s="2">
        <v>46043</v>
      </c>
      <c r="E3265" s="3">
        <f t="shared" si="50"/>
        <v>46023</v>
      </c>
      <c r="F3265" t="s">
        <v>2777</v>
      </c>
      <c r="G3265" t="s">
        <v>122</v>
      </c>
      <c r="H3265" s="4">
        <v>17.5</v>
      </c>
      <c r="I3265" t="s">
        <v>108</v>
      </c>
      <c r="J3265" t="s">
        <v>109</v>
      </c>
      <c r="L3265" s="2">
        <v>46023</v>
      </c>
      <c r="M3265" t="s">
        <v>109</v>
      </c>
      <c r="N3265">
        <v>0</v>
      </c>
      <c r="O3265" t="s">
        <v>111</v>
      </c>
      <c r="P3265" t="s">
        <v>112</v>
      </c>
      <c r="Q3265" t="s">
        <v>113</v>
      </c>
    </row>
    <row r="3266" spans="1:17" x14ac:dyDescent="0.3">
      <c r="A3266" t="s">
        <v>17</v>
      </c>
      <c r="B3266">
        <v>68</v>
      </c>
      <c r="C3266" t="s">
        <v>34</v>
      </c>
      <c r="D3266" s="2">
        <v>46043</v>
      </c>
      <c r="E3266" s="3">
        <f t="shared" si="50"/>
        <v>46023</v>
      </c>
      <c r="F3266" t="s">
        <v>2777</v>
      </c>
      <c r="G3266" t="s">
        <v>122</v>
      </c>
      <c r="H3266" s="4">
        <v>1.34</v>
      </c>
      <c r="I3266" t="s">
        <v>108</v>
      </c>
      <c r="J3266" t="s">
        <v>109</v>
      </c>
      <c r="L3266" s="2">
        <v>46023</v>
      </c>
      <c r="M3266" t="s">
        <v>109</v>
      </c>
      <c r="N3266">
        <v>0</v>
      </c>
      <c r="O3266" t="s">
        <v>111</v>
      </c>
      <c r="P3266" t="s">
        <v>112</v>
      </c>
      <c r="Q3266" t="s">
        <v>113</v>
      </c>
    </row>
    <row r="3267" spans="1:17" x14ac:dyDescent="0.3">
      <c r="A3267" t="s">
        <v>17</v>
      </c>
      <c r="B3267">
        <v>68</v>
      </c>
      <c r="C3267" t="s">
        <v>34</v>
      </c>
      <c r="D3267" s="2">
        <v>46043</v>
      </c>
      <c r="E3267" s="3">
        <f t="shared" ref="E3267:E3330" si="51">IF($D3267="","",DATE(YEAR($D3267),MONTH($D3267),1))</f>
        <v>46023</v>
      </c>
      <c r="F3267" t="s">
        <v>2778</v>
      </c>
      <c r="G3267" t="s">
        <v>122</v>
      </c>
      <c r="H3267" s="4">
        <v>467.33</v>
      </c>
      <c r="I3267" t="s">
        <v>108</v>
      </c>
      <c r="J3267" t="s">
        <v>109</v>
      </c>
      <c r="K3267" t="s">
        <v>1287</v>
      </c>
      <c r="L3267" s="2">
        <v>46023</v>
      </c>
      <c r="M3267" t="s">
        <v>109</v>
      </c>
      <c r="N3267">
        <v>0</v>
      </c>
      <c r="O3267" t="s">
        <v>111</v>
      </c>
      <c r="P3267" t="s">
        <v>112</v>
      </c>
      <c r="Q3267" t="s">
        <v>113</v>
      </c>
    </row>
    <row r="3268" spans="1:17" x14ac:dyDescent="0.3">
      <c r="A3268" t="s">
        <v>17</v>
      </c>
      <c r="B3268">
        <v>68</v>
      </c>
      <c r="C3268" t="s">
        <v>34</v>
      </c>
      <c r="D3268" s="2">
        <v>46043</v>
      </c>
      <c r="E3268" s="3">
        <f t="shared" si="51"/>
        <v>46023</v>
      </c>
      <c r="F3268" t="s">
        <v>2779</v>
      </c>
      <c r="G3268" t="s">
        <v>122</v>
      </c>
      <c r="H3268" s="4">
        <v>13.05</v>
      </c>
      <c r="I3268" t="s">
        <v>108</v>
      </c>
      <c r="J3268" t="s">
        <v>109</v>
      </c>
      <c r="L3268" s="2">
        <v>46023</v>
      </c>
      <c r="M3268" t="s">
        <v>109</v>
      </c>
      <c r="N3268">
        <v>0</v>
      </c>
      <c r="O3268" t="s">
        <v>111</v>
      </c>
      <c r="P3268" t="s">
        <v>112</v>
      </c>
      <c r="Q3268" t="s">
        <v>113</v>
      </c>
    </row>
    <row r="3269" spans="1:17" x14ac:dyDescent="0.3">
      <c r="A3269" t="s">
        <v>17</v>
      </c>
      <c r="B3269">
        <v>68</v>
      </c>
      <c r="C3269" t="s">
        <v>34</v>
      </c>
      <c r="D3269" s="2">
        <v>46043</v>
      </c>
      <c r="E3269" s="3">
        <f t="shared" si="51"/>
        <v>46023</v>
      </c>
      <c r="F3269" t="s">
        <v>2779</v>
      </c>
      <c r="G3269" t="s">
        <v>122</v>
      </c>
      <c r="H3269" s="4">
        <v>17.5</v>
      </c>
      <c r="I3269" t="s">
        <v>108</v>
      </c>
      <c r="J3269" t="s">
        <v>109</v>
      </c>
      <c r="L3269" s="2">
        <v>46023</v>
      </c>
      <c r="M3269" t="s">
        <v>109</v>
      </c>
      <c r="N3269">
        <v>0</v>
      </c>
      <c r="O3269" t="s">
        <v>111</v>
      </c>
      <c r="P3269" t="s">
        <v>112</v>
      </c>
      <c r="Q3269" t="s">
        <v>113</v>
      </c>
    </row>
    <row r="3270" spans="1:17" x14ac:dyDescent="0.3">
      <c r="A3270" t="s">
        <v>17</v>
      </c>
      <c r="B3270">
        <v>68</v>
      </c>
      <c r="C3270" t="s">
        <v>34</v>
      </c>
      <c r="D3270" s="2">
        <v>46043</v>
      </c>
      <c r="E3270" s="3">
        <f t="shared" si="51"/>
        <v>46023</v>
      </c>
      <c r="F3270" t="s">
        <v>2779</v>
      </c>
      <c r="G3270" t="s">
        <v>122</v>
      </c>
      <c r="H3270" s="4">
        <v>1.34</v>
      </c>
      <c r="I3270" t="s">
        <v>108</v>
      </c>
      <c r="J3270" t="s">
        <v>109</v>
      </c>
      <c r="K3270" t="s">
        <v>2330</v>
      </c>
      <c r="L3270" s="2">
        <v>46023</v>
      </c>
      <c r="M3270" t="s">
        <v>109</v>
      </c>
      <c r="N3270">
        <v>0</v>
      </c>
      <c r="O3270" t="s">
        <v>111</v>
      </c>
      <c r="P3270" t="s">
        <v>112</v>
      </c>
      <c r="Q3270" t="s">
        <v>113</v>
      </c>
    </row>
    <row r="3271" spans="1:17" x14ac:dyDescent="0.3">
      <c r="A3271" t="s">
        <v>17</v>
      </c>
      <c r="B3271">
        <v>67</v>
      </c>
      <c r="C3271" t="s">
        <v>28</v>
      </c>
      <c r="D3271" s="2">
        <v>46044</v>
      </c>
      <c r="E3271" s="3">
        <f t="shared" si="51"/>
        <v>46023</v>
      </c>
      <c r="F3271" t="s">
        <v>2780</v>
      </c>
      <c r="H3271" s="4">
        <v>205.31</v>
      </c>
      <c r="I3271" t="s">
        <v>31</v>
      </c>
      <c r="J3271" t="s">
        <v>68</v>
      </c>
      <c r="K3271" t="s">
        <v>2781</v>
      </c>
      <c r="L3271" s="2">
        <v>46023</v>
      </c>
      <c r="M3271" t="s">
        <v>68</v>
      </c>
      <c r="N3271">
        <v>0</v>
      </c>
      <c r="O3271" t="s">
        <v>31</v>
      </c>
      <c r="P3271" t="s">
        <v>28</v>
      </c>
      <c r="Q3271">
        <v>0</v>
      </c>
    </row>
    <row r="3272" spans="1:17" x14ac:dyDescent="0.3">
      <c r="A3272" t="s">
        <v>17</v>
      </c>
      <c r="B3272">
        <v>68</v>
      </c>
      <c r="C3272" t="s">
        <v>34</v>
      </c>
      <c r="D3272" s="2">
        <v>46044</v>
      </c>
      <c r="E3272" s="3">
        <f t="shared" si="51"/>
        <v>46023</v>
      </c>
      <c r="F3272" t="s">
        <v>2782</v>
      </c>
      <c r="G3272" t="s">
        <v>122</v>
      </c>
      <c r="H3272" s="4">
        <v>0.81</v>
      </c>
      <c r="I3272" t="s">
        <v>108</v>
      </c>
      <c r="J3272" t="s">
        <v>109</v>
      </c>
      <c r="L3272" s="2">
        <v>46023</v>
      </c>
      <c r="M3272" t="s">
        <v>109</v>
      </c>
      <c r="N3272">
        <v>0</v>
      </c>
      <c r="O3272" t="s">
        <v>111</v>
      </c>
      <c r="P3272" t="s">
        <v>112</v>
      </c>
      <c r="Q3272" t="s">
        <v>113</v>
      </c>
    </row>
    <row r="3273" spans="1:17" x14ac:dyDescent="0.3">
      <c r="A3273" t="s">
        <v>17</v>
      </c>
      <c r="B3273">
        <v>68</v>
      </c>
      <c r="C3273" t="s">
        <v>34</v>
      </c>
      <c r="D3273" s="2">
        <v>46044</v>
      </c>
      <c r="E3273" s="3">
        <f t="shared" si="51"/>
        <v>46023</v>
      </c>
      <c r="F3273" t="s">
        <v>2782</v>
      </c>
      <c r="G3273" t="s">
        <v>122</v>
      </c>
      <c r="H3273" s="4">
        <v>17.5</v>
      </c>
      <c r="I3273" t="s">
        <v>108</v>
      </c>
      <c r="J3273" t="s">
        <v>109</v>
      </c>
      <c r="L3273" s="2">
        <v>46023</v>
      </c>
      <c r="M3273" t="s">
        <v>109</v>
      </c>
      <c r="N3273">
        <v>0</v>
      </c>
      <c r="O3273" t="s">
        <v>111</v>
      </c>
      <c r="P3273" t="s">
        <v>112</v>
      </c>
      <c r="Q3273" t="s">
        <v>113</v>
      </c>
    </row>
    <row r="3274" spans="1:17" x14ac:dyDescent="0.3">
      <c r="A3274" t="s">
        <v>17</v>
      </c>
      <c r="B3274">
        <v>68</v>
      </c>
      <c r="C3274" t="s">
        <v>34</v>
      </c>
      <c r="D3274" s="2">
        <v>46044</v>
      </c>
      <c r="E3274" s="3">
        <f t="shared" si="51"/>
        <v>46023</v>
      </c>
      <c r="F3274" t="s">
        <v>2782</v>
      </c>
      <c r="G3274" t="s">
        <v>122</v>
      </c>
      <c r="H3274" s="4">
        <v>1.34</v>
      </c>
      <c r="I3274" t="s">
        <v>108</v>
      </c>
      <c r="J3274" t="s">
        <v>109</v>
      </c>
      <c r="K3274" t="s">
        <v>2330</v>
      </c>
      <c r="L3274" s="2">
        <v>46023</v>
      </c>
      <c r="M3274" t="s">
        <v>109</v>
      </c>
      <c r="N3274">
        <v>0</v>
      </c>
      <c r="O3274" t="s">
        <v>111</v>
      </c>
      <c r="P3274" t="s">
        <v>112</v>
      </c>
      <c r="Q3274" t="s">
        <v>113</v>
      </c>
    </row>
    <row r="3275" spans="1:17" x14ac:dyDescent="0.3">
      <c r="A3275" t="s">
        <v>17</v>
      </c>
      <c r="B3275">
        <v>67</v>
      </c>
      <c r="C3275" t="s">
        <v>28</v>
      </c>
      <c r="D3275" s="2">
        <v>46044</v>
      </c>
      <c r="E3275" s="3">
        <f t="shared" si="51"/>
        <v>46023</v>
      </c>
      <c r="F3275" t="s">
        <v>2783</v>
      </c>
      <c r="G3275" t="s">
        <v>205</v>
      </c>
      <c r="H3275" s="4">
        <v>1000</v>
      </c>
      <c r="I3275" t="s">
        <v>31</v>
      </c>
      <c r="J3275" t="s">
        <v>32</v>
      </c>
      <c r="K3275" t="s">
        <v>2784</v>
      </c>
      <c r="L3275" s="2">
        <v>46023</v>
      </c>
      <c r="M3275" t="s">
        <v>32</v>
      </c>
      <c r="N3275">
        <v>0</v>
      </c>
      <c r="O3275" t="s">
        <v>31</v>
      </c>
      <c r="P3275" t="s">
        <v>28</v>
      </c>
      <c r="Q3275">
        <v>0</v>
      </c>
    </row>
    <row r="3276" spans="1:17" x14ac:dyDescent="0.3">
      <c r="A3276" t="s">
        <v>17</v>
      </c>
      <c r="B3276">
        <v>67</v>
      </c>
      <c r="C3276" t="s">
        <v>28</v>
      </c>
      <c r="D3276" s="2">
        <v>46044</v>
      </c>
      <c r="E3276" s="3">
        <f t="shared" si="51"/>
        <v>46023</v>
      </c>
      <c r="F3276" t="s">
        <v>2785</v>
      </c>
      <c r="G3276" t="s">
        <v>208</v>
      </c>
      <c r="H3276" s="4">
        <v>500</v>
      </c>
      <c r="I3276" t="s">
        <v>31</v>
      </c>
      <c r="J3276" t="s">
        <v>32</v>
      </c>
      <c r="K3276" t="s">
        <v>2784</v>
      </c>
      <c r="L3276" s="2">
        <v>46023</v>
      </c>
      <c r="M3276" t="s">
        <v>32</v>
      </c>
      <c r="N3276">
        <v>0</v>
      </c>
      <c r="O3276" t="s">
        <v>31</v>
      </c>
      <c r="P3276" t="s">
        <v>28</v>
      </c>
      <c r="Q3276">
        <v>0</v>
      </c>
    </row>
    <row r="3277" spans="1:17" x14ac:dyDescent="0.3">
      <c r="A3277" t="s">
        <v>17</v>
      </c>
      <c r="B3277">
        <v>67</v>
      </c>
      <c r="C3277" t="s">
        <v>28</v>
      </c>
      <c r="D3277" s="2">
        <v>46045</v>
      </c>
      <c r="E3277" s="3">
        <f t="shared" si="51"/>
        <v>46023</v>
      </c>
      <c r="F3277" t="s">
        <v>2786</v>
      </c>
      <c r="G3277" t="s">
        <v>67</v>
      </c>
      <c r="H3277" s="4">
        <v>458.67</v>
      </c>
      <c r="I3277" t="s">
        <v>31</v>
      </c>
      <c r="J3277" t="s">
        <v>68</v>
      </c>
      <c r="K3277" t="s">
        <v>2787</v>
      </c>
      <c r="L3277" s="2">
        <v>46023</v>
      </c>
      <c r="M3277" t="s">
        <v>68</v>
      </c>
      <c r="N3277">
        <v>0</v>
      </c>
      <c r="O3277" t="s">
        <v>31</v>
      </c>
      <c r="P3277" t="s">
        <v>28</v>
      </c>
      <c r="Q3277">
        <v>0</v>
      </c>
    </row>
    <row r="3278" spans="1:17" x14ac:dyDescent="0.3">
      <c r="A3278" t="s">
        <v>17</v>
      </c>
      <c r="B3278">
        <v>68</v>
      </c>
      <c r="C3278" t="s">
        <v>34</v>
      </c>
      <c r="D3278" s="2">
        <v>46047</v>
      </c>
      <c r="E3278" s="3">
        <f t="shared" si="51"/>
        <v>46023</v>
      </c>
      <c r="F3278" t="s">
        <v>2788</v>
      </c>
      <c r="G3278" t="s">
        <v>122</v>
      </c>
      <c r="H3278" s="4">
        <v>19.79</v>
      </c>
      <c r="I3278" t="s">
        <v>108</v>
      </c>
      <c r="J3278" t="s">
        <v>109</v>
      </c>
      <c r="L3278" s="2">
        <v>46023</v>
      </c>
      <c r="M3278" t="s">
        <v>109</v>
      </c>
      <c r="N3278">
        <v>0</v>
      </c>
      <c r="O3278" t="s">
        <v>111</v>
      </c>
      <c r="P3278" t="s">
        <v>112</v>
      </c>
      <c r="Q3278" t="s">
        <v>113</v>
      </c>
    </row>
    <row r="3279" spans="1:17" x14ac:dyDescent="0.3">
      <c r="A3279" t="s">
        <v>17</v>
      </c>
      <c r="B3279">
        <v>64</v>
      </c>
      <c r="C3279" t="s">
        <v>83</v>
      </c>
      <c r="D3279" s="2">
        <v>46048</v>
      </c>
      <c r="E3279" s="3">
        <f t="shared" si="51"/>
        <v>46023</v>
      </c>
      <c r="F3279" t="s">
        <v>2789</v>
      </c>
      <c r="H3279" s="4">
        <v>64.55</v>
      </c>
      <c r="I3279" t="s">
        <v>159</v>
      </c>
      <c r="J3279" t="s">
        <v>91</v>
      </c>
      <c r="K3279" t="s">
        <v>2790</v>
      </c>
      <c r="L3279" s="2">
        <v>46023</v>
      </c>
      <c r="M3279" t="s">
        <v>93</v>
      </c>
      <c r="N3279">
        <v>0</v>
      </c>
      <c r="O3279" t="s">
        <v>159</v>
      </c>
      <c r="P3279" t="s">
        <v>83</v>
      </c>
      <c r="Q3279">
        <v>0</v>
      </c>
    </row>
    <row r="3280" spans="1:17" x14ac:dyDescent="0.3">
      <c r="A3280" t="s">
        <v>17</v>
      </c>
      <c r="B3280">
        <v>64</v>
      </c>
      <c r="C3280" t="s">
        <v>83</v>
      </c>
      <c r="D3280" s="2">
        <v>46048</v>
      </c>
      <c r="E3280" s="3">
        <f t="shared" si="51"/>
        <v>46023</v>
      </c>
      <c r="F3280" t="s">
        <v>2789</v>
      </c>
      <c r="H3280" s="4">
        <v>121.9</v>
      </c>
      <c r="I3280" t="s">
        <v>159</v>
      </c>
      <c r="J3280" t="s">
        <v>91</v>
      </c>
      <c r="K3280" t="s">
        <v>2791</v>
      </c>
      <c r="L3280" s="2">
        <v>46023</v>
      </c>
      <c r="M3280" t="s">
        <v>93</v>
      </c>
      <c r="N3280">
        <v>0</v>
      </c>
      <c r="O3280" t="s">
        <v>159</v>
      </c>
      <c r="P3280" t="s">
        <v>83</v>
      </c>
      <c r="Q3280">
        <v>0</v>
      </c>
    </row>
    <row r="3281" spans="1:17" x14ac:dyDescent="0.3">
      <c r="A3281" t="s">
        <v>17</v>
      </c>
      <c r="B3281">
        <v>67</v>
      </c>
      <c r="C3281" t="s">
        <v>28</v>
      </c>
      <c r="D3281" s="2">
        <v>46048</v>
      </c>
      <c r="E3281" s="3">
        <f t="shared" si="51"/>
        <v>46023</v>
      </c>
      <c r="F3281">
        <v>29178</v>
      </c>
      <c r="G3281" t="s">
        <v>2792</v>
      </c>
      <c r="H3281" s="4">
        <v>13254.75</v>
      </c>
      <c r="I3281" t="s">
        <v>31</v>
      </c>
      <c r="J3281" t="s">
        <v>48</v>
      </c>
      <c r="K3281" t="s">
        <v>2793</v>
      </c>
      <c r="L3281" s="2">
        <v>46023</v>
      </c>
      <c r="M3281" t="s">
        <v>50</v>
      </c>
      <c r="N3281">
        <v>0</v>
      </c>
      <c r="O3281" t="s">
        <v>31</v>
      </c>
      <c r="P3281" t="s">
        <v>28</v>
      </c>
      <c r="Q3281">
        <v>0</v>
      </c>
    </row>
    <row r="3282" spans="1:17" x14ac:dyDescent="0.3">
      <c r="A3282" t="s">
        <v>17</v>
      </c>
      <c r="B3282">
        <v>67</v>
      </c>
      <c r="C3282" t="s">
        <v>28</v>
      </c>
      <c r="D3282" s="2">
        <v>46048</v>
      </c>
      <c r="E3282" s="3">
        <f t="shared" si="51"/>
        <v>46023</v>
      </c>
      <c r="F3282">
        <v>7</v>
      </c>
      <c r="G3282" t="s">
        <v>2514</v>
      </c>
      <c r="H3282" s="4">
        <v>11860.8</v>
      </c>
      <c r="I3282" t="s">
        <v>47</v>
      </c>
      <c r="J3282" t="s">
        <v>48</v>
      </c>
      <c r="K3282" t="s">
        <v>2794</v>
      </c>
      <c r="L3282" s="2">
        <v>46023</v>
      </c>
      <c r="M3282" t="s">
        <v>50</v>
      </c>
      <c r="N3282">
        <v>0</v>
      </c>
      <c r="O3282" t="s">
        <v>26</v>
      </c>
      <c r="P3282" t="s">
        <v>28</v>
      </c>
      <c r="Q3282">
        <v>0</v>
      </c>
    </row>
    <row r="3283" spans="1:17" x14ac:dyDescent="0.3">
      <c r="A3283" t="s">
        <v>17</v>
      </c>
      <c r="B3283">
        <v>68</v>
      </c>
      <c r="C3283" t="s">
        <v>34</v>
      </c>
      <c r="D3283" s="2">
        <v>46048</v>
      </c>
      <c r="E3283" s="3">
        <f t="shared" si="51"/>
        <v>46023</v>
      </c>
      <c r="F3283" t="s">
        <v>2789</v>
      </c>
      <c r="G3283" t="s">
        <v>158</v>
      </c>
      <c r="H3283" s="4">
        <v>10.87</v>
      </c>
      <c r="I3283" t="s">
        <v>159</v>
      </c>
      <c r="J3283" t="s">
        <v>79</v>
      </c>
      <c r="K3283" t="s">
        <v>2795</v>
      </c>
      <c r="L3283" s="2">
        <v>46023</v>
      </c>
      <c r="M3283" t="s">
        <v>79</v>
      </c>
      <c r="N3283">
        <v>0</v>
      </c>
      <c r="O3283" t="s">
        <v>159</v>
      </c>
      <c r="P3283" t="s">
        <v>34</v>
      </c>
      <c r="Q3283">
        <v>0</v>
      </c>
    </row>
    <row r="3284" spans="1:17" x14ac:dyDescent="0.3">
      <c r="A3284" t="s">
        <v>17</v>
      </c>
      <c r="B3284">
        <v>68</v>
      </c>
      <c r="C3284" t="s">
        <v>34</v>
      </c>
      <c r="D3284" s="2">
        <v>46048</v>
      </c>
      <c r="E3284" s="3">
        <f t="shared" si="51"/>
        <v>46023</v>
      </c>
      <c r="F3284" t="s">
        <v>2796</v>
      </c>
      <c r="G3284" t="s">
        <v>122</v>
      </c>
      <c r="H3284" s="4">
        <v>28.82</v>
      </c>
      <c r="I3284" t="s">
        <v>108</v>
      </c>
      <c r="J3284" t="s">
        <v>109</v>
      </c>
      <c r="L3284" s="2">
        <v>46023</v>
      </c>
      <c r="M3284" t="s">
        <v>109</v>
      </c>
      <c r="N3284">
        <v>0</v>
      </c>
      <c r="O3284" t="s">
        <v>111</v>
      </c>
      <c r="P3284" t="s">
        <v>112</v>
      </c>
      <c r="Q3284" t="s">
        <v>113</v>
      </c>
    </row>
    <row r="3285" spans="1:17" x14ac:dyDescent="0.3">
      <c r="A3285" t="s">
        <v>17</v>
      </c>
      <c r="B3285">
        <v>68</v>
      </c>
      <c r="C3285" t="s">
        <v>34</v>
      </c>
      <c r="D3285" s="2">
        <v>46048</v>
      </c>
      <c r="E3285" s="3">
        <f t="shared" si="51"/>
        <v>46023</v>
      </c>
      <c r="F3285" t="s">
        <v>2797</v>
      </c>
      <c r="G3285" t="s">
        <v>122</v>
      </c>
      <c r="H3285" s="4">
        <v>3</v>
      </c>
      <c r="I3285" t="s">
        <v>108</v>
      </c>
      <c r="J3285" t="s">
        <v>109</v>
      </c>
      <c r="L3285" s="2">
        <v>46023</v>
      </c>
      <c r="M3285" t="s">
        <v>109</v>
      </c>
      <c r="N3285">
        <v>0</v>
      </c>
      <c r="O3285" t="s">
        <v>111</v>
      </c>
      <c r="P3285" t="s">
        <v>112</v>
      </c>
      <c r="Q3285" t="s">
        <v>113</v>
      </c>
    </row>
    <row r="3286" spans="1:17" x14ac:dyDescent="0.3">
      <c r="A3286" t="s">
        <v>17</v>
      </c>
      <c r="B3286">
        <v>68</v>
      </c>
      <c r="C3286" t="s">
        <v>34</v>
      </c>
      <c r="D3286" s="2">
        <v>46048</v>
      </c>
      <c r="E3286" s="3">
        <f t="shared" si="51"/>
        <v>46023</v>
      </c>
      <c r="F3286" t="s">
        <v>2797</v>
      </c>
      <c r="G3286" t="s">
        <v>122</v>
      </c>
      <c r="H3286" s="4">
        <v>17.5</v>
      </c>
      <c r="I3286" t="s">
        <v>108</v>
      </c>
      <c r="J3286" t="s">
        <v>109</v>
      </c>
      <c r="L3286" s="2">
        <v>46023</v>
      </c>
      <c r="M3286" t="s">
        <v>109</v>
      </c>
      <c r="N3286">
        <v>0</v>
      </c>
      <c r="O3286" t="s">
        <v>111</v>
      </c>
      <c r="P3286" t="s">
        <v>112</v>
      </c>
      <c r="Q3286" t="s">
        <v>113</v>
      </c>
    </row>
    <row r="3287" spans="1:17" x14ac:dyDescent="0.3">
      <c r="A3287" t="s">
        <v>17</v>
      </c>
      <c r="B3287">
        <v>68</v>
      </c>
      <c r="C3287" t="s">
        <v>34</v>
      </c>
      <c r="D3287" s="2">
        <v>46048</v>
      </c>
      <c r="E3287" s="3">
        <f t="shared" si="51"/>
        <v>46023</v>
      </c>
      <c r="F3287" t="s">
        <v>2797</v>
      </c>
      <c r="G3287" t="s">
        <v>122</v>
      </c>
      <c r="H3287" s="4">
        <v>1.34</v>
      </c>
      <c r="I3287" t="s">
        <v>108</v>
      </c>
      <c r="J3287" t="s">
        <v>109</v>
      </c>
      <c r="L3287" s="2">
        <v>46023</v>
      </c>
      <c r="M3287" t="s">
        <v>109</v>
      </c>
      <c r="N3287">
        <v>0</v>
      </c>
      <c r="O3287" t="s">
        <v>111</v>
      </c>
      <c r="P3287" t="s">
        <v>112</v>
      </c>
      <c r="Q3287" t="s">
        <v>113</v>
      </c>
    </row>
    <row r="3288" spans="1:17" x14ac:dyDescent="0.3">
      <c r="A3288" t="s">
        <v>17</v>
      </c>
      <c r="B3288">
        <v>68</v>
      </c>
      <c r="C3288" t="s">
        <v>34</v>
      </c>
      <c r="D3288" s="2">
        <v>46048</v>
      </c>
      <c r="E3288" s="3">
        <f t="shared" si="51"/>
        <v>46023</v>
      </c>
      <c r="F3288" t="s">
        <v>2798</v>
      </c>
      <c r="G3288" t="s">
        <v>122</v>
      </c>
      <c r="H3288" s="4">
        <v>0.67</v>
      </c>
      <c r="I3288" t="s">
        <v>108</v>
      </c>
      <c r="J3288" t="s">
        <v>109</v>
      </c>
      <c r="L3288" s="2">
        <v>46023</v>
      </c>
      <c r="M3288" t="s">
        <v>109</v>
      </c>
      <c r="N3288">
        <v>0</v>
      </c>
      <c r="O3288" t="s">
        <v>111</v>
      </c>
      <c r="P3288" t="s">
        <v>112</v>
      </c>
      <c r="Q3288" t="s">
        <v>113</v>
      </c>
    </row>
    <row r="3289" spans="1:17" x14ac:dyDescent="0.3">
      <c r="A3289" t="s">
        <v>17</v>
      </c>
      <c r="B3289">
        <v>68</v>
      </c>
      <c r="C3289" t="s">
        <v>34</v>
      </c>
      <c r="D3289" s="2">
        <v>46048</v>
      </c>
      <c r="E3289" s="3">
        <f t="shared" si="51"/>
        <v>46023</v>
      </c>
      <c r="F3289" t="s">
        <v>2798</v>
      </c>
      <c r="G3289" t="s">
        <v>122</v>
      </c>
      <c r="H3289" s="4">
        <v>17.5</v>
      </c>
      <c r="I3289" t="s">
        <v>108</v>
      </c>
      <c r="J3289" t="s">
        <v>109</v>
      </c>
      <c r="L3289" s="2">
        <v>46023</v>
      </c>
      <c r="M3289" t="s">
        <v>109</v>
      </c>
      <c r="N3289">
        <v>0</v>
      </c>
      <c r="O3289" t="s">
        <v>111</v>
      </c>
      <c r="P3289" t="s">
        <v>112</v>
      </c>
      <c r="Q3289" t="s">
        <v>113</v>
      </c>
    </row>
    <row r="3290" spans="1:17" x14ac:dyDescent="0.3">
      <c r="A3290" t="s">
        <v>17</v>
      </c>
      <c r="B3290">
        <v>68</v>
      </c>
      <c r="C3290" t="s">
        <v>34</v>
      </c>
      <c r="D3290" s="2">
        <v>46048</v>
      </c>
      <c r="E3290" s="3">
        <f t="shared" si="51"/>
        <v>46023</v>
      </c>
      <c r="F3290" t="s">
        <v>2798</v>
      </c>
      <c r="G3290" t="s">
        <v>122</v>
      </c>
      <c r="H3290" s="4">
        <v>1.34</v>
      </c>
      <c r="I3290" t="s">
        <v>108</v>
      </c>
      <c r="J3290" t="s">
        <v>109</v>
      </c>
      <c r="L3290" s="2">
        <v>46023</v>
      </c>
      <c r="M3290" t="s">
        <v>109</v>
      </c>
      <c r="N3290">
        <v>0</v>
      </c>
      <c r="O3290" t="s">
        <v>111</v>
      </c>
      <c r="P3290" t="s">
        <v>112</v>
      </c>
      <c r="Q3290" t="s">
        <v>113</v>
      </c>
    </row>
    <row r="3291" spans="1:17" x14ac:dyDescent="0.3">
      <c r="A3291" t="s">
        <v>17</v>
      </c>
      <c r="B3291">
        <v>68</v>
      </c>
      <c r="C3291" t="s">
        <v>34</v>
      </c>
      <c r="D3291" s="2">
        <v>46048</v>
      </c>
      <c r="E3291" s="3">
        <f t="shared" si="51"/>
        <v>46023</v>
      </c>
      <c r="F3291" t="s">
        <v>2799</v>
      </c>
      <c r="G3291" t="s">
        <v>122</v>
      </c>
      <c r="H3291" s="4">
        <v>7.98</v>
      </c>
      <c r="I3291" t="s">
        <v>108</v>
      </c>
      <c r="J3291" t="s">
        <v>109</v>
      </c>
      <c r="L3291" s="2">
        <v>46023</v>
      </c>
      <c r="M3291" t="s">
        <v>109</v>
      </c>
      <c r="N3291">
        <v>0</v>
      </c>
      <c r="O3291" t="s">
        <v>111</v>
      </c>
      <c r="P3291" t="s">
        <v>112</v>
      </c>
      <c r="Q3291" t="s">
        <v>113</v>
      </c>
    </row>
    <row r="3292" spans="1:17" x14ac:dyDescent="0.3">
      <c r="A3292" t="s">
        <v>17</v>
      </c>
      <c r="B3292">
        <v>68</v>
      </c>
      <c r="C3292" t="s">
        <v>34</v>
      </c>
      <c r="D3292" s="2">
        <v>46048</v>
      </c>
      <c r="E3292" s="3">
        <f t="shared" si="51"/>
        <v>46023</v>
      </c>
      <c r="F3292" t="s">
        <v>2799</v>
      </c>
      <c r="G3292" t="s">
        <v>122</v>
      </c>
      <c r="H3292" s="4">
        <v>17.5</v>
      </c>
      <c r="I3292" t="s">
        <v>108</v>
      </c>
      <c r="J3292" t="s">
        <v>109</v>
      </c>
      <c r="L3292" s="2">
        <v>46023</v>
      </c>
      <c r="M3292" t="s">
        <v>109</v>
      </c>
      <c r="N3292">
        <v>0</v>
      </c>
      <c r="O3292" t="s">
        <v>111</v>
      </c>
      <c r="P3292" t="s">
        <v>112</v>
      </c>
      <c r="Q3292" t="s">
        <v>113</v>
      </c>
    </row>
    <row r="3293" spans="1:17" x14ac:dyDescent="0.3">
      <c r="A3293" t="s">
        <v>17</v>
      </c>
      <c r="B3293">
        <v>68</v>
      </c>
      <c r="C3293" t="s">
        <v>34</v>
      </c>
      <c r="D3293" s="2">
        <v>46048</v>
      </c>
      <c r="E3293" s="3">
        <f t="shared" si="51"/>
        <v>46023</v>
      </c>
      <c r="F3293" t="s">
        <v>2799</v>
      </c>
      <c r="G3293" t="s">
        <v>122</v>
      </c>
      <c r="H3293" s="4">
        <v>1.34</v>
      </c>
      <c r="I3293" t="s">
        <v>108</v>
      </c>
      <c r="J3293" t="s">
        <v>109</v>
      </c>
      <c r="L3293" s="2">
        <v>46023</v>
      </c>
      <c r="M3293" t="s">
        <v>109</v>
      </c>
      <c r="N3293">
        <v>0</v>
      </c>
      <c r="O3293" t="s">
        <v>111</v>
      </c>
      <c r="P3293" t="s">
        <v>112</v>
      </c>
      <c r="Q3293" t="s">
        <v>113</v>
      </c>
    </row>
    <row r="3294" spans="1:17" x14ac:dyDescent="0.3">
      <c r="A3294" t="s">
        <v>17</v>
      </c>
      <c r="B3294">
        <v>68</v>
      </c>
      <c r="C3294" t="s">
        <v>34</v>
      </c>
      <c r="D3294" s="2">
        <v>46048</v>
      </c>
      <c r="E3294" s="3">
        <f t="shared" si="51"/>
        <v>46023</v>
      </c>
      <c r="F3294" t="s">
        <v>2800</v>
      </c>
      <c r="G3294" t="s">
        <v>122</v>
      </c>
      <c r="H3294" s="4">
        <v>19.71</v>
      </c>
      <c r="I3294" t="s">
        <v>108</v>
      </c>
      <c r="J3294" t="s">
        <v>109</v>
      </c>
      <c r="L3294" s="2">
        <v>46023</v>
      </c>
      <c r="M3294" t="s">
        <v>109</v>
      </c>
      <c r="N3294">
        <v>0</v>
      </c>
      <c r="O3294" t="s">
        <v>111</v>
      </c>
      <c r="P3294" t="s">
        <v>112</v>
      </c>
      <c r="Q3294" t="s">
        <v>113</v>
      </c>
    </row>
    <row r="3295" spans="1:17" x14ac:dyDescent="0.3">
      <c r="A3295" t="s">
        <v>17</v>
      </c>
      <c r="B3295">
        <v>67</v>
      </c>
      <c r="C3295" t="s">
        <v>28</v>
      </c>
      <c r="D3295" s="2">
        <v>46048</v>
      </c>
      <c r="E3295" s="3">
        <f t="shared" si="51"/>
        <v>46023</v>
      </c>
      <c r="F3295" t="s">
        <v>2801</v>
      </c>
      <c r="G3295" t="s">
        <v>259</v>
      </c>
      <c r="H3295" s="4">
        <v>11146.73</v>
      </c>
      <c r="I3295" t="s">
        <v>31</v>
      </c>
      <c r="J3295" t="s">
        <v>32</v>
      </c>
      <c r="K3295" t="s">
        <v>1704</v>
      </c>
      <c r="L3295" s="2">
        <v>46023</v>
      </c>
      <c r="M3295" t="s">
        <v>32</v>
      </c>
      <c r="N3295">
        <v>0</v>
      </c>
      <c r="O3295" t="s">
        <v>31</v>
      </c>
      <c r="P3295" t="s">
        <v>28</v>
      </c>
      <c r="Q3295">
        <v>0</v>
      </c>
    </row>
    <row r="3296" spans="1:17" x14ac:dyDescent="0.3">
      <c r="A3296" t="s">
        <v>17</v>
      </c>
      <c r="B3296">
        <v>67</v>
      </c>
      <c r="C3296" t="s">
        <v>28</v>
      </c>
      <c r="D3296" s="2">
        <v>46048</v>
      </c>
      <c r="E3296" s="3">
        <f t="shared" si="51"/>
        <v>46023</v>
      </c>
      <c r="F3296" t="s">
        <v>2789</v>
      </c>
      <c r="G3296" t="s">
        <v>158</v>
      </c>
      <c r="H3296" s="4">
        <v>21.78</v>
      </c>
      <c r="I3296" t="s">
        <v>159</v>
      </c>
      <c r="J3296" t="s">
        <v>74</v>
      </c>
      <c r="K3296" t="s">
        <v>2802</v>
      </c>
      <c r="L3296" s="2">
        <v>46023</v>
      </c>
      <c r="M3296" t="s">
        <v>76</v>
      </c>
      <c r="N3296">
        <v>0</v>
      </c>
      <c r="O3296" t="s">
        <v>159</v>
      </c>
      <c r="P3296" t="s">
        <v>28</v>
      </c>
      <c r="Q3296">
        <v>0</v>
      </c>
    </row>
    <row r="3297" spans="1:17" x14ac:dyDescent="0.3">
      <c r="A3297" t="s">
        <v>17</v>
      </c>
      <c r="B3297">
        <v>67</v>
      </c>
      <c r="C3297" t="s">
        <v>28</v>
      </c>
      <c r="D3297" s="2">
        <v>46048</v>
      </c>
      <c r="E3297" s="3">
        <f t="shared" si="51"/>
        <v>46023</v>
      </c>
      <c r="F3297" t="s">
        <v>2789</v>
      </c>
      <c r="G3297" t="s">
        <v>158</v>
      </c>
      <c r="H3297" s="4">
        <v>21.78</v>
      </c>
      <c r="I3297" t="s">
        <v>159</v>
      </c>
      <c r="J3297" t="s">
        <v>74</v>
      </c>
      <c r="K3297" t="s">
        <v>2139</v>
      </c>
      <c r="L3297" s="2">
        <v>46023</v>
      </c>
      <c r="M3297" t="s">
        <v>76</v>
      </c>
      <c r="N3297">
        <v>0</v>
      </c>
      <c r="O3297" t="s">
        <v>159</v>
      </c>
      <c r="P3297" t="s">
        <v>28</v>
      </c>
      <c r="Q3297">
        <v>0</v>
      </c>
    </row>
    <row r="3298" spans="1:17" x14ac:dyDescent="0.3">
      <c r="A3298" t="s">
        <v>17</v>
      </c>
      <c r="B3298">
        <v>64</v>
      </c>
      <c r="C3298" t="s">
        <v>83</v>
      </c>
      <c r="D3298" s="2">
        <v>46049</v>
      </c>
      <c r="E3298" s="3">
        <f t="shared" si="51"/>
        <v>46023</v>
      </c>
      <c r="F3298" t="s">
        <v>2803</v>
      </c>
      <c r="H3298" s="4">
        <v>134.69</v>
      </c>
      <c r="I3298" t="s">
        <v>31</v>
      </c>
      <c r="J3298" t="s">
        <v>91</v>
      </c>
      <c r="K3298" t="s">
        <v>2804</v>
      </c>
      <c r="L3298" s="2">
        <v>46023</v>
      </c>
      <c r="M3298" t="s">
        <v>93</v>
      </c>
      <c r="N3298">
        <v>0</v>
      </c>
      <c r="O3298" t="s">
        <v>31</v>
      </c>
      <c r="P3298" t="s">
        <v>83</v>
      </c>
      <c r="Q3298">
        <v>0</v>
      </c>
    </row>
    <row r="3299" spans="1:17" x14ac:dyDescent="0.3">
      <c r="A3299" t="s">
        <v>17</v>
      </c>
      <c r="B3299">
        <v>64</v>
      </c>
      <c r="C3299" t="s">
        <v>83</v>
      </c>
      <c r="D3299" s="2">
        <v>46049</v>
      </c>
      <c r="E3299" s="3">
        <f t="shared" si="51"/>
        <v>46023</v>
      </c>
      <c r="F3299" t="s">
        <v>2803</v>
      </c>
      <c r="H3299" s="4">
        <v>3.23</v>
      </c>
      <c r="I3299" t="s">
        <v>31</v>
      </c>
      <c r="J3299" t="s">
        <v>91</v>
      </c>
      <c r="K3299" t="s">
        <v>2805</v>
      </c>
      <c r="L3299" s="2">
        <v>46023</v>
      </c>
      <c r="M3299" t="s">
        <v>93</v>
      </c>
      <c r="N3299">
        <v>0</v>
      </c>
      <c r="O3299" t="s">
        <v>31</v>
      </c>
      <c r="P3299" t="s">
        <v>83</v>
      </c>
      <c r="Q3299">
        <v>0</v>
      </c>
    </row>
    <row r="3300" spans="1:17" x14ac:dyDescent="0.3">
      <c r="A3300" t="s">
        <v>17</v>
      </c>
      <c r="B3300">
        <v>64</v>
      </c>
      <c r="C3300" t="s">
        <v>83</v>
      </c>
      <c r="D3300" s="2">
        <v>46049</v>
      </c>
      <c r="E3300" s="3">
        <f t="shared" si="51"/>
        <v>46023</v>
      </c>
      <c r="F3300" t="s">
        <v>2806</v>
      </c>
      <c r="H3300" s="4">
        <v>27.87</v>
      </c>
      <c r="I3300" t="s">
        <v>31</v>
      </c>
      <c r="J3300" t="s">
        <v>91</v>
      </c>
      <c r="K3300" t="s">
        <v>2807</v>
      </c>
      <c r="L3300" s="2">
        <v>46023</v>
      </c>
      <c r="M3300" t="s">
        <v>93</v>
      </c>
      <c r="N3300">
        <v>0</v>
      </c>
      <c r="O3300" t="s">
        <v>31</v>
      </c>
      <c r="P3300" t="s">
        <v>83</v>
      </c>
      <c r="Q3300">
        <v>0</v>
      </c>
    </row>
    <row r="3301" spans="1:17" x14ac:dyDescent="0.3">
      <c r="A3301" t="s">
        <v>17</v>
      </c>
      <c r="B3301">
        <v>64</v>
      </c>
      <c r="C3301" t="s">
        <v>83</v>
      </c>
      <c r="D3301" s="2">
        <v>46049</v>
      </c>
      <c r="E3301" s="3">
        <f t="shared" si="51"/>
        <v>46023</v>
      </c>
      <c r="F3301" t="s">
        <v>2806</v>
      </c>
      <c r="H3301" s="4">
        <v>42.22</v>
      </c>
      <c r="I3301" t="s">
        <v>31</v>
      </c>
      <c r="J3301" t="s">
        <v>91</v>
      </c>
      <c r="K3301" t="s">
        <v>2808</v>
      </c>
      <c r="L3301" s="2">
        <v>46023</v>
      </c>
      <c r="M3301" t="s">
        <v>93</v>
      </c>
      <c r="N3301">
        <v>0</v>
      </c>
      <c r="O3301" t="s">
        <v>31</v>
      </c>
      <c r="P3301" t="s">
        <v>83</v>
      </c>
      <c r="Q3301">
        <v>0</v>
      </c>
    </row>
    <row r="3302" spans="1:17" x14ac:dyDescent="0.3">
      <c r="A3302" t="s">
        <v>17</v>
      </c>
      <c r="B3302">
        <v>64</v>
      </c>
      <c r="C3302" t="s">
        <v>83</v>
      </c>
      <c r="D3302" s="2">
        <v>46049</v>
      </c>
      <c r="E3302" s="3">
        <f t="shared" si="51"/>
        <v>46023</v>
      </c>
      <c r="F3302" t="s">
        <v>2806</v>
      </c>
      <c r="H3302" s="4">
        <v>70.72</v>
      </c>
      <c r="I3302" t="s">
        <v>31</v>
      </c>
      <c r="J3302" t="s">
        <v>91</v>
      </c>
      <c r="K3302" t="s">
        <v>533</v>
      </c>
      <c r="L3302" s="2">
        <v>46023</v>
      </c>
      <c r="M3302" t="s">
        <v>93</v>
      </c>
      <c r="N3302">
        <v>0</v>
      </c>
      <c r="O3302" t="s">
        <v>31</v>
      </c>
      <c r="P3302" t="s">
        <v>83</v>
      </c>
      <c r="Q3302">
        <v>0</v>
      </c>
    </row>
    <row r="3303" spans="1:17" x14ac:dyDescent="0.3">
      <c r="A3303" t="s">
        <v>17</v>
      </c>
      <c r="B3303">
        <v>64</v>
      </c>
      <c r="C3303" t="s">
        <v>83</v>
      </c>
      <c r="D3303" s="2">
        <v>46049</v>
      </c>
      <c r="E3303" s="3">
        <f t="shared" si="51"/>
        <v>46023</v>
      </c>
      <c r="F3303" t="s">
        <v>2806</v>
      </c>
      <c r="H3303" s="4">
        <v>60.86</v>
      </c>
      <c r="I3303" t="s">
        <v>31</v>
      </c>
      <c r="J3303" t="s">
        <v>91</v>
      </c>
      <c r="K3303" t="s">
        <v>533</v>
      </c>
      <c r="L3303" s="2">
        <v>46023</v>
      </c>
      <c r="M3303" t="s">
        <v>93</v>
      </c>
      <c r="N3303">
        <v>0</v>
      </c>
      <c r="O3303" t="s">
        <v>31</v>
      </c>
      <c r="P3303" t="s">
        <v>83</v>
      </c>
      <c r="Q3303">
        <v>0</v>
      </c>
    </row>
    <row r="3304" spans="1:17" x14ac:dyDescent="0.3">
      <c r="A3304" t="s">
        <v>17</v>
      </c>
      <c r="B3304">
        <v>64</v>
      </c>
      <c r="C3304" t="s">
        <v>83</v>
      </c>
      <c r="D3304" s="2">
        <v>46049</v>
      </c>
      <c r="E3304" s="3">
        <f t="shared" si="51"/>
        <v>46023</v>
      </c>
      <c r="F3304" t="s">
        <v>2806</v>
      </c>
      <c r="H3304" s="4">
        <v>23.73</v>
      </c>
      <c r="I3304" t="s">
        <v>31</v>
      </c>
      <c r="J3304" t="s">
        <v>91</v>
      </c>
      <c r="K3304" t="s">
        <v>533</v>
      </c>
      <c r="L3304" s="2">
        <v>46023</v>
      </c>
      <c r="M3304" t="s">
        <v>93</v>
      </c>
      <c r="N3304">
        <v>0</v>
      </c>
      <c r="O3304" t="s">
        <v>31</v>
      </c>
      <c r="P3304" t="s">
        <v>83</v>
      </c>
      <c r="Q3304">
        <v>0</v>
      </c>
    </row>
    <row r="3305" spans="1:17" x14ac:dyDescent="0.3">
      <c r="A3305" t="s">
        <v>17</v>
      </c>
      <c r="B3305">
        <v>64</v>
      </c>
      <c r="C3305" t="s">
        <v>83</v>
      </c>
      <c r="D3305" s="2">
        <v>46049</v>
      </c>
      <c r="E3305" s="3">
        <f t="shared" si="51"/>
        <v>46023</v>
      </c>
      <c r="F3305" t="s">
        <v>2806</v>
      </c>
      <c r="H3305" s="4">
        <v>260.37</v>
      </c>
      <c r="I3305" t="s">
        <v>31</v>
      </c>
      <c r="J3305" t="s">
        <v>91</v>
      </c>
      <c r="K3305" t="s">
        <v>2201</v>
      </c>
      <c r="L3305" s="2">
        <v>46023</v>
      </c>
      <c r="M3305" t="s">
        <v>93</v>
      </c>
      <c r="N3305">
        <v>0</v>
      </c>
      <c r="O3305" t="s">
        <v>31</v>
      </c>
      <c r="P3305" t="s">
        <v>83</v>
      </c>
      <c r="Q3305">
        <v>0</v>
      </c>
    </row>
    <row r="3306" spans="1:17" x14ac:dyDescent="0.3">
      <c r="A3306" t="s">
        <v>17</v>
      </c>
      <c r="B3306">
        <v>64</v>
      </c>
      <c r="C3306" t="s">
        <v>83</v>
      </c>
      <c r="D3306" s="2">
        <v>46049</v>
      </c>
      <c r="E3306" s="3">
        <f t="shared" si="51"/>
        <v>46023</v>
      </c>
      <c r="F3306" t="s">
        <v>2803</v>
      </c>
      <c r="H3306" s="4">
        <v>47.19</v>
      </c>
      <c r="I3306" t="s">
        <v>31</v>
      </c>
      <c r="J3306" t="s">
        <v>87</v>
      </c>
      <c r="K3306" t="s">
        <v>2809</v>
      </c>
      <c r="L3306" s="2">
        <v>46023</v>
      </c>
      <c r="M3306" t="s">
        <v>89</v>
      </c>
      <c r="N3306">
        <v>0</v>
      </c>
      <c r="O3306" t="s">
        <v>31</v>
      </c>
      <c r="P3306" t="s">
        <v>83</v>
      </c>
      <c r="Q3306">
        <v>0</v>
      </c>
    </row>
    <row r="3307" spans="1:17" x14ac:dyDescent="0.3">
      <c r="A3307" t="s">
        <v>17</v>
      </c>
      <c r="B3307">
        <v>64</v>
      </c>
      <c r="C3307" t="s">
        <v>83</v>
      </c>
      <c r="D3307" s="2">
        <v>46049</v>
      </c>
      <c r="E3307" s="3">
        <f t="shared" si="51"/>
        <v>46023</v>
      </c>
      <c r="F3307" t="s">
        <v>2803</v>
      </c>
      <c r="H3307" s="4">
        <v>44.35</v>
      </c>
      <c r="I3307" t="s">
        <v>31</v>
      </c>
      <c r="J3307" t="s">
        <v>87</v>
      </c>
      <c r="K3307" t="s">
        <v>2810</v>
      </c>
      <c r="L3307" s="2">
        <v>46023</v>
      </c>
      <c r="M3307" t="s">
        <v>89</v>
      </c>
      <c r="N3307">
        <v>0</v>
      </c>
      <c r="O3307" t="s">
        <v>31</v>
      </c>
      <c r="P3307" t="s">
        <v>83</v>
      </c>
      <c r="Q3307">
        <v>0</v>
      </c>
    </row>
    <row r="3308" spans="1:17" x14ac:dyDescent="0.3">
      <c r="A3308" t="s">
        <v>17</v>
      </c>
      <c r="B3308">
        <v>64</v>
      </c>
      <c r="C3308" t="s">
        <v>83</v>
      </c>
      <c r="D3308" s="2">
        <v>46049</v>
      </c>
      <c r="E3308" s="3">
        <f t="shared" si="51"/>
        <v>46023</v>
      </c>
      <c r="F3308" t="s">
        <v>2803</v>
      </c>
      <c r="H3308" s="4">
        <v>21.75</v>
      </c>
      <c r="I3308" t="s">
        <v>31</v>
      </c>
      <c r="J3308" t="s">
        <v>87</v>
      </c>
      <c r="K3308" t="s">
        <v>2811</v>
      </c>
      <c r="L3308" s="2">
        <v>46023</v>
      </c>
      <c r="M3308" t="s">
        <v>89</v>
      </c>
      <c r="N3308">
        <v>0</v>
      </c>
      <c r="O3308" t="s">
        <v>31</v>
      </c>
      <c r="P3308" t="s">
        <v>83</v>
      </c>
      <c r="Q3308">
        <v>0</v>
      </c>
    </row>
    <row r="3309" spans="1:17" x14ac:dyDescent="0.3">
      <c r="A3309" t="s">
        <v>17</v>
      </c>
      <c r="B3309">
        <v>64</v>
      </c>
      <c r="C3309" t="s">
        <v>83</v>
      </c>
      <c r="D3309" s="2">
        <v>46049</v>
      </c>
      <c r="E3309" s="3">
        <f t="shared" si="51"/>
        <v>46023</v>
      </c>
      <c r="F3309" t="s">
        <v>2803</v>
      </c>
      <c r="H3309" s="4">
        <v>18.28</v>
      </c>
      <c r="I3309" t="s">
        <v>31</v>
      </c>
      <c r="J3309" t="s">
        <v>87</v>
      </c>
      <c r="K3309" t="s">
        <v>2812</v>
      </c>
      <c r="L3309" s="2">
        <v>46023</v>
      </c>
      <c r="M3309" t="s">
        <v>89</v>
      </c>
      <c r="N3309">
        <v>0</v>
      </c>
      <c r="O3309" t="s">
        <v>31</v>
      </c>
      <c r="P3309" t="s">
        <v>83</v>
      </c>
      <c r="Q3309">
        <v>0</v>
      </c>
    </row>
    <row r="3310" spans="1:17" x14ac:dyDescent="0.3">
      <c r="A3310" t="s">
        <v>17</v>
      </c>
      <c r="B3310">
        <v>64</v>
      </c>
      <c r="C3310" t="s">
        <v>83</v>
      </c>
      <c r="D3310" s="2">
        <v>46049</v>
      </c>
      <c r="E3310" s="3">
        <f t="shared" si="51"/>
        <v>46023</v>
      </c>
      <c r="F3310" t="s">
        <v>2803</v>
      </c>
      <c r="H3310" s="4">
        <v>69.77</v>
      </c>
      <c r="I3310" t="s">
        <v>31</v>
      </c>
      <c r="J3310" t="s">
        <v>87</v>
      </c>
      <c r="K3310" t="s">
        <v>2813</v>
      </c>
      <c r="L3310" s="2">
        <v>46023</v>
      </c>
      <c r="M3310" t="s">
        <v>89</v>
      </c>
      <c r="N3310">
        <v>0</v>
      </c>
      <c r="O3310" t="s">
        <v>31</v>
      </c>
      <c r="P3310" t="s">
        <v>83</v>
      </c>
      <c r="Q3310">
        <v>0</v>
      </c>
    </row>
    <row r="3311" spans="1:17" x14ac:dyDescent="0.3">
      <c r="A3311" t="s">
        <v>17</v>
      </c>
      <c r="B3311">
        <v>64</v>
      </c>
      <c r="C3311" t="s">
        <v>83</v>
      </c>
      <c r="D3311" s="2">
        <v>46049</v>
      </c>
      <c r="E3311" s="3">
        <f t="shared" si="51"/>
        <v>46023</v>
      </c>
      <c r="F3311" t="s">
        <v>2806</v>
      </c>
      <c r="H3311" s="4">
        <v>25.99</v>
      </c>
      <c r="I3311" t="s">
        <v>31</v>
      </c>
      <c r="J3311" t="s">
        <v>87</v>
      </c>
      <c r="K3311" t="s">
        <v>2814</v>
      </c>
      <c r="L3311" s="2">
        <v>46023</v>
      </c>
      <c r="M3311" t="s">
        <v>89</v>
      </c>
      <c r="N3311">
        <v>0</v>
      </c>
      <c r="O3311" t="s">
        <v>31</v>
      </c>
      <c r="P3311" t="s">
        <v>83</v>
      </c>
      <c r="Q3311">
        <v>0</v>
      </c>
    </row>
    <row r="3312" spans="1:17" x14ac:dyDescent="0.3">
      <c r="A3312" t="s">
        <v>17</v>
      </c>
      <c r="B3312">
        <v>64</v>
      </c>
      <c r="C3312" t="s">
        <v>83</v>
      </c>
      <c r="D3312" s="2">
        <v>46049</v>
      </c>
      <c r="E3312" s="3">
        <f t="shared" si="51"/>
        <v>46023</v>
      </c>
      <c r="F3312" t="s">
        <v>2806</v>
      </c>
      <c r="H3312" s="4">
        <v>68.95</v>
      </c>
      <c r="I3312" t="s">
        <v>31</v>
      </c>
      <c r="J3312" t="s">
        <v>87</v>
      </c>
      <c r="K3312" t="s">
        <v>2815</v>
      </c>
      <c r="L3312" s="2">
        <v>46023</v>
      </c>
      <c r="M3312" t="s">
        <v>89</v>
      </c>
      <c r="N3312">
        <v>0</v>
      </c>
      <c r="O3312" t="s">
        <v>31</v>
      </c>
      <c r="P3312" t="s">
        <v>83</v>
      </c>
      <c r="Q3312">
        <v>0</v>
      </c>
    </row>
    <row r="3313" spans="1:17" x14ac:dyDescent="0.3">
      <c r="A3313" t="s">
        <v>17</v>
      </c>
      <c r="B3313">
        <v>64</v>
      </c>
      <c r="C3313" t="s">
        <v>83</v>
      </c>
      <c r="D3313" s="2">
        <v>46049</v>
      </c>
      <c r="E3313" s="3">
        <f t="shared" si="51"/>
        <v>46023</v>
      </c>
      <c r="F3313" t="s">
        <v>2806</v>
      </c>
      <c r="H3313" s="4">
        <v>43.97</v>
      </c>
      <c r="I3313" t="s">
        <v>31</v>
      </c>
      <c r="J3313" t="s">
        <v>87</v>
      </c>
      <c r="K3313" t="s">
        <v>2816</v>
      </c>
      <c r="L3313" s="2">
        <v>46023</v>
      </c>
      <c r="M3313" t="s">
        <v>89</v>
      </c>
      <c r="N3313">
        <v>0</v>
      </c>
      <c r="O3313" t="s">
        <v>31</v>
      </c>
      <c r="P3313" t="s">
        <v>83</v>
      </c>
      <c r="Q3313">
        <v>0</v>
      </c>
    </row>
    <row r="3314" spans="1:17" x14ac:dyDescent="0.3">
      <c r="A3314" t="s">
        <v>17</v>
      </c>
      <c r="B3314">
        <v>64</v>
      </c>
      <c r="C3314" t="s">
        <v>83</v>
      </c>
      <c r="D3314" s="2">
        <v>46049</v>
      </c>
      <c r="E3314" s="3">
        <f t="shared" si="51"/>
        <v>46023</v>
      </c>
      <c r="F3314" t="s">
        <v>2803</v>
      </c>
      <c r="H3314" s="4">
        <v>32</v>
      </c>
      <c r="I3314" t="s">
        <v>31</v>
      </c>
      <c r="J3314" t="s">
        <v>2817</v>
      </c>
      <c r="K3314" t="s">
        <v>2818</v>
      </c>
      <c r="L3314" s="2">
        <v>46023</v>
      </c>
      <c r="M3314" t="s">
        <v>2819</v>
      </c>
      <c r="N3314">
        <v>0</v>
      </c>
      <c r="O3314" t="s">
        <v>31</v>
      </c>
      <c r="P3314" t="s">
        <v>83</v>
      </c>
      <c r="Q3314">
        <v>0</v>
      </c>
    </row>
    <row r="3315" spans="1:17" x14ac:dyDescent="0.3">
      <c r="A3315" t="s">
        <v>17</v>
      </c>
      <c r="B3315">
        <v>63</v>
      </c>
      <c r="C3315" t="s">
        <v>18</v>
      </c>
      <c r="D3315" s="2">
        <v>46049</v>
      </c>
      <c r="E3315" s="3">
        <f t="shared" si="51"/>
        <v>46023</v>
      </c>
      <c r="F3315" t="s">
        <v>2820</v>
      </c>
      <c r="G3315" t="s">
        <v>439</v>
      </c>
      <c r="H3315" s="4">
        <v>48.43</v>
      </c>
      <c r="I3315" t="s">
        <v>21</v>
      </c>
      <c r="J3315" t="s">
        <v>22</v>
      </c>
      <c r="K3315" t="s">
        <v>2524</v>
      </c>
      <c r="L3315" s="2">
        <v>46023</v>
      </c>
      <c r="M3315" t="s">
        <v>24</v>
      </c>
      <c r="N3315" t="s">
        <v>25</v>
      </c>
      <c r="O3315" t="s">
        <v>26</v>
      </c>
      <c r="P3315" t="s">
        <v>18</v>
      </c>
      <c r="Q3315" t="s">
        <v>27</v>
      </c>
    </row>
    <row r="3316" spans="1:17" x14ac:dyDescent="0.3">
      <c r="A3316" t="s">
        <v>17</v>
      </c>
      <c r="B3316">
        <v>68</v>
      </c>
      <c r="C3316" t="s">
        <v>34</v>
      </c>
      <c r="D3316" s="2">
        <v>46049</v>
      </c>
      <c r="E3316" s="3">
        <f t="shared" si="51"/>
        <v>46023</v>
      </c>
      <c r="F3316" t="s">
        <v>2821</v>
      </c>
      <c r="G3316" t="s">
        <v>107</v>
      </c>
      <c r="H3316" s="4">
        <v>6.95</v>
      </c>
      <c r="I3316" t="s">
        <v>108</v>
      </c>
      <c r="J3316" t="s">
        <v>109</v>
      </c>
      <c r="K3316" t="s">
        <v>2822</v>
      </c>
      <c r="L3316" s="2">
        <v>46023</v>
      </c>
      <c r="M3316" t="s">
        <v>109</v>
      </c>
      <c r="N3316">
        <v>0</v>
      </c>
      <c r="O3316" t="s">
        <v>111</v>
      </c>
      <c r="P3316" t="s">
        <v>112</v>
      </c>
      <c r="Q3316" t="s">
        <v>113</v>
      </c>
    </row>
    <row r="3317" spans="1:17" x14ac:dyDescent="0.3">
      <c r="A3317" t="s">
        <v>17</v>
      </c>
      <c r="B3317">
        <v>68</v>
      </c>
      <c r="C3317" t="s">
        <v>34</v>
      </c>
      <c r="D3317" s="2">
        <v>46049</v>
      </c>
      <c r="E3317" s="3">
        <f t="shared" si="51"/>
        <v>46023</v>
      </c>
      <c r="F3317" t="s">
        <v>2821</v>
      </c>
      <c r="G3317" t="s">
        <v>107</v>
      </c>
      <c r="H3317" s="4">
        <v>2.65</v>
      </c>
      <c r="I3317" t="s">
        <v>108</v>
      </c>
      <c r="J3317" t="s">
        <v>109</v>
      </c>
      <c r="K3317" t="s">
        <v>1427</v>
      </c>
      <c r="L3317" s="2">
        <v>46023</v>
      </c>
      <c r="M3317" t="s">
        <v>109</v>
      </c>
      <c r="N3317">
        <v>0</v>
      </c>
      <c r="O3317" t="s">
        <v>111</v>
      </c>
      <c r="P3317" t="s">
        <v>112</v>
      </c>
      <c r="Q3317" t="s">
        <v>113</v>
      </c>
    </row>
    <row r="3318" spans="1:17" x14ac:dyDescent="0.3">
      <c r="A3318" t="s">
        <v>17</v>
      </c>
      <c r="B3318">
        <v>68</v>
      </c>
      <c r="C3318" t="s">
        <v>34</v>
      </c>
      <c r="D3318" s="2">
        <v>46049</v>
      </c>
      <c r="E3318" s="3">
        <f t="shared" si="51"/>
        <v>46023</v>
      </c>
      <c r="F3318" t="s">
        <v>2821</v>
      </c>
      <c r="G3318" t="s">
        <v>107</v>
      </c>
      <c r="H3318" s="4">
        <v>1</v>
      </c>
      <c r="I3318" t="s">
        <v>108</v>
      </c>
      <c r="J3318" t="s">
        <v>109</v>
      </c>
      <c r="K3318" t="s">
        <v>2823</v>
      </c>
      <c r="L3318" s="2">
        <v>46023</v>
      </c>
      <c r="M3318" t="s">
        <v>109</v>
      </c>
      <c r="N3318">
        <v>0</v>
      </c>
      <c r="O3318" t="s">
        <v>111</v>
      </c>
      <c r="P3318" t="s">
        <v>112</v>
      </c>
      <c r="Q3318" t="s">
        <v>113</v>
      </c>
    </row>
    <row r="3319" spans="1:17" x14ac:dyDescent="0.3">
      <c r="A3319" t="s">
        <v>17</v>
      </c>
      <c r="B3319">
        <v>68</v>
      </c>
      <c r="C3319" t="s">
        <v>34</v>
      </c>
      <c r="D3319" s="2">
        <v>46049</v>
      </c>
      <c r="E3319" s="3">
        <f t="shared" si="51"/>
        <v>46023</v>
      </c>
      <c r="F3319" t="s">
        <v>2821</v>
      </c>
      <c r="G3319" t="s">
        <v>107</v>
      </c>
      <c r="H3319" s="4">
        <v>21.24</v>
      </c>
      <c r="I3319" t="s">
        <v>108</v>
      </c>
      <c r="J3319" t="s">
        <v>109</v>
      </c>
      <c r="K3319" t="s">
        <v>1429</v>
      </c>
      <c r="L3319" s="2">
        <v>46023</v>
      </c>
      <c r="M3319" t="s">
        <v>109</v>
      </c>
      <c r="N3319">
        <v>0</v>
      </c>
      <c r="O3319" t="s">
        <v>111</v>
      </c>
      <c r="P3319" t="s">
        <v>112</v>
      </c>
      <c r="Q3319" t="s">
        <v>113</v>
      </c>
    </row>
    <row r="3320" spans="1:17" x14ac:dyDescent="0.3">
      <c r="A3320" t="s">
        <v>17</v>
      </c>
      <c r="B3320">
        <v>68</v>
      </c>
      <c r="C3320" t="s">
        <v>34</v>
      </c>
      <c r="D3320" s="2">
        <v>46049</v>
      </c>
      <c r="E3320" s="3">
        <f t="shared" si="51"/>
        <v>46023</v>
      </c>
      <c r="F3320" t="s">
        <v>2821</v>
      </c>
      <c r="G3320" t="s">
        <v>107</v>
      </c>
      <c r="H3320" s="4">
        <v>-56.7</v>
      </c>
      <c r="I3320" t="s">
        <v>108</v>
      </c>
      <c r="J3320" t="s">
        <v>109</v>
      </c>
      <c r="K3320" t="s">
        <v>1430</v>
      </c>
      <c r="L3320" s="2">
        <v>46023</v>
      </c>
      <c r="M3320" t="s">
        <v>109</v>
      </c>
      <c r="N3320">
        <v>0</v>
      </c>
      <c r="O3320" t="s">
        <v>111</v>
      </c>
      <c r="P3320" t="s">
        <v>112</v>
      </c>
      <c r="Q3320" t="s">
        <v>113</v>
      </c>
    </row>
    <row r="3321" spans="1:17" x14ac:dyDescent="0.3">
      <c r="A3321" t="s">
        <v>17</v>
      </c>
      <c r="B3321">
        <v>68</v>
      </c>
      <c r="C3321" t="s">
        <v>34</v>
      </c>
      <c r="D3321" s="2">
        <v>46049</v>
      </c>
      <c r="E3321" s="3">
        <f t="shared" si="51"/>
        <v>46023</v>
      </c>
      <c r="F3321" t="s">
        <v>2821</v>
      </c>
      <c r="G3321" t="s">
        <v>107</v>
      </c>
      <c r="H3321" s="4">
        <v>126</v>
      </c>
      <c r="I3321" t="s">
        <v>108</v>
      </c>
      <c r="J3321" t="s">
        <v>109</v>
      </c>
      <c r="K3321" t="s">
        <v>1431</v>
      </c>
      <c r="L3321" s="2">
        <v>46023</v>
      </c>
      <c r="M3321" t="s">
        <v>109</v>
      </c>
      <c r="N3321">
        <v>0</v>
      </c>
      <c r="O3321" t="s">
        <v>111</v>
      </c>
      <c r="P3321" t="s">
        <v>112</v>
      </c>
      <c r="Q3321" t="s">
        <v>113</v>
      </c>
    </row>
    <row r="3322" spans="1:17" x14ac:dyDescent="0.3">
      <c r="A3322" t="s">
        <v>17</v>
      </c>
      <c r="B3322">
        <v>67</v>
      </c>
      <c r="C3322" t="s">
        <v>28</v>
      </c>
      <c r="D3322" s="2">
        <v>46049</v>
      </c>
      <c r="E3322" s="3">
        <f t="shared" si="51"/>
        <v>46023</v>
      </c>
      <c r="F3322" t="s">
        <v>2806</v>
      </c>
      <c r="H3322" s="4">
        <v>108.88</v>
      </c>
      <c r="I3322" t="s">
        <v>31</v>
      </c>
      <c r="J3322" t="s">
        <v>74</v>
      </c>
      <c r="K3322" t="s">
        <v>2139</v>
      </c>
      <c r="L3322" s="2">
        <v>46023</v>
      </c>
      <c r="M3322" t="s">
        <v>76</v>
      </c>
      <c r="N3322">
        <v>0</v>
      </c>
      <c r="O3322" t="s">
        <v>31</v>
      </c>
      <c r="P3322" t="s">
        <v>28</v>
      </c>
      <c r="Q3322">
        <v>0</v>
      </c>
    </row>
    <row r="3323" spans="1:17" x14ac:dyDescent="0.3">
      <c r="A3323" t="s">
        <v>17</v>
      </c>
      <c r="B3323">
        <v>67</v>
      </c>
      <c r="C3323" t="s">
        <v>28</v>
      </c>
      <c r="D3323" s="2">
        <v>46049</v>
      </c>
      <c r="E3323" s="3">
        <f t="shared" si="51"/>
        <v>46023</v>
      </c>
      <c r="F3323" t="s">
        <v>2806</v>
      </c>
      <c r="H3323" s="4">
        <v>195.98</v>
      </c>
      <c r="I3323" t="s">
        <v>31</v>
      </c>
      <c r="J3323" t="s">
        <v>74</v>
      </c>
      <c r="K3323" t="s">
        <v>2824</v>
      </c>
      <c r="L3323" s="2">
        <v>46023</v>
      </c>
      <c r="M3323" t="s">
        <v>76</v>
      </c>
      <c r="N3323">
        <v>0</v>
      </c>
      <c r="O3323" t="s">
        <v>31</v>
      </c>
      <c r="P3323" t="s">
        <v>28</v>
      </c>
      <c r="Q3323">
        <v>0</v>
      </c>
    </row>
    <row r="3324" spans="1:17" x14ac:dyDescent="0.3">
      <c r="A3324" t="s">
        <v>17</v>
      </c>
      <c r="B3324">
        <v>67</v>
      </c>
      <c r="C3324" t="s">
        <v>28</v>
      </c>
      <c r="D3324" s="2">
        <v>46049</v>
      </c>
      <c r="E3324" s="3">
        <f t="shared" si="51"/>
        <v>46023</v>
      </c>
      <c r="F3324" t="s">
        <v>2806</v>
      </c>
      <c r="H3324" s="4">
        <v>217.75</v>
      </c>
      <c r="I3324" t="s">
        <v>31</v>
      </c>
      <c r="J3324" t="s">
        <v>74</v>
      </c>
      <c r="K3324" t="s">
        <v>2139</v>
      </c>
      <c r="L3324" s="2">
        <v>46023</v>
      </c>
      <c r="M3324" t="s">
        <v>76</v>
      </c>
      <c r="N3324">
        <v>0</v>
      </c>
      <c r="O3324" t="s">
        <v>31</v>
      </c>
      <c r="P3324" t="s">
        <v>28</v>
      </c>
      <c r="Q3324">
        <v>0</v>
      </c>
    </row>
    <row r="3325" spans="1:17" x14ac:dyDescent="0.3">
      <c r="A3325" t="s">
        <v>17</v>
      </c>
      <c r="B3325">
        <v>63</v>
      </c>
      <c r="C3325" t="s">
        <v>18</v>
      </c>
      <c r="D3325" s="2">
        <v>46050</v>
      </c>
      <c r="E3325" s="3">
        <f t="shared" si="51"/>
        <v>46023</v>
      </c>
      <c r="F3325" t="s">
        <v>2825</v>
      </c>
      <c r="G3325" t="s">
        <v>439</v>
      </c>
      <c r="H3325" s="4">
        <v>29.54</v>
      </c>
      <c r="I3325" t="s">
        <v>21</v>
      </c>
      <c r="J3325" t="s">
        <v>22</v>
      </c>
      <c r="K3325" t="s">
        <v>2524</v>
      </c>
      <c r="L3325" s="2">
        <v>46023</v>
      </c>
      <c r="M3325" t="s">
        <v>24</v>
      </c>
      <c r="N3325" t="s">
        <v>25</v>
      </c>
      <c r="O3325" t="s">
        <v>26</v>
      </c>
      <c r="P3325" t="s">
        <v>18</v>
      </c>
      <c r="Q3325" t="s">
        <v>27</v>
      </c>
    </row>
    <row r="3326" spans="1:17" x14ac:dyDescent="0.3">
      <c r="A3326" t="s">
        <v>17</v>
      </c>
      <c r="B3326">
        <v>67</v>
      </c>
      <c r="C3326" t="s">
        <v>28</v>
      </c>
      <c r="D3326" s="2">
        <v>46050</v>
      </c>
      <c r="E3326" s="3">
        <f t="shared" si="51"/>
        <v>46023</v>
      </c>
      <c r="F3326" t="s">
        <v>2826</v>
      </c>
      <c r="G3326" t="s">
        <v>119</v>
      </c>
      <c r="H3326" s="4">
        <v>1461.25</v>
      </c>
      <c r="I3326" t="s">
        <v>31</v>
      </c>
      <c r="J3326" t="s">
        <v>68</v>
      </c>
      <c r="K3326" t="s">
        <v>1567</v>
      </c>
      <c r="L3326" s="2">
        <v>46023</v>
      </c>
      <c r="M3326" t="s">
        <v>68</v>
      </c>
      <c r="N3326">
        <v>0</v>
      </c>
      <c r="O3326" t="s">
        <v>31</v>
      </c>
      <c r="P3326" t="s">
        <v>28</v>
      </c>
      <c r="Q3326">
        <v>0</v>
      </c>
    </row>
    <row r="3327" spans="1:17" x14ac:dyDescent="0.3">
      <c r="A3327" t="s">
        <v>17</v>
      </c>
      <c r="B3327">
        <v>66</v>
      </c>
      <c r="C3327" t="s">
        <v>134</v>
      </c>
      <c r="D3327" s="2">
        <v>46050</v>
      </c>
      <c r="E3327" s="3">
        <f t="shared" si="51"/>
        <v>46023</v>
      </c>
      <c r="F3327" t="s">
        <v>2827</v>
      </c>
      <c r="G3327" t="s">
        <v>419</v>
      </c>
      <c r="H3327" s="4">
        <v>375</v>
      </c>
      <c r="I3327" t="s">
        <v>108</v>
      </c>
      <c r="J3327" t="s">
        <v>255</v>
      </c>
      <c r="K3327" t="s">
        <v>2828</v>
      </c>
      <c r="L3327" s="2">
        <v>46023</v>
      </c>
      <c r="M3327" t="s">
        <v>257</v>
      </c>
      <c r="N3327">
        <v>0</v>
      </c>
      <c r="O3327" t="s">
        <v>111</v>
      </c>
      <c r="P3327" t="s">
        <v>134</v>
      </c>
      <c r="Q3327">
        <v>0</v>
      </c>
    </row>
    <row r="3328" spans="1:17" x14ac:dyDescent="0.3">
      <c r="A3328" t="s">
        <v>17</v>
      </c>
      <c r="B3328">
        <v>66</v>
      </c>
      <c r="C3328" t="s">
        <v>134</v>
      </c>
      <c r="D3328" s="2">
        <v>46050</v>
      </c>
      <c r="E3328" s="3">
        <f t="shared" si="51"/>
        <v>46023</v>
      </c>
      <c r="F3328" t="s">
        <v>2827</v>
      </c>
      <c r="G3328" t="s">
        <v>419</v>
      </c>
      <c r="H3328" s="4">
        <v>300</v>
      </c>
      <c r="I3328" t="s">
        <v>108</v>
      </c>
      <c r="J3328" t="s">
        <v>255</v>
      </c>
      <c r="K3328" t="s">
        <v>2829</v>
      </c>
      <c r="L3328" s="2">
        <v>46023</v>
      </c>
      <c r="M3328" t="s">
        <v>257</v>
      </c>
      <c r="N3328">
        <v>0</v>
      </c>
      <c r="O3328" t="s">
        <v>111</v>
      </c>
      <c r="P3328" t="s">
        <v>134</v>
      </c>
      <c r="Q3328">
        <v>0</v>
      </c>
    </row>
    <row r="3329" spans="1:17" x14ac:dyDescent="0.3">
      <c r="A3329" t="s">
        <v>17</v>
      </c>
      <c r="B3329">
        <v>68</v>
      </c>
      <c r="C3329" t="s">
        <v>34</v>
      </c>
      <c r="D3329" s="2">
        <v>46050</v>
      </c>
      <c r="E3329" s="3">
        <f t="shared" si="51"/>
        <v>46023</v>
      </c>
      <c r="F3329" t="s">
        <v>2830</v>
      </c>
      <c r="G3329" t="s">
        <v>122</v>
      </c>
      <c r="H3329" s="4">
        <v>0.69</v>
      </c>
      <c r="I3329" t="s">
        <v>108</v>
      </c>
      <c r="J3329" t="s">
        <v>109</v>
      </c>
      <c r="L3329" s="2">
        <v>46023</v>
      </c>
      <c r="M3329" t="s">
        <v>109</v>
      </c>
      <c r="N3329">
        <v>0</v>
      </c>
      <c r="O3329" t="s">
        <v>111</v>
      </c>
      <c r="P3329" t="s">
        <v>112</v>
      </c>
      <c r="Q3329" t="s">
        <v>113</v>
      </c>
    </row>
    <row r="3330" spans="1:17" x14ac:dyDescent="0.3">
      <c r="A3330" t="s">
        <v>17</v>
      </c>
      <c r="B3330">
        <v>68</v>
      </c>
      <c r="C3330" t="s">
        <v>34</v>
      </c>
      <c r="D3330" s="2">
        <v>46050</v>
      </c>
      <c r="E3330" s="3">
        <f t="shared" si="51"/>
        <v>46023</v>
      </c>
      <c r="F3330" t="s">
        <v>2830</v>
      </c>
      <c r="G3330" t="s">
        <v>122</v>
      </c>
      <c r="H3330" s="4">
        <v>17.5</v>
      </c>
      <c r="I3330" t="s">
        <v>108</v>
      </c>
      <c r="J3330" t="s">
        <v>109</v>
      </c>
      <c r="L3330" s="2">
        <v>46023</v>
      </c>
      <c r="M3330" t="s">
        <v>109</v>
      </c>
      <c r="N3330">
        <v>0</v>
      </c>
      <c r="O3330" t="s">
        <v>111</v>
      </c>
      <c r="P3330" t="s">
        <v>112</v>
      </c>
      <c r="Q3330" t="s">
        <v>113</v>
      </c>
    </row>
    <row r="3331" spans="1:17" x14ac:dyDescent="0.3">
      <c r="A3331" t="s">
        <v>17</v>
      </c>
      <c r="B3331">
        <v>68</v>
      </c>
      <c r="C3331" t="s">
        <v>34</v>
      </c>
      <c r="D3331" s="2">
        <v>46050</v>
      </c>
      <c r="E3331" s="3">
        <f t="shared" ref="E3331:E3394" si="52">IF($D3331="","",DATE(YEAR($D3331),MONTH($D3331),1))</f>
        <v>46023</v>
      </c>
      <c r="F3331" t="s">
        <v>2830</v>
      </c>
      <c r="G3331" t="s">
        <v>122</v>
      </c>
      <c r="H3331" s="4">
        <v>1.34</v>
      </c>
      <c r="I3331" t="s">
        <v>108</v>
      </c>
      <c r="J3331" t="s">
        <v>109</v>
      </c>
      <c r="L3331" s="2">
        <v>46023</v>
      </c>
      <c r="M3331" t="s">
        <v>109</v>
      </c>
      <c r="N3331">
        <v>0</v>
      </c>
      <c r="O3331" t="s">
        <v>111</v>
      </c>
      <c r="P3331" t="s">
        <v>112</v>
      </c>
      <c r="Q3331" t="s">
        <v>113</v>
      </c>
    </row>
    <row r="3332" spans="1:17" x14ac:dyDescent="0.3">
      <c r="A3332" t="s">
        <v>17</v>
      </c>
      <c r="B3332">
        <v>68</v>
      </c>
      <c r="C3332" t="s">
        <v>34</v>
      </c>
      <c r="D3332" s="2">
        <v>46050</v>
      </c>
      <c r="E3332" s="3">
        <f t="shared" si="52"/>
        <v>46023</v>
      </c>
      <c r="F3332" t="s">
        <v>2831</v>
      </c>
      <c r="G3332" t="s">
        <v>122</v>
      </c>
      <c r="H3332" s="4">
        <v>22.92</v>
      </c>
      <c r="I3332" t="s">
        <v>108</v>
      </c>
      <c r="J3332" t="s">
        <v>109</v>
      </c>
      <c r="L3332" s="2">
        <v>46023</v>
      </c>
      <c r="M3332" t="s">
        <v>109</v>
      </c>
      <c r="N3332">
        <v>0</v>
      </c>
      <c r="O3332" t="s">
        <v>111</v>
      </c>
      <c r="P3332" t="s">
        <v>112</v>
      </c>
      <c r="Q3332" t="s">
        <v>113</v>
      </c>
    </row>
    <row r="3333" spans="1:17" x14ac:dyDescent="0.3">
      <c r="A3333" t="s">
        <v>17</v>
      </c>
      <c r="B3333">
        <v>68</v>
      </c>
      <c r="C3333" t="s">
        <v>34</v>
      </c>
      <c r="D3333" s="2">
        <v>46050</v>
      </c>
      <c r="E3333" s="3">
        <f t="shared" si="52"/>
        <v>46023</v>
      </c>
      <c r="F3333" t="s">
        <v>2831</v>
      </c>
      <c r="G3333" t="s">
        <v>122</v>
      </c>
      <c r="H3333" s="4">
        <v>17.5</v>
      </c>
      <c r="I3333" t="s">
        <v>108</v>
      </c>
      <c r="J3333" t="s">
        <v>109</v>
      </c>
      <c r="L3333" s="2">
        <v>46023</v>
      </c>
      <c r="M3333" t="s">
        <v>109</v>
      </c>
      <c r="N3333">
        <v>0</v>
      </c>
      <c r="O3333" t="s">
        <v>111</v>
      </c>
      <c r="P3333" t="s">
        <v>112</v>
      </c>
      <c r="Q3333" t="s">
        <v>113</v>
      </c>
    </row>
    <row r="3334" spans="1:17" x14ac:dyDescent="0.3">
      <c r="A3334" t="s">
        <v>17</v>
      </c>
      <c r="B3334">
        <v>68</v>
      </c>
      <c r="C3334" t="s">
        <v>34</v>
      </c>
      <c r="D3334" s="2">
        <v>46050</v>
      </c>
      <c r="E3334" s="3">
        <f t="shared" si="52"/>
        <v>46023</v>
      </c>
      <c r="F3334" t="s">
        <v>2831</v>
      </c>
      <c r="G3334" t="s">
        <v>122</v>
      </c>
      <c r="H3334" s="4">
        <v>1.34</v>
      </c>
      <c r="I3334" t="s">
        <v>108</v>
      </c>
      <c r="J3334" t="s">
        <v>109</v>
      </c>
      <c r="L3334" s="2">
        <v>46023</v>
      </c>
      <c r="M3334" t="s">
        <v>109</v>
      </c>
      <c r="N3334">
        <v>0</v>
      </c>
      <c r="O3334" t="s">
        <v>111</v>
      </c>
      <c r="P3334" t="s">
        <v>112</v>
      </c>
      <c r="Q3334" t="s">
        <v>113</v>
      </c>
    </row>
    <row r="3335" spans="1:17" x14ac:dyDescent="0.3">
      <c r="A3335" t="s">
        <v>17</v>
      </c>
      <c r="B3335">
        <v>67</v>
      </c>
      <c r="C3335" t="s">
        <v>28</v>
      </c>
      <c r="D3335" s="2">
        <v>46050</v>
      </c>
      <c r="E3335" s="3">
        <f t="shared" si="52"/>
        <v>46023</v>
      </c>
      <c r="F3335" t="s">
        <v>2832</v>
      </c>
      <c r="G3335" t="s">
        <v>2833</v>
      </c>
      <c r="H3335" s="4">
        <v>680.05</v>
      </c>
      <c r="I3335" t="s">
        <v>159</v>
      </c>
      <c r="J3335" t="s">
        <v>60</v>
      </c>
      <c r="K3335" t="s">
        <v>2834</v>
      </c>
      <c r="L3335" s="2">
        <v>46023</v>
      </c>
      <c r="M3335" t="s">
        <v>60</v>
      </c>
      <c r="N3335">
        <v>0</v>
      </c>
      <c r="O3335" t="s">
        <v>159</v>
      </c>
      <c r="P3335" t="s">
        <v>28</v>
      </c>
      <c r="Q3335">
        <v>0</v>
      </c>
    </row>
    <row r="3336" spans="1:17" x14ac:dyDescent="0.3">
      <c r="A3336" t="s">
        <v>17</v>
      </c>
      <c r="B3336">
        <v>64</v>
      </c>
      <c r="C3336" t="s">
        <v>83</v>
      </c>
      <c r="D3336" s="2">
        <v>46051</v>
      </c>
      <c r="E3336" s="3">
        <f t="shared" si="52"/>
        <v>46023</v>
      </c>
      <c r="F3336" t="s">
        <v>2835</v>
      </c>
      <c r="H3336" s="4">
        <v>40.57</v>
      </c>
      <c r="I3336" t="s">
        <v>104</v>
      </c>
      <c r="J3336" t="s">
        <v>87</v>
      </c>
      <c r="K3336" t="s">
        <v>2836</v>
      </c>
      <c r="L3336" s="2">
        <v>46023</v>
      </c>
      <c r="M3336" t="s">
        <v>89</v>
      </c>
      <c r="N3336">
        <v>0</v>
      </c>
      <c r="O3336" t="s">
        <v>104</v>
      </c>
      <c r="P3336" t="s">
        <v>83</v>
      </c>
      <c r="Q3336">
        <v>0</v>
      </c>
    </row>
    <row r="3337" spans="1:17" x14ac:dyDescent="0.3">
      <c r="A3337" t="s">
        <v>17</v>
      </c>
      <c r="B3337">
        <v>64</v>
      </c>
      <c r="C3337" t="s">
        <v>83</v>
      </c>
      <c r="D3337" s="2">
        <v>46051</v>
      </c>
      <c r="E3337" s="3">
        <f t="shared" si="52"/>
        <v>46023</v>
      </c>
      <c r="F3337" t="s">
        <v>2835</v>
      </c>
      <c r="H3337" s="4">
        <v>15.84</v>
      </c>
      <c r="I3337" t="s">
        <v>104</v>
      </c>
      <c r="J3337" t="s">
        <v>87</v>
      </c>
      <c r="K3337" t="s">
        <v>2837</v>
      </c>
      <c r="L3337" s="2">
        <v>46023</v>
      </c>
      <c r="M3337" t="s">
        <v>89</v>
      </c>
      <c r="N3337">
        <v>0</v>
      </c>
      <c r="O3337" t="s">
        <v>104</v>
      </c>
      <c r="P3337" t="s">
        <v>83</v>
      </c>
      <c r="Q3337">
        <v>0</v>
      </c>
    </row>
    <row r="3338" spans="1:17" x14ac:dyDescent="0.3">
      <c r="A3338" t="s">
        <v>17</v>
      </c>
      <c r="B3338">
        <v>63</v>
      </c>
      <c r="C3338" t="s">
        <v>18</v>
      </c>
      <c r="D3338" s="2">
        <v>46051</v>
      </c>
      <c r="E3338" s="3">
        <f t="shared" si="52"/>
        <v>46023</v>
      </c>
      <c r="F3338">
        <v>843935</v>
      </c>
      <c r="G3338" t="s">
        <v>125</v>
      </c>
      <c r="H3338" s="4">
        <v>55</v>
      </c>
      <c r="I3338" t="s">
        <v>47</v>
      </c>
      <c r="J3338" t="s">
        <v>22</v>
      </c>
      <c r="K3338" t="s">
        <v>1791</v>
      </c>
      <c r="L3338" s="2">
        <v>46023</v>
      </c>
      <c r="M3338" t="s">
        <v>24</v>
      </c>
      <c r="N3338">
        <v>0</v>
      </c>
      <c r="O3338" t="s">
        <v>26</v>
      </c>
      <c r="P3338" t="s">
        <v>18</v>
      </c>
      <c r="Q3338" t="s">
        <v>27</v>
      </c>
    </row>
    <row r="3339" spans="1:17" x14ac:dyDescent="0.3">
      <c r="A3339" t="s">
        <v>17</v>
      </c>
      <c r="B3339">
        <v>63</v>
      </c>
      <c r="C3339" t="s">
        <v>18</v>
      </c>
      <c r="D3339" s="2">
        <v>46051</v>
      </c>
      <c r="E3339" s="3">
        <f t="shared" si="52"/>
        <v>46023</v>
      </c>
      <c r="F3339">
        <v>843935</v>
      </c>
      <c r="G3339" t="s">
        <v>125</v>
      </c>
      <c r="H3339" s="4">
        <v>275</v>
      </c>
      <c r="I3339" t="s">
        <v>47</v>
      </c>
      <c r="J3339" t="s">
        <v>22</v>
      </c>
      <c r="K3339" t="s">
        <v>2838</v>
      </c>
      <c r="L3339" s="2">
        <v>46023</v>
      </c>
      <c r="M3339" t="s">
        <v>24</v>
      </c>
      <c r="N3339">
        <v>0</v>
      </c>
      <c r="O3339" t="s">
        <v>26</v>
      </c>
      <c r="P3339" t="s">
        <v>18</v>
      </c>
      <c r="Q3339" t="s">
        <v>27</v>
      </c>
    </row>
    <row r="3340" spans="1:17" x14ac:dyDescent="0.3">
      <c r="A3340" t="s">
        <v>17</v>
      </c>
      <c r="B3340">
        <v>67</v>
      </c>
      <c r="C3340" t="s">
        <v>28</v>
      </c>
      <c r="D3340" s="2">
        <v>46051</v>
      </c>
      <c r="E3340" s="3">
        <f t="shared" si="52"/>
        <v>46023</v>
      </c>
      <c r="F3340" t="s">
        <v>2835</v>
      </c>
      <c r="G3340" t="s">
        <v>222</v>
      </c>
      <c r="H3340" s="4">
        <v>30</v>
      </c>
      <c r="I3340" t="s">
        <v>104</v>
      </c>
      <c r="J3340" t="s">
        <v>74</v>
      </c>
      <c r="K3340" t="s">
        <v>2839</v>
      </c>
      <c r="L3340" s="2">
        <v>46023</v>
      </c>
      <c r="M3340" t="s">
        <v>76</v>
      </c>
      <c r="N3340">
        <v>0</v>
      </c>
      <c r="O3340" t="s">
        <v>104</v>
      </c>
      <c r="P3340" t="s">
        <v>28</v>
      </c>
      <c r="Q3340">
        <v>0</v>
      </c>
    </row>
    <row r="3341" spans="1:17" x14ac:dyDescent="0.3">
      <c r="A3341" t="s">
        <v>17</v>
      </c>
      <c r="B3341">
        <v>67</v>
      </c>
      <c r="C3341" t="s">
        <v>28</v>
      </c>
      <c r="D3341" s="2">
        <v>46051</v>
      </c>
      <c r="E3341" s="3">
        <f t="shared" si="52"/>
        <v>46023</v>
      </c>
      <c r="F3341" t="s">
        <v>2835</v>
      </c>
      <c r="G3341" t="s">
        <v>222</v>
      </c>
      <c r="H3341" s="4">
        <v>85</v>
      </c>
      <c r="I3341" t="s">
        <v>104</v>
      </c>
      <c r="J3341" t="s">
        <v>74</v>
      </c>
      <c r="K3341" t="s">
        <v>2839</v>
      </c>
      <c r="L3341" s="2">
        <v>46023</v>
      </c>
      <c r="M3341" t="s">
        <v>76</v>
      </c>
      <c r="N3341">
        <v>0</v>
      </c>
      <c r="O3341" t="s">
        <v>104</v>
      </c>
      <c r="P3341" t="s">
        <v>28</v>
      </c>
      <c r="Q3341">
        <v>0</v>
      </c>
    </row>
    <row r="3342" spans="1:17" x14ac:dyDescent="0.3">
      <c r="A3342" t="s">
        <v>17</v>
      </c>
      <c r="B3342">
        <v>67</v>
      </c>
      <c r="C3342" t="s">
        <v>28</v>
      </c>
      <c r="D3342" s="2">
        <v>46051</v>
      </c>
      <c r="E3342" s="3">
        <f t="shared" si="52"/>
        <v>46023</v>
      </c>
      <c r="F3342" t="s">
        <v>2835</v>
      </c>
      <c r="G3342" t="s">
        <v>222</v>
      </c>
      <c r="H3342" s="4">
        <v>97.98</v>
      </c>
      <c r="I3342" t="s">
        <v>104</v>
      </c>
      <c r="J3342" t="s">
        <v>74</v>
      </c>
      <c r="K3342" t="s">
        <v>2840</v>
      </c>
      <c r="L3342" s="2">
        <v>46023</v>
      </c>
      <c r="M3342" t="s">
        <v>76</v>
      </c>
      <c r="N3342">
        <v>0</v>
      </c>
      <c r="O3342" t="s">
        <v>104</v>
      </c>
      <c r="P3342" t="s">
        <v>28</v>
      </c>
      <c r="Q3342">
        <v>0</v>
      </c>
    </row>
    <row r="3343" spans="1:17" x14ac:dyDescent="0.3">
      <c r="A3343" t="s">
        <v>17</v>
      </c>
      <c r="B3343">
        <v>64</v>
      </c>
      <c r="C3343" t="s">
        <v>83</v>
      </c>
      <c r="D3343" s="2">
        <v>46052</v>
      </c>
      <c r="E3343" s="3">
        <f t="shared" si="52"/>
        <v>46023</v>
      </c>
      <c r="F3343" t="s">
        <v>2841</v>
      </c>
      <c r="H3343" s="4">
        <v>-0.4</v>
      </c>
      <c r="I3343" t="s">
        <v>31</v>
      </c>
      <c r="J3343" t="s">
        <v>87</v>
      </c>
      <c r="K3343" t="s">
        <v>2842</v>
      </c>
      <c r="L3343" s="2">
        <v>46023</v>
      </c>
      <c r="M3343" t="s">
        <v>89</v>
      </c>
      <c r="N3343">
        <v>0</v>
      </c>
      <c r="O3343" t="s">
        <v>31</v>
      </c>
      <c r="P3343" t="s">
        <v>83</v>
      </c>
      <c r="Q3343">
        <v>0</v>
      </c>
    </row>
    <row r="3344" spans="1:17" x14ac:dyDescent="0.3">
      <c r="A3344" t="s">
        <v>17</v>
      </c>
      <c r="B3344">
        <v>67</v>
      </c>
      <c r="C3344" t="s">
        <v>28</v>
      </c>
      <c r="D3344" s="2">
        <v>46052</v>
      </c>
      <c r="E3344" s="3">
        <f t="shared" si="52"/>
        <v>46023</v>
      </c>
      <c r="F3344" t="s">
        <v>2843</v>
      </c>
      <c r="G3344" t="s">
        <v>67</v>
      </c>
      <c r="H3344" s="4">
        <v>570.01</v>
      </c>
      <c r="I3344" t="s">
        <v>31</v>
      </c>
      <c r="J3344" t="s">
        <v>68</v>
      </c>
      <c r="K3344" t="s">
        <v>2844</v>
      </c>
      <c r="L3344" s="2">
        <v>46023</v>
      </c>
      <c r="M3344" t="s">
        <v>68</v>
      </c>
      <c r="N3344">
        <v>0</v>
      </c>
      <c r="O3344" t="s">
        <v>31</v>
      </c>
      <c r="P3344" t="s">
        <v>28</v>
      </c>
      <c r="Q3344">
        <v>0</v>
      </c>
    </row>
    <row r="3345" spans="1:17" x14ac:dyDescent="0.3">
      <c r="A3345" t="s">
        <v>17</v>
      </c>
      <c r="B3345">
        <v>67</v>
      </c>
      <c r="C3345" t="s">
        <v>28</v>
      </c>
      <c r="D3345" s="2">
        <v>46052</v>
      </c>
      <c r="E3345" s="3">
        <f t="shared" si="52"/>
        <v>46023</v>
      </c>
      <c r="F3345" t="s">
        <v>2845</v>
      </c>
      <c r="G3345" t="s">
        <v>67</v>
      </c>
      <c r="H3345" s="4">
        <v>2250</v>
      </c>
      <c r="I3345" t="s">
        <v>31</v>
      </c>
      <c r="J3345" t="s">
        <v>68</v>
      </c>
      <c r="K3345" t="s">
        <v>2844</v>
      </c>
      <c r="L3345" s="2">
        <v>46023</v>
      </c>
      <c r="M3345" t="s">
        <v>68</v>
      </c>
      <c r="N3345">
        <v>0</v>
      </c>
      <c r="O3345" t="s">
        <v>31</v>
      </c>
      <c r="P3345" t="s">
        <v>28</v>
      </c>
      <c r="Q3345">
        <v>0</v>
      </c>
    </row>
    <row r="3346" spans="1:17" x14ac:dyDescent="0.3">
      <c r="A3346" t="s">
        <v>17</v>
      </c>
      <c r="B3346">
        <v>67</v>
      </c>
      <c r="C3346" t="s">
        <v>28</v>
      </c>
      <c r="D3346" s="2">
        <v>46052</v>
      </c>
      <c r="E3346" s="3">
        <f t="shared" si="52"/>
        <v>46023</v>
      </c>
      <c r="F3346" t="s">
        <v>2846</v>
      </c>
      <c r="G3346" t="s">
        <v>1445</v>
      </c>
      <c r="H3346" s="4">
        <v>102</v>
      </c>
      <c r="I3346" t="s">
        <v>31</v>
      </c>
      <c r="J3346" t="s">
        <v>32</v>
      </c>
      <c r="K3346" t="s">
        <v>2847</v>
      </c>
      <c r="L3346" s="2">
        <v>46023</v>
      </c>
      <c r="M3346" t="s">
        <v>32</v>
      </c>
      <c r="N3346">
        <v>0</v>
      </c>
      <c r="O3346" t="s">
        <v>31</v>
      </c>
      <c r="P3346" t="s">
        <v>28</v>
      </c>
      <c r="Q3346">
        <v>0</v>
      </c>
    </row>
    <row r="3347" spans="1:17" x14ac:dyDescent="0.3">
      <c r="A3347" t="s">
        <v>17</v>
      </c>
      <c r="B3347">
        <v>67</v>
      </c>
      <c r="C3347" t="s">
        <v>28</v>
      </c>
      <c r="D3347" s="2">
        <v>46052</v>
      </c>
      <c r="E3347" s="3">
        <f t="shared" si="52"/>
        <v>46023</v>
      </c>
      <c r="F3347" t="s">
        <v>2846</v>
      </c>
      <c r="G3347" t="s">
        <v>1445</v>
      </c>
      <c r="H3347" s="4">
        <v>68</v>
      </c>
      <c r="I3347" t="s">
        <v>31</v>
      </c>
      <c r="J3347" t="s">
        <v>32</v>
      </c>
      <c r="K3347" t="s">
        <v>2848</v>
      </c>
      <c r="L3347" s="2">
        <v>46023</v>
      </c>
      <c r="M3347" t="s">
        <v>32</v>
      </c>
      <c r="N3347">
        <v>0</v>
      </c>
      <c r="O3347" t="s">
        <v>31</v>
      </c>
      <c r="P3347" t="s">
        <v>28</v>
      </c>
      <c r="Q3347">
        <v>0</v>
      </c>
    </row>
    <row r="3348" spans="1:17" x14ac:dyDescent="0.3">
      <c r="A3348" t="s">
        <v>17</v>
      </c>
      <c r="B3348">
        <v>67</v>
      </c>
      <c r="C3348" t="s">
        <v>28</v>
      </c>
      <c r="D3348" s="2">
        <v>46052</v>
      </c>
      <c r="E3348" s="3">
        <f t="shared" si="52"/>
        <v>46023</v>
      </c>
      <c r="F3348" t="s">
        <v>2846</v>
      </c>
      <c r="G3348" t="s">
        <v>1445</v>
      </c>
      <c r="H3348" s="4">
        <v>68</v>
      </c>
      <c r="I3348" t="s">
        <v>31</v>
      </c>
      <c r="J3348" t="s">
        <v>32</v>
      </c>
      <c r="K3348" t="s">
        <v>2849</v>
      </c>
      <c r="L3348" s="2">
        <v>46023</v>
      </c>
      <c r="M3348" t="s">
        <v>32</v>
      </c>
      <c r="N3348">
        <v>0</v>
      </c>
      <c r="O3348" t="s">
        <v>31</v>
      </c>
      <c r="P3348" t="s">
        <v>28</v>
      </c>
      <c r="Q3348">
        <v>0</v>
      </c>
    </row>
    <row r="3349" spans="1:17" x14ac:dyDescent="0.3">
      <c r="A3349" t="s">
        <v>17</v>
      </c>
      <c r="B3349">
        <v>67</v>
      </c>
      <c r="C3349" t="s">
        <v>28</v>
      </c>
      <c r="D3349" s="2">
        <v>46052</v>
      </c>
      <c r="E3349" s="3">
        <f t="shared" si="52"/>
        <v>46023</v>
      </c>
      <c r="F3349" t="s">
        <v>2846</v>
      </c>
      <c r="G3349" t="s">
        <v>1445</v>
      </c>
      <c r="H3349" s="4">
        <v>380</v>
      </c>
      <c r="I3349" t="s">
        <v>31</v>
      </c>
      <c r="J3349" t="s">
        <v>32</v>
      </c>
      <c r="K3349" t="s">
        <v>2850</v>
      </c>
      <c r="L3349" s="2">
        <v>46023</v>
      </c>
      <c r="M3349" t="s">
        <v>32</v>
      </c>
      <c r="N3349">
        <v>0</v>
      </c>
      <c r="O3349" t="s">
        <v>31</v>
      </c>
      <c r="P3349" t="s">
        <v>28</v>
      </c>
      <c r="Q3349">
        <v>0</v>
      </c>
    </row>
    <row r="3350" spans="1:17" x14ac:dyDescent="0.3">
      <c r="A3350" t="s">
        <v>17</v>
      </c>
      <c r="B3350">
        <v>67</v>
      </c>
      <c r="C3350" t="s">
        <v>28</v>
      </c>
      <c r="D3350" s="2">
        <v>46052</v>
      </c>
      <c r="E3350" s="3">
        <f t="shared" si="52"/>
        <v>46023</v>
      </c>
      <c r="F3350" t="s">
        <v>2851</v>
      </c>
      <c r="H3350" s="4">
        <v>-19.3</v>
      </c>
      <c r="I3350" t="s">
        <v>31</v>
      </c>
      <c r="J3350" t="s">
        <v>60</v>
      </c>
      <c r="L3350" s="2">
        <v>46023</v>
      </c>
      <c r="M3350" t="s">
        <v>60</v>
      </c>
      <c r="N3350">
        <v>0</v>
      </c>
      <c r="O3350" t="s">
        <v>31</v>
      </c>
      <c r="P3350" t="s">
        <v>28</v>
      </c>
      <c r="Q3350">
        <v>0</v>
      </c>
    </row>
    <row r="3351" spans="1:17" x14ac:dyDescent="0.3">
      <c r="A3351" t="s">
        <v>17</v>
      </c>
      <c r="B3351">
        <v>67</v>
      </c>
      <c r="C3351" t="s">
        <v>28</v>
      </c>
      <c r="D3351" s="2">
        <v>46052</v>
      </c>
      <c r="E3351" s="3">
        <f t="shared" si="52"/>
        <v>46023</v>
      </c>
      <c r="F3351" t="s">
        <v>2851</v>
      </c>
      <c r="H3351" s="4">
        <v>-16.96</v>
      </c>
      <c r="I3351" t="s">
        <v>31</v>
      </c>
      <c r="J3351" t="s">
        <v>60</v>
      </c>
      <c r="L3351" s="2">
        <v>46023</v>
      </c>
      <c r="M3351" t="s">
        <v>60</v>
      </c>
      <c r="N3351">
        <v>0</v>
      </c>
      <c r="O3351" t="s">
        <v>31</v>
      </c>
      <c r="P3351" t="s">
        <v>28</v>
      </c>
      <c r="Q3351">
        <v>0</v>
      </c>
    </row>
    <row r="3352" spans="1:17" x14ac:dyDescent="0.3">
      <c r="A3352" t="s">
        <v>17</v>
      </c>
      <c r="B3352">
        <v>67</v>
      </c>
      <c r="C3352" t="s">
        <v>28</v>
      </c>
      <c r="D3352" s="2">
        <v>46052</v>
      </c>
      <c r="E3352" s="3">
        <f t="shared" si="52"/>
        <v>46023</v>
      </c>
      <c r="F3352" t="s">
        <v>2851</v>
      </c>
      <c r="H3352" s="4">
        <v>-74.78</v>
      </c>
      <c r="I3352" t="s">
        <v>31</v>
      </c>
      <c r="J3352" t="s">
        <v>60</v>
      </c>
      <c r="L3352" s="2">
        <v>46023</v>
      </c>
      <c r="M3352" t="s">
        <v>60</v>
      </c>
      <c r="N3352">
        <v>0</v>
      </c>
      <c r="O3352" t="s">
        <v>31</v>
      </c>
      <c r="P3352" t="s">
        <v>28</v>
      </c>
      <c r="Q3352">
        <v>0</v>
      </c>
    </row>
    <row r="3353" spans="1:17" x14ac:dyDescent="0.3">
      <c r="A3353" t="s">
        <v>17</v>
      </c>
      <c r="B3353">
        <v>67</v>
      </c>
      <c r="C3353" t="s">
        <v>28</v>
      </c>
      <c r="D3353" s="2">
        <v>46052</v>
      </c>
      <c r="E3353" s="3">
        <f t="shared" si="52"/>
        <v>46023</v>
      </c>
      <c r="F3353" t="s">
        <v>2851</v>
      </c>
      <c r="H3353" s="4">
        <v>-47.6</v>
      </c>
      <c r="I3353" t="s">
        <v>31</v>
      </c>
      <c r="J3353" t="s">
        <v>60</v>
      </c>
      <c r="L3353" s="2">
        <v>46023</v>
      </c>
      <c r="M3353" t="s">
        <v>60</v>
      </c>
      <c r="N3353">
        <v>0</v>
      </c>
      <c r="O3353" t="s">
        <v>31</v>
      </c>
      <c r="P3353" t="s">
        <v>28</v>
      </c>
      <c r="Q3353">
        <v>0</v>
      </c>
    </row>
    <row r="3354" spans="1:17" x14ac:dyDescent="0.3">
      <c r="A3354" t="s">
        <v>17</v>
      </c>
      <c r="B3354">
        <v>67</v>
      </c>
      <c r="C3354" t="s">
        <v>28</v>
      </c>
      <c r="D3354" s="2">
        <v>46052</v>
      </c>
      <c r="E3354" s="3">
        <f t="shared" si="52"/>
        <v>46023</v>
      </c>
      <c r="F3354" t="s">
        <v>2851</v>
      </c>
      <c r="H3354" s="4">
        <v>-54.53</v>
      </c>
      <c r="I3354" t="s">
        <v>31</v>
      </c>
      <c r="J3354" t="s">
        <v>60</v>
      </c>
      <c r="L3354" s="2">
        <v>46023</v>
      </c>
      <c r="M3354" t="s">
        <v>60</v>
      </c>
      <c r="N3354">
        <v>0</v>
      </c>
      <c r="O3354" t="s">
        <v>31</v>
      </c>
      <c r="P3354" t="s">
        <v>28</v>
      </c>
      <c r="Q3354">
        <v>0</v>
      </c>
    </row>
    <row r="3355" spans="1:17" x14ac:dyDescent="0.3">
      <c r="A3355" t="s">
        <v>17</v>
      </c>
      <c r="B3355">
        <v>67</v>
      </c>
      <c r="C3355" t="s">
        <v>28</v>
      </c>
      <c r="D3355" s="2">
        <v>46052</v>
      </c>
      <c r="E3355" s="3">
        <f t="shared" si="52"/>
        <v>46023</v>
      </c>
      <c r="F3355" t="s">
        <v>2851</v>
      </c>
      <c r="H3355" s="4">
        <v>-102.12</v>
      </c>
      <c r="I3355" t="s">
        <v>31</v>
      </c>
      <c r="J3355" t="s">
        <v>60</v>
      </c>
      <c r="L3355" s="2">
        <v>46023</v>
      </c>
      <c r="M3355" t="s">
        <v>60</v>
      </c>
      <c r="N3355">
        <v>0</v>
      </c>
      <c r="O3355" t="s">
        <v>31</v>
      </c>
      <c r="P3355" t="s">
        <v>28</v>
      </c>
      <c r="Q3355">
        <v>0</v>
      </c>
    </row>
    <row r="3356" spans="1:17" x14ac:dyDescent="0.3">
      <c r="A3356" t="s">
        <v>17</v>
      </c>
      <c r="B3356">
        <v>67</v>
      </c>
      <c r="C3356" t="s">
        <v>28</v>
      </c>
      <c r="D3356" s="2">
        <v>46052</v>
      </c>
      <c r="E3356" s="3">
        <f t="shared" si="52"/>
        <v>46023</v>
      </c>
      <c r="F3356" t="s">
        <v>2851</v>
      </c>
      <c r="H3356" s="4">
        <v>-111.5</v>
      </c>
      <c r="I3356" t="s">
        <v>31</v>
      </c>
      <c r="J3356" t="s">
        <v>60</v>
      </c>
      <c r="L3356" s="2">
        <v>46023</v>
      </c>
      <c r="M3356" t="s">
        <v>60</v>
      </c>
      <c r="N3356">
        <v>0</v>
      </c>
      <c r="O3356" t="s">
        <v>31</v>
      </c>
      <c r="P3356" t="s">
        <v>28</v>
      </c>
      <c r="Q3356">
        <v>0</v>
      </c>
    </row>
    <row r="3357" spans="1:17" x14ac:dyDescent="0.3">
      <c r="A3357" t="s">
        <v>17</v>
      </c>
      <c r="B3357">
        <v>67</v>
      </c>
      <c r="C3357" t="s">
        <v>28</v>
      </c>
      <c r="D3357" s="2">
        <v>46052</v>
      </c>
      <c r="E3357" s="3">
        <f t="shared" si="52"/>
        <v>46023</v>
      </c>
      <c r="F3357" t="s">
        <v>2851</v>
      </c>
      <c r="H3357" s="4">
        <v>-64.09</v>
      </c>
      <c r="I3357" t="s">
        <v>31</v>
      </c>
      <c r="J3357" t="s">
        <v>60</v>
      </c>
      <c r="L3357" s="2">
        <v>46023</v>
      </c>
      <c r="M3357" t="s">
        <v>60</v>
      </c>
      <c r="N3357">
        <v>0</v>
      </c>
      <c r="O3357" t="s">
        <v>31</v>
      </c>
      <c r="P3357" t="s">
        <v>28</v>
      </c>
      <c r="Q3357">
        <v>0</v>
      </c>
    </row>
    <row r="3358" spans="1:17" x14ac:dyDescent="0.3">
      <c r="A3358" t="s">
        <v>17</v>
      </c>
      <c r="B3358">
        <v>64</v>
      </c>
      <c r="C3358" t="s">
        <v>83</v>
      </c>
      <c r="D3358" s="2">
        <v>46053</v>
      </c>
      <c r="E3358" s="3">
        <f t="shared" si="52"/>
        <v>46023</v>
      </c>
      <c r="F3358" t="s">
        <v>2852</v>
      </c>
      <c r="H3358" s="4">
        <v>15.29</v>
      </c>
      <c r="I3358" t="s">
        <v>47</v>
      </c>
      <c r="J3358" t="s">
        <v>91</v>
      </c>
      <c r="K3358" t="s">
        <v>2853</v>
      </c>
      <c r="L3358" s="2">
        <v>46023</v>
      </c>
      <c r="M3358" t="s">
        <v>93</v>
      </c>
      <c r="N3358">
        <v>0</v>
      </c>
      <c r="O3358" t="s">
        <v>26</v>
      </c>
      <c r="P3358" t="s">
        <v>83</v>
      </c>
      <c r="Q3358">
        <v>0</v>
      </c>
    </row>
    <row r="3359" spans="1:17" x14ac:dyDescent="0.3">
      <c r="A3359" t="s">
        <v>17</v>
      </c>
      <c r="B3359">
        <v>64</v>
      </c>
      <c r="C3359" t="s">
        <v>83</v>
      </c>
      <c r="D3359" s="2">
        <v>46053</v>
      </c>
      <c r="E3359" s="3">
        <f t="shared" si="52"/>
        <v>46023</v>
      </c>
      <c r="F3359" t="s">
        <v>2852</v>
      </c>
      <c r="H3359" s="4">
        <v>16.72</v>
      </c>
      <c r="I3359" t="s">
        <v>47</v>
      </c>
      <c r="J3359" t="s">
        <v>91</v>
      </c>
      <c r="K3359" t="s">
        <v>2854</v>
      </c>
      <c r="L3359" s="2">
        <v>46023</v>
      </c>
      <c r="M3359" t="s">
        <v>93</v>
      </c>
      <c r="N3359">
        <v>0</v>
      </c>
      <c r="O3359" t="s">
        <v>26</v>
      </c>
      <c r="P3359" t="s">
        <v>83</v>
      </c>
      <c r="Q3359">
        <v>0</v>
      </c>
    </row>
    <row r="3360" spans="1:17" x14ac:dyDescent="0.3">
      <c r="A3360" t="s">
        <v>17</v>
      </c>
      <c r="B3360">
        <v>64</v>
      </c>
      <c r="C3360" t="s">
        <v>83</v>
      </c>
      <c r="D3360" s="2">
        <v>46053</v>
      </c>
      <c r="E3360" s="3">
        <f t="shared" si="52"/>
        <v>46023</v>
      </c>
      <c r="F3360" t="s">
        <v>2852</v>
      </c>
      <c r="H3360" s="4">
        <v>80.25</v>
      </c>
      <c r="I3360" t="s">
        <v>47</v>
      </c>
      <c r="J3360" t="s">
        <v>87</v>
      </c>
      <c r="K3360" t="s">
        <v>2855</v>
      </c>
      <c r="L3360" s="2">
        <v>46023</v>
      </c>
      <c r="M3360" t="s">
        <v>89</v>
      </c>
      <c r="N3360">
        <v>0</v>
      </c>
      <c r="O3360" t="s">
        <v>26</v>
      </c>
      <c r="P3360" t="s">
        <v>83</v>
      </c>
      <c r="Q3360">
        <v>0</v>
      </c>
    </row>
    <row r="3361" spans="1:17" x14ac:dyDescent="0.3">
      <c r="A3361" t="s">
        <v>17</v>
      </c>
      <c r="B3361">
        <v>64</v>
      </c>
      <c r="C3361" t="s">
        <v>83</v>
      </c>
      <c r="D3361" s="2">
        <v>46053</v>
      </c>
      <c r="E3361" s="3">
        <f t="shared" si="52"/>
        <v>46023</v>
      </c>
      <c r="F3361" t="s">
        <v>2852</v>
      </c>
      <c r="H3361" s="4">
        <v>59.92</v>
      </c>
      <c r="I3361" t="s">
        <v>47</v>
      </c>
      <c r="J3361" t="s">
        <v>87</v>
      </c>
      <c r="K3361" t="s">
        <v>2855</v>
      </c>
      <c r="L3361" s="2">
        <v>46023</v>
      </c>
      <c r="M3361" t="s">
        <v>89</v>
      </c>
      <c r="N3361">
        <v>0</v>
      </c>
      <c r="O3361" t="s">
        <v>26</v>
      </c>
      <c r="P3361" t="s">
        <v>83</v>
      </c>
      <c r="Q3361">
        <v>0</v>
      </c>
    </row>
    <row r="3362" spans="1:17" x14ac:dyDescent="0.3">
      <c r="A3362" t="s">
        <v>17</v>
      </c>
      <c r="B3362">
        <v>64</v>
      </c>
      <c r="C3362" t="s">
        <v>83</v>
      </c>
      <c r="D3362" s="2">
        <v>46053</v>
      </c>
      <c r="E3362" s="3">
        <f t="shared" si="52"/>
        <v>46023</v>
      </c>
      <c r="F3362" t="s">
        <v>2852</v>
      </c>
      <c r="H3362" s="4">
        <v>122.94</v>
      </c>
      <c r="I3362" t="s">
        <v>47</v>
      </c>
      <c r="J3362" t="s">
        <v>87</v>
      </c>
      <c r="K3362" t="s">
        <v>2854</v>
      </c>
      <c r="L3362" s="2">
        <v>46023</v>
      </c>
      <c r="M3362" t="s">
        <v>89</v>
      </c>
      <c r="N3362">
        <v>0</v>
      </c>
      <c r="O3362" t="s">
        <v>26</v>
      </c>
      <c r="P3362" t="s">
        <v>83</v>
      </c>
      <c r="Q3362">
        <v>0</v>
      </c>
    </row>
    <row r="3363" spans="1:17" x14ac:dyDescent="0.3">
      <c r="A3363" t="s">
        <v>17</v>
      </c>
      <c r="B3363">
        <v>64</v>
      </c>
      <c r="C3363" t="s">
        <v>83</v>
      </c>
      <c r="D3363" s="2">
        <v>46053</v>
      </c>
      <c r="E3363" s="3">
        <f t="shared" si="52"/>
        <v>46023</v>
      </c>
      <c r="F3363" t="s">
        <v>2852</v>
      </c>
      <c r="H3363" s="4">
        <v>12.29</v>
      </c>
      <c r="I3363" t="s">
        <v>47</v>
      </c>
      <c r="J3363" t="s">
        <v>87</v>
      </c>
      <c r="K3363" t="s">
        <v>2854</v>
      </c>
      <c r="L3363" s="2">
        <v>46023</v>
      </c>
      <c r="M3363" t="s">
        <v>89</v>
      </c>
      <c r="N3363">
        <v>0</v>
      </c>
      <c r="O3363" t="s">
        <v>26</v>
      </c>
      <c r="P3363" t="s">
        <v>83</v>
      </c>
      <c r="Q3363">
        <v>0</v>
      </c>
    </row>
    <row r="3364" spans="1:17" x14ac:dyDescent="0.3">
      <c r="A3364" t="s">
        <v>17</v>
      </c>
      <c r="B3364">
        <v>64</v>
      </c>
      <c r="C3364" t="s">
        <v>83</v>
      </c>
      <c r="D3364" s="2">
        <v>46053</v>
      </c>
      <c r="E3364" s="3">
        <f t="shared" si="52"/>
        <v>46023</v>
      </c>
      <c r="F3364" t="s">
        <v>2852</v>
      </c>
      <c r="H3364" s="4">
        <v>112.03</v>
      </c>
      <c r="I3364" t="s">
        <v>47</v>
      </c>
      <c r="J3364" t="s">
        <v>87</v>
      </c>
      <c r="K3364" t="s">
        <v>2854</v>
      </c>
      <c r="L3364" s="2">
        <v>46023</v>
      </c>
      <c r="M3364" t="s">
        <v>89</v>
      </c>
      <c r="N3364">
        <v>0</v>
      </c>
      <c r="O3364" t="s">
        <v>26</v>
      </c>
      <c r="P3364" t="s">
        <v>83</v>
      </c>
      <c r="Q3364">
        <v>0</v>
      </c>
    </row>
    <row r="3365" spans="1:17" x14ac:dyDescent="0.3">
      <c r="A3365" t="s">
        <v>17</v>
      </c>
      <c r="B3365">
        <v>67</v>
      </c>
      <c r="C3365" t="s">
        <v>28</v>
      </c>
      <c r="D3365" s="2">
        <v>46053</v>
      </c>
      <c r="E3365" s="3">
        <f t="shared" si="52"/>
        <v>46023</v>
      </c>
      <c r="F3365">
        <v>29306</v>
      </c>
      <c r="G3365" t="s">
        <v>2792</v>
      </c>
      <c r="H3365" s="4">
        <v>8525</v>
      </c>
      <c r="I3365" t="s">
        <v>31</v>
      </c>
      <c r="J3365" t="s">
        <v>48</v>
      </c>
      <c r="K3365" t="s">
        <v>2856</v>
      </c>
      <c r="L3365" s="2">
        <v>46023</v>
      </c>
      <c r="M3365" t="s">
        <v>50</v>
      </c>
      <c r="N3365">
        <v>0</v>
      </c>
      <c r="O3365" t="s">
        <v>31</v>
      </c>
      <c r="P3365" t="s">
        <v>28</v>
      </c>
      <c r="Q3365">
        <v>0</v>
      </c>
    </row>
    <row r="3366" spans="1:17" x14ac:dyDescent="0.3">
      <c r="A3366" t="s">
        <v>17</v>
      </c>
      <c r="B3366">
        <v>67</v>
      </c>
      <c r="C3366" t="s">
        <v>28</v>
      </c>
      <c r="D3366" s="2">
        <v>46053</v>
      </c>
      <c r="E3366" s="3">
        <f t="shared" si="52"/>
        <v>46023</v>
      </c>
      <c r="F3366">
        <v>29306</v>
      </c>
      <c r="G3366" t="s">
        <v>2792</v>
      </c>
      <c r="H3366" s="4">
        <v>2860</v>
      </c>
      <c r="I3366" t="s">
        <v>31</v>
      </c>
      <c r="J3366" t="s">
        <v>48</v>
      </c>
      <c r="K3366" t="s">
        <v>2857</v>
      </c>
      <c r="L3366" s="2">
        <v>46023</v>
      </c>
      <c r="M3366" t="s">
        <v>50</v>
      </c>
      <c r="N3366">
        <v>0</v>
      </c>
      <c r="O3366" t="s">
        <v>31</v>
      </c>
      <c r="P3366" t="s">
        <v>28</v>
      </c>
      <c r="Q3366">
        <v>0</v>
      </c>
    </row>
    <row r="3367" spans="1:17" x14ac:dyDescent="0.3">
      <c r="A3367" t="s">
        <v>17</v>
      </c>
      <c r="B3367">
        <v>67</v>
      </c>
      <c r="C3367" t="s">
        <v>28</v>
      </c>
      <c r="D3367" s="2">
        <v>46053</v>
      </c>
      <c r="E3367" s="3">
        <f t="shared" si="52"/>
        <v>46023</v>
      </c>
      <c r="F3367">
        <v>29306</v>
      </c>
      <c r="G3367" t="s">
        <v>2792</v>
      </c>
      <c r="H3367" s="4">
        <v>4680</v>
      </c>
      <c r="I3367" t="s">
        <v>31</v>
      </c>
      <c r="J3367" t="s">
        <v>48</v>
      </c>
      <c r="K3367" t="s">
        <v>2858</v>
      </c>
      <c r="L3367" s="2">
        <v>46023</v>
      </c>
      <c r="M3367" t="s">
        <v>50</v>
      </c>
      <c r="N3367">
        <v>0</v>
      </c>
      <c r="O3367" t="s">
        <v>31</v>
      </c>
      <c r="P3367" t="s">
        <v>28</v>
      </c>
      <c r="Q3367">
        <v>0</v>
      </c>
    </row>
    <row r="3368" spans="1:17" x14ac:dyDescent="0.3">
      <c r="A3368" t="s">
        <v>17</v>
      </c>
      <c r="B3368">
        <v>67</v>
      </c>
      <c r="C3368" t="s">
        <v>28</v>
      </c>
      <c r="D3368" s="2">
        <v>46053</v>
      </c>
      <c r="E3368" s="3">
        <f t="shared" si="52"/>
        <v>46023</v>
      </c>
      <c r="F3368">
        <v>29306</v>
      </c>
      <c r="G3368" t="s">
        <v>2792</v>
      </c>
      <c r="H3368" s="4">
        <v>4680</v>
      </c>
      <c r="I3368" t="s">
        <v>31</v>
      </c>
      <c r="J3368" t="s">
        <v>48</v>
      </c>
      <c r="K3368" t="s">
        <v>2859</v>
      </c>
      <c r="L3368" s="2">
        <v>46023</v>
      </c>
      <c r="M3368" t="s">
        <v>50</v>
      </c>
      <c r="N3368">
        <v>0</v>
      </c>
      <c r="O3368" t="s">
        <v>31</v>
      </c>
      <c r="P3368" t="s">
        <v>28</v>
      </c>
      <c r="Q3368">
        <v>0</v>
      </c>
    </row>
    <row r="3369" spans="1:17" x14ac:dyDescent="0.3">
      <c r="A3369" t="s">
        <v>17</v>
      </c>
      <c r="B3369">
        <v>67</v>
      </c>
      <c r="C3369" t="s">
        <v>28</v>
      </c>
      <c r="D3369" s="2">
        <v>46053</v>
      </c>
      <c r="E3369" s="3">
        <f t="shared" si="52"/>
        <v>46023</v>
      </c>
      <c r="F3369">
        <v>1136721</v>
      </c>
      <c r="G3369" t="s">
        <v>283</v>
      </c>
      <c r="H3369" s="4">
        <v>134.25</v>
      </c>
      <c r="I3369" t="s">
        <v>31</v>
      </c>
      <c r="J3369" t="s">
        <v>48</v>
      </c>
      <c r="K3369" t="s">
        <v>2860</v>
      </c>
      <c r="L3369" s="2">
        <v>46023</v>
      </c>
      <c r="M3369" t="s">
        <v>50</v>
      </c>
      <c r="N3369">
        <v>0</v>
      </c>
      <c r="O3369" t="s">
        <v>31</v>
      </c>
      <c r="P3369" t="s">
        <v>28</v>
      </c>
      <c r="Q3369">
        <v>0</v>
      </c>
    </row>
    <row r="3370" spans="1:17" x14ac:dyDescent="0.3">
      <c r="A3370" t="s">
        <v>17</v>
      </c>
      <c r="B3370">
        <v>67</v>
      </c>
      <c r="C3370" t="s">
        <v>28</v>
      </c>
      <c r="D3370" s="2">
        <v>46053</v>
      </c>
      <c r="E3370" s="3">
        <f t="shared" si="52"/>
        <v>46023</v>
      </c>
      <c r="F3370">
        <v>1136721</v>
      </c>
      <c r="G3370" t="s">
        <v>283</v>
      </c>
      <c r="H3370" s="4">
        <v>13.75</v>
      </c>
      <c r="I3370" t="s">
        <v>31</v>
      </c>
      <c r="J3370" t="s">
        <v>48</v>
      </c>
      <c r="K3370" t="s">
        <v>2861</v>
      </c>
      <c r="L3370" s="2">
        <v>46023</v>
      </c>
      <c r="M3370" t="s">
        <v>50</v>
      </c>
      <c r="N3370">
        <v>0</v>
      </c>
      <c r="O3370" t="s">
        <v>31</v>
      </c>
      <c r="P3370" t="s">
        <v>28</v>
      </c>
      <c r="Q3370">
        <v>0</v>
      </c>
    </row>
    <row r="3371" spans="1:17" x14ac:dyDescent="0.3">
      <c r="A3371" t="s">
        <v>17</v>
      </c>
      <c r="B3371">
        <v>67</v>
      </c>
      <c r="C3371" t="s">
        <v>28</v>
      </c>
      <c r="D3371" s="2">
        <v>46053</v>
      </c>
      <c r="E3371" s="3">
        <f t="shared" si="52"/>
        <v>46023</v>
      </c>
      <c r="F3371">
        <v>1136721</v>
      </c>
      <c r="G3371" t="s">
        <v>283</v>
      </c>
      <c r="H3371" s="4">
        <v>27</v>
      </c>
      <c r="I3371" t="s">
        <v>31</v>
      </c>
      <c r="J3371" t="s">
        <v>48</v>
      </c>
      <c r="K3371" t="s">
        <v>2862</v>
      </c>
      <c r="L3371" s="2">
        <v>46023</v>
      </c>
      <c r="M3371" t="s">
        <v>50</v>
      </c>
      <c r="N3371">
        <v>0</v>
      </c>
      <c r="O3371" t="s">
        <v>31</v>
      </c>
      <c r="P3371" t="s">
        <v>28</v>
      </c>
      <c r="Q3371">
        <v>0</v>
      </c>
    </row>
    <row r="3372" spans="1:17" x14ac:dyDescent="0.3">
      <c r="A3372" t="s">
        <v>17</v>
      </c>
      <c r="B3372">
        <v>67</v>
      </c>
      <c r="C3372" t="s">
        <v>28</v>
      </c>
      <c r="D3372" s="2">
        <v>46053</v>
      </c>
      <c r="E3372" s="3">
        <f t="shared" si="52"/>
        <v>46023</v>
      </c>
      <c r="F3372" t="s">
        <v>2863</v>
      </c>
      <c r="H3372" s="4">
        <v>833.34</v>
      </c>
      <c r="I3372" t="s">
        <v>31</v>
      </c>
      <c r="J3372" t="s">
        <v>48</v>
      </c>
      <c r="K3372" t="s">
        <v>937</v>
      </c>
      <c r="L3372" s="2">
        <v>46023</v>
      </c>
      <c r="M3372" t="s">
        <v>50</v>
      </c>
      <c r="N3372">
        <v>0</v>
      </c>
      <c r="O3372" t="s">
        <v>31</v>
      </c>
      <c r="P3372" t="s">
        <v>28</v>
      </c>
      <c r="Q3372">
        <v>0</v>
      </c>
    </row>
    <row r="3373" spans="1:17" x14ac:dyDescent="0.3">
      <c r="A3373" t="s">
        <v>17</v>
      </c>
      <c r="B3373">
        <v>67</v>
      </c>
      <c r="C3373" t="s">
        <v>28</v>
      </c>
      <c r="D3373" s="2">
        <v>46053</v>
      </c>
      <c r="E3373" s="3">
        <f t="shared" si="52"/>
        <v>46023</v>
      </c>
      <c r="F3373" t="s">
        <v>2863</v>
      </c>
      <c r="H3373" s="4">
        <v>-2499.9899999999998</v>
      </c>
      <c r="I3373" t="s">
        <v>31</v>
      </c>
      <c r="J3373" t="s">
        <v>48</v>
      </c>
      <c r="K3373" t="s">
        <v>937</v>
      </c>
      <c r="L3373" s="2">
        <v>46023</v>
      </c>
      <c r="M3373" t="s">
        <v>50</v>
      </c>
      <c r="N3373">
        <v>0</v>
      </c>
      <c r="O3373" t="s">
        <v>31</v>
      </c>
      <c r="P3373" t="s">
        <v>28</v>
      </c>
      <c r="Q3373">
        <v>0</v>
      </c>
    </row>
    <row r="3374" spans="1:17" x14ac:dyDescent="0.3">
      <c r="A3374" t="s">
        <v>17</v>
      </c>
      <c r="B3374">
        <v>63</v>
      </c>
      <c r="C3374" t="s">
        <v>18</v>
      </c>
      <c r="D3374" s="2">
        <v>46053</v>
      </c>
      <c r="E3374" s="3">
        <f t="shared" si="52"/>
        <v>46023</v>
      </c>
      <c r="F3374" t="s">
        <v>2864</v>
      </c>
      <c r="H3374" s="4">
        <v>12000</v>
      </c>
      <c r="I3374" t="s">
        <v>47</v>
      </c>
      <c r="J3374" t="s">
        <v>272</v>
      </c>
      <c r="K3374" t="s">
        <v>2865</v>
      </c>
      <c r="L3374" s="2">
        <v>46023</v>
      </c>
      <c r="M3374" t="s">
        <v>272</v>
      </c>
      <c r="N3374">
        <v>0</v>
      </c>
      <c r="O3374" t="s">
        <v>26</v>
      </c>
      <c r="P3374" t="s">
        <v>18</v>
      </c>
      <c r="Q3374" t="s">
        <v>274</v>
      </c>
    </row>
    <row r="3375" spans="1:17" x14ac:dyDescent="0.3">
      <c r="A3375" t="s">
        <v>17</v>
      </c>
      <c r="B3375">
        <v>63</v>
      </c>
      <c r="C3375" t="s">
        <v>18</v>
      </c>
      <c r="D3375" s="2">
        <v>46053</v>
      </c>
      <c r="E3375" s="3">
        <f t="shared" si="52"/>
        <v>46023</v>
      </c>
      <c r="F3375" t="s">
        <v>2866</v>
      </c>
      <c r="H3375" s="4">
        <v>28833.33</v>
      </c>
      <c r="I3375" t="s">
        <v>47</v>
      </c>
      <c r="J3375" t="s">
        <v>272</v>
      </c>
      <c r="K3375" t="s">
        <v>1782</v>
      </c>
      <c r="L3375" s="2">
        <v>46023</v>
      </c>
      <c r="M3375" t="s">
        <v>272</v>
      </c>
      <c r="N3375">
        <v>0</v>
      </c>
      <c r="O3375" t="s">
        <v>26</v>
      </c>
      <c r="P3375" t="s">
        <v>18</v>
      </c>
      <c r="Q3375" t="s">
        <v>274</v>
      </c>
    </row>
    <row r="3376" spans="1:17" x14ac:dyDescent="0.3">
      <c r="A3376" t="s">
        <v>17</v>
      </c>
      <c r="B3376">
        <v>63</v>
      </c>
      <c r="C3376" t="s">
        <v>18</v>
      </c>
      <c r="D3376" s="2">
        <v>46053</v>
      </c>
      <c r="E3376" s="3">
        <f t="shared" si="52"/>
        <v>46023</v>
      </c>
      <c r="F3376" t="s">
        <v>2867</v>
      </c>
      <c r="H3376" s="4">
        <v>6145.32</v>
      </c>
      <c r="I3376" t="s">
        <v>47</v>
      </c>
      <c r="J3376" t="s">
        <v>326</v>
      </c>
      <c r="K3376" t="s">
        <v>2868</v>
      </c>
      <c r="L3376" s="2">
        <v>46023</v>
      </c>
      <c r="M3376" t="s">
        <v>328</v>
      </c>
      <c r="N3376">
        <v>0</v>
      </c>
      <c r="O3376" t="s">
        <v>26</v>
      </c>
      <c r="P3376" t="s">
        <v>18</v>
      </c>
      <c r="Q3376" t="s">
        <v>329</v>
      </c>
    </row>
    <row r="3377" spans="1:17" x14ac:dyDescent="0.3">
      <c r="A3377" t="s">
        <v>17</v>
      </c>
      <c r="B3377">
        <v>65</v>
      </c>
      <c r="C3377" t="s">
        <v>54</v>
      </c>
      <c r="D3377" s="2">
        <v>46053</v>
      </c>
      <c r="E3377" s="3">
        <f t="shared" si="52"/>
        <v>46023</v>
      </c>
      <c r="F3377" t="s">
        <v>2869</v>
      </c>
      <c r="H3377" s="4">
        <v>-31017.18</v>
      </c>
      <c r="I3377" t="s">
        <v>31</v>
      </c>
      <c r="J3377" t="s">
        <v>55</v>
      </c>
      <c r="L3377" s="2">
        <v>46023</v>
      </c>
      <c r="M3377" t="s">
        <v>55</v>
      </c>
      <c r="N3377">
        <v>0</v>
      </c>
      <c r="O3377" t="s">
        <v>31</v>
      </c>
      <c r="P3377" t="s">
        <v>54</v>
      </c>
      <c r="Q3377">
        <v>0</v>
      </c>
    </row>
    <row r="3378" spans="1:17" x14ac:dyDescent="0.3">
      <c r="A3378" t="s">
        <v>17</v>
      </c>
      <c r="B3378">
        <v>68</v>
      </c>
      <c r="C3378" t="s">
        <v>34</v>
      </c>
      <c r="D3378" s="2">
        <v>46053</v>
      </c>
      <c r="E3378" s="3">
        <f t="shared" si="52"/>
        <v>46023</v>
      </c>
      <c r="F3378" t="s">
        <v>2870</v>
      </c>
      <c r="G3378" t="s">
        <v>266</v>
      </c>
      <c r="H3378" s="4">
        <v>1278.6199999999999</v>
      </c>
      <c r="I3378" t="s">
        <v>31</v>
      </c>
      <c r="J3378" t="s">
        <v>79</v>
      </c>
      <c r="K3378" t="s">
        <v>2871</v>
      </c>
      <c r="L3378" s="2">
        <v>46023</v>
      </c>
      <c r="M3378" t="s">
        <v>79</v>
      </c>
      <c r="N3378">
        <v>0</v>
      </c>
      <c r="O3378" t="s">
        <v>31</v>
      </c>
      <c r="P3378" t="s">
        <v>34</v>
      </c>
      <c r="Q3378">
        <v>0</v>
      </c>
    </row>
    <row r="3379" spans="1:17" x14ac:dyDescent="0.3">
      <c r="A3379" t="s">
        <v>17</v>
      </c>
      <c r="B3379">
        <v>68</v>
      </c>
      <c r="C3379" t="s">
        <v>34</v>
      </c>
      <c r="D3379" s="2">
        <v>46053</v>
      </c>
      <c r="E3379" s="3">
        <f t="shared" si="52"/>
        <v>46023</v>
      </c>
      <c r="F3379" t="s">
        <v>2852</v>
      </c>
      <c r="G3379" t="s">
        <v>1964</v>
      </c>
      <c r="H3379" s="4">
        <v>-56.25</v>
      </c>
      <c r="I3379" t="s">
        <v>47</v>
      </c>
      <c r="J3379" t="s">
        <v>79</v>
      </c>
      <c r="K3379" t="s">
        <v>2872</v>
      </c>
      <c r="L3379" s="2">
        <v>46023</v>
      </c>
      <c r="M3379" t="s">
        <v>79</v>
      </c>
      <c r="N3379">
        <v>0</v>
      </c>
      <c r="O3379" t="s">
        <v>26</v>
      </c>
      <c r="P3379" t="s">
        <v>34</v>
      </c>
      <c r="Q3379">
        <v>0</v>
      </c>
    </row>
    <row r="3380" spans="1:17" x14ac:dyDescent="0.3">
      <c r="A3380" t="s">
        <v>17</v>
      </c>
      <c r="B3380">
        <v>68</v>
      </c>
      <c r="C3380" t="s">
        <v>34</v>
      </c>
      <c r="D3380" s="2">
        <v>46053</v>
      </c>
      <c r="E3380" s="3">
        <f t="shared" si="52"/>
        <v>46023</v>
      </c>
      <c r="F3380" t="s">
        <v>2873</v>
      </c>
      <c r="H3380" s="4">
        <v>0</v>
      </c>
      <c r="I3380" t="s">
        <v>21</v>
      </c>
      <c r="J3380" t="s">
        <v>79</v>
      </c>
      <c r="K3380" t="s">
        <v>320</v>
      </c>
      <c r="L3380" s="2">
        <v>46023</v>
      </c>
      <c r="M3380" t="s">
        <v>79</v>
      </c>
      <c r="N3380" t="s">
        <v>25</v>
      </c>
      <c r="O3380" t="s">
        <v>81</v>
      </c>
      <c r="P3380" t="s">
        <v>34</v>
      </c>
      <c r="Q3380">
        <v>0</v>
      </c>
    </row>
    <row r="3381" spans="1:17" x14ac:dyDescent="0.3">
      <c r="A3381" t="s">
        <v>17</v>
      </c>
      <c r="B3381">
        <v>68</v>
      </c>
      <c r="C3381" t="s">
        <v>34</v>
      </c>
      <c r="D3381" s="2">
        <v>46053</v>
      </c>
      <c r="E3381" s="3">
        <f t="shared" si="52"/>
        <v>46023</v>
      </c>
      <c r="F3381" t="s">
        <v>2874</v>
      </c>
      <c r="G3381" t="s">
        <v>122</v>
      </c>
      <c r="H3381" s="4">
        <v>138.94999999999999</v>
      </c>
      <c r="I3381" t="s">
        <v>108</v>
      </c>
      <c r="J3381" t="s">
        <v>109</v>
      </c>
      <c r="K3381" t="s">
        <v>2875</v>
      </c>
      <c r="L3381" s="2">
        <v>46023</v>
      </c>
      <c r="M3381" t="s">
        <v>109</v>
      </c>
      <c r="N3381">
        <v>0</v>
      </c>
      <c r="O3381" t="s">
        <v>111</v>
      </c>
      <c r="P3381" t="s">
        <v>112</v>
      </c>
      <c r="Q3381" t="s">
        <v>113</v>
      </c>
    </row>
    <row r="3382" spans="1:17" x14ac:dyDescent="0.3">
      <c r="A3382" t="s">
        <v>17</v>
      </c>
      <c r="B3382">
        <v>68</v>
      </c>
      <c r="C3382" t="s">
        <v>34</v>
      </c>
      <c r="D3382" s="2">
        <v>46053</v>
      </c>
      <c r="E3382" s="3">
        <f t="shared" si="52"/>
        <v>46023</v>
      </c>
      <c r="F3382" t="s">
        <v>2876</v>
      </c>
      <c r="G3382" t="s">
        <v>122</v>
      </c>
      <c r="H3382" s="4">
        <v>955.43</v>
      </c>
      <c r="I3382" t="s">
        <v>108</v>
      </c>
      <c r="J3382" t="s">
        <v>109</v>
      </c>
      <c r="K3382" t="s">
        <v>388</v>
      </c>
      <c r="L3382" s="2">
        <v>46023</v>
      </c>
      <c r="M3382" t="s">
        <v>109</v>
      </c>
      <c r="N3382">
        <v>0</v>
      </c>
      <c r="O3382" t="s">
        <v>111</v>
      </c>
      <c r="P3382" t="s">
        <v>112</v>
      </c>
      <c r="Q3382" t="s">
        <v>113</v>
      </c>
    </row>
    <row r="3383" spans="1:17" x14ac:dyDescent="0.3">
      <c r="A3383" t="s">
        <v>17</v>
      </c>
      <c r="B3383">
        <v>68</v>
      </c>
      <c r="C3383" t="s">
        <v>34</v>
      </c>
      <c r="D3383" s="2">
        <v>46053</v>
      </c>
      <c r="E3383" s="3">
        <f t="shared" si="52"/>
        <v>46023</v>
      </c>
      <c r="F3383" t="s">
        <v>2877</v>
      </c>
      <c r="H3383" s="4">
        <v>4500</v>
      </c>
      <c r="I3383" t="s">
        <v>47</v>
      </c>
      <c r="J3383" t="s">
        <v>109</v>
      </c>
      <c r="K3383" t="s">
        <v>2878</v>
      </c>
      <c r="L3383" s="2">
        <v>46023</v>
      </c>
      <c r="M3383" t="s">
        <v>109</v>
      </c>
      <c r="N3383">
        <v>0</v>
      </c>
      <c r="O3383" t="s">
        <v>26</v>
      </c>
      <c r="P3383" t="s">
        <v>112</v>
      </c>
      <c r="Q3383" t="s">
        <v>113</v>
      </c>
    </row>
    <row r="3384" spans="1:17" x14ac:dyDescent="0.3">
      <c r="A3384" t="s">
        <v>17</v>
      </c>
      <c r="B3384">
        <v>67</v>
      </c>
      <c r="C3384" t="s">
        <v>28</v>
      </c>
      <c r="D3384" s="2">
        <v>46053</v>
      </c>
      <c r="E3384" s="3">
        <f t="shared" si="52"/>
        <v>46023</v>
      </c>
      <c r="F3384">
        <v>1002604273</v>
      </c>
      <c r="G3384" t="s">
        <v>774</v>
      </c>
      <c r="H3384" s="4">
        <v>1828.74</v>
      </c>
      <c r="I3384" t="s">
        <v>31</v>
      </c>
      <c r="J3384" t="s">
        <v>32</v>
      </c>
      <c r="K3384" t="s">
        <v>2879</v>
      </c>
      <c r="L3384" s="2">
        <v>46023</v>
      </c>
      <c r="M3384" t="s">
        <v>32</v>
      </c>
      <c r="N3384">
        <v>0</v>
      </c>
      <c r="O3384" t="s">
        <v>31</v>
      </c>
      <c r="P3384" t="s">
        <v>28</v>
      </c>
      <c r="Q3384">
        <v>0</v>
      </c>
    </row>
    <row r="3385" spans="1:17" x14ac:dyDescent="0.3">
      <c r="A3385" t="s">
        <v>17</v>
      </c>
      <c r="B3385">
        <v>67</v>
      </c>
      <c r="C3385" t="s">
        <v>28</v>
      </c>
      <c r="D3385" s="2">
        <v>46053</v>
      </c>
      <c r="E3385" s="3">
        <f t="shared" si="52"/>
        <v>46023</v>
      </c>
      <c r="F3385">
        <v>1002604274</v>
      </c>
      <c r="G3385" t="s">
        <v>774</v>
      </c>
      <c r="H3385" s="4">
        <v>7511.41</v>
      </c>
      <c r="I3385" t="s">
        <v>31</v>
      </c>
      <c r="J3385" t="s">
        <v>32</v>
      </c>
      <c r="K3385" t="s">
        <v>2880</v>
      </c>
      <c r="L3385" s="2">
        <v>46023</v>
      </c>
      <c r="M3385" t="s">
        <v>32</v>
      </c>
      <c r="N3385">
        <v>0</v>
      </c>
      <c r="O3385" t="s">
        <v>31</v>
      </c>
      <c r="P3385" t="s">
        <v>28</v>
      </c>
      <c r="Q3385">
        <v>0</v>
      </c>
    </row>
    <row r="3386" spans="1:17" x14ac:dyDescent="0.3">
      <c r="A3386" t="s">
        <v>17</v>
      </c>
      <c r="B3386">
        <v>67</v>
      </c>
      <c r="C3386" t="s">
        <v>28</v>
      </c>
      <c r="D3386" s="2">
        <v>46053</v>
      </c>
      <c r="E3386" s="3">
        <f t="shared" si="52"/>
        <v>46023</v>
      </c>
      <c r="F3386" t="s">
        <v>2881</v>
      </c>
      <c r="H3386" s="4">
        <v>20000</v>
      </c>
      <c r="I3386" t="s">
        <v>31</v>
      </c>
      <c r="J3386" t="s">
        <v>32</v>
      </c>
      <c r="K3386" t="s">
        <v>2882</v>
      </c>
      <c r="L3386" s="2">
        <v>46023</v>
      </c>
      <c r="M3386" t="s">
        <v>32</v>
      </c>
      <c r="N3386">
        <v>0</v>
      </c>
      <c r="O3386" t="s">
        <v>31</v>
      </c>
      <c r="P3386" t="s">
        <v>28</v>
      </c>
      <c r="Q3386">
        <v>0</v>
      </c>
    </row>
    <row r="3387" spans="1:17" x14ac:dyDescent="0.3">
      <c r="A3387" t="s">
        <v>17</v>
      </c>
      <c r="B3387">
        <v>67</v>
      </c>
      <c r="C3387" t="s">
        <v>28</v>
      </c>
      <c r="D3387" s="2">
        <v>46053</v>
      </c>
      <c r="E3387" s="3">
        <f t="shared" si="52"/>
        <v>46023</v>
      </c>
      <c r="F3387" t="s">
        <v>2883</v>
      </c>
      <c r="H3387" s="4">
        <v>1191.25</v>
      </c>
      <c r="I3387" t="s">
        <v>31</v>
      </c>
      <c r="J3387" t="s">
        <v>60</v>
      </c>
      <c r="K3387" t="s">
        <v>2884</v>
      </c>
      <c r="L3387" s="2">
        <v>46023</v>
      </c>
      <c r="M3387" t="s">
        <v>60</v>
      </c>
      <c r="N3387">
        <v>0</v>
      </c>
      <c r="O3387" t="s">
        <v>31</v>
      </c>
      <c r="P3387" t="s">
        <v>28</v>
      </c>
      <c r="Q3387">
        <v>0</v>
      </c>
    </row>
    <row r="3388" spans="1:17" x14ac:dyDescent="0.3">
      <c r="A3388" t="s">
        <v>17</v>
      </c>
      <c r="B3388">
        <v>67</v>
      </c>
      <c r="C3388" t="s">
        <v>28</v>
      </c>
      <c r="D3388" s="2">
        <v>46053</v>
      </c>
      <c r="E3388" s="3">
        <f t="shared" si="52"/>
        <v>46023</v>
      </c>
      <c r="F3388" t="s">
        <v>2885</v>
      </c>
      <c r="H3388" s="4">
        <v>428.3</v>
      </c>
      <c r="I3388" t="s">
        <v>31</v>
      </c>
      <c r="J3388" t="s">
        <v>60</v>
      </c>
      <c r="K3388" t="s">
        <v>1123</v>
      </c>
      <c r="L3388" s="2">
        <v>46023</v>
      </c>
      <c r="M3388" t="s">
        <v>60</v>
      </c>
      <c r="N3388">
        <v>0</v>
      </c>
      <c r="O3388" t="s">
        <v>31</v>
      </c>
      <c r="P3388" t="s">
        <v>28</v>
      </c>
      <c r="Q3388">
        <v>0</v>
      </c>
    </row>
    <row r="3389" spans="1:17" x14ac:dyDescent="0.3">
      <c r="A3389" t="s">
        <v>17</v>
      </c>
      <c r="B3389">
        <v>67</v>
      </c>
      <c r="C3389" t="s">
        <v>28</v>
      </c>
      <c r="D3389" s="2">
        <v>46053</v>
      </c>
      <c r="E3389" s="3">
        <f t="shared" si="52"/>
        <v>46023</v>
      </c>
      <c r="F3389" t="s">
        <v>2886</v>
      </c>
      <c r="H3389" s="4">
        <v>785.13</v>
      </c>
      <c r="I3389" t="s">
        <v>31</v>
      </c>
      <c r="J3389" t="s">
        <v>60</v>
      </c>
      <c r="K3389" t="s">
        <v>2887</v>
      </c>
      <c r="L3389" s="2">
        <v>46023</v>
      </c>
      <c r="M3389" t="s">
        <v>60</v>
      </c>
      <c r="N3389">
        <v>0</v>
      </c>
      <c r="O3389" t="s">
        <v>31</v>
      </c>
      <c r="P3389" t="s">
        <v>28</v>
      </c>
      <c r="Q3389">
        <v>0</v>
      </c>
    </row>
    <row r="3390" spans="1:17" x14ac:dyDescent="0.3">
      <c r="A3390" t="s">
        <v>17</v>
      </c>
      <c r="B3390">
        <v>67</v>
      </c>
      <c r="C3390" t="s">
        <v>28</v>
      </c>
      <c r="D3390" s="2">
        <v>46053</v>
      </c>
      <c r="E3390" s="3">
        <f t="shared" si="52"/>
        <v>46023</v>
      </c>
      <c r="F3390" t="s">
        <v>2888</v>
      </c>
      <c r="H3390" s="4">
        <v>48.99</v>
      </c>
      <c r="I3390" t="s">
        <v>159</v>
      </c>
      <c r="J3390" t="s">
        <v>74</v>
      </c>
      <c r="K3390" t="s">
        <v>2361</v>
      </c>
      <c r="L3390" s="2">
        <v>46023</v>
      </c>
      <c r="M3390" t="s">
        <v>76</v>
      </c>
      <c r="N3390">
        <v>0</v>
      </c>
      <c r="O3390" t="s">
        <v>159</v>
      </c>
      <c r="P3390" t="s">
        <v>28</v>
      </c>
      <c r="Q3390">
        <v>0</v>
      </c>
    </row>
    <row r="3391" spans="1:17" x14ac:dyDescent="0.3">
      <c r="A3391" t="s">
        <v>17</v>
      </c>
      <c r="B3391">
        <v>67</v>
      </c>
      <c r="C3391" t="s">
        <v>28</v>
      </c>
      <c r="D3391" s="2">
        <v>46053</v>
      </c>
      <c r="E3391" s="3">
        <f t="shared" si="52"/>
        <v>46023</v>
      </c>
      <c r="F3391" t="s">
        <v>2889</v>
      </c>
      <c r="H3391" s="4">
        <v>9.99</v>
      </c>
      <c r="I3391" t="s">
        <v>31</v>
      </c>
      <c r="J3391" t="s">
        <v>74</v>
      </c>
      <c r="K3391" t="s">
        <v>1494</v>
      </c>
      <c r="L3391" s="2">
        <v>46023</v>
      </c>
      <c r="M3391" t="s">
        <v>76</v>
      </c>
      <c r="N3391">
        <v>0</v>
      </c>
      <c r="O3391" t="s">
        <v>31</v>
      </c>
      <c r="P3391" t="s">
        <v>28</v>
      </c>
      <c r="Q3391">
        <v>0</v>
      </c>
    </row>
    <row r="3392" spans="1:17" x14ac:dyDescent="0.3">
      <c r="A3392" t="s">
        <v>17</v>
      </c>
      <c r="B3392">
        <v>67</v>
      </c>
      <c r="C3392" t="s">
        <v>28</v>
      </c>
      <c r="D3392" s="2">
        <v>46053</v>
      </c>
      <c r="E3392" s="3">
        <f t="shared" si="52"/>
        <v>46023</v>
      </c>
      <c r="F3392" t="s">
        <v>2890</v>
      </c>
      <c r="H3392" s="4">
        <v>16.670000000000002</v>
      </c>
      <c r="I3392" t="s">
        <v>47</v>
      </c>
      <c r="J3392" t="s">
        <v>74</v>
      </c>
      <c r="K3392" t="s">
        <v>2891</v>
      </c>
      <c r="L3392" s="2">
        <v>46023</v>
      </c>
      <c r="M3392" t="s">
        <v>76</v>
      </c>
      <c r="N3392">
        <v>0</v>
      </c>
      <c r="O3392" t="s">
        <v>26</v>
      </c>
      <c r="P3392" t="s">
        <v>28</v>
      </c>
      <c r="Q3392">
        <v>0</v>
      </c>
    </row>
    <row r="3393" spans="1:17" x14ac:dyDescent="0.3">
      <c r="A3393" t="s">
        <v>17</v>
      </c>
      <c r="B3393">
        <v>67</v>
      </c>
      <c r="C3393" t="s">
        <v>28</v>
      </c>
      <c r="D3393" s="2">
        <v>46053</v>
      </c>
      <c r="E3393" s="3">
        <f t="shared" si="52"/>
        <v>46023</v>
      </c>
      <c r="F3393" t="s">
        <v>2892</v>
      </c>
      <c r="H3393" s="4">
        <v>411.58</v>
      </c>
      <c r="I3393" t="s">
        <v>31</v>
      </c>
      <c r="J3393" t="s">
        <v>74</v>
      </c>
      <c r="K3393" t="s">
        <v>1501</v>
      </c>
      <c r="L3393" s="2">
        <v>46023</v>
      </c>
      <c r="M3393" t="s">
        <v>76</v>
      </c>
      <c r="N3393">
        <v>0</v>
      </c>
      <c r="O3393" t="s">
        <v>31</v>
      </c>
      <c r="P3393" t="s">
        <v>28</v>
      </c>
      <c r="Q3393">
        <v>0</v>
      </c>
    </row>
    <row r="3394" spans="1:17" x14ac:dyDescent="0.3">
      <c r="A3394" t="s">
        <v>17</v>
      </c>
      <c r="B3394">
        <v>67</v>
      </c>
      <c r="C3394" t="s">
        <v>28</v>
      </c>
      <c r="D3394" s="2">
        <v>46053</v>
      </c>
      <c r="E3394" s="3">
        <f t="shared" si="52"/>
        <v>46023</v>
      </c>
      <c r="F3394" t="s">
        <v>2893</v>
      </c>
      <c r="H3394" s="4">
        <v>2582.46</v>
      </c>
      <c r="I3394" t="s">
        <v>31</v>
      </c>
      <c r="J3394" t="s">
        <v>74</v>
      </c>
      <c r="K3394" t="s">
        <v>1100</v>
      </c>
      <c r="L3394" s="2">
        <v>46023</v>
      </c>
      <c r="M3394" t="s">
        <v>76</v>
      </c>
      <c r="N3394">
        <v>0</v>
      </c>
      <c r="O3394" t="s">
        <v>31</v>
      </c>
      <c r="P3394" t="s">
        <v>28</v>
      </c>
      <c r="Q3394">
        <v>0</v>
      </c>
    </row>
    <row r="3395" spans="1:17" x14ac:dyDescent="0.3">
      <c r="A3395" t="s">
        <v>17</v>
      </c>
      <c r="B3395">
        <v>67</v>
      </c>
      <c r="C3395" t="s">
        <v>28</v>
      </c>
      <c r="D3395" s="2">
        <v>46053</v>
      </c>
      <c r="E3395" s="3">
        <f t="shared" ref="E3395:E3458" si="53">IF($D3395="","",DATE(YEAR($D3395),MONTH($D3395),1))</f>
        <v>46023</v>
      </c>
      <c r="F3395" t="s">
        <v>2894</v>
      </c>
      <c r="H3395" s="4">
        <v>3179.22</v>
      </c>
      <c r="I3395" t="s">
        <v>31</v>
      </c>
      <c r="J3395" t="s">
        <v>74</v>
      </c>
      <c r="K3395" t="s">
        <v>1098</v>
      </c>
      <c r="L3395" s="2">
        <v>46023</v>
      </c>
      <c r="M3395" t="s">
        <v>76</v>
      </c>
      <c r="N3395">
        <v>0</v>
      </c>
      <c r="O3395" t="s">
        <v>31</v>
      </c>
      <c r="P3395" t="s">
        <v>28</v>
      </c>
      <c r="Q3395">
        <v>0</v>
      </c>
    </row>
    <row r="3396" spans="1:17" x14ac:dyDescent="0.3">
      <c r="A3396" t="s">
        <v>17</v>
      </c>
      <c r="B3396">
        <v>67</v>
      </c>
      <c r="C3396" t="s">
        <v>28</v>
      </c>
      <c r="D3396" s="2">
        <v>46053</v>
      </c>
      <c r="E3396" s="3">
        <f t="shared" si="53"/>
        <v>46023</v>
      </c>
      <c r="F3396" t="s">
        <v>2895</v>
      </c>
      <c r="H3396" s="4">
        <v>2268.23</v>
      </c>
      <c r="I3396" t="s">
        <v>47</v>
      </c>
      <c r="J3396" t="s">
        <v>74</v>
      </c>
      <c r="K3396" t="s">
        <v>1108</v>
      </c>
      <c r="L3396" s="2">
        <v>46023</v>
      </c>
      <c r="M3396" t="s">
        <v>76</v>
      </c>
      <c r="N3396">
        <v>0</v>
      </c>
      <c r="O3396" t="s">
        <v>26</v>
      </c>
      <c r="P3396" t="s">
        <v>28</v>
      </c>
      <c r="Q3396">
        <v>0</v>
      </c>
    </row>
    <row r="3397" spans="1:17" x14ac:dyDescent="0.3">
      <c r="A3397" t="s">
        <v>17</v>
      </c>
      <c r="B3397">
        <v>67</v>
      </c>
      <c r="C3397" t="s">
        <v>28</v>
      </c>
      <c r="D3397" s="2">
        <v>46053</v>
      </c>
      <c r="E3397" s="3">
        <f t="shared" si="53"/>
        <v>46023</v>
      </c>
      <c r="F3397" t="s">
        <v>2896</v>
      </c>
      <c r="H3397" s="4">
        <v>18.149999999999999</v>
      </c>
      <c r="I3397" t="s">
        <v>108</v>
      </c>
      <c r="J3397" t="s">
        <v>74</v>
      </c>
      <c r="K3397" t="s">
        <v>2366</v>
      </c>
      <c r="L3397" s="2">
        <v>46023</v>
      </c>
      <c r="M3397" t="s">
        <v>76</v>
      </c>
      <c r="N3397">
        <v>0</v>
      </c>
      <c r="O3397" t="s">
        <v>111</v>
      </c>
      <c r="P3397" t="s">
        <v>28</v>
      </c>
      <c r="Q3397">
        <v>0</v>
      </c>
    </row>
    <row r="3398" spans="1:17" x14ac:dyDescent="0.3">
      <c r="A3398" t="s">
        <v>17</v>
      </c>
      <c r="B3398">
        <v>67</v>
      </c>
      <c r="C3398" t="s">
        <v>28</v>
      </c>
      <c r="D3398" s="2">
        <v>46053</v>
      </c>
      <c r="E3398" s="3">
        <f t="shared" si="53"/>
        <v>46023</v>
      </c>
      <c r="F3398" t="s">
        <v>2897</v>
      </c>
      <c r="H3398" s="4">
        <v>24.5</v>
      </c>
      <c r="I3398" t="s">
        <v>47</v>
      </c>
      <c r="J3398" t="s">
        <v>74</v>
      </c>
      <c r="K3398" t="s">
        <v>2649</v>
      </c>
      <c r="L3398" s="2">
        <v>46023</v>
      </c>
      <c r="M3398" t="s">
        <v>76</v>
      </c>
      <c r="N3398">
        <v>0</v>
      </c>
      <c r="O3398" t="s">
        <v>26</v>
      </c>
      <c r="P3398" t="s">
        <v>28</v>
      </c>
      <c r="Q3398">
        <v>0</v>
      </c>
    </row>
    <row r="3399" spans="1:17" x14ac:dyDescent="0.3">
      <c r="A3399" t="s">
        <v>17</v>
      </c>
      <c r="B3399">
        <v>67</v>
      </c>
      <c r="C3399" t="s">
        <v>28</v>
      </c>
      <c r="D3399" s="2">
        <v>46053</v>
      </c>
      <c r="E3399" s="3">
        <f t="shared" si="53"/>
        <v>46023</v>
      </c>
      <c r="F3399" t="s">
        <v>2898</v>
      </c>
      <c r="H3399" s="4">
        <v>19.600000000000001</v>
      </c>
      <c r="I3399" t="s">
        <v>159</v>
      </c>
      <c r="J3399" t="s">
        <v>74</v>
      </c>
      <c r="K3399" t="s">
        <v>2659</v>
      </c>
      <c r="L3399" s="2">
        <v>46023</v>
      </c>
      <c r="M3399" t="s">
        <v>76</v>
      </c>
      <c r="N3399">
        <v>0</v>
      </c>
      <c r="O3399" t="s">
        <v>159</v>
      </c>
      <c r="P3399" t="s">
        <v>28</v>
      </c>
      <c r="Q3399">
        <v>0</v>
      </c>
    </row>
    <row r="3400" spans="1:17" x14ac:dyDescent="0.3">
      <c r="A3400" t="s">
        <v>17</v>
      </c>
      <c r="B3400">
        <v>67</v>
      </c>
      <c r="C3400" t="s">
        <v>28</v>
      </c>
      <c r="D3400" s="2">
        <v>46053</v>
      </c>
      <c r="E3400" s="3">
        <f t="shared" si="53"/>
        <v>46023</v>
      </c>
      <c r="F3400" t="s">
        <v>2899</v>
      </c>
      <c r="H3400" s="4">
        <v>41.67</v>
      </c>
      <c r="I3400" t="s">
        <v>47</v>
      </c>
      <c r="J3400" t="s">
        <v>74</v>
      </c>
      <c r="K3400" t="s">
        <v>2150</v>
      </c>
      <c r="L3400" s="2">
        <v>46023</v>
      </c>
      <c r="M3400" t="s">
        <v>76</v>
      </c>
      <c r="N3400">
        <v>0</v>
      </c>
      <c r="O3400" t="s">
        <v>26</v>
      </c>
      <c r="P3400" t="s">
        <v>28</v>
      </c>
      <c r="Q3400">
        <v>0</v>
      </c>
    </row>
    <row r="3401" spans="1:17" x14ac:dyDescent="0.3">
      <c r="A3401" t="s">
        <v>17</v>
      </c>
      <c r="B3401">
        <v>67</v>
      </c>
      <c r="C3401" t="s">
        <v>28</v>
      </c>
      <c r="D3401" s="2">
        <v>46053</v>
      </c>
      <c r="E3401" s="3">
        <f t="shared" si="53"/>
        <v>46023</v>
      </c>
      <c r="F3401" t="s">
        <v>2900</v>
      </c>
      <c r="H3401" s="4">
        <v>421.69</v>
      </c>
      <c r="I3401" t="s">
        <v>31</v>
      </c>
      <c r="J3401" t="s">
        <v>74</v>
      </c>
      <c r="K3401" t="s">
        <v>2657</v>
      </c>
      <c r="L3401" s="2">
        <v>46023</v>
      </c>
      <c r="M3401" t="s">
        <v>76</v>
      </c>
      <c r="N3401">
        <v>0</v>
      </c>
      <c r="O3401" t="s">
        <v>31</v>
      </c>
      <c r="P3401" t="s">
        <v>28</v>
      </c>
      <c r="Q3401">
        <v>0</v>
      </c>
    </row>
    <row r="3402" spans="1:17" x14ac:dyDescent="0.3">
      <c r="A3402" t="s">
        <v>17</v>
      </c>
      <c r="B3402">
        <v>67</v>
      </c>
      <c r="C3402" t="s">
        <v>28</v>
      </c>
      <c r="D3402" s="2">
        <v>46053</v>
      </c>
      <c r="E3402" s="3">
        <f t="shared" si="53"/>
        <v>46023</v>
      </c>
      <c r="F3402" t="s">
        <v>2901</v>
      </c>
      <c r="H3402" s="4">
        <v>102.22</v>
      </c>
      <c r="I3402" t="s">
        <v>31</v>
      </c>
      <c r="J3402" t="s">
        <v>74</v>
      </c>
      <c r="K3402" t="s">
        <v>2902</v>
      </c>
      <c r="L3402" s="2">
        <v>46023</v>
      </c>
      <c r="M3402" t="s">
        <v>76</v>
      </c>
      <c r="N3402">
        <v>0</v>
      </c>
      <c r="O3402" t="s">
        <v>31</v>
      </c>
      <c r="P3402" t="s">
        <v>28</v>
      </c>
      <c r="Q3402">
        <v>0</v>
      </c>
    </row>
    <row r="3403" spans="1:17" x14ac:dyDescent="0.3">
      <c r="A3403" t="s">
        <v>17</v>
      </c>
      <c r="B3403">
        <v>67</v>
      </c>
      <c r="C3403" t="s">
        <v>28</v>
      </c>
      <c r="D3403" s="2">
        <v>46053</v>
      </c>
      <c r="E3403" s="3">
        <f t="shared" si="53"/>
        <v>46023</v>
      </c>
      <c r="F3403" t="s">
        <v>2903</v>
      </c>
      <c r="H3403" s="4">
        <v>4148.26</v>
      </c>
      <c r="I3403" t="s">
        <v>31</v>
      </c>
      <c r="J3403" t="s">
        <v>74</v>
      </c>
      <c r="K3403" t="s">
        <v>2651</v>
      </c>
      <c r="L3403" s="2">
        <v>46023</v>
      </c>
      <c r="M3403" t="s">
        <v>76</v>
      </c>
      <c r="N3403">
        <v>0</v>
      </c>
      <c r="O3403" t="s">
        <v>31</v>
      </c>
      <c r="P3403" t="s">
        <v>28</v>
      </c>
      <c r="Q3403">
        <v>0</v>
      </c>
    </row>
    <row r="3404" spans="1:17" x14ac:dyDescent="0.3">
      <c r="A3404" t="s">
        <v>17</v>
      </c>
      <c r="B3404">
        <v>68</v>
      </c>
      <c r="C3404" t="s">
        <v>34</v>
      </c>
      <c r="D3404" s="2">
        <v>46053</v>
      </c>
      <c r="E3404" s="3">
        <f t="shared" si="53"/>
        <v>46023</v>
      </c>
      <c r="F3404" t="s">
        <v>2904</v>
      </c>
      <c r="H3404" s="4">
        <v>241.38</v>
      </c>
      <c r="I3404" t="s">
        <v>31</v>
      </c>
      <c r="J3404" t="s">
        <v>37</v>
      </c>
      <c r="K3404" t="s">
        <v>2905</v>
      </c>
      <c r="L3404" s="2">
        <v>46023</v>
      </c>
      <c r="M3404" t="s">
        <v>37</v>
      </c>
      <c r="N3404">
        <v>0</v>
      </c>
      <c r="O3404" t="s">
        <v>31</v>
      </c>
      <c r="P3404" t="s">
        <v>34</v>
      </c>
      <c r="Q3404">
        <v>0</v>
      </c>
    </row>
    <row r="3405" spans="1:17" x14ac:dyDescent="0.3">
      <c r="A3405" t="s">
        <v>17</v>
      </c>
      <c r="B3405">
        <v>65</v>
      </c>
      <c r="C3405" t="s">
        <v>54</v>
      </c>
      <c r="D3405" s="2">
        <v>46053</v>
      </c>
      <c r="E3405" s="3">
        <f t="shared" si="53"/>
        <v>46023</v>
      </c>
      <c r="F3405" t="s">
        <v>2869</v>
      </c>
      <c r="H3405" s="4">
        <v>-606</v>
      </c>
      <c r="I3405" t="s">
        <v>31</v>
      </c>
      <c r="J3405" t="s">
        <v>155</v>
      </c>
      <c r="L3405" s="2">
        <v>46023</v>
      </c>
      <c r="M3405" t="s">
        <v>155</v>
      </c>
      <c r="N3405">
        <v>0</v>
      </c>
      <c r="O3405" t="s">
        <v>31</v>
      </c>
      <c r="P3405" t="s">
        <v>54</v>
      </c>
      <c r="Q3405">
        <v>0</v>
      </c>
    </row>
    <row r="3406" spans="1:17" x14ac:dyDescent="0.3">
      <c r="A3406" t="s">
        <v>17</v>
      </c>
      <c r="B3406">
        <v>67</v>
      </c>
      <c r="C3406" t="s">
        <v>28</v>
      </c>
      <c r="D3406" s="2">
        <v>46053</v>
      </c>
      <c r="E3406" s="3">
        <f t="shared" si="53"/>
        <v>46023</v>
      </c>
      <c r="F3406" t="s">
        <v>2906</v>
      </c>
      <c r="H3406" s="4">
        <v>175</v>
      </c>
      <c r="I3406" t="s">
        <v>108</v>
      </c>
      <c r="J3406" t="s">
        <v>352</v>
      </c>
      <c r="K3406" t="s">
        <v>2907</v>
      </c>
      <c r="L3406" s="2">
        <v>46023</v>
      </c>
      <c r="M3406" t="s">
        <v>352</v>
      </c>
      <c r="N3406">
        <v>0</v>
      </c>
      <c r="O3406" t="s">
        <v>111</v>
      </c>
      <c r="P3406" t="s">
        <v>28</v>
      </c>
      <c r="Q3406">
        <v>0</v>
      </c>
    </row>
    <row r="3407" spans="1:17" x14ac:dyDescent="0.3">
      <c r="A3407" t="s">
        <v>17</v>
      </c>
      <c r="B3407">
        <v>68</v>
      </c>
      <c r="C3407" t="s">
        <v>34</v>
      </c>
      <c r="D3407" s="2">
        <v>46053</v>
      </c>
      <c r="E3407" s="3">
        <f t="shared" si="53"/>
        <v>46023</v>
      </c>
      <c r="F3407" t="s">
        <v>2908</v>
      </c>
      <c r="H3407" s="4">
        <v>5000</v>
      </c>
      <c r="I3407" t="s">
        <v>21</v>
      </c>
      <c r="J3407" t="s">
        <v>726</v>
      </c>
      <c r="K3407" t="s">
        <v>2909</v>
      </c>
      <c r="L3407" s="2">
        <v>46023</v>
      </c>
      <c r="M3407" t="s">
        <v>726</v>
      </c>
      <c r="N3407" t="s">
        <v>25</v>
      </c>
      <c r="O3407" t="s">
        <v>81</v>
      </c>
      <c r="P3407" t="s">
        <v>34</v>
      </c>
      <c r="Q3407">
        <v>0</v>
      </c>
    </row>
    <row r="3408" spans="1:17" x14ac:dyDescent="0.3">
      <c r="A3408" t="s">
        <v>17</v>
      </c>
      <c r="B3408">
        <v>69</v>
      </c>
      <c r="C3408" t="s">
        <v>297</v>
      </c>
      <c r="D3408" s="2">
        <v>46053</v>
      </c>
      <c r="E3408" s="3">
        <f t="shared" si="53"/>
        <v>46023</v>
      </c>
      <c r="F3408" t="s">
        <v>2910</v>
      </c>
      <c r="H3408" s="4">
        <v>24.41</v>
      </c>
      <c r="I3408" t="s">
        <v>31</v>
      </c>
      <c r="J3408" t="s">
        <v>360</v>
      </c>
      <c r="L3408" s="2">
        <v>46023</v>
      </c>
      <c r="M3408" t="s">
        <v>361</v>
      </c>
      <c r="N3408">
        <v>0</v>
      </c>
      <c r="O3408" t="s">
        <v>31</v>
      </c>
      <c r="P3408" t="s">
        <v>297</v>
      </c>
      <c r="Q3408">
        <v>0</v>
      </c>
    </row>
    <row r="3409" spans="1:17" x14ac:dyDescent="0.3">
      <c r="A3409" t="s">
        <v>17</v>
      </c>
      <c r="B3409">
        <v>69</v>
      </c>
      <c r="C3409" t="s">
        <v>297</v>
      </c>
      <c r="D3409" s="2">
        <v>46053</v>
      </c>
      <c r="E3409" s="3">
        <f t="shared" si="53"/>
        <v>46023</v>
      </c>
      <c r="F3409" t="s">
        <v>2910</v>
      </c>
      <c r="H3409" s="4">
        <v>27.49</v>
      </c>
      <c r="I3409" t="s">
        <v>108</v>
      </c>
      <c r="J3409" t="s">
        <v>360</v>
      </c>
      <c r="L3409" s="2">
        <v>46023</v>
      </c>
      <c r="M3409" t="s">
        <v>361</v>
      </c>
      <c r="N3409">
        <v>0</v>
      </c>
      <c r="O3409" t="s">
        <v>111</v>
      </c>
      <c r="P3409" t="s">
        <v>297</v>
      </c>
      <c r="Q3409">
        <v>0</v>
      </c>
    </row>
    <row r="3410" spans="1:17" x14ac:dyDescent="0.3">
      <c r="A3410" t="s">
        <v>17</v>
      </c>
      <c r="B3410">
        <v>69</v>
      </c>
      <c r="C3410" t="s">
        <v>297</v>
      </c>
      <c r="D3410" s="2">
        <v>46053</v>
      </c>
      <c r="E3410" s="3">
        <f t="shared" si="53"/>
        <v>46023</v>
      </c>
      <c r="F3410" t="s">
        <v>2910</v>
      </c>
      <c r="H3410" s="4">
        <v>259.97000000000003</v>
      </c>
      <c r="I3410" t="s">
        <v>137</v>
      </c>
      <c r="J3410" t="s">
        <v>349</v>
      </c>
      <c r="L3410" s="2">
        <v>46023</v>
      </c>
      <c r="M3410" t="s">
        <v>350</v>
      </c>
      <c r="N3410" t="s">
        <v>141</v>
      </c>
      <c r="O3410" t="s">
        <v>141</v>
      </c>
      <c r="P3410" t="s">
        <v>297</v>
      </c>
      <c r="Q3410">
        <v>0</v>
      </c>
    </row>
    <row r="3411" spans="1:17" x14ac:dyDescent="0.3">
      <c r="A3411" t="s">
        <v>17</v>
      </c>
      <c r="B3411">
        <v>69</v>
      </c>
      <c r="C3411" t="s">
        <v>297</v>
      </c>
      <c r="D3411" s="2">
        <v>46053</v>
      </c>
      <c r="E3411" s="3">
        <f t="shared" si="53"/>
        <v>46023</v>
      </c>
      <c r="F3411" t="s">
        <v>2910</v>
      </c>
      <c r="H3411" s="4">
        <v>58.03</v>
      </c>
      <c r="I3411" t="s">
        <v>31</v>
      </c>
      <c r="J3411" t="s">
        <v>349</v>
      </c>
      <c r="L3411" s="2">
        <v>46023</v>
      </c>
      <c r="M3411" t="s">
        <v>350</v>
      </c>
      <c r="N3411">
        <v>0</v>
      </c>
      <c r="O3411" t="s">
        <v>31</v>
      </c>
      <c r="P3411" t="s">
        <v>297</v>
      </c>
      <c r="Q3411">
        <v>0</v>
      </c>
    </row>
    <row r="3412" spans="1:17" x14ac:dyDescent="0.3">
      <c r="A3412" t="s">
        <v>17</v>
      </c>
      <c r="B3412">
        <v>69</v>
      </c>
      <c r="C3412" t="s">
        <v>297</v>
      </c>
      <c r="D3412" s="2">
        <v>46053</v>
      </c>
      <c r="E3412" s="3">
        <f t="shared" si="53"/>
        <v>46023</v>
      </c>
      <c r="F3412" t="s">
        <v>2910</v>
      </c>
      <c r="H3412" s="4">
        <v>66.72</v>
      </c>
      <c r="I3412" t="s">
        <v>159</v>
      </c>
      <c r="J3412" t="s">
        <v>346</v>
      </c>
      <c r="L3412" s="2">
        <v>46023</v>
      </c>
      <c r="M3412" t="s">
        <v>347</v>
      </c>
      <c r="N3412">
        <v>0</v>
      </c>
      <c r="O3412" t="s">
        <v>159</v>
      </c>
      <c r="P3412" t="s">
        <v>297</v>
      </c>
      <c r="Q3412">
        <v>0</v>
      </c>
    </row>
    <row r="3413" spans="1:17" x14ac:dyDescent="0.3">
      <c r="A3413" t="s">
        <v>17</v>
      </c>
      <c r="B3413">
        <v>69</v>
      </c>
      <c r="C3413" t="s">
        <v>297</v>
      </c>
      <c r="D3413" s="2">
        <v>46053</v>
      </c>
      <c r="E3413" s="3">
        <f t="shared" si="53"/>
        <v>46023</v>
      </c>
      <c r="F3413" t="s">
        <v>2910</v>
      </c>
      <c r="H3413" s="4">
        <v>113.67</v>
      </c>
      <c r="I3413" t="s">
        <v>137</v>
      </c>
      <c r="J3413" t="s">
        <v>346</v>
      </c>
      <c r="L3413" s="2">
        <v>46023</v>
      </c>
      <c r="M3413" t="s">
        <v>347</v>
      </c>
      <c r="N3413" t="s">
        <v>141</v>
      </c>
      <c r="O3413" t="s">
        <v>141</v>
      </c>
      <c r="P3413" t="s">
        <v>297</v>
      </c>
      <c r="Q3413">
        <v>0</v>
      </c>
    </row>
    <row r="3414" spans="1:17" x14ac:dyDescent="0.3">
      <c r="A3414" t="s">
        <v>17</v>
      </c>
      <c r="B3414">
        <v>69</v>
      </c>
      <c r="C3414" t="s">
        <v>297</v>
      </c>
      <c r="D3414" s="2">
        <v>46053</v>
      </c>
      <c r="E3414" s="3">
        <f t="shared" si="53"/>
        <v>46023</v>
      </c>
      <c r="F3414" t="s">
        <v>2910</v>
      </c>
      <c r="H3414" s="4">
        <v>274.3</v>
      </c>
      <c r="I3414" t="s">
        <v>21</v>
      </c>
      <c r="J3414" t="s">
        <v>346</v>
      </c>
      <c r="L3414" s="2">
        <v>46023</v>
      </c>
      <c r="M3414" t="s">
        <v>347</v>
      </c>
      <c r="N3414" t="s">
        <v>25</v>
      </c>
      <c r="O3414" t="s">
        <v>81</v>
      </c>
      <c r="P3414" t="s">
        <v>297</v>
      </c>
      <c r="Q3414">
        <v>0</v>
      </c>
    </row>
    <row r="3415" spans="1:17" x14ac:dyDescent="0.3">
      <c r="A3415" t="s">
        <v>17</v>
      </c>
      <c r="B3415">
        <v>69</v>
      </c>
      <c r="C3415" t="s">
        <v>297</v>
      </c>
      <c r="D3415" s="2">
        <v>46053</v>
      </c>
      <c r="E3415" s="3">
        <f t="shared" si="53"/>
        <v>46023</v>
      </c>
      <c r="F3415" t="s">
        <v>2910</v>
      </c>
      <c r="H3415" s="4">
        <v>156.94</v>
      </c>
      <c r="I3415" t="s">
        <v>108</v>
      </c>
      <c r="J3415" t="s">
        <v>346</v>
      </c>
      <c r="L3415" s="2">
        <v>46023</v>
      </c>
      <c r="M3415" t="s">
        <v>347</v>
      </c>
      <c r="N3415">
        <v>0</v>
      </c>
      <c r="O3415" t="s">
        <v>111</v>
      </c>
      <c r="P3415" t="s">
        <v>297</v>
      </c>
      <c r="Q3415">
        <v>0</v>
      </c>
    </row>
    <row r="3416" spans="1:17" x14ac:dyDescent="0.3">
      <c r="A3416" t="s">
        <v>17</v>
      </c>
      <c r="B3416">
        <v>69</v>
      </c>
      <c r="C3416" t="s">
        <v>297</v>
      </c>
      <c r="D3416" s="2">
        <v>46053</v>
      </c>
      <c r="E3416" s="3">
        <f t="shared" si="53"/>
        <v>46023</v>
      </c>
      <c r="F3416" t="s">
        <v>2910</v>
      </c>
      <c r="H3416" s="4">
        <v>216.66</v>
      </c>
      <c r="I3416" t="s">
        <v>104</v>
      </c>
      <c r="J3416" t="s">
        <v>346</v>
      </c>
      <c r="L3416" s="2">
        <v>46023</v>
      </c>
      <c r="M3416" t="s">
        <v>347</v>
      </c>
      <c r="N3416">
        <v>0</v>
      </c>
      <c r="O3416" t="s">
        <v>104</v>
      </c>
      <c r="P3416" t="s">
        <v>297</v>
      </c>
      <c r="Q3416">
        <v>0</v>
      </c>
    </row>
    <row r="3417" spans="1:17" x14ac:dyDescent="0.3">
      <c r="A3417" t="s">
        <v>17</v>
      </c>
      <c r="B3417">
        <v>69</v>
      </c>
      <c r="C3417" t="s">
        <v>297</v>
      </c>
      <c r="D3417" s="2">
        <v>46053</v>
      </c>
      <c r="E3417" s="3">
        <f t="shared" si="53"/>
        <v>46023</v>
      </c>
      <c r="F3417" t="s">
        <v>2910</v>
      </c>
      <c r="H3417" s="4">
        <v>33.58</v>
      </c>
      <c r="I3417" t="s">
        <v>348</v>
      </c>
      <c r="J3417" t="s">
        <v>346</v>
      </c>
      <c r="L3417" s="2">
        <v>46023</v>
      </c>
      <c r="M3417" t="s">
        <v>347</v>
      </c>
      <c r="N3417">
        <v>0</v>
      </c>
      <c r="O3417" t="s">
        <v>348</v>
      </c>
      <c r="P3417" t="s">
        <v>297</v>
      </c>
      <c r="Q3417">
        <v>0</v>
      </c>
    </row>
    <row r="3418" spans="1:17" x14ac:dyDescent="0.3">
      <c r="A3418" t="s">
        <v>17</v>
      </c>
      <c r="B3418">
        <v>69</v>
      </c>
      <c r="C3418" t="s">
        <v>297</v>
      </c>
      <c r="D3418" s="2">
        <v>46053</v>
      </c>
      <c r="E3418" s="3">
        <f t="shared" si="53"/>
        <v>46023</v>
      </c>
      <c r="F3418" t="s">
        <v>2910</v>
      </c>
      <c r="H3418" s="4">
        <v>149.81</v>
      </c>
      <c r="I3418" t="s">
        <v>47</v>
      </c>
      <c r="J3418" t="s">
        <v>346</v>
      </c>
      <c r="L3418" s="2">
        <v>46023</v>
      </c>
      <c r="M3418" t="s">
        <v>347</v>
      </c>
      <c r="N3418">
        <v>0</v>
      </c>
      <c r="O3418" t="s">
        <v>26</v>
      </c>
      <c r="P3418" t="s">
        <v>297</v>
      </c>
      <c r="Q3418">
        <v>0</v>
      </c>
    </row>
    <row r="3419" spans="1:17" x14ac:dyDescent="0.3">
      <c r="A3419" t="s">
        <v>17</v>
      </c>
      <c r="B3419">
        <v>69</v>
      </c>
      <c r="C3419" t="s">
        <v>297</v>
      </c>
      <c r="D3419" s="2">
        <v>46053</v>
      </c>
      <c r="E3419" s="3">
        <f t="shared" si="53"/>
        <v>46023</v>
      </c>
      <c r="F3419" t="s">
        <v>2910</v>
      </c>
      <c r="H3419" s="4">
        <v>557.34</v>
      </c>
      <c r="I3419" t="s">
        <v>31</v>
      </c>
      <c r="J3419" t="s">
        <v>346</v>
      </c>
      <c r="L3419" s="2">
        <v>46023</v>
      </c>
      <c r="M3419" t="s">
        <v>347</v>
      </c>
      <c r="N3419">
        <v>0</v>
      </c>
      <c r="O3419" t="s">
        <v>31</v>
      </c>
      <c r="P3419" t="s">
        <v>297</v>
      </c>
      <c r="Q3419">
        <v>0</v>
      </c>
    </row>
    <row r="3420" spans="1:17" x14ac:dyDescent="0.3">
      <c r="A3420" t="s">
        <v>17</v>
      </c>
      <c r="B3420">
        <v>69</v>
      </c>
      <c r="C3420" t="s">
        <v>297</v>
      </c>
      <c r="D3420" s="2">
        <v>46053</v>
      </c>
      <c r="E3420" s="3">
        <f t="shared" si="53"/>
        <v>46023</v>
      </c>
      <c r="F3420" t="s">
        <v>2911</v>
      </c>
      <c r="H3420" s="4">
        <v>1954.72</v>
      </c>
      <c r="I3420" t="s">
        <v>31</v>
      </c>
      <c r="J3420" t="s">
        <v>299</v>
      </c>
      <c r="K3420" t="s">
        <v>300</v>
      </c>
      <c r="L3420" s="2">
        <v>46023</v>
      </c>
      <c r="M3420" t="s">
        <v>301</v>
      </c>
      <c r="N3420">
        <v>0</v>
      </c>
      <c r="O3420" t="s">
        <v>31</v>
      </c>
      <c r="P3420" t="s">
        <v>297</v>
      </c>
      <c r="Q3420">
        <v>0</v>
      </c>
    </row>
    <row r="3421" spans="1:17" x14ac:dyDescent="0.3">
      <c r="A3421" t="s">
        <v>17</v>
      </c>
      <c r="B3421">
        <v>65</v>
      </c>
      <c r="C3421" t="s">
        <v>54</v>
      </c>
      <c r="D3421" s="2">
        <v>46053</v>
      </c>
      <c r="E3421" s="3">
        <f t="shared" si="53"/>
        <v>46023</v>
      </c>
      <c r="F3421" t="s">
        <v>2869</v>
      </c>
      <c r="H3421" s="4">
        <v>601.38</v>
      </c>
      <c r="I3421" t="s">
        <v>31</v>
      </c>
      <c r="J3421" t="s">
        <v>296</v>
      </c>
      <c r="L3421" s="2">
        <v>46023</v>
      </c>
      <c r="M3421" t="s">
        <v>296</v>
      </c>
      <c r="N3421">
        <v>0</v>
      </c>
      <c r="O3421" t="s">
        <v>31</v>
      </c>
      <c r="P3421" t="s">
        <v>54</v>
      </c>
      <c r="Q3421">
        <v>0</v>
      </c>
    </row>
    <row r="3422" spans="1:17" x14ac:dyDescent="0.3">
      <c r="A3422" t="s">
        <v>17</v>
      </c>
      <c r="B3422">
        <v>65</v>
      </c>
      <c r="C3422" t="s">
        <v>54</v>
      </c>
      <c r="D3422" s="2">
        <v>46053</v>
      </c>
      <c r="E3422" s="3">
        <f t="shared" si="53"/>
        <v>46023</v>
      </c>
      <c r="F3422" t="s">
        <v>2869</v>
      </c>
      <c r="H3422" s="4">
        <v>23940.66</v>
      </c>
      <c r="I3422" t="s">
        <v>31</v>
      </c>
      <c r="J3422" t="s">
        <v>296</v>
      </c>
      <c r="L3422" s="2">
        <v>46023</v>
      </c>
      <c r="M3422" t="s">
        <v>296</v>
      </c>
      <c r="N3422">
        <v>0</v>
      </c>
      <c r="O3422" t="s">
        <v>31</v>
      </c>
      <c r="P3422" t="s">
        <v>54</v>
      </c>
      <c r="Q3422">
        <v>0</v>
      </c>
    </row>
    <row r="3423" spans="1:17" x14ac:dyDescent="0.3">
      <c r="A3423" t="s">
        <v>17</v>
      </c>
      <c r="B3423">
        <v>64</v>
      </c>
      <c r="C3423" t="s">
        <v>83</v>
      </c>
      <c r="D3423" s="2">
        <v>46058</v>
      </c>
      <c r="E3423" s="3">
        <f t="shared" si="53"/>
        <v>46054</v>
      </c>
      <c r="F3423" t="s">
        <v>2912</v>
      </c>
      <c r="G3423" t="s">
        <v>174</v>
      </c>
      <c r="H3423" s="4">
        <v>116.58</v>
      </c>
      <c r="I3423" t="s">
        <v>31</v>
      </c>
      <c r="J3423" t="s">
        <v>91</v>
      </c>
      <c r="K3423" t="s">
        <v>1199</v>
      </c>
      <c r="L3423" s="2">
        <v>46054</v>
      </c>
      <c r="M3423" t="s">
        <v>93</v>
      </c>
      <c r="N3423">
        <v>0</v>
      </c>
      <c r="O3423" t="s">
        <v>31</v>
      </c>
      <c r="P3423" t="s">
        <v>83</v>
      </c>
      <c r="Q3423">
        <v>0</v>
      </c>
    </row>
    <row r="3424" spans="1:17" x14ac:dyDescent="0.3">
      <c r="A3424" t="s">
        <v>17</v>
      </c>
      <c r="B3424">
        <v>64</v>
      </c>
      <c r="C3424" t="s">
        <v>83</v>
      </c>
      <c r="D3424" s="2">
        <v>46058</v>
      </c>
      <c r="E3424" s="3">
        <f t="shared" si="53"/>
        <v>46054</v>
      </c>
      <c r="F3424" t="s">
        <v>2912</v>
      </c>
      <c r="H3424" s="4">
        <v>28.98</v>
      </c>
      <c r="I3424" t="s">
        <v>31</v>
      </c>
      <c r="J3424" t="s">
        <v>91</v>
      </c>
      <c r="K3424" t="s">
        <v>2192</v>
      </c>
      <c r="L3424" s="2">
        <v>46054</v>
      </c>
      <c r="M3424" t="s">
        <v>93</v>
      </c>
      <c r="N3424">
        <v>0</v>
      </c>
      <c r="O3424" t="s">
        <v>31</v>
      </c>
      <c r="P3424" t="s">
        <v>83</v>
      </c>
      <c r="Q3424">
        <v>0</v>
      </c>
    </row>
    <row r="3425" spans="1:17" x14ac:dyDescent="0.3">
      <c r="A3425" t="s">
        <v>17</v>
      </c>
      <c r="B3425">
        <v>64</v>
      </c>
      <c r="C3425" t="s">
        <v>83</v>
      </c>
      <c r="D3425" s="2">
        <v>46063</v>
      </c>
      <c r="E3425" s="3">
        <f t="shared" si="53"/>
        <v>46054</v>
      </c>
      <c r="F3425" t="s">
        <v>2913</v>
      </c>
      <c r="H3425" s="4">
        <v>13.34</v>
      </c>
      <c r="I3425" t="s">
        <v>31</v>
      </c>
      <c r="J3425" t="s">
        <v>91</v>
      </c>
      <c r="K3425" t="s">
        <v>2914</v>
      </c>
      <c r="L3425" s="2">
        <v>46054</v>
      </c>
      <c r="M3425" t="s">
        <v>93</v>
      </c>
      <c r="N3425">
        <v>0</v>
      </c>
      <c r="O3425" t="s">
        <v>31</v>
      </c>
      <c r="P3425" t="s">
        <v>83</v>
      </c>
      <c r="Q3425">
        <v>0</v>
      </c>
    </row>
    <row r="3426" spans="1:17" x14ac:dyDescent="0.3">
      <c r="A3426" t="s">
        <v>17</v>
      </c>
      <c r="B3426">
        <v>64</v>
      </c>
      <c r="C3426" t="s">
        <v>83</v>
      </c>
      <c r="D3426" s="2">
        <v>46068</v>
      </c>
      <c r="E3426" s="3">
        <f t="shared" si="53"/>
        <v>46054</v>
      </c>
      <c r="F3426" t="s">
        <v>2915</v>
      </c>
      <c r="G3426" t="s">
        <v>824</v>
      </c>
      <c r="H3426" s="4">
        <v>431.29</v>
      </c>
      <c r="I3426" t="s">
        <v>31</v>
      </c>
      <c r="J3426" t="s">
        <v>91</v>
      </c>
      <c r="K3426" t="s">
        <v>2916</v>
      </c>
      <c r="L3426" s="2">
        <v>46054</v>
      </c>
      <c r="M3426" t="s">
        <v>93</v>
      </c>
      <c r="N3426">
        <v>0</v>
      </c>
      <c r="O3426" t="s">
        <v>31</v>
      </c>
      <c r="P3426" t="s">
        <v>83</v>
      </c>
      <c r="Q3426">
        <v>0</v>
      </c>
    </row>
    <row r="3427" spans="1:17" x14ac:dyDescent="0.3">
      <c r="A3427" t="s">
        <v>17</v>
      </c>
      <c r="B3427">
        <v>64</v>
      </c>
      <c r="C3427" t="s">
        <v>83</v>
      </c>
      <c r="D3427" s="2">
        <v>46081</v>
      </c>
      <c r="E3427" s="3">
        <f t="shared" si="53"/>
        <v>46054</v>
      </c>
      <c r="F3427" t="s">
        <v>2917</v>
      </c>
      <c r="H3427" s="4">
        <v>14.74</v>
      </c>
      <c r="I3427" t="s">
        <v>104</v>
      </c>
      <c r="J3427" t="s">
        <v>91</v>
      </c>
      <c r="K3427" t="s">
        <v>2918</v>
      </c>
      <c r="L3427" s="2">
        <v>46054</v>
      </c>
      <c r="M3427" t="s">
        <v>93</v>
      </c>
      <c r="N3427">
        <v>0</v>
      </c>
      <c r="O3427" t="s">
        <v>104</v>
      </c>
      <c r="P3427" t="s">
        <v>83</v>
      </c>
      <c r="Q3427">
        <v>0</v>
      </c>
    </row>
    <row r="3428" spans="1:17" x14ac:dyDescent="0.3">
      <c r="A3428" t="s">
        <v>17</v>
      </c>
      <c r="B3428">
        <v>64</v>
      </c>
      <c r="C3428" t="s">
        <v>83</v>
      </c>
      <c r="D3428" s="2">
        <v>46081</v>
      </c>
      <c r="E3428" s="3">
        <f t="shared" si="53"/>
        <v>46054</v>
      </c>
      <c r="F3428" t="s">
        <v>2919</v>
      </c>
      <c r="H3428" s="4">
        <v>136.78</v>
      </c>
      <c r="I3428" t="s">
        <v>159</v>
      </c>
      <c r="J3428" t="s">
        <v>91</v>
      </c>
      <c r="K3428" t="s">
        <v>2920</v>
      </c>
      <c r="L3428" s="2">
        <v>46054</v>
      </c>
      <c r="M3428" t="s">
        <v>93</v>
      </c>
      <c r="N3428">
        <v>0</v>
      </c>
      <c r="O3428" t="s">
        <v>159</v>
      </c>
      <c r="P3428" t="s">
        <v>83</v>
      </c>
      <c r="Q3428">
        <v>0</v>
      </c>
    </row>
    <row r="3429" spans="1:17" x14ac:dyDescent="0.3">
      <c r="A3429" t="s">
        <v>17</v>
      </c>
      <c r="B3429">
        <v>64</v>
      </c>
      <c r="C3429" t="s">
        <v>83</v>
      </c>
      <c r="D3429" s="2">
        <v>46081</v>
      </c>
      <c r="E3429" s="3">
        <f t="shared" si="53"/>
        <v>46054</v>
      </c>
      <c r="F3429" t="s">
        <v>2919</v>
      </c>
      <c r="H3429" s="4">
        <v>15</v>
      </c>
      <c r="I3429" t="s">
        <v>159</v>
      </c>
      <c r="J3429" t="s">
        <v>91</v>
      </c>
      <c r="K3429" t="s">
        <v>2921</v>
      </c>
      <c r="L3429" s="2">
        <v>46054</v>
      </c>
      <c r="M3429" t="s">
        <v>93</v>
      </c>
      <c r="N3429">
        <v>0</v>
      </c>
      <c r="O3429" t="s">
        <v>159</v>
      </c>
      <c r="P3429" t="s">
        <v>83</v>
      </c>
      <c r="Q3429">
        <v>0</v>
      </c>
    </row>
    <row r="3430" spans="1:17" x14ac:dyDescent="0.3">
      <c r="A3430" t="s">
        <v>17</v>
      </c>
      <c r="B3430">
        <v>64</v>
      </c>
      <c r="C3430" t="s">
        <v>83</v>
      </c>
      <c r="D3430" s="2">
        <v>46081</v>
      </c>
      <c r="E3430" s="3">
        <f t="shared" si="53"/>
        <v>46054</v>
      </c>
      <c r="F3430" t="s">
        <v>2919</v>
      </c>
      <c r="H3430" s="4">
        <v>15</v>
      </c>
      <c r="I3430" t="s">
        <v>159</v>
      </c>
      <c r="J3430" t="s">
        <v>91</v>
      </c>
      <c r="K3430" t="s">
        <v>2922</v>
      </c>
      <c r="L3430" s="2">
        <v>46054</v>
      </c>
      <c r="M3430" t="s">
        <v>93</v>
      </c>
      <c r="N3430">
        <v>0</v>
      </c>
      <c r="O3430" t="s">
        <v>159</v>
      </c>
      <c r="P3430" t="s">
        <v>83</v>
      </c>
      <c r="Q3430">
        <v>0</v>
      </c>
    </row>
    <row r="3431" spans="1:17" x14ac:dyDescent="0.3">
      <c r="A3431" t="s">
        <v>17</v>
      </c>
      <c r="B3431">
        <v>64</v>
      </c>
      <c r="C3431" t="s">
        <v>83</v>
      </c>
      <c r="D3431" s="2">
        <v>46081</v>
      </c>
      <c r="E3431" s="3">
        <f t="shared" si="53"/>
        <v>46054</v>
      </c>
      <c r="F3431" t="s">
        <v>2919</v>
      </c>
      <c r="H3431" s="4">
        <v>32.520000000000003</v>
      </c>
      <c r="I3431" t="s">
        <v>159</v>
      </c>
      <c r="J3431" t="s">
        <v>91</v>
      </c>
      <c r="K3431" t="s">
        <v>1767</v>
      </c>
      <c r="L3431" s="2">
        <v>46054</v>
      </c>
      <c r="M3431" t="s">
        <v>93</v>
      </c>
      <c r="N3431">
        <v>0</v>
      </c>
      <c r="O3431" t="s">
        <v>159</v>
      </c>
      <c r="P3431" t="s">
        <v>83</v>
      </c>
      <c r="Q3431">
        <v>0</v>
      </c>
    </row>
    <row r="3432" spans="1:17" x14ac:dyDescent="0.3">
      <c r="A3432" t="s">
        <v>17</v>
      </c>
      <c r="B3432">
        <v>64</v>
      </c>
      <c r="C3432" t="s">
        <v>83</v>
      </c>
      <c r="D3432" s="2">
        <v>46081</v>
      </c>
      <c r="E3432" s="3">
        <f t="shared" si="53"/>
        <v>46054</v>
      </c>
      <c r="F3432" t="s">
        <v>2919</v>
      </c>
      <c r="H3432" s="4">
        <v>111.12</v>
      </c>
      <c r="I3432" t="s">
        <v>159</v>
      </c>
      <c r="J3432" t="s">
        <v>91</v>
      </c>
      <c r="K3432" t="s">
        <v>2923</v>
      </c>
      <c r="L3432" s="2">
        <v>46054</v>
      </c>
      <c r="M3432" t="s">
        <v>93</v>
      </c>
      <c r="N3432">
        <v>0</v>
      </c>
      <c r="O3432" t="s">
        <v>159</v>
      </c>
      <c r="P3432" t="s">
        <v>83</v>
      </c>
      <c r="Q3432">
        <v>0</v>
      </c>
    </row>
    <row r="3433" spans="1:17" x14ac:dyDescent="0.3">
      <c r="A3433" t="s">
        <v>17</v>
      </c>
      <c r="B3433">
        <v>64</v>
      </c>
      <c r="C3433" t="s">
        <v>83</v>
      </c>
      <c r="D3433" s="2">
        <v>46081</v>
      </c>
      <c r="E3433" s="3">
        <f t="shared" si="53"/>
        <v>46054</v>
      </c>
      <c r="F3433" t="s">
        <v>2919</v>
      </c>
      <c r="H3433" s="4">
        <v>96.33</v>
      </c>
      <c r="I3433" t="s">
        <v>159</v>
      </c>
      <c r="J3433" t="s">
        <v>91</v>
      </c>
      <c r="K3433" t="s">
        <v>2920</v>
      </c>
      <c r="L3433" s="2">
        <v>46054</v>
      </c>
      <c r="M3433" t="s">
        <v>93</v>
      </c>
      <c r="N3433">
        <v>0</v>
      </c>
      <c r="O3433" t="s">
        <v>159</v>
      </c>
      <c r="P3433" t="s">
        <v>83</v>
      </c>
      <c r="Q3433">
        <v>0</v>
      </c>
    </row>
    <row r="3434" spans="1:17" x14ac:dyDescent="0.3">
      <c r="A3434" t="s">
        <v>17</v>
      </c>
      <c r="B3434">
        <v>64</v>
      </c>
      <c r="C3434" t="s">
        <v>83</v>
      </c>
      <c r="D3434" s="2">
        <v>46081</v>
      </c>
      <c r="E3434" s="3">
        <f t="shared" si="53"/>
        <v>46054</v>
      </c>
      <c r="F3434" t="s">
        <v>2924</v>
      </c>
      <c r="H3434" s="4">
        <v>62.6</v>
      </c>
      <c r="I3434" t="s">
        <v>47</v>
      </c>
      <c r="J3434" t="s">
        <v>91</v>
      </c>
      <c r="K3434" t="s">
        <v>2855</v>
      </c>
      <c r="L3434" s="2">
        <v>46054</v>
      </c>
      <c r="M3434" t="s">
        <v>93</v>
      </c>
      <c r="N3434">
        <v>0</v>
      </c>
      <c r="O3434" t="s">
        <v>26</v>
      </c>
      <c r="P3434" t="s">
        <v>83</v>
      </c>
      <c r="Q3434">
        <v>0</v>
      </c>
    </row>
    <row r="3435" spans="1:17" x14ac:dyDescent="0.3">
      <c r="A3435" t="s">
        <v>17</v>
      </c>
      <c r="B3435">
        <v>64</v>
      </c>
      <c r="C3435" t="s">
        <v>83</v>
      </c>
      <c r="D3435" s="2">
        <v>46067</v>
      </c>
      <c r="E3435" s="3">
        <f t="shared" si="53"/>
        <v>46054</v>
      </c>
      <c r="F3435" t="s">
        <v>2925</v>
      </c>
      <c r="G3435" t="s">
        <v>1227</v>
      </c>
      <c r="H3435" s="4">
        <v>34.97</v>
      </c>
      <c r="I3435" t="s">
        <v>47</v>
      </c>
      <c r="J3435" t="s">
        <v>87</v>
      </c>
      <c r="K3435" t="s">
        <v>2926</v>
      </c>
      <c r="L3435" s="2">
        <v>46054</v>
      </c>
      <c r="M3435" t="s">
        <v>89</v>
      </c>
      <c r="N3435">
        <v>0</v>
      </c>
      <c r="O3435" t="s">
        <v>26</v>
      </c>
      <c r="P3435" t="s">
        <v>83</v>
      </c>
      <c r="Q3435">
        <v>0</v>
      </c>
    </row>
    <row r="3436" spans="1:17" x14ac:dyDescent="0.3">
      <c r="A3436" t="s">
        <v>17</v>
      </c>
      <c r="B3436">
        <v>64</v>
      </c>
      <c r="C3436" t="s">
        <v>83</v>
      </c>
      <c r="D3436" s="2">
        <v>46067</v>
      </c>
      <c r="E3436" s="3">
        <f t="shared" si="53"/>
        <v>46054</v>
      </c>
      <c r="F3436" t="s">
        <v>2925</v>
      </c>
      <c r="G3436" t="s">
        <v>1227</v>
      </c>
      <c r="H3436" s="4">
        <v>39.97</v>
      </c>
      <c r="I3436" t="s">
        <v>47</v>
      </c>
      <c r="J3436" t="s">
        <v>87</v>
      </c>
      <c r="K3436" t="s">
        <v>2721</v>
      </c>
      <c r="L3436" s="2">
        <v>46054</v>
      </c>
      <c r="M3436" t="s">
        <v>89</v>
      </c>
      <c r="N3436">
        <v>0</v>
      </c>
      <c r="O3436" t="s">
        <v>26</v>
      </c>
      <c r="P3436" t="s">
        <v>83</v>
      </c>
      <c r="Q3436">
        <v>0</v>
      </c>
    </row>
    <row r="3437" spans="1:17" x14ac:dyDescent="0.3">
      <c r="A3437" t="s">
        <v>17</v>
      </c>
      <c r="B3437">
        <v>64</v>
      </c>
      <c r="C3437" t="s">
        <v>83</v>
      </c>
      <c r="D3437" s="2">
        <v>46067</v>
      </c>
      <c r="E3437" s="3">
        <f t="shared" si="53"/>
        <v>46054</v>
      </c>
      <c r="F3437" t="s">
        <v>2925</v>
      </c>
      <c r="G3437" t="s">
        <v>1227</v>
      </c>
      <c r="H3437" s="4">
        <v>5.45</v>
      </c>
      <c r="I3437" t="s">
        <v>47</v>
      </c>
      <c r="J3437" t="s">
        <v>87</v>
      </c>
      <c r="K3437" t="s">
        <v>2927</v>
      </c>
      <c r="L3437" s="2">
        <v>46054</v>
      </c>
      <c r="M3437" t="s">
        <v>89</v>
      </c>
      <c r="N3437">
        <v>0</v>
      </c>
      <c r="O3437" t="s">
        <v>26</v>
      </c>
      <c r="P3437" t="s">
        <v>83</v>
      </c>
      <c r="Q3437">
        <v>0</v>
      </c>
    </row>
    <row r="3438" spans="1:17" x14ac:dyDescent="0.3">
      <c r="A3438" t="s">
        <v>17</v>
      </c>
      <c r="B3438">
        <v>64</v>
      </c>
      <c r="C3438" t="s">
        <v>83</v>
      </c>
      <c r="D3438" s="2">
        <v>46067</v>
      </c>
      <c r="E3438" s="3">
        <f t="shared" si="53"/>
        <v>46054</v>
      </c>
      <c r="F3438" t="s">
        <v>2925</v>
      </c>
      <c r="G3438" t="s">
        <v>1227</v>
      </c>
      <c r="H3438" s="4">
        <v>46.93</v>
      </c>
      <c r="I3438" t="s">
        <v>47</v>
      </c>
      <c r="J3438" t="s">
        <v>87</v>
      </c>
      <c r="K3438" t="s">
        <v>2723</v>
      </c>
      <c r="L3438" s="2">
        <v>46054</v>
      </c>
      <c r="M3438" t="s">
        <v>89</v>
      </c>
      <c r="N3438">
        <v>0</v>
      </c>
      <c r="O3438" t="s">
        <v>26</v>
      </c>
      <c r="P3438" t="s">
        <v>83</v>
      </c>
      <c r="Q3438">
        <v>0</v>
      </c>
    </row>
    <row r="3439" spans="1:17" x14ac:dyDescent="0.3">
      <c r="A3439" t="s">
        <v>17</v>
      </c>
      <c r="B3439">
        <v>64</v>
      </c>
      <c r="C3439" t="s">
        <v>83</v>
      </c>
      <c r="D3439" s="2">
        <v>46067</v>
      </c>
      <c r="E3439" s="3">
        <f t="shared" si="53"/>
        <v>46054</v>
      </c>
      <c r="F3439" t="s">
        <v>2925</v>
      </c>
      <c r="G3439" t="s">
        <v>1227</v>
      </c>
      <c r="H3439" s="4">
        <v>62.04</v>
      </c>
      <c r="I3439" t="s">
        <v>47</v>
      </c>
      <c r="J3439" t="s">
        <v>87</v>
      </c>
      <c r="K3439" t="s">
        <v>2928</v>
      </c>
      <c r="L3439" s="2">
        <v>46054</v>
      </c>
      <c r="M3439" t="s">
        <v>89</v>
      </c>
      <c r="N3439">
        <v>0</v>
      </c>
      <c r="O3439" t="s">
        <v>26</v>
      </c>
      <c r="P3439" t="s">
        <v>83</v>
      </c>
      <c r="Q3439">
        <v>0</v>
      </c>
    </row>
    <row r="3440" spans="1:17" x14ac:dyDescent="0.3">
      <c r="A3440" t="s">
        <v>17</v>
      </c>
      <c r="B3440">
        <v>64</v>
      </c>
      <c r="C3440" t="s">
        <v>83</v>
      </c>
      <c r="D3440" s="2">
        <v>46067</v>
      </c>
      <c r="E3440" s="3">
        <f t="shared" si="53"/>
        <v>46054</v>
      </c>
      <c r="F3440" t="s">
        <v>2925</v>
      </c>
      <c r="G3440" t="s">
        <v>1227</v>
      </c>
      <c r="H3440" s="4">
        <v>43.92</v>
      </c>
      <c r="I3440" t="s">
        <v>47</v>
      </c>
      <c r="J3440" t="s">
        <v>87</v>
      </c>
      <c r="K3440" t="s">
        <v>2929</v>
      </c>
      <c r="L3440" s="2">
        <v>46054</v>
      </c>
      <c r="M3440" t="s">
        <v>89</v>
      </c>
      <c r="N3440">
        <v>0</v>
      </c>
      <c r="O3440" t="s">
        <v>26</v>
      </c>
      <c r="P3440" t="s">
        <v>83</v>
      </c>
      <c r="Q3440">
        <v>0</v>
      </c>
    </row>
    <row r="3441" spans="1:17" x14ac:dyDescent="0.3">
      <c r="A3441" t="s">
        <v>17</v>
      </c>
      <c r="B3441">
        <v>64</v>
      </c>
      <c r="C3441" t="s">
        <v>83</v>
      </c>
      <c r="D3441" s="2">
        <v>46067</v>
      </c>
      <c r="E3441" s="3">
        <f t="shared" si="53"/>
        <v>46054</v>
      </c>
      <c r="F3441" t="s">
        <v>2925</v>
      </c>
      <c r="G3441" t="s">
        <v>1227</v>
      </c>
      <c r="H3441" s="4">
        <v>144</v>
      </c>
      <c r="I3441" t="s">
        <v>47</v>
      </c>
      <c r="J3441" t="s">
        <v>87</v>
      </c>
      <c r="K3441" t="s">
        <v>2930</v>
      </c>
      <c r="L3441" s="2">
        <v>46054</v>
      </c>
      <c r="M3441" t="s">
        <v>89</v>
      </c>
      <c r="N3441">
        <v>0</v>
      </c>
      <c r="O3441" t="s">
        <v>26</v>
      </c>
      <c r="P3441" t="s">
        <v>83</v>
      </c>
      <c r="Q3441">
        <v>0</v>
      </c>
    </row>
    <row r="3442" spans="1:17" x14ac:dyDescent="0.3">
      <c r="A3442" t="s">
        <v>17</v>
      </c>
      <c r="B3442">
        <v>64</v>
      </c>
      <c r="C3442" t="s">
        <v>83</v>
      </c>
      <c r="D3442" s="2">
        <v>46068</v>
      </c>
      <c r="E3442" s="3">
        <f t="shared" si="53"/>
        <v>46054</v>
      </c>
      <c r="F3442" t="s">
        <v>2915</v>
      </c>
      <c r="G3442" t="s">
        <v>824</v>
      </c>
      <c r="H3442" s="4">
        <v>80.34</v>
      </c>
      <c r="I3442" t="s">
        <v>108</v>
      </c>
      <c r="J3442" t="s">
        <v>87</v>
      </c>
      <c r="K3442" t="s">
        <v>2931</v>
      </c>
      <c r="L3442" s="2">
        <v>46054</v>
      </c>
      <c r="M3442" t="s">
        <v>89</v>
      </c>
      <c r="N3442">
        <v>0</v>
      </c>
      <c r="O3442" t="s">
        <v>111</v>
      </c>
      <c r="P3442" t="s">
        <v>83</v>
      </c>
      <c r="Q3442">
        <v>0</v>
      </c>
    </row>
    <row r="3443" spans="1:17" x14ac:dyDescent="0.3">
      <c r="A3443" t="s">
        <v>17</v>
      </c>
      <c r="B3443">
        <v>64</v>
      </c>
      <c r="C3443" t="s">
        <v>83</v>
      </c>
      <c r="D3443" s="2">
        <v>46081</v>
      </c>
      <c r="E3443" s="3">
        <f t="shared" si="53"/>
        <v>46054</v>
      </c>
      <c r="F3443" t="s">
        <v>2932</v>
      </c>
      <c r="G3443" t="s">
        <v>1334</v>
      </c>
      <c r="H3443" s="4">
        <v>33.909999999999997</v>
      </c>
      <c r="I3443" t="s">
        <v>31</v>
      </c>
      <c r="J3443" t="s">
        <v>87</v>
      </c>
      <c r="K3443" t="s">
        <v>2933</v>
      </c>
      <c r="L3443" s="2">
        <v>46054</v>
      </c>
      <c r="M3443" t="s">
        <v>89</v>
      </c>
      <c r="N3443">
        <v>0</v>
      </c>
      <c r="O3443" t="s">
        <v>31</v>
      </c>
      <c r="P3443" t="s">
        <v>83</v>
      </c>
      <c r="Q3443">
        <v>0</v>
      </c>
    </row>
    <row r="3444" spans="1:17" x14ac:dyDescent="0.3">
      <c r="A3444" t="s">
        <v>17</v>
      </c>
      <c r="B3444">
        <v>64</v>
      </c>
      <c r="C3444" t="s">
        <v>83</v>
      </c>
      <c r="D3444" s="2">
        <v>46081</v>
      </c>
      <c r="E3444" s="3">
        <f t="shared" si="53"/>
        <v>46054</v>
      </c>
      <c r="F3444" t="s">
        <v>2932</v>
      </c>
      <c r="G3444" t="s">
        <v>1334</v>
      </c>
      <c r="H3444" s="4">
        <v>65.959999999999994</v>
      </c>
      <c r="I3444" t="s">
        <v>31</v>
      </c>
      <c r="J3444" t="s">
        <v>87</v>
      </c>
      <c r="K3444" t="s">
        <v>2933</v>
      </c>
      <c r="L3444" s="2">
        <v>46054</v>
      </c>
      <c r="M3444" t="s">
        <v>89</v>
      </c>
      <c r="N3444">
        <v>0</v>
      </c>
      <c r="O3444" t="s">
        <v>31</v>
      </c>
      <c r="P3444" t="s">
        <v>83</v>
      </c>
      <c r="Q3444">
        <v>0</v>
      </c>
    </row>
    <row r="3445" spans="1:17" x14ac:dyDescent="0.3">
      <c r="A3445" t="s">
        <v>17</v>
      </c>
      <c r="B3445">
        <v>64</v>
      </c>
      <c r="C3445" t="s">
        <v>83</v>
      </c>
      <c r="D3445" s="2">
        <v>46081</v>
      </c>
      <c r="E3445" s="3">
        <f t="shared" si="53"/>
        <v>46054</v>
      </c>
      <c r="F3445" t="s">
        <v>2932</v>
      </c>
      <c r="G3445" t="s">
        <v>1334</v>
      </c>
      <c r="H3445" s="4">
        <v>32.92</v>
      </c>
      <c r="I3445" t="s">
        <v>31</v>
      </c>
      <c r="J3445" t="s">
        <v>87</v>
      </c>
      <c r="K3445" t="s">
        <v>2934</v>
      </c>
      <c r="L3445" s="2">
        <v>46054</v>
      </c>
      <c r="M3445" t="s">
        <v>89</v>
      </c>
      <c r="N3445">
        <v>0</v>
      </c>
      <c r="O3445" t="s">
        <v>31</v>
      </c>
      <c r="P3445" t="s">
        <v>83</v>
      </c>
      <c r="Q3445">
        <v>0</v>
      </c>
    </row>
    <row r="3446" spans="1:17" x14ac:dyDescent="0.3">
      <c r="A3446" t="s">
        <v>17</v>
      </c>
      <c r="B3446">
        <v>64</v>
      </c>
      <c r="C3446" t="s">
        <v>83</v>
      </c>
      <c r="D3446" s="2">
        <v>46081</v>
      </c>
      <c r="E3446" s="3">
        <f t="shared" si="53"/>
        <v>46054</v>
      </c>
      <c r="F3446" t="s">
        <v>2932</v>
      </c>
      <c r="G3446" t="s">
        <v>1334</v>
      </c>
      <c r="H3446" s="4">
        <v>36.950000000000003</v>
      </c>
      <c r="I3446" t="s">
        <v>31</v>
      </c>
      <c r="J3446" t="s">
        <v>87</v>
      </c>
      <c r="K3446" t="s">
        <v>2934</v>
      </c>
      <c r="L3446" s="2">
        <v>46054</v>
      </c>
      <c r="M3446" t="s">
        <v>89</v>
      </c>
      <c r="N3446">
        <v>0</v>
      </c>
      <c r="O3446" t="s">
        <v>31</v>
      </c>
      <c r="P3446" t="s">
        <v>83</v>
      </c>
      <c r="Q3446">
        <v>0</v>
      </c>
    </row>
    <row r="3447" spans="1:17" x14ac:dyDescent="0.3">
      <c r="A3447" t="s">
        <v>17</v>
      </c>
      <c r="B3447">
        <v>64</v>
      </c>
      <c r="C3447" t="s">
        <v>83</v>
      </c>
      <c r="D3447" s="2">
        <v>46081</v>
      </c>
      <c r="E3447" s="3">
        <f t="shared" si="53"/>
        <v>46054</v>
      </c>
      <c r="F3447" t="s">
        <v>2917</v>
      </c>
      <c r="H3447" s="4">
        <v>-15.84</v>
      </c>
      <c r="I3447" t="s">
        <v>104</v>
      </c>
      <c r="J3447" t="s">
        <v>87</v>
      </c>
      <c r="K3447" t="s">
        <v>2935</v>
      </c>
      <c r="L3447" s="2">
        <v>46054</v>
      </c>
      <c r="M3447" t="s">
        <v>89</v>
      </c>
      <c r="N3447">
        <v>0</v>
      </c>
      <c r="O3447" t="s">
        <v>104</v>
      </c>
      <c r="P3447" t="s">
        <v>83</v>
      </c>
      <c r="Q3447">
        <v>0</v>
      </c>
    </row>
    <row r="3448" spans="1:17" x14ac:dyDescent="0.3">
      <c r="A3448" t="s">
        <v>17</v>
      </c>
      <c r="B3448">
        <v>64</v>
      </c>
      <c r="C3448" t="s">
        <v>83</v>
      </c>
      <c r="D3448" s="2">
        <v>46081</v>
      </c>
      <c r="E3448" s="3">
        <f t="shared" si="53"/>
        <v>46054</v>
      </c>
      <c r="F3448" t="s">
        <v>2917</v>
      </c>
      <c r="H3448" s="4">
        <v>40.86</v>
      </c>
      <c r="I3448" t="s">
        <v>104</v>
      </c>
      <c r="J3448" t="s">
        <v>87</v>
      </c>
      <c r="K3448" t="s">
        <v>2836</v>
      </c>
      <c r="L3448" s="2">
        <v>46054</v>
      </c>
      <c r="M3448" t="s">
        <v>89</v>
      </c>
      <c r="N3448">
        <v>0</v>
      </c>
      <c r="O3448" t="s">
        <v>104</v>
      </c>
      <c r="P3448" t="s">
        <v>83</v>
      </c>
      <c r="Q3448">
        <v>0</v>
      </c>
    </row>
    <row r="3449" spans="1:17" x14ac:dyDescent="0.3">
      <c r="A3449" t="s">
        <v>17</v>
      </c>
      <c r="B3449">
        <v>64</v>
      </c>
      <c r="C3449" t="s">
        <v>83</v>
      </c>
      <c r="D3449" s="2">
        <v>46081</v>
      </c>
      <c r="E3449" s="3">
        <f t="shared" si="53"/>
        <v>46054</v>
      </c>
      <c r="F3449" t="s">
        <v>2924</v>
      </c>
      <c r="H3449" s="4">
        <v>23.95</v>
      </c>
      <c r="I3449" t="s">
        <v>47</v>
      </c>
      <c r="J3449" t="s">
        <v>87</v>
      </c>
      <c r="K3449" t="s">
        <v>2855</v>
      </c>
      <c r="L3449" s="2">
        <v>46054</v>
      </c>
      <c r="M3449" t="s">
        <v>89</v>
      </c>
      <c r="N3449">
        <v>0</v>
      </c>
      <c r="O3449" t="s">
        <v>26</v>
      </c>
      <c r="P3449" t="s">
        <v>83</v>
      </c>
      <c r="Q3449">
        <v>0</v>
      </c>
    </row>
    <row r="3450" spans="1:17" x14ac:dyDescent="0.3">
      <c r="A3450" t="s">
        <v>17</v>
      </c>
      <c r="B3450">
        <v>64</v>
      </c>
      <c r="C3450" t="s">
        <v>83</v>
      </c>
      <c r="D3450" s="2">
        <v>46081</v>
      </c>
      <c r="E3450" s="3">
        <f t="shared" si="53"/>
        <v>46054</v>
      </c>
      <c r="F3450" t="s">
        <v>2924</v>
      </c>
      <c r="H3450" s="4">
        <v>28.44</v>
      </c>
      <c r="I3450" t="s">
        <v>47</v>
      </c>
      <c r="J3450" t="s">
        <v>87</v>
      </c>
      <c r="K3450" t="s">
        <v>2855</v>
      </c>
      <c r="L3450" s="2">
        <v>46054</v>
      </c>
      <c r="M3450" t="s">
        <v>89</v>
      </c>
      <c r="N3450">
        <v>0</v>
      </c>
      <c r="O3450" t="s">
        <v>26</v>
      </c>
      <c r="P3450" t="s">
        <v>83</v>
      </c>
      <c r="Q3450">
        <v>0</v>
      </c>
    </row>
    <row r="3451" spans="1:17" x14ac:dyDescent="0.3">
      <c r="A3451" t="s">
        <v>17</v>
      </c>
      <c r="B3451">
        <v>64</v>
      </c>
      <c r="C3451" t="s">
        <v>83</v>
      </c>
      <c r="D3451" s="2">
        <v>46081</v>
      </c>
      <c r="E3451" s="3">
        <f t="shared" si="53"/>
        <v>46054</v>
      </c>
      <c r="F3451" t="s">
        <v>2924</v>
      </c>
      <c r="H3451" s="4">
        <v>53.93</v>
      </c>
      <c r="I3451" t="s">
        <v>47</v>
      </c>
      <c r="J3451" t="s">
        <v>87</v>
      </c>
      <c r="K3451" t="s">
        <v>2855</v>
      </c>
      <c r="L3451" s="2">
        <v>46054</v>
      </c>
      <c r="M3451" t="s">
        <v>89</v>
      </c>
      <c r="N3451">
        <v>0</v>
      </c>
      <c r="O3451" t="s">
        <v>26</v>
      </c>
      <c r="P3451" t="s">
        <v>83</v>
      </c>
      <c r="Q3451">
        <v>0</v>
      </c>
    </row>
    <row r="3452" spans="1:17" x14ac:dyDescent="0.3">
      <c r="A3452" t="s">
        <v>17</v>
      </c>
      <c r="B3452">
        <v>64</v>
      </c>
      <c r="C3452" t="s">
        <v>83</v>
      </c>
      <c r="D3452" s="2">
        <v>46081</v>
      </c>
      <c r="E3452" s="3">
        <f t="shared" si="53"/>
        <v>46054</v>
      </c>
      <c r="F3452" t="s">
        <v>2924</v>
      </c>
      <c r="H3452" s="4">
        <v>55.93</v>
      </c>
      <c r="I3452" t="s">
        <v>47</v>
      </c>
      <c r="J3452" t="s">
        <v>87</v>
      </c>
      <c r="K3452" t="s">
        <v>2936</v>
      </c>
      <c r="L3452" s="2">
        <v>46054</v>
      </c>
      <c r="M3452" t="s">
        <v>89</v>
      </c>
      <c r="N3452">
        <v>0</v>
      </c>
      <c r="O3452" t="s">
        <v>26</v>
      </c>
      <c r="P3452" t="s">
        <v>83</v>
      </c>
      <c r="Q3452">
        <v>0</v>
      </c>
    </row>
    <row r="3453" spans="1:17" x14ac:dyDescent="0.3">
      <c r="A3453" t="s">
        <v>17</v>
      </c>
      <c r="B3453">
        <v>64</v>
      </c>
      <c r="C3453" t="s">
        <v>83</v>
      </c>
      <c r="D3453" s="2">
        <v>46081</v>
      </c>
      <c r="E3453" s="3">
        <f t="shared" si="53"/>
        <v>46054</v>
      </c>
      <c r="F3453" t="s">
        <v>2924</v>
      </c>
      <c r="H3453" s="4">
        <v>64.38</v>
      </c>
      <c r="I3453" t="s">
        <v>47</v>
      </c>
      <c r="J3453" t="s">
        <v>87</v>
      </c>
      <c r="K3453" t="s">
        <v>2936</v>
      </c>
      <c r="L3453" s="2">
        <v>46054</v>
      </c>
      <c r="M3453" t="s">
        <v>89</v>
      </c>
      <c r="N3453">
        <v>0</v>
      </c>
      <c r="O3453" t="s">
        <v>26</v>
      </c>
      <c r="P3453" t="s">
        <v>83</v>
      </c>
      <c r="Q3453">
        <v>0</v>
      </c>
    </row>
    <row r="3454" spans="1:17" x14ac:dyDescent="0.3">
      <c r="A3454" t="s">
        <v>17</v>
      </c>
      <c r="B3454">
        <v>67</v>
      </c>
      <c r="C3454" t="s">
        <v>28</v>
      </c>
      <c r="D3454" s="2">
        <v>46054</v>
      </c>
      <c r="E3454" s="3">
        <f t="shared" si="53"/>
        <v>46054</v>
      </c>
      <c r="F3454">
        <v>12726</v>
      </c>
      <c r="G3454" t="s">
        <v>2937</v>
      </c>
      <c r="H3454" s="4">
        <v>750</v>
      </c>
      <c r="I3454" t="s">
        <v>47</v>
      </c>
      <c r="J3454" t="s">
        <v>48</v>
      </c>
      <c r="K3454" t="s">
        <v>2938</v>
      </c>
      <c r="L3454" s="2">
        <v>46054</v>
      </c>
      <c r="M3454" t="s">
        <v>50</v>
      </c>
      <c r="N3454">
        <v>0</v>
      </c>
      <c r="O3454" t="s">
        <v>26</v>
      </c>
      <c r="P3454" t="s">
        <v>28</v>
      </c>
      <c r="Q3454">
        <v>0</v>
      </c>
    </row>
    <row r="3455" spans="1:17" x14ac:dyDescent="0.3">
      <c r="A3455" t="s">
        <v>17</v>
      </c>
      <c r="B3455">
        <v>67</v>
      </c>
      <c r="C3455" t="s">
        <v>28</v>
      </c>
      <c r="D3455" s="2">
        <v>46054</v>
      </c>
      <c r="E3455" s="3">
        <f t="shared" si="53"/>
        <v>46054</v>
      </c>
      <c r="F3455">
        <v>21493</v>
      </c>
      <c r="G3455" t="s">
        <v>52</v>
      </c>
      <c r="H3455" s="4">
        <v>18.899999999999999</v>
      </c>
      <c r="I3455" t="s">
        <v>31</v>
      </c>
      <c r="J3455" t="s">
        <v>48</v>
      </c>
      <c r="K3455" t="s">
        <v>1339</v>
      </c>
      <c r="L3455" s="2">
        <v>46054</v>
      </c>
      <c r="M3455" t="s">
        <v>50</v>
      </c>
      <c r="N3455">
        <v>0</v>
      </c>
      <c r="O3455" t="s">
        <v>31</v>
      </c>
      <c r="P3455" t="s">
        <v>28</v>
      </c>
      <c r="Q3455">
        <v>0</v>
      </c>
    </row>
    <row r="3456" spans="1:17" x14ac:dyDescent="0.3">
      <c r="A3456" t="s">
        <v>17</v>
      </c>
      <c r="B3456">
        <v>67</v>
      </c>
      <c r="C3456" t="s">
        <v>28</v>
      </c>
      <c r="D3456" s="2">
        <v>46054</v>
      </c>
      <c r="E3456" s="3">
        <f t="shared" si="53"/>
        <v>46054</v>
      </c>
      <c r="F3456">
        <v>21493</v>
      </c>
      <c r="G3456" t="s">
        <v>52</v>
      </c>
      <c r="H3456" s="4">
        <v>640</v>
      </c>
      <c r="I3456" t="s">
        <v>31</v>
      </c>
      <c r="J3456" t="s">
        <v>48</v>
      </c>
      <c r="K3456" t="s">
        <v>1340</v>
      </c>
      <c r="L3456" s="2">
        <v>46054</v>
      </c>
      <c r="M3456" t="s">
        <v>50</v>
      </c>
      <c r="N3456">
        <v>0</v>
      </c>
      <c r="O3456" t="s">
        <v>31</v>
      </c>
      <c r="P3456" t="s">
        <v>28</v>
      </c>
      <c r="Q3456">
        <v>0</v>
      </c>
    </row>
    <row r="3457" spans="1:17" x14ac:dyDescent="0.3">
      <c r="A3457" t="s">
        <v>17</v>
      </c>
      <c r="B3457">
        <v>67</v>
      </c>
      <c r="C3457" t="s">
        <v>28</v>
      </c>
      <c r="D3457" s="2">
        <v>46054</v>
      </c>
      <c r="E3457" s="3">
        <f t="shared" si="53"/>
        <v>46054</v>
      </c>
      <c r="F3457">
        <v>21493</v>
      </c>
      <c r="G3457" t="s">
        <v>52</v>
      </c>
      <c r="H3457" s="4">
        <v>9</v>
      </c>
      <c r="I3457" t="s">
        <v>31</v>
      </c>
      <c r="J3457" t="s">
        <v>48</v>
      </c>
      <c r="K3457" t="s">
        <v>1341</v>
      </c>
      <c r="L3457" s="2">
        <v>46054</v>
      </c>
      <c r="M3457" t="s">
        <v>50</v>
      </c>
      <c r="N3457">
        <v>0</v>
      </c>
      <c r="O3457" t="s">
        <v>31</v>
      </c>
      <c r="P3457" t="s">
        <v>28</v>
      </c>
      <c r="Q3457">
        <v>0</v>
      </c>
    </row>
    <row r="3458" spans="1:17" x14ac:dyDescent="0.3">
      <c r="A3458" t="s">
        <v>17</v>
      </c>
      <c r="B3458">
        <v>67</v>
      </c>
      <c r="C3458" t="s">
        <v>28</v>
      </c>
      <c r="D3458" s="2">
        <v>46054</v>
      </c>
      <c r="E3458" s="3">
        <f t="shared" si="53"/>
        <v>46054</v>
      </c>
      <c r="F3458">
        <v>21493</v>
      </c>
      <c r="G3458" t="s">
        <v>52</v>
      </c>
      <c r="H3458" s="4">
        <v>125</v>
      </c>
      <c r="I3458" t="s">
        <v>31</v>
      </c>
      <c r="J3458" t="s">
        <v>48</v>
      </c>
      <c r="K3458" t="s">
        <v>1342</v>
      </c>
      <c r="L3458" s="2">
        <v>46054</v>
      </c>
      <c r="M3458" t="s">
        <v>50</v>
      </c>
      <c r="N3458">
        <v>0</v>
      </c>
      <c r="O3458" t="s">
        <v>31</v>
      </c>
      <c r="P3458" t="s">
        <v>28</v>
      </c>
      <c r="Q3458">
        <v>0</v>
      </c>
    </row>
    <row r="3459" spans="1:17" x14ac:dyDescent="0.3">
      <c r="A3459" t="s">
        <v>17</v>
      </c>
      <c r="B3459">
        <v>67</v>
      </c>
      <c r="C3459" t="s">
        <v>28</v>
      </c>
      <c r="D3459" s="2">
        <v>46054</v>
      </c>
      <c r="E3459" s="3">
        <f t="shared" ref="E3459:E3522" si="54">IF($D3459="","",DATE(YEAR($D3459),MONTH($D3459),1))</f>
        <v>46054</v>
      </c>
      <c r="F3459">
        <v>21493</v>
      </c>
      <c r="G3459" t="s">
        <v>52</v>
      </c>
      <c r="H3459" s="4">
        <v>2500</v>
      </c>
      <c r="I3459" t="s">
        <v>31</v>
      </c>
      <c r="J3459" t="s">
        <v>48</v>
      </c>
      <c r="K3459" t="s">
        <v>1343</v>
      </c>
      <c r="L3459" s="2">
        <v>46054</v>
      </c>
      <c r="M3459" t="s">
        <v>50</v>
      </c>
      <c r="N3459">
        <v>0</v>
      </c>
      <c r="O3459" t="s">
        <v>31</v>
      </c>
      <c r="P3459" t="s">
        <v>28</v>
      </c>
      <c r="Q3459">
        <v>0</v>
      </c>
    </row>
    <row r="3460" spans="1:17" x14ac:dyDescent="0.3">
      <c r="A3460" t="s">
        <v>17</v>
      </c>
      <c r="B3460">
        <v>67</v>
      </c>
      <c r="C3460" t="s">
        <v>28</v>
      </c>
      <c r="D3460" s="2">
        <v>46057</v>
      </c>
      <c r="E3460" s="3">
        <f t="shared" si="54"/>
        <v>46054</v>
      </c>
      <c r="F3460" t="s">
        <v>2939</v>
      </c>
      <c r="G3460" t="s">
        <v>280</v>
      </c>
      <c r="H3460" s="4">
        <v>700</v>
      </c>
      <c r="I3460" t="s">
        <v>47</v>
      </c>
      <c r="J3460" t="s">
        <v>48</v>
      </c>
      <c r="K3460" t="s">
        <v>2940</v>
      </c>
      <c r="L3460" s="2">
        <v>46054</v>
      </c>
      <c r="M3460" t="s">
        <v>50</v>
      </c>
      <c r="N3460">
        <v>0</v>
      </c>
      <c r="O3460" t="s">
        <v>26</v>
      </c>
      <c r="P3460" t="s">
        <v>28</v>
      </c>
      <c r="Q3460">
        <v>0</v>
      </c>
    </row>
    <row r="3461" spans="1:17" x14ac:dyDescent="0.3">
      <c r="A3461" t="s">
        <v>17</v>
      </c>
      <c r="B3461">
        <v>67</v>
      </c>
      <c r="C3461" t="s">
        <v>28</v>
      </c>
      <c r="D3461" s="2">
        <v>46066</v>
      </c>
      <c r="E3461" s="3">
        <f t="shared" si="54"/>
        <v>46054</v>
      </c>
      <c r="F3461">
        <v>21226</v>
      </c>
      <c r="G3461" t="s">
        <v>2937</v>
      </c>
      <c r="H3461" s="4">
        <v>400</v>
      </c>
      <c r="I3461" t="s">
        <v>47</v>
      </c>
      <c r="J3461" t="s">
        <v>48</v>
      </c>
      <c r="K3461" t="s">
        <v>2941</v>
      </c>
      <c r="L3461" s="2">
        <v>46054</v>
      </c>
      <c r="M3461" t="s">
        <v>50</v>
      </c>
      <c r="N3461">
        <v>0</v>
      </c>
      <c r="O3461" t="s">
        <v>26</v>
      </c>
      <c r="P3461" t="s">
        <v>28</v>
      </c>
      <c r="Q3461">
        <v>0</v>
      </c>
    </row>
    <row r="3462" spans="1:17" x14ac:dyDescent="0.3">
      <c r="A3462" t="s">
        <v>17</v>
      </c>
      <c r="B3462">
        <v>67</v>
      </c>
      <c r="C3462" t="s">
        <v>28</v>
      </c>
      <c r="D3462" s="2">
        <v>46066</v>
      </c>
      <c r="E3462" s="3">
        <f t="shared" si="54"/>
        <v>46054</v>
      </c>
      <c r="F3462">
        <v>30218</v>
      </c>
      <c r="G3462" t="s">
        <v>673</v>
      </c>
      <c r="H3462" s="4">
        <v>16.84</v>
      </c>
      <c r="I3462" t="s">
        <v>47</v>
      </c>
      <c r="J3462" t="s">
        <v>48</v>
      </c>
      <c r="K3462" t="s">
        <v>2942</v>
      </c>
      <c r="L3462" s="2">
        <v>46054</v>
      </c>
      <c r="M3462" t="s">
        <v>50</v>
      </c>
      <c r="N3462">
        <v>0</v>
      </c>
      <c r="O3462" t="s">
        <v>26</v>
      </c>
      <c r="P3462" t="s">
        <v>28</v>
      </c>
      <c r="Q3462">
        <v>0</v>
      </c>
    </row>
    <row r="3463" spans="1:17" x14ac:dyDescent="0.3">
      <c r="A3463" t="s">
        <v>17</v>
      </c>
      <c r="B3463">
        <v>67</v>
      </c>
      <c r="C3463" t="s">
        <v>28</v>
      </c>
      <c r="D3463" s="2">
        <v>46066</v>
      </c>
      <c r="E3463" s="3">
        <f t="shared" si="54"/>
        <v>46054</v>
      </c>
      <c r="F3463">
        <v>30218</v>
      </c>
      <c r="G3463" t="s">
        <v>673</v>
      </c>
      <c r="H3463" s="4">
        <v>18.55</v>
      </c>
      <c r="I3463" t="s">
        <v>47</v>
      </c>
      <c r="J3463" t="s">
        <v>48</v>
      </c>
      <c r="K3463" t="s">
        <v>2943</v>
      </c>
      <c r="L3463" s="2">
        <v>46054</v>
      </c>
      <c r="M3463" t="s">
        <v>50</v>
      </c>
      <c r="N3463">
        <v>0</v>
      </c>
      <c r="O3463" t="s">
        <v>26</v>
      </c>
      <c r="P3463" t="s">
        <v>28</v>
      </c>
      <c r="Q3463">
        <v>0</v>
      </c>
    </row>
    <row r="3464" spans="1:17" x14ac:dyDescent="0.3">
      <c r="A3464" t="s">
        <v>17</v>
      </c>
      <c r="B3464">
        <v>67</v>
      </c>
      <c r="C3464" t="s">
        <v>28</v>
      </c>
      <c r="D3464" s="2">
        <v>46066</v>
      </c>
      <c r="E3464" s="3">
        <f t="shared" si="54"/>
        <v>46054</v>
      </c>
      <c r="F3464">
        <v>30218</v>
      </c>
      <c r="G3464" t="s">
        <v>673</v>
      </c>
      <c r="H3464" s="4">
        <v>2.4900000000000002</v>
      </c>
      <c r="I3464" t="s">
        <v>47</v>
      </c>
      <c r="J3464" t="s">
        <v>48</v>
      </c>
      <c r="K3464" t="s">
        <v>2944</v>
      </c>
      <c r="L3464" s="2">
        <v>46054</v>
      </c>
      <c r="M3464" t="s">
        <v>50</v>
      </c>
      <c r="N3464">
        <v>0</v>
      </c>
      <c r="O3464" t="s">
        <v>26</v>
      </c>
      <c r="P3464" t="s">
        <v>28</v>
      </c>
      <c r="Q3464">
        <v>0</v>
      </c>
    </row>
    <row r="3465" spans="1:17" x14ac:dyDescent="0.3">
      <c r="A3465" t="s">
        <v>17</v>
      </c>
      <c r="B3465">
        <v>67</v>
      </c>
      <c r="C3465" t="s">
        <v>28</v>
      </c>
      <c r="D3465" s="2">
        <v>46066</v>
      </c>
      <c r="E3465" s="3">
        <f t="shared" si="54"/>
        <v>46054</v>
      </c>
      <c r="F3465">
        <v>30218</v>
      </c>
      <c r="G3465" t="s">
        <v>673</v>
      </c>
      <c r="H3465" s="4">
        <v>37.42</v>
      </c>
      <c r="I3465" t="s">
        <v>47</v>
      </c>
      <c r="J3465" t="s">
        <v>48</v>
      </c>
      <c r="K3465" t="s">
        <v>2945</v>
      </c>
      <c r="L3465" s="2">
        <v>46054</v>
      </c>
      <c r="M3465" t="s">
        <v>50</v>
      </c>
      <c r="N3465">
        <v>0</v>
      </c>
      <c r="O3465" t="s">
        <v>26</v>
      </c>
      <c r="P3465" t="s">
        <v>28</v>
      </c>
      <c r="Q3465">
        <v>0</v>
      </c>
    </row>
    <row r="3466" spans="1:17" x14ac:dyDescent="0.3">
      <c r="A3466" t="s">
        <v>17</v>
      </c>
      <c r="B3466">
        <v>67</v>
      </c>
      <c r="C3466" t="s">
        <v>28</v>
      </c>
      <c r="D3466" s="2">
        <v>46066</v>
      </c>
      <c r="E3466" s="3">
        <f t="shared" si="54"/>
        <v>46054</v>
      </c>
      <c r="F3466">
        <v>30218</v>
      </c>
      <c r="G3466" t="s">
        <v>673</v>
      </c>
      <c r="H3466" s="4">
        <v>19.91</v>
      </c>
      <c r="I3466" t="s">
        <v>47</v>
      </c>
      <c r="J3466" t="s">
        <v>48</v>
      </c>
      <c r="K3466" t="s">
        <v>2946</v>
      </c>
      <c r="L3466" s="2">
        <v>46054</v>
      </c>
      <c r="M3466" t="s">
        <v>50</v>
      </c>
      <c r="N3466">
        <v>0</v>
      </c>
      <c r="O3466" t="s">
        <v>26</v>
      </c>
      <c r="P3466" t="s">
        <v>28</v>
      </c>
      <c r="Q3466">
        <v>0</v>
      </c>
    </row>
    <row r="3467" spans="1:17" x14ac:dyDescent="0.3">
      <c r="A3467" t="s">
        <v>17</v>
      </c>
      <c r="B3467">
        <v>67</v>
      </c>
      <c r="C3467" t="s">
        <v>28</v>
      </c>
      <c r="D3467" s="2">
        <v>46066</v>
      </c>
      <c r="E3467" s="3">
        <f t="shared" si="54"/>
        <v>46054</v>
      </c>
      <c r="F3467">
        <v>30218</v>
      </c>
      <c r="G3467" t="s">
        <v>673</v>
      </c>
      <c r="H3467" s="4">
        <v>300</v>
      </c>
      <c r="I3467" t="s">
        <v>47</v>
      </c>
      <c r="J3467" t="s">
        <v>48</v>
      </c>
      <c r="K3467" t="s">
        <v>1350</v>
      </c>
      <c r="L3467" s="2">
        <v>46054</v>
      </c>
      <c r="M3467" t="s">
        <v>50</v>
      </c>
      <c r="N3467">
        <v>0</v>
      </c>
      <c r="O3467" t="s">
        <v>26</v>
      </c>
      <c r="P3467" t="s">
        <v>28</v>
      </c>
      <c r="Q3467">
        <v>0</v>
      </c>
    </row>
    <row r="3468" spans="1:17" x14ac:dyDescent="0.3">
      <c r="A3468" t="s">
        <v>17</v>
      </c>
      <c r="B3468">
        <v>67</v>
      </c>
      <c r="C3468" t="s">
        <v>28</v>
      </c>
      <c r="D3468" s="2">
        <v>46066</v>
      </c>
      <c r="E3468" s="3">
        <f t="shared" si="54"/>
        <v>46054</v>
      </c>
      <c r="F3468">
        <v>30218</v>
      </c>
      <c r="G3468" t="s">
        <v>673</v>
      </c>
      <c r="H3468" s="4">
        <v>300</v>
      </c>
      <c r="I3468" t="s">
        <v>47</v>
      </c>
      <c r="J3468" t="s">
        <v>48</v>
      </c>
      <c r="K3468" t="s">
        <v>1351</v>
      </c>
      <c r="L3468" s="2">
        <v>46054</v>
      </c>
      <c r="M3468" t="s">
        <v>50</v>
      </c>
      <c r="N3468">
        <v>0</v>
      </c>
      <c r="O3468" t="s">
        <v>26</v>
      </c>
      <c r="P3468" t="s">
        <v>28</v>
      </c>
      <c r="Q3468">
        <v>0</v>
      </c>
    </row>
    <row r="3469" spans="1:17" x14ac:dyDescent="0.3">
      <c r="A3469" t="s">
        <v>17</v>
      </c>
      <c r="B3469">
        <v>67</v>
      </c>
      <c r="C3469" t="s">
        <v>28</v>
      </c>
      <c r="D3469" s="2">
        <v>46066</v>
      </c>
      <c r="E3469" s="3">
        <f t="shared" si="54"/>
        <v>46054</v>
      </c>
      <c r="F3469">
        <v>30218</v>
      </c>
      <c r="G3469" t="s">
        <v>673</v>
      </c>
      <c r="H3469" s="4">
        <v>500</v>
      </c>
      <c r="I3469" t="s">
        <v>47</v>
      </c>
      <c r="J3469" t="s">
        <v>48</v>
      </c>
      <c r="K3469" t="s">
        <v>1353</v>
      </c>
      <c r="L3469" s="2">
        <v>46054</v>
      </c>
      <c r="M3469" t="s">
        <v>50</v>
      </c>
      <c r="N3469">
        <v>0</v>
      </c>
      <c r="O3469" t="s">
        <v>26</v>
      </c>
      <c r="P3469" t="s">
        <v>28</v>
      </c>
      <c r="Q3469">
        <v>0</v>
      </c>
    </row>
    <row r="3470" spans="1:17" x14ac:dyDescent="0.3">
      <c r="A3470" t="s">
        <v>17</v>
      </c>
      <c r="B3470">
        <v>67</v>
      </c>
      <c r="C3470" t="s">
        <v>28</v>
      </c>
      <c r="D3470" s="2">
        <v>46066</v>
      </c>
      <c r="E3470" s="3">
        <f t="shared" si="54"/>
        <v>46054</v>
      </c>
      <c r="F3470">
        <v>30218</v>
      </c>
      <c r="G3470" t="s">
        <v>673</v>
      </c>
      <c r="H3470" s="4">
        <v>10000</v>
      </c>
      <c r="I3470" t="s">
        <v>47</v>
      </c>
      <c r="J3470" t="s">
        <v>48</v>
      </c>
      <c r="K3470" t="s">
        <v>2947</v>
      </c>
      <c r="L3470" s="2">
        <v>46054</v>
      </c>
      <c r="M3470" t="s">
        <v>50</v>
      </c>
      <c r="N3470">
        <v>0</v>
      </c>
      <c r="O3470" t="s">
        <v>26</v>
      </c>
      <c r="P3470" t="s">
        <v>28</v>
      </c>
      <c r="Q3470">
        <v>0</v>
      </c>
    </row>
    <row r="3471" spans="1:17" x14ac:dyDescent="0.3">
      <c r="A3471" t="s">
        <v>17</v>
      </c>
      <c r="B3471">
        <v>67</v>
      </c>
      <c r="C3471" t="s">
        <v>28</v>
      </c>
      <c r="D3471" s="2">
        <v>46067</v>
      </c>
      <c r="E3471" s="3">
        <f t="shared" si="54"/>
        <v>46054</v>
      </c>
      <c r="F3471">
        <v>29313</v>
      </c>
      <c r="G3471" t="s">
        <v>2792</v>
      </c>
      <c r="H3471" s="4">
        <v>2080</v>
      </c>
      <c r="I3471" t="s">
        <v>31</v>
      </c>
      <c r="J3471" t="s">
        <v>48</v>
      </c>
      <c r="K3471" t="s">
        <v>2857</v>
      </c>
      <c r="L3471" s="2">
        <v>46054</v>
      </c>
      <c r="M3471" t="s">
        <v>50</v>
      </c>
      <c r="N3471">
        <v>0</v>
      </c>
      <c r="O3471" t="s">
        <v>31</v>
      </c>
      <c r="P3471" t="s">
        <v>28</v>
      </c>
      <c r="Q3471">
        <v>0</v>
      </c>
    </row>
    <row r="3472" spans="1:17" x14ac:dyDescent="0.3">
      <c r="A3472" t="s">
        <v>17</v>
      </c>
      <c r="B3472">
        <v>67</v>
      </c>
      <c r="C3472" t="s">
        <v>28</v>
      </c>
      <c r="D3472" s="2">
        <v>46067</v>
      </c>
      <c r="E3472" s="3">
        <f t="shared" si="54"/>
        <v>46054</v>
      </c>
      <c r="F3472">
        <v>29313</v>
      </c>
      <c r="G3472" t="s">
        <v>2792</v>
      </c>
      <c r="H3472" s="4">
        <v>9625</v>
      </c>
      <c r="I3472" t="s">
        <v>31</v>
      </c>
      <c r="J3472" t="s">
        <v>48</v>
      </c>
      <c r="K3472" t="s">
        <v>2856</v>
      </c>
      <c r="L3472" s="2">
        <v>46054</v>
      </c>
      <c r="M3472" t="s">
        <v>50</v>
      </c>
      <c r="N3472">
        <v>0</v>
      </c>
      <c r="O3472" t="s">
        <v>31</v>
      </c>
      <c r="P3472" t="s">
        <v>28</v>
      </c>
      <c r="Q3472">
        <v>0</v>
      </c>
    </row>
    <row r="3473" spans="1:17" x14ac:dyDescent="0.3">
      <c r="A3473" t="s">
        <v>17</v>
      </c>
      <c r="B3473">
        <v>67</v>
      </c>
      <c r="C3473" t="s">
        <v>28</v>
      </c>
      <c r="D3473" s="2">
        <v>46067</v>
      </c>
      <c r="E3473" s="3">
        <f t="shared" si="54"/>
        <v>46054</v>
      </c>
      <c r="F3473">
        <v>29313</v>
      </c>
      <c r="G3473" t="s">
        <v>2792</v>
      </c>
      <c r="H3473" s="4">
        <v>5070</v>
      </c>
      <c r="I3473" t="s">
        <v>31</v>
      </c>
      <c r="J3473" t="s">
        <v>48</v>
      </c>
      <c r="K3473" t="s">
        <v>2858</v>
      </c>
      <c r="L3473" s="2">
        <v>46054</v>
      </c>
      <c r="M3473" t="s">
        <v>50</v>
      </c>
      <c r="N3473">
        <v>0</v>
      </c>
      <c r="O3473" t="s">
        <v>31</v>
      </c>
      <c r="P3473" t="s">
        <v>28</v>
      </c>
      <c r="Q3473">
        <v>0</v>
      </c>
    </row>
    <row r="3474" spans="1:17" x14ac:dyDescent="0.3">
      <c r="A3474" t="s">
        <v>17</v>
      </c>
      <c r="B3474">
        <v>67</v>
      </c>
      <c r="C3474" t="s">
        <v>28</v>
      </c>
      <c r="D3474" s="2">
        <v>46067</v>
      </c>
      <c r="E3474" s="3">
        <f t="shared" si="54"/>
        <v>46054</v>
      </c>
      <c r="F3474">
        <v>29313</v>
      </c>
      <c r="G3474" t="s">
        <v>2792</v>
      </c>
      <c r="H3474" s="4">
        <v>5200</v>
      </c>
      <c r="I3474" t="s">
        <v>31</v>
      </c>
      <c r="J3474" t="s">
        <v>48</v>
      </c>
      <c r="K3474" t="s">
        <v>2859</v>
      </c>
      <c r="L3474" s="2">
        <v>46054</v>
      </c>
      <c r="M3474" t="s">
        <v>50</v>
      </c>
      <c r="N3474">
        <v>0</v>
      </c>
      <c r="O3474" t="s">
        <v>31</v>
      </c>
      <c r="P3474" t="s">
        <v>28</v>
      </c>
      <c r="Q3474">
        <v>0</v>
      </c>
    </row>
    <row r="3475" spans="1:17" x14ac:dyDescent="0.3">
      <c r="A3475" t="s">
        <v>17</v>
      </c>
      <c r="B3475">
        <v>67</v>
      </c>
      <c r="C3475" t="s">
        <v>28</v>
      </c>
      <c r="D3475" s="2">
        <v>46071</v>
      </c>
      <c r="E3475" s="3">
        <f t="shared" si="54"/>
        <v>46054</v>
      </c>
      <c r="F3475" t="s">
        <v>2948</v>
      </c>
      <c r="G3475" t="s">
        <v>280</v>
      </c>
      <c r="H3475" s="4">
        <v>420</v>
      </c>
      <c r="I3475" t="s">
        <v>47</v>
      </c>
      <c r="J3475" t="s">
        <v>48</v>
      </c>
      <c r="K3475" t="s">
        <v>2940</v>
      </c>
      <c r="L3475" s="2">
        <v>46054</v>
      </c>
      <c r="M3475" t="s">
        <v>50</v>
      </c>
      <c r="N3475">
        <v>0</v>
      </c>
      <c r="O3475" t="s">
        <v>26</v>
      </c>
      <c r="P3475" t="s">
        <v>28</v>
      </c>
      <c r="Q3475">
        <v>0</v>
      </c>
    </row>
    <row r="3476" spans="1:17" x14ac:dyDescent="0.3">
      <c r="A3476" t="s">
        <v>17</v>
      </c>
      <c r="B3476">
        <v>67</v>
      </c>
      <c r="C3476" t="s">
        <v>28</v>
      </c>
      <c r="D3476" s="2">
        <v>46071</v>
      </c>
      <c r="E3476" s="3">
        <f t="shared" si="54"/>
        <v>46054</v>
      </c>
      <c r="F3476" t="s">
        <v>2948</v>
      </c>
      <c r="G3476" t="s">
        <v>280</v>
      </c>
      <c r="H3476" s="4">
        <v>150</v>
      </c>
      <c r="I3476" t="s">
        <v>47</v>
      </c>
      <c r="J3476" t="s">
        <v>48</v>
      </c>
      <c r="K3476" t="s">
        <v>2949</v>
      </c>
      <c r="L3476" s="2">
        <v>46054</v>
      </c>
      <c r="M3476" t="s">
        <v>50</v>
      </c>
      <c r="N3476">
        <v>0</v>
      </c>
      <c r="O3476" t="s">
        <v>26</v>
      </c>
      <c r="P3476" t="s">
        <v>28</v>
      </c>
      <c r="Q3476">
        <v>0</v>
      </c>
    </row>
    <row r="3477" spans="1:17" x14ac:dyDescent="0.3">
      <c r="A3477" t="s">
        <v>17</v>
      </c>
      <c r="B3477">
        <v>67</v>
      </c>
      <c r="C3477" t="s">
        <v>28</v>
      </c>
      <c r="D3477" s="2">
        <v>46071</v>
      </c>
      <c r="E3477" s="3">
        <f t="shared" si="54"/>
        <v>46054</v>
      </c>
      <c r="F3477" t="s">
        <v>2948</v>
      </c>
      <c r="G3477" t="s">
        <v>280</v>
      </c>
      <c r="H3477" s="4">
        <v>700</v>
      </c>
      <c r="I3477" t="s">
        <v>47</v>
      </c>
      <c r="J3477" t="s">
        <v>48</v>
      </c>
      <c r="K3477" t="s">
        <v>2940</v>
      </c>
      <c r="L3477" s="2">
        <v>46054</v>
      </c>
      <c r="M3477" t="s">
        <v>50</v>
      </c>
      <c r="N3477">
        <v>0</v>
      </c>
      <c r="O3477" t="s">
        <v>26</v>
      </c>
      <c r="P3477" t="s">
        <v>28</v>
      </c>
      <c r="Q3477">
        <v>0</v>
      </c>
    </row>
    <row r="3478" spans="1:17" x14ac:dyDescent="0.3">
      <c r="A3478" t="s">
        <v>17</v>
      </c>
      <c r="B3478">
        <v>67</v>
      </c>
      <c r="C3478" t="s">
        <v>28</v>
      </c>
      <c r="D3478" s="2">
        <v>46078</v>
      </c>
      <c r="E3478" s="3">
        <f t="shared" si="54"/>
        <v>46054</v>
      </c>
      <c r="F3478">
        <v>1225</v>
      </c>
      <c r="G3478" t="s">
        <v>2950</v>
      </c>
      <c r="H3478" s="4">
        <v>750</v>
      </c>
      <c r="I3478" t="s">
        <v>47</v>
      </c>
      <c r="J3478" t="s">
        <v>48</v>
      </c>
      <c r="K3478" t="s">
        <v>2951</v>
      </c>
      <c r="L3478" s="2">
        <v>46054</v>
      </c>
      <c r="M3478" t="s">
        <v>50</v>
      </c>
      <c r="N3478">
        <v>0</v>
      </c>
      <c r="O3478" t="s">
        <v>26</v>
      </c>
      <c r="P3478" t="s">
        <v>28</v>
      </c>
      <c r="Q3478">
        <v>0</v>
      </c>
    </row>
    <row r="3479" spans="1:17" x14ac:dyDescent="0.3">
      <c r="A3479" t="s">
        <v>17</v>
      </c>
      <c r="B3479">
        <v>67</v>
      </c>
      <c r="C3479" t="s">
        <v>28</v>
      </c>
      <c r="D3479" s="2">
        <v>46078</v>
      </c>
      <c r="E3479" s="3">
        <f t="shared" si="54"/>
        <v>46054</v>
      </c>
      <c r="F3479" t="s">
        <v>2952</v>
      </c>
      <c r="G3479" t="s">
        <v>2953</v>
      </c>
      <c r="H3479" s="4">
        <v>532.23</v>
      </c>
      <c r="I3479" t="s">
        <v>31</v>
      </c>
      <c r="J3479" t="s">
        <v>48</v>
      </c>
      <c r="K3479" t="s">
        <v>2954</v>
      </c>
      <c r="L3479" s="2">
        <v>46054</v>
      </c>
      <c r="M3479" t="s">
        <v>50</v>
      </c>
      <c r="N3479">
        <v>0</v>
      </c>
      <c r="O3479" t="s">
        <v>31</v>
      </c>
      <c r="P3479" t="s">
        <v>28</v>
      </c>
      <c r="Q3479">
        <v>0</v>
      </c>
    </row>
    <row r="3480" spans="1:17" x14ac:dyDescent="0.3">
      <c r="A3480" t="s">
        <v>17</v>
      </c>
      <c r="B3480">
        <v>67</v>
      </c>
      <c r="C3480" t="s">
        <v>28</v>
      </c>
      <c r="D3480" s="2">
        <v>46081</v>
      </c>
      <c r="E3480" s="3">
        <f t="shared" si="54"/>
        <v>46054</v>
      </c>
      <c r="F3480">
        <v>1142011</v>
      </c>
      <c r="G3480" t="s">
        <v>283</v>
      </c>
      <c r="H3480" s="4">
        <v>13.75</v>
      </c>
      <c r="I3480" t="s">
        <v>31</v>
      </c>
      <c r="J3480" t="s">
        <v>48</v>
      </c>
      <c r="K3480" t="s">
        <v>2955</v>
      </c>
      <c r="L3480" s="2">
        <v>46054</v>
      </c>
      <c r="M3480" t="s">
        <v>50</v>
      </c>
      <c r="N3480">
        <v>0</v>
      </c>
      <c r="O3480" t="s">
        <v>31</v>
      </c>
      <c r="P3480" t="s">
        <v>28</v>
      </c>
      <c r="Q3480">
        <v>0</v>
      </c>
    </row>
    <row r="3481" spans="1:17" x14ac:dyDescent="0.3">
      <c r="A3481" t="s">
        <v>17</v>
      </c>
      <c r="B3481">
        <v>67</v>
      </c>
      <c r="C3481" t="s">
        <v>28</v>
      </c>
      <c r="D3481" s="2">
        <v>46081</v>
      </c>
      <c r="E3481" s="3">
        <f t="shared" si="54"/>
        <v>46054</v>
      </c>
      <c r="F3481">
        <v>1142011</v>
      </c>
      <c r="G3481" t="s">
        <v>283</v>
      </c>
      <c r="H3481" s="4">
        <v>134.25</v>
      </c>
      <c r="I3481" t="s">
        <v>31</v>
      </c>
      <c r="J3481" t="s">
        <v>48</v>
      </c>
      <c r="K3481" t="s">
        <v>2956</v>
      </c>
      <c r="L3481" s="2">
        <v>46054</v>
      </c>
      <c r="M3481" t="s">
        <v>50</v>
      </c>
      <c r="N3481">
        <v>0</v>
      </c>
      <c r="O3481" t="s">
        <v>31</v>
      </c>
      <c r="P3481" t="s">
        <v>28</v>
      </c>
      <c r="Q3481">
        <v>0</v>
      </c>
    </row>
    <row r="3482" spans="1:17" x14ac:dyDescent="0.3">
      <c r="A3482" t="s">
        <v>17</v>
      </c>
      <c r="B3482">
        <v>67</v>
      </c>
      <c r="C3482" t="s">
        <v>28</v>
      </c>
      <c r="D3482" s="2">
        <v>46081</v>
      </c>
      <c r="E3482" s="3">
        <f t="shared" si="54"/>
        <v>46054</v>
      </c>
      <c r="F3482">
        <v>1142011</v>
      </c>
      <c r="G3482" t="s">
        <v>283</v>
      </c>
      <c r="H3482" s="4">
        <v>27</v>
      </c>
      <c r="I3482" t="s">
        <v>31</v>
      </c>
      <c r="J3482" t="s">
        <v>48</v>
      </c>
      <c r="K3482" t="s">
        <v>2957</v>
      </c>
      <c r="L3482" s="2">
        <v>46054</v>
      </c>
      <c r="M3482" t="s">
        <v>50</v>
      </c>
      <c r="N3482">
        <v>0</v>
      </c>
      <c r="O3482" t="s">
        <v>31</v>
      </c>
      <c r="P3482" t="s">
        <v>28</v>
      </c>
      <c r="Q3482">
        <v>0</v>
      </c>
    </row>
    <row r="3483" spans="1:17" x14ac:dyDescent="0.3">
      <c r="A3483" t="s">
        <v>17</v>
      </c>
      <c r="B3483">
        <v>67</v>
      </c>
      <c r="C3483" t="s">
        <v>28</v>
      </c>
      <c r="D3483" s="2">
        <v>46081</v>
      </c>
      <c r="E3483" s="3">
        <f t="shared" si="54"/>
        <v>46054</v>
      </c>
      <c r="F3483" t="s">
        <v>2958</v>
      </c>
      <c r="H3483" s="4">
        <v>-55974.75</v>
      </c>
      <c r="I3483" t="s">
        <v>31</v>
      </c>
      <c r="J3483" t="s">
        <v>48</v>
      </c>
      <c r="K3483" t="s">
        <v>2959</v>
      </c>
      <c r="L3483" s="2">
        <v>46054</v>
      </c>
      <c r="M3483" t="s">
        <v>50</v>
      </c>
      <c r="N3483">
        <v>0</v>
      </c>
      <c r="O3483" t="s">
        <v>31</v>
      </c>
      <c r="P3483" t="s">
        <v>28</v>
      </c>
      <c r="Q3483">
        <v>0</v>
      </c>
    </row>
    <row r="3484" spans="1:17" x14ac:dyDescent="0.3">
      <c r="A3484" t="s">
        <v>17</v>
      </c>
      <c r="B3484">
        <v>67</v>
      </c>
      <c r="C3484" t="s">
        <v>28</v>
      </c>
      <c r="D3484" s="2">
        <v>46081</v>
      </c>
      <c r="E3484" s="3">
        <f t="shared" si="54"/>
        <v>46054</v>
      </c>
      <c r="F3484" t="s">
        <v>2960</v>
      </c>
      <c r="H3484" s="4">
        <v>833.34</v>
      </c>
      <c r="I3484" t="s">
        <v>31</v>
      </c>
      <c r="J3484" t="s">
        <v>48</v>
      </c>
      <c r="K3484" t="s">
        <v>937</v>
      </c>
      <c r="L3484" s="2">
        <v>46054</v>
      </c>
      <c r="M3484" t="s">
        <v>50</v>
      </c>
      <c r="N3484">
        <v>0</v>
      </c>
      <c r="O3484" t="s">
        <v>31</v>
      </c>
      <c r="P3484" t="s">
        <v>28</v>
      </c>
      <c r="Q3484">
        <v>0</v>
      </c>
    </row>
    <row r="3485" spans="1:17" x14ac:dyDescent="0.3">
      <c r="A3485" t="s">
        <v>17</v>
      </c>
      <c r="B3485">
        <v>63</v>
      </c>
      <c r="C3485" t="s">
        <v>18</v>
      </c>
      <c r="D3485" s="2">
        <v>46054</v>
      </c>
      <c r="E3485" s="3">
        <f t="shared" si="54"/>
        <v>46054</v>
      </c>
      <c r="F3485" t="s">
        <v>2961</v>
      </c>
      <c r="H3485" s="4">
        <v>-12000</v>
      </c>
      <c r="I3485" t="s">
        <v>47</v>
      </c>
      <c r="J3485" t="s">
        <v>272</v>
      </c>
      <c r="K3485" t="s">
        <v>2865</v>
      </c>
      <c r="L3485" s="2">
        <v>46054</v>
      </c>
      <c r="M3485" t="s">
        <v>272</v>
      </c>
      <c r="N3485">
        <v>0</v>
      </c>
      <c r="O3485" t="s">
        <v>26</v>
      </c>
      <c r="P3485" t="s">
        <v>18</v>
      </c>
      <c r="Q3485" t="s">
        <v>274</v>
      </c>
    </row>
    <row r="3486" spans="1:17" x14ac:dyDescent="0.3">
      <c r="A3486" t="s">
        <v>17</v>
      </c>
      <c r="B3486">
        <v>63</v>
      </c>
      <c r="C3486" t="s">
        <v>18</v>
      </c>
      <c r="D3486" s="2">
        <v>46056</v>
      </c>
      <c r="E3486" s="3">
        <f t="shared" si="54"/>
        <v>46054</v>
      </c>
      <c r="F3486">
        <v>260202</v>
      </c>
      <c r="G3486" t="s">
        <v>271</v>
      </c>
      <c r="H3486" s="4">
        <v>1679</v>
      </c>
      <c r="I3486" t="s">
        <v>47</v>
      </c>
      <c r="J3486" t="s">
        <v>272</v>
      </c>
      <c r="K3486" t="s">
        <v>2962</v>
      </c>
      <c r="L3486" s="2">
        <v>46054</v>
      </c>
      <c r="M3486" t="s">
        <v>272</v>
      </c>
      <c r="N3486">
        <v>0</v>
      </c>
      <c r="O3486" t="s">
        <v>26</v>
      </c>
      <c r="P3486" t="s">
        <v>18</v>
      </c>
      <c r="Q3486" t="s">
        <v>274</v>
      </c>
    </row>
    <row r="3487" spans="1:17" x14ac:dyDescent="0.3">
      <c r="A3487" t="s">
        <v>17</v>
      </c>
      <c r="B3487">
        <v>63</v>
      </c>
      <c r="C3487" t="s">
        <v>18</v>
      </c>
      <c r="D3487" s="2">
        <v>46056</v>
      </c>
      <c r="E3487" s="3">
        <f t="shared" si="54"/>
        <v>46054</v>
      </c>
      <c r="F3487">
        <v>260202</v>
      </c>
      <c r="G3487" t="s">
        <v>271</v>
      </c>
      <c r="H3487" s="4">
        <v>400</v>
      </c>
      <c r="I3487" t="s">
        <v>47</v>
      </c>
      <c r="J3487" t="s">
        <v>272</v>
      </c>
      <c r="K3487" t="s">
        <v>2500</v>
      </c>
      <c r="L3487" s="2">
        <v>46054</v>
      </c>
      <c r="M3487" t="s">
        <v>272</v>
      </c>
      <c r="N3487">
        <v>0</v>
      </c>
      <c r="O3487" t="s">
        <v>26</v>
      </c>
      <c r="P3487" t="s">
        <v>18</v>
      </c>
      <c r="Q3487" t="s">
        <v>274</v>
      </c>
    </row>
    <row r="3488" spans="1:17" x14ac:dyDescent="0.3">
      <c r="A3488" t="s">
        <v>17</v>
      </c>
      <c r="B3488">
        <v>63</v>
      </c>
      <c r="C3488" t="s">
        <v>18</v>
      </c>
      <c r="D3488" s="2">
        <v>46056</v>
      </c>
      <c r="E3488" s="3">
        <f t="shared" si="54"/>
        <v>46054</v>
      </c>
      <c r="F3488">
        <v>260202</v>
      </c>
      <c r="G3488" t="s">
        <v>271</v>
      </c>
      <c r="H3488" s="4">
        <v>50</v>
      </c>
      <c r="I3488" t="s">
        <v>47</v>
      </c>
      <c r="J3488" t="s">
        <v>272</v>
      </c>
      <c r="K3488" t="s">
        <v>2501</v>
      </c>
      <c r="L3488" s="2">
        <v>46054</v>
      </c>
      <c r="M3488" t="s">
        <v>272</v>
      </c>
      <c r="N3488">
        <v>0</v>
      </c>
      <c r="O3488" t="s">
        <v>26</v>
      </c>
      <c r="P3488" t="s">
        <v>18</v>
      </c>
      <c r="Q3488" t="s">
        <v>274</v>
      </c>
    </row>
    <row r="3489" spans="1:17" x14ac:dyDescent="0.3">
      <c r="A3489" t="s">
        <v>17</v>
      </c>
      <c r="B3489">
        <v>63</v>
      </c>
      <c r="C3489" t="s">
        <v>18</v>
      </c>
      <c r="D3489" s="2">
        <v>46056</v>
      </c>
      <c r="E3489" s="3">
        <f t="shared" si="54"/>
        <v>46054</v>
      </c>
      <c r="F3489">
        <v>260202</v>
      </c>
      <c r="G3489" t="s">
        <v>271</v>
      </c>
      <c r="H3489" s="4">
        <v>200</v>
      </c>
      <c r="I3489" t="s">
        <v>47</v>
      </c>
      <c r="J3489" t="s">
        <v>272</v>
      </c>
      <c r="K3489" t="s">
        <v>1218</v>
      </c>
      <c r="L3489" s="2">
        <v>46054</v>
      </c>
      <c r="M3489" t="s">
        <v>272</v>
      </c>
      <c r="N3489">
        <v>0</v>
      </c>
      <c r="O3489" t="s">
        <v>26</v>
      </c>
      <c r="P3489" t="s">
        <v>18</v>
      </c>
      <c r="Q3489" t="s">
        <v>274</v>
      </c>
    </row>
    <row r="3490" spans="1:17" x14ac:dyDescent="0.3">
      <c r="A3490" t="s">
        <v>17</v>
      </c>
      <c r="B3490">
        <v>63</v>
      </c>
      <c r="C3490" t="s">
        <v>18</v>
      </c>
      <c r="D3490" s="2">
        <v>46056</v>
      </c>
      <c r="E3490" s="3">
        <f t="shared" si="54"/>
        <v>46054</v>
      </c>
      <c r="F3490">
        <v>260202</v>
      </c>
      <c r="G3490" t="s">
        <v>271</v>
      </c>
      <c r="H3490" s="4">
        <v>850</v>
      </c>
      <c r="I3490" t="s">
        <v>47</v>
      </c>
      <c r="J3490" t="s">
        <v>272</v>
      </c>
      <c r="K3490" t="s">
        <v>2963</v>
      </c>
      <c r="L3490" s="2">
        <v>46054</v>
      </c>
      <c r="M3490" t="s">
        <v>272</v>
      </c>
      <c r="N3490">
        <v>0</v>
      </c>
      <c r="O3490" t="s">
        <v>26</v>
      </c>
      <c r="P3490" t="s">
        <v>18</v>
      </c>
      <c r="Q3490" t="s">
        <v>274</v>
      </c>
    </row>
    <row r="3491" spans="1:17" x14ac:dyDescent="0.3">
      <c r="A3491" t="s">
        <v>17</v>
      </c>
      <c r="B3491">
        <v>63</v>
      </c>
      <c r="C3491" t="s">
        <v>18</v>
      </c>
      <c r="D3491" s="2">
        <v>46056</v>
      </c>
      <c r="E3491" s="3">
        <f t="shared" si="54"/>
        <v>46054</v>
      </c>
      <c r="F3491">
        <v>260202</v>
      </c>
      <c r="G3491" t="s">
        <v>271</v>
      </c>
      <c r="H3491" s="4">
        <v>400</v>
      </c>
      <c r="I3491" t="s">
        <v>47</v>
      </c>
      <c r="J3491" t="s">
        <v>272</v>
      </c>
      <c r="K3491" t="s">
        <v>1220</v>
      </c>
      <c r="L3491" s="2">
        <v>46054</v>
      </c>
      <c r="M3491" t="s">
        <v>272</v>
      </c>
      <c r="N3491">
        <v>0</v>
      </c>
      <c r="O3491" t="s">
        <v>26</v>
      </c>
      <c r="P3491" t="s">
        <v>18</v>
      </c>
      <c r="Q3491" t="s">
        <v>274</v>
      </c>
    </row>
    <row r="3492" spans="1:17" x14ac:dyDescent="0.3">
      <c r="A3492" t="s">
        <v>17</v>
      </c>
      <c r="B3492">
        <v>63</v>
      </c>
      <c r="C3492" t="s">
        <v>18</v>
      </c>
      <c r="D3492" s="2">
        <v>46056</v>
      </c>
      <c r="E3492" s="3">
        <f t="shared" si="54"/>
        <v>46054</v>
      </c>
      <c r="F3492">
        <v>260202</v>
      </c>
      <c r="G3492" t="s">
        <v>271</v>
      </c>
      <c r="H3492" s="4">
        <v>1600</v>
      </c>
      <c r="I3492" t="s">
        <v>47</v>
      </c>
      <c r="J3492" t="s">
        <v>272</v>
      </c>
      <c r="K3492" t="s">
        <v>1221</v>
      </c>
      <c r="L3492" s="2">
        <v>46054</v>
      </c>
      <c r="M3492" t="s">
        <v>272</v>
      </c>
      <c r="N3492">
        <v>0</v>
      </c>
      <c r="O3492" t="s">
        <v>26</v>
      </c>
      <c r="P3492" t="s">
        <v>18</v>
      </c>
      <c r="Q3492" t="s">
        <v>274</v>
      </c>
    </row>
    <row r="3493" spans="1:17" x14ac:dyDescent="0.3">
      <c r="A3493" t="s">
        <v>17</v>
      </c>
      <c r="B3493">
        <v>63</v>
      </c>
      <c r="C3493" t="s">
        <v>18</v>
      </c>
      <c r="D3493" s="2">
        <v>46066</v>
      </c>
      <c r="E3493" s="3">
        <f t="shared" si="54"/>
        <v>46054</v>
      </c>
      <c r="F3493" t="s">
        <v>2964</v>
      </c>
      <c r="G3493" t="s">
        <v>2245</v>
      </c>
      <c r="H3493" s="4">
        <v>50</v>
      </c>
      <c r="I3493" t="s">
        <v>47</v>
      </c>
      <c r="J3493" t="s">
        <v>272</v>
      </c>
      <c r="K3493" t="s">
        <v>2398</v>
      </c>
      <c r="L3493" s="2">
        <v>46054</v>
      </c>
      <c r="M3493" t="s">
        <v>272</v>
      </c>
      <c r="N3493">
        <v>0</v>
      </c>
      <c r="O3493" t="s">
        <v>26</v>
      </c>
      <c r="P3493" t="s">
        <v>18</v>
      </c>
      <c r="Q3493" t="s">
        <v>274</v>
      </c>
    </row>
    <row r="3494" spans="1:17" x14ac:dyDescent="0.3">
      <c r="A3494" t="s">
        <v>17</v>
      </c>
      <c r="B3494">
        <v>63</v>
      </c>
      <c r="C3494" t="s">
        <v>18</v>
      </c>
      <c r="D3494" s="2">
        <v>46066</v>
      </c>
      <c r="E3494" s="3">
        <f t="shared" si="54"/>
        <v>46054</v>
      </c>
      <c r="F3494" t="s">
        <v>2964</v>
      </c>
      <c r="G3494" t="s">
        <v>2245</v>
      </c>
      <c r="H3494" s="4">
        <v>200</v>
      </c>
      <c r="I3494" t="s">
        <v>47</v>
      </c>
      <c r="J3494" t="s">
        <v>272</v>
      </c>
      <c r="K3494" t="s">
        <v>2398</v>
      </c>
      <c r="L3494" s="2">
        <v>46054</v>
      </c>
      <c r="M3494" t="s">
        <v>272</v>
      </c>
      <c r="N3494">
        <v>0</v>
      </c>
      <c r="O3494" t="s">
        <v>26</v>
      </c>
      <c r="P3494" t="s">
        <v>18</v>
      </c>
      <c r="Q3494" t="s">
        <v>274</v>
      </c>
    </row>
    <row r="3495" spans="1:17" x14ac:dyDescent="0.3">
      <c r="A3495" t="s">
        <v>17</v>
      </c>
      <c r="B3495">
        <v>63</v>
      </c>
      <c r="C3495" t="s">
        <v>18</v>
      </c>
      <c r="D3495" s="2">
        <v>46066</v>
      </c>
      <c r="E3495" s="3">
        <f t="shared" si="54"/>
        <v>46054</v>
      </c>
      <c r="F3495" t="s">
        <v>2964</v>
      </c>
      <c r="G3495" t="s">
        <v>2245</v>
      </c>
      <c r="H3495" s="4">
        <v>92</v>
      </c>
      <c r="I3495" t="s">
        <v>47</v>
      </c>
      <c r="J3495" t="s">
        <v>272</v>
      </c>
      <c r="K3495" t="s">
        <v>2397</v>
      </c>
      <c r="L3495" s="2">
        <v>46054</v>
      </c>
      <c r="M3495" t="s">
        <v>272</v>
      </c>
      <c r="N3495">
        <v>0</v>
      </c>
      <c r="O3495" t="s">
        <v>26</v>
      </c>
      <c r="P3495" t="s">
        <v>18</v>
      </c>
      <c r="Q3495" t="s">
        <v>274</v>
      </c>
    </row>
    <row r="3496" spans="1:17" x14ac:dyDescent="0.3">
      <c r="A3496" t="s">
        <v>17</v>
      </c>
      <c r="B3496">
        <v>63</v>
      </c>
      <c r="C3496" t="s">
        <v>18</v>
      </c>
      <c r="D3496" s="2">
        <v>46066</v>
      </c>
      <c r="E3496" s="3">
        <f t="shared" si="54"/>
        <v>46054</v>
      </c>
      <c r="F3496" t="s">
        <v>2964</v>
      </c>
      <c r="G3496" t="s">
        <v>2245</v>
      </c>
      <c r="H3496" s="4">
        <v>2622</v>
      </c>
      <c r="I3496" t="s">
        <v>47</v>
      </c>
      <c r="J3496" t="s">
        <v>272</v>
      </c>
      <c r="K3496" t="s">
        <v>2965</v>
      </c>
      <c r="L3496" s="2">
        <v>46054</v>
      </c>
      <c r="M3496" t="s">
        <v>272</v>
      </c>
      <c r="N3496">
        <v>0</v>
      </c>
      <c r="O3496" t="s">
        <v>26</v>
      </c>
      <c r="P3496" t="s">
        <v>18</v>
      </c>
      <c r="Q3496" t="s">
        <v>274</v>
      </c>
    </row>
    <row r="3497" spans="1:17" x14ac:dyDescent="0.3">
      <c r="A3497" t="s">
        <v>17</v>
      </c>
      <c r="B3497">
        <v>63</v>
      </c>
      <c r="C3497" t="s">
        <v>18</v>
      </c>
      <c r="D3497" s="2">
        <v>46066</v>
      </c>
      <c r="E3497" s="3">
        <f t="shared" si="54"/>
        <v>46054</v>
      </c>
      <c r="F3497" t="s">
        <v>2964</v>
      </c>
      <c r="G3497" t="s">
        <v>2245</v>
      </c>
      <c r="H3497" s="4">
        <v>1000</v>
      </c>
      <c r="I3497" t="s">
        <v>47</v>
      </c>
      <c r="J3497" t="s">
        <v>272</v>
      </c>
      <c r="K3497" t="s">
        <v>2398</v>
      </c>
      <c r="L3497" s="2">
        <v>46054</v>
      </c>
      <c r="M3497" t="s">
        <v>272</v>
      </c>
      <c r="N3497">
        <v>0</v>
      </c>
      <c r="O3497" t="s">
        <v>26</v>
      </c>
      <c r="P3497" t="s">
        <v>18</v>
      </c>
      <c r="Q3497" t="s">
        <v>274</v>
      </c>
    </row>
    <row r="3498" spans="1:17" x14ac:dyDescent="0.3">
      <c r="A3498" t="s">
        <v>17</v>
      </c>
      <c r="B3498">
        <v>63</v>
      </c>
      <c r="C3498" t="s">
        <v>18</v>
      </c>
      <c r="D3498" s="2">
        <v>46066</v>
      </c>
      <c r="E3498" s="3">
        <f t="shared" si="54"/>
        <v>46054</v>
      </c>
      <c r="F3498" t="s">
        <v>2964</v>
      </c>
      <c r="G3498" t="s">
        <v>2245</v>
      </c>
      <c r="H3498" s="4">
        <v>276</v>
      </c>
      <c r="I3498" t="s">
        <v>47</v>
      </c>
      <c r="J3498" t="s">
        <v>272</v>
      </c>
      <c r="K3498" t="s">
        <v>2395</v>
      </c>
      <c r="L3498" s="2">
        <v>46054</v>
      </c>
      <c r="M3498" t="s">
        <v>272</v>
      </c>
      <c r="N3498">
        <v>0</v>
      </c>
      <c r="O3498" t="s">
        <v>26</v>
      </c>
      <c r="P3498" t="s">
        <v>18</v>
      </c>
      <c r="Q3498" t="s">
        <v>274</v>
      </c>
    </row>
    <row r="3499" spans="1:17" x14ac:dyDescent="0.3">
      <c r="A3499" t="s">
        <v>17</v>
      </c>
      <c r="B3499">
        <v>63</v>
      </c>
      <c r="C3499" t="s">
        <v>18</v>
      </c>
      <c r="D3499" s="2">
        <v>46066</v>
      </c>
      <c r="E3499" s="3">
        <f t="shared" si="54"/>
        <v>46054</v>
      </c>
      <c r="F3499" t="s">
        <v>2964</v>
      </c>
      <c r="G3499" t="s">
        <v>2245</v>
      </c>
      <c r="H3499" s="4">
        <v>400</v>
      </c>
      <c r="I3499" t="s">
        <v>47</v>
      </c>
      <c r="J3499" t="s">
        <v>272</v>
      </c>
      <c r="K3499" t="s">
        <v>2398</v>
      </c>
      <c r="L3499" s="2">
        <v>46054</v>
      </c>
      <c r="M3499" t="s">
        <v>272</v>
      </c>
      <c r="N3499">
        <v>0</v>
      </c>
      <c r="O3499" t="s">
        <v>26</v>
      </c>
      <c r="P3499" t="s">
        <v>18</v>
      </c>
      <c r="Q3499" t="s">
        <v>274</v>
      </c>
    </row>
    <row r="3500" spans="1:17" x14ac:dyDescent="0.3">
      <c r="A3500" t="s">
        <v>17</v>
      </c>
      <c r="B3500">
        <v>63</v>
      </c>
      <c r="C3500" t="s">
        <v>18</v>
      </c>
      <c r="D3500" s="2">
        <v>46066</v>
      </c>
      <c r="E3500" s="3">
        <f t="shared" si="54"/>
        <v>46054</v>
      </c>
      <c r="F3500" t="s">
        <v>2964</v>
      </c>
      <c r="G3500" t="s">
        <v>2245</v>
      </c>
      <c r="H3500" s="4">
        <v>350</v>
      </c>
      <c r="I3500" t="s">
        <v>47</v>
      </c>
      <c r="J3500" t="s">
        <v>272</v>
      </c>
      <c r="K3500" t="s">
        <v>2398</v>
      </c>
      <c r="L3500" s="2">
        <v>46054</v>
      </c>
      <c r="M3500" t="s">
        <v>272</v>
      </c>
      <c r="N3500">
        <v>0</v>
      </c>
      <c r="O3500" t="s">
        <v>26</v>
      </c>
      <c r="P3500" t="s">
        <v>18</v>
      </c>
      <c r="Q3500" t="s">
        <v>274</v>
      </c>
    </row>
    <row r="3501" spans="1:17" x14ac:dyDescent="0.3">
      <c r="A3501" t="s">
        <v>17</v>
      </c>
      <c r="B3501">
        <v>63</v>
      </c>
      <c r="C3501" t="s">
        <v>18</v>
      </c>
      <c r="D3501" s="2">
        <v>46066</v>
      </c>
      <c r="E3501" s="3">
        <f t="shared" si="54"/>
        <v>46054</v>
      </c>
      <c r="F3501" t="s">
        <v>2964</v>
      </c>
      <c r="G3501" t="s">
        <v>2245</v>
      </c>
      <c r="H3501" s="4">
        <v>500</v>
      </c>
      <c r="I3501" t="s">
        <v>47</v>
      </c>
      <c r="J3501" t="s">
        <v>272</v>
      </c>
      <c r="K3501" t="s">
        <v>2398</v>
      </c>
      <c r="L3501" s="2">
        <v>46054</v>
      </c>
      <c r="M3501" t="s">
        <v>272</v>
      </c>
      <c r="N3501">
        <v>0</v>
      </c>
      <c r="O3501" t="s">
        <v>26</v>
      </c>
      <c r="P3501" t="s">
        <v>18</v>
      </c>
      <c r="Q3501" t="s">
        <v>274</v>
      </c>
    </row>
    <row r="3502" spans="1:17" x14ac:dyDescent="0.3">
      <c r="A3502" t="s">
        <v>17</v>
      </c>
      <c r="B3502">
        <v>63</v>
      </c>
      <c r="C3502" t="s">
        <v>18</v>
      </c>
      <c r="D3502" s="2">
        <v>46066</v>
      </c>
      <c r="E3502" s="3">
        <f t="shared" si="54"/>
        <v>46054</v>
      </c>
      <c r="F3502" t="s">
        <v>2964</v>
      </c>
      <c r="G3502" t="s">
        <v>2245</v>
      </c>
      <c r="H3502" s="4">
        <v>276</v>
      </c>
      <c r="I3502" t="s">
        <v>47</v>
      </c>
      <c r="J3502" t="s">
        <v>272</v>
      </c>
      <c r="K3502" t="s">
        <v>2396</v>
      </c>
      <c r="L3502" s="2">
        <v>46054</v>
      </c>
      <c r="M3502" t="s">
        <v>272</v>
      </c>
      <c r="N3502">
        <v>0</v>
      </c>
      <c r="O3502" t="s">
        <v>26</v>
      </c>
      <c r="P3502" t="s">
        <v>18</v>
      </c>
      <c r="Q3502" t="s">
        <v>274</v>
      </c>
    </row>
    <row r="3503" spans="1:17" x14ac:dyDescent="0.3">
      <c r="A3503" t="s">
        <v>17</v>
      </c>
      <c r="B3503">
        <v>63</v>
      </c>
      <c r="C3503" t="s">
        <v>18</v>
      </c>
      <c r="D3503" s="2">
        <v>46066</v>
      </c>
      <c r="E3503" s="3">
        <f t="shared" si="54"/>
        <v>46054</v>
      </c>
      <c r="F3503" t="s">
        <v>2964</v>
      </c>
      <c r="G3503" t="s">
        <v>2245</v>
      </c>
      <c r="H3503" s="4">
        <v>1400</v>
      </c>
      <c r="I3503" t="s">
        <v>47</v>
      </c>
      <c r="J3503" t="s">
        <v>272</v>
      </c>
      <c r="K3503" t="s">
        <v>2398</v>
      </c>
      <c r="L3503" s="2">
        <v>46054</v>
      </c>
      <c r="M3503" t="s">
        <v>272</v>
      </c>
      <c r="N3503">
        <v>0</v>
      </c>
      <c r="O3503" t="s">
        <v>26</v>
      </c>
      <c r="P3503" t="s">
        <v>18</v>
      </c>
      <c r="Q3503" t="s">
        <v>274</v>
      </c>
    </row>
    <row r="3504" spans="1:17" x14ac:dyDescent="0.3">
      <c r="A3504" t="s">
        <v>17</v>
      </c>
      <c r="B3504">
        <v>63</v>
      </c>
      <c r="C3504" t="s">
        <v>18</v>
      </c>
      <c r="D3504" s="2">
        <v>46066</v>
      </c>
      <c r="E3504" s="3">
        <f t="shared" si="54"/>
        <v>46054</v>
      </c>
      <c r="F3504" t="s">
        <v>2964</v>
      </c>
      <c r="G3504" t="s">
        <v>2245</v>
      </c>
      <c r="H3504" s="4">
        <v>650</v>
      </c>
      <c r="I3504" t="s">
        <v>47</v>
      </c>
      <c r="J3504" t="s">
        <v>272</v>
      </c>
      <c r="K3504" t="s">
        <v>2398</v>
      </c>
      <c r="L3504" s="2">
        <v>46054</v>
      </c>
      <c r="M3504" t="s">
        <v>272</v>
      </c>
      <c r="N3504">
        <v>0</v>
      </c>
      <c r="O3504" t="s">
        <v>26</v>
      </c>
      <c r="P3504" t="s">
        <v>18</v>
      </c>
      <c r="Q3504" t="s">
        <v>274</v>
      </c>
    </row>
    <row r="3505" spans="1:17" x14ac:dyDescent="0.3">
      <c r="A3505" t="s">
        <v>17</v>
      </c>
      <c r="B3505">
        <v>63</v>
      </c>
      <c r="C3505" t="s">
        <v>18</v>
      </c>
      <c r="D3505" s="2">
        <v>46066</v>
      </c>
      <c r="E3505" s="3">
        <f t="shared" si="54"/>
        <v>46054</v>
      </c>
      <c r="F3505" t="s">
        <v>2964</v>
      </c>
      <c r="G3505" t="s">
        <v>2245</v>
      </c>
      <c r="H3505" s="4">
        <v>50</v>
      </c>
      <c r="I3505" t="s">
        <v>47</v>
      </c>
      <c r="J3505" t="s">
        <v>272</v>
      </c>
      <c r="K3505" t="s">
        <v>2398</v>
      </c>
      <c r="L3505" s="2">
        <v>46054</v>
      </c>
      <c r="M3505" t="s">
        <v>272</v>
      </c>
      <c r="N3505">
        <v>0</v>
      </c>
      <c r="O3505" t="s">
        <v>26</v>
      </c>
      <c r="P3505" t="s">
        <v>18</v>
      </c>
      <c r="Q3505" t="s">
        <v>274</v>
      </c>
    </row>
    <row r="3506" spans="1:17" x14ac:dyDescent="0.3">
      <c r="A3506" t="s">
        <v>17</v>
      </c>
      <c r="B3506">
        <v>63</v>
      </c>
      <c r="C3506" t="s">
        <v>18</v>
      </c>
      <c r="D3506" s="2">
        <v>46070</v>
      </c>
      <c r="E3506" s="3">
        <f t="shared" si="54"/>
        <v>46054</v>
      </c>
      <c r="F3506" s="6">
        <v>46054</v>
      </c>
      <c r="G3506" t="s">
        <v>1962</v>
      </c>
      <c r="H3506" s="4">
        <v>600</v>
      </c>
      <c r="I3506" t="s">
        <v>47</v>
      </c>
      <c r="J3506" t="s">
        <v>272</v>
      </c>
      <c r="K3506" t="s">
        <v>2966</v>
      </c>
      <c r="L3506" s="2">
        <v>46054</v>
      </c>
      <c r="M3506" t="s">
        <v>272</v>
      </c>
      <c r="N3506">
        <v>0</v>
      </c>
      <c r="O3506" t="s">
        <v>26</v>
      </c>
      <c r="P3506" t="s">
        <v>18</v>
      </c>
      <c r="Q3506" t="s">
        <v>274</v>
      </c>
    </row>
    <row r="3507" spans="1:17" x14ac:dyDescent="0.3">
      <c r="A3507" t="s">
        <v>17</v>
      </c>
      <c r="B3507">
        <v>63</v>
      </c>
      <c r="C3507" t="s">
        <v>18</v>
      </c>
      <c r="D3507" s="2">
        <v>46070</v>
      </c>
      <c r="E3507" s="3">
        <f t="shared" si="54"/>
        <v>46054</v>
      </c>
      <c r="F3507">
        <v>260217</v>
      </c>
      <c r="G3507" t="s">
        <v>271</v>
      </c>
      <c r="H3507" s="4">
        <v>1044</v>
      </c>
      <c r="I3507" t="s">
        <v>47</v>
      </c>
      <c r="J3507" t="s">
        <v>272</v>
      </c>
      <c r="K3507" t="s">
        <v>2967</v>
      </c>
      <c r="L3507" s="2">
        <v>46054</v>
      </c>
      <c r="M3507" t="s">
        <v>272</v>
      </c>
      <c r="N3507">
        <v>0</v>
      </c>
      <c r="O3507" t="s">
        <v>26</v>
      </c>
      <c r="P3507" t="s">
        <v>18</v>
      </c>
      <c r="Q3507" t="s">
        <v>274</v>
      </c>
    </row>
    <row r="3508" spans="1:17" x14ac:dyDescent="0.3">
      <c r="A3508" t="s">
        <v>17</v>
      </c>
      <c r="B3508">
        <v>63</v>
      </c>
      <c r="C3508" t="s">
        <v>18</v>
      </c>
      <c r="D3508" s="2">
        <v>46070</v>
      </c>
      <c r="E3508" s="3">
        <f t="shared" si="54"/>
        <v>46054</v>
      </c>
      <c r="F3508">
        <v>260217</v>
      </c>
      <c r="G3508" t="s">
        <v>271</v>
      </c>
      <c r="H3508" s="4">
        <v>1809</v>
      </c>
      <c r="I3508" t="s">
        <v>47</v>
      </c>
      <c r="J3508" t="s">
        <v>272</v>
      </c>
      <c r="K3508" t="s">
        <v>2968</v>
      </c>
      <c r="L3508" s="2">
        <v>46054</v>
      </c>
      <c r="M3508" t="s">
        <v>272</v>
      </c>
      <c r="N3508">
        <v>0</v>
      </c>
      <c r="O3508" t="s">
        <v>26</v>
      </c>
      <c r="P3508" t="s">
        <v>18</v>
      </c>
      <c r="Q3508" t="s">
        <v>274</v>
      </c>
    </row>
    <row r="3509" spans="1:17" x14ac:dyDescent="0.3">
      <c r="A3509" t="s">
        <v>17</v>
      </c>
      <c r="B3509">
        <v>63</v>
      </c>
      <c r="C3509" t="s">
        <v>18</v>
      </c>
      <c r="D3509" s="2">
        <v>46070</v>
      </c>
      <c r="E3509" s="3">
        <f t="shared" si="54"/>
        <v>46054</v>
      </c>
      <c r="F3509">
        <v>260217</v>
      </c>
      <c r="G3509" t="s">
        <v>271</v>
      </c>
      <c r="H3509" s="4">
        <v>150</v>
      </c>
      <c r="I3509" t="s">
        <v>47</v>
      </c>
      <c r="J3509" t="s">
        <v>272</v>
      </c>
      <c r="K3509" t="s">
        <v>2969</v>
      </c>
      <c r="L3509" s="2">
        <v>46054</v>
      </c>
      <c r="M3509" t="s">
        <v>272</v>
      </c>
      <c r="N3509">
        <v>0</v>
      </c>
      <c r="O3509" t="s">
        <v>26</v>
      </c>
      <c r="P3509" t="s">
        <v>18</v>
      </c>
      <c r="Q3509" t="s">
        <v>274</v>
      </c>
    </row>
    <row r="3510" spans="1:17" x14ac:dyDescent="0.3">
      <c r="A3510" t="s">
        <v>17</v>
      </c>
      <c r="B3510">
        <v>63</v>
      </c>
      <c r="C3510" t="s">
        <v>18</v>
      </c>
      <c r="D3510" s="2">
        <v>46070</v>
      </c>
      <c r="E3510" s="3">
        <f t="shared" si="54"/>
        <v>46054</v>
      </c>
      <c r="F3510">
        <v>260217</v>
      </c>
      <c r="G3510" t="s">
        <v>271</v>
      </c>
      <c r="H3510" s="4">
        <v>450</v>
      </c>
      <c r="I3510" t="s">
        <v>47</v>
      </c>
      <c r="J3510" t="s">
        <v>272</v>
      </c>
      <c r="K3510" t="s">
        <v>2500</v>
      </c>
      <c r="L3510" s="2">
        <v>46054</v>
      </c>
      <c r="M3510" t="s">
        <v>272</v>
      </c>
      <c r="N3510">
        <v>0</v>
      </c>
      <c r="O3510" t="s">
        <v>26</v>
      </c>
      <c r="P3510" t="s">
        <v>18</v>
      </c>
      <c r="Q3510" t="s">
        <v>274</v>
      </c>
    </row>
    <row r="3511" spans="1:17" x14ac:dyDescent="0.3">
      <c r="A3511" t="s">
        <v>17</v>
      </c>
      <c r="B3511">
        <v>63</v>
      </c>
      <c r="C3511" t="s">
        <v>18</v>
      </c>
      <c r="D3511" s="2">
        <v>46070</v>
      </c>
      <c r="E3511" s="3">
        <f t="shared" si="54"/>
        <v>46054</v>
      </c>
      <c r="F3511">
        <v>260217</v>
      </c>
      <c r="G3511" t="s">
        <v>271</v>
      </c>
      <c r="H3511" s="4">
        <v>50</v>
      </c>
      <c r="I3511" t="s">
        <v>47</v>
      </c>
      <c r="J3511" t="s">
        <v>272</v>
      </c>
      <c r="K3511" t="s">
        <v>2970</v>
      </c>
      <c r="L3511" s="2">
        <v>46054</v>
      </c>
      <c r="M3511" t="s">
        <v>272</v>
      </c>
      <c r="N3511">
        <v>0</v>
      </c>
      <c r="O3511" t="s">
        <v>26</v>
      </c>
      <c r="P3511" t="s">
        <v>18</v>
      </c>
      <c r="Q3511" t="s">
        <v>274</v>
      </c>
    </row>
    <row r="3512" spans="1:17" x14ac:dyDescent="0.3">
      <c r="A3512" t="s">
        <v>17</v>
      </c>
      <c r="B3512">
        <v>63</v>
      </c>
      <c r="C3512" t="s">
        <v>18</v>
      </c>
      <c r="D3512" s="2">
        <v>46070</v>
      </c>
      <c r="E3512" s="3">
        <f t="shared" si="54"/>
        <v>46054</v>
      </c>
      <c r="F3512">
        <v>260217</v>
      </c>
      <c r="G3512" t="s">
        <v>271</v>
      </c>
      <c r="H3512" s="4">
        <v>300</v>
      </c>
      <c r="I3512" t="s">
        <v>47</v>
      </c>
      <c r="J3512" t="s">
        <v>272</v>
      </c>
      <c r="K3512" t="s">
        <v>1218</v>
      </c>
      <c r="L3512" s="2">
        <v>46054</v>
      </c>
      <c r="M3512" t="s">
        <v>272</v>
      </c>
      <c r="N3512">
        <v>0</v>
      </c>
      <c r="O3512" t="s">
        <v>26</v>
      </c>
      <c r="P3512" t="s">
        <v>18</v>
      </c>
      <c r="Q3512" t="s">
        <v>274</v>
      </c>
    </row>
    <row r="3513" spans="1:17" x14ac:dyDescent="0.3">
      <c r="A3513" t="s">
        <v>17</v>
      </c>
      <c r="B3513">
        <v>63</v>
      </c>
      <c r="C3513" t="s">
        <v>18</v>
      </c>
      <c r="D3513" s="2">
        <v>46070</v>
      </c>
      <c r="E3513" s="3">
        <f t="shared" si="54"/>
        <v>46054</v>
      </c>
      <c r="F3513">
        <v>260217</v>
      </c>
      <c r="G3513" t="s">
        <v>271</v>
      </c>
      <c r="H3513" s="4">
        <v>1450</v>
      </c>
      <c r="I3513" t="s">
        <v>47</v>
      </c>
      <c r="J3513" t="s">
        <v>272</v>
      </c>
      <c r="L3513" s="2">
        <v>46054</v>
      </c>
      <c r="M3513" t="s">
        <v>272</v>
      </c>
      <c r="N3513">
        <v>0</v>
      </c>
      <c r="O3513" t="s">
        <v>26</v>
      </c>
      <c r="P3513" t="s">
        <v>18</v>
      </c>
      <c r="Q3513" t="s">
        <v>274</v>
      </c>
    </row>
    <row r="3514" spans="1:17" x14ac:dyDescent="0.3">
      <c r="A3514" t="s">
        <v>17</v>
      </c>
      <c r="B3514">
        <v>63</v>
      </c>
      <c r="C3514" t="s">
        <v>18</v>
      </c>
      <c r="D3514" s="2">
        <v>46070</v>
      </c>
      <c r="E3514" s="3">
        <f t="shared" si="54"/>
        <v>46054</v>
      </c>
      <c r="F3514">
        <v>260217</v>
      </c>
      <c r="G3514" t="s">
        <v>271</v>
      </c>
      <c r="H3514" s="4">
        <v>250</v>
      </c>
      <c r="I3514" t="s">
        <v>47</v>
      </c>
      <c r="J3514" t="s">
        <v>272</v>
      </c>
      <c r="K3514" t="s">
        <v>2971</v>
      </c>
      <c r="L3514" s="2">
        <v>46054</v>
      </c>
      <c r="M3514" t="s">
        <v>272</v>
      </c>
      <c r="N3514">
        <v>0</v>
      </c>
      <c r="O3514" t="s">
        <v>26</v>
      </c>
      <c r="P3514" t="s">
        <v>18</v>
      </c>
      <c r="Q3514" t="s">
        <v>274</v>
      </c>
    </row>
    <row r="3515" spans="1:17" x14ac:dyDescent="0.3">
      <c r="A3515" t="s">
        <v>17</v>
      </c>
      <c r="B3515">
        <v>63</v>
      </c>
      <c r="C3515" t="s">
        <v>18</v>
      </c>
      <c r="D3515" s="2">
        <v>46070</v>
      </c>
      <c r="E3515" s="3">
        <f t="shared" si="54"/>
        <v>46054</v>
      </c>
      <c r="F3515">
        <v>260217</v>
      </c>
      <c r="G3515" t="s">
        <v>271</v>
      </c>
      <c r="H3515" s="4">
        <v>400</v>
      </c>
      <c r="I3515" t="s">
        <v>47</v>
      </c>
      <c r="J3515" t="s">
        <v>272</v>
      </c>
      <c r="K3515" t="s">
        <v>1220</v>
      </c>
      <c r="L3515" s="2">
        <v>46054</v>
      </c>
      <c r="M3515" t="s">
        <v>272</v>
      </c>
      <c r="N3515">
        <v>0</v>
      </c>
      <c r="O3515" t="s">
        <v>26</v>
      </c>
      <c r="P3515" t="s">
        <v>18</v>
      </c>
      <c r="Q3515" t="s">
        <v>274</v>
      </c>
    </row>
    <row r="3516" spans="1:17" x14ac:dyDescent="0.3">
      <c r="A3516" t="s">
        <v>17</v>
      </c>
      <c r="B3516">
        <v>63</v>
      </c>
      <c r="C3516" t="s">
        <v>18</v>
      </c>
      <c r="D3516" s="2">
        <v>46070</v>
      </c>
      <c r="E3516" s="3">
        <f t="shared" si="54"/>
        <v>46054</v>
      </c>
      <c r="F3516">
        <v>260217</v>
      </c>
      <c r="G3516" t="s">
        <v>271</v>
      </c>
      <c r="H3516" s="4">
        <v>1000</v>
      </c>
      <c r="I3516" t="s">
        <v>47</v>
      </c>
      <c r="J3516" t="s">
        <v>272</v>
      </c>
      <c r="K3516" t="s">
        <v>2972</v>
      </c>
      <c r="L3516" s="2">
        <v>46054</v>
      </c>
      <c r="M3516" t="s">
        <v>272</v>
      </c>
      <c r="N3516">
        <v>0</v>
      </c>
      <c r="O3516" t="s">
        <v>26</v>
      </c>
      <c r="P3516" t="s">
        <v>18</v>
      </c>
      <c r="Q3516" t="s">
        <v>274</v>
      </c>
    </row>
    <row r="3517" spans="1:17" x14ac:dyDescent="0.3">
      <c r="A3517" t="s">
        <v>17</v>
      </c>
      <c r="B3517">
        <v>63</v>
      </c>
      <c r="C3517" t="s">
        <v>18</v>
      </c>
      <c r="D3517" s="2">
        <v>46070</v>
      </c>
      <c r="E3517" s="3">
        <f t="shared" si="54"/>
        <v>46054</v>
      </c>
      <c r="F3517">
        <v>260217</v>
      </c>
      <c r="G3517" t="s">
        <v>271</v>
      </c>
      <c r="H3517" s="4">
        <v>1600</v>
      </c>
      <c r="I3517" t="s">
        <v>47</v>
      </c>
      <c r="J3517" t="s">
        <v>272</v>
      </c>
      <c r="K3517" t="s">
        <v>1221</v>
      </c>
      <c r="L3517" s="2">
        <v>46054</v>
      </c>
      <c r="M3517" t="s">
        <v>272</v>
      </c>
      <c r="N3517">
        <v>0</v>
      </c>
      <c r="O3517" t="s">
        <v>26</v>
      </c>
      <c r="P3517" t="s">
        <v>18</v>
      </c>
      <c r="Q3517" t="s">
        <v>274</v>
      </c>
    </row>
    <row r="3518" spans="1:17" x14ac:dyDescent="0.3">
      <c r="A3518" t="s">
        <v>17</v>
      </c>
      <c r="B3518">
        <v>63</v>
      </c>
      <c r="C3518" t="s">
        <v>18</v>
      </c>
      <c r="D3518" s="2">
        <v>46071</v>
      </c>
      <c r="E3518" s="3">
        <f t="shared" si="54"/>
        <v>46054</v>
      </c>
      <c r="F3518" t="s">
        <v>2973</v>
      </c>
      <c r="G3518" t="s">
        <v>2245</v>
      </c>
      <c r="H3518" s="4">
        <v>200</v>
      </c>
      <c r="I3518" t="s">
        <v>47</v>
      </c>
      <c r="J3518" t="s">
        <v>272</v>
      </c>
      <c r="K3518" t="s">
        <v>2974</v>
      </c>
      <c r="L3518" s="2">
        <v>46054</v>
      </c>
      <c r="M3518" t="s">
        <v>272</v>
      </c>
      <c r="N3518">
        <v>0</v>
      </c>
      <c r="O3518" t="s">
        <v>26</v>
      </c>
      <c r="P3518" t="s">
        <v>18</v>
      </c>
      <c r="Q3518" t="s">
        <v>274</v>
      </c>
    </row>
    <row r="3519" spans="1:17" x14ac:dyDescent="0.3">
      <c r="A3519" t="s">
        <v>17</v>
      </c>
      <c r="B3519">
        <v>63</v>
      </c>
      <c r="C3519" t="s">
        <v>18</v>
      </c>
      <c r="D3519" s="2">
        <v>46071</v>
      </c>
      <c r="E3519" s="3">
        <f t="shared" si="54"/>
        <v>46054</v>
      </c>
      <c r="F3519" t="s">
        <v>2973</v>
      </c>
      <c r="G3519" t="s">
        <v>2245</v>
      </c>
      <c r="H3519" s="4">
        <v>339</v>
      </c>
      <c r="I3519" t="s">
        <v>47</v>
      </c>
      <c r="J3519" t="s">
        <v>272</v>
      </c>
      <c r="K3519" t="s">
        <v>2395</v>
      </c>
      <c r="L3519" s="2">
        <v>46054</v>
      </c>
      <c r="M3519" t="s">
        <v>272</v>
      </c>
      <c r="N3519">
        <v>0</v>
      </c>
      <c r="O3519" t="s">
        <v>26</v>
      </c>
      <c r="P3519" t="s">
        <v>18</v>
      </c>
      <c r="Q3519" t="s">
        <v>274</v>
      </c>
    </row>
    <row r="3520" spans="1:17" x14ac:dyDescent="0.3">
      <c r="A3520" t="s">
        <v>17</v>
      </c>
      <c r="B3520">
        <v>63</v>
      </c>
      <c r="C3520" t="s">
        <v>18</v>
      </c>
      <c r="D3520" s="2">
        <v>46071</v>
      </c>
      <c r="E3520" s="3">
        <f t="shared" si="54"/>
        <v>46054</v>
      </c>
      <c r="F3520" t="s">
        <v>2973</v>
      </c>
      <c r="G3520" t="s">
        <v>2245</v>
      </c>
      <c r="H3520" s="4">
        <v>750</v>
      </c>
      <c r="I3520" t="s">
        <v>47</v>
      </c>
      <c r="J3520" t="s">
        <v>272</v>
      </c>
      <c r="K3520" t="s">
        <v>2974</v>
      </c>
      <c r="L3520" s="2">
        <v>46054</v>
      </c>
      <c r="M3520" t="s">
        <v>272</v>
      </c>
      <c r="N3520">
        <v>0</v>
      </c>
      <c r="O3520" t="s">
        <v>26</v>
      </c>
      <c r="P3520" t="s">
        <v>18</v>
      </c>
      <c r="Q3520" t="s">
        <v>274</v>
      </c>
    </row>
    <row r="3521" spans="1:17" x14ac:dyDescent="0.3">
      <c r="A3521" t="s">
        <v>17</v>
      </c>
      <c r="B3521">
        <v>63</v>
      </c>
      <c r="C3521" t="s">
        <v>18</v>
      </c>
      <c r="D3521" s="2">
        <v>46071</v>
      </c>
      <c r="E3521" s="3">
        <f t="shared" si="54"/>
        <v>46054</v>
      </c>
      <c r="F3521" t="s">
        <v>2973</v>
      </c>
      <c r="G3521" t="s">
        <v>2245</v>
      </c>
      <c r="H3521" s="4">
        <v>200</v>
      </c>
      <c r="I3521" t="s">
        <v>47</v>
      </c>
      <c r="J3521" t="s">
        <v>272</v>
      </c>
      <c r="K3521" t="s">
        <v>2974</v>
      </c>
      <c r="L3521" s="2">
        <v>46054</v>
      </c>
      <c r="M3521" t="s">
        <v>272</v>
      </c>
      <c r="N3521">
        <v>0</v>
      </c>
      <c r="O3521" t="s">
        <v>26</v>
      </c>
      <c r="P3521" t="s">
        <v>18</v>
      </c>
      <c r="Q3521" t="s">
        <v>274</v>
      </c>
    </row>
    <row r="3522" spans="1:17" x14ac:dyDescent="0.3">
      <c r="A3522" t="s">
        <v>17</v>
      </c>
      <c r="B3522">
        <v>63</v>
      </c>
      <c r="C3522" t="s">
        <v>18</v>
      </c>
      <c r="D3522" s="2">
        <v>46071</v>
      </c>
      <c r="E3522" s="3">
        <f t="shared" si="54"/>
        <v>46054</v>
      </c>
      <c r="F3522" t="s">
        <v>2973</v>
      </c>
      <c r="G3522" t="s">
        <v>2245</v>
      </c>
      <c r="H3522" s="4">
        <v>100</v>
      </c>
      <c r="I3522" t="s">
        <v>47</v>
      </c>
      <c r="J3522" t="s">
        <v>272</v>
      </c>
      <c r="K3522" t="s">
        <v>2974</v>
      </c>
      <c r="L3522" s="2">
        <v>46054</v>
      </c>
      <c r="M3522" t="s">
        <v>272</v>
      </c>
      <c r="N3522">
        <v>0</v>
      </c>
      <c r="O3522" t="s">
        <v>26</v>
      </c>
      <c r="P3522" t="s">
        <v>18</v>
      </c>
      <c r="Q3522" t="s">
        <v>274</v>
      </c>
    </row>
    <row r="3523" spans="1:17" x14ac:dyDescent="0.3">
      <c r="A3523" t="s">
        <v>17</v>
      </c>
      <c r="B3523">
        <v>63</v>
      </c>
      <c r="C3523" t="s">
        <v>18</v>
      </c>
      <c r="D3523" s="2">
        <v>46071</v>
      </c>
      <c r="E3523" s="3">
        <f t="shared" ref="E3523:E3586" si="55">IF($D3523="","",DATE(YEAR($D3523),MONTH($D3523),1))</f>
        <v>46054</v>
      </c>
      <c r="F3523" t="s">
        <v>2973</v>
      </c>
      <c r="G3523" t="s">
        <v>2245</v>
      </c>
      <c r="H3523" s="4">
        <v>350</v>
      </c>
      <c r="I3523" t="s">
        <v>47</v>
      </c>
      <c r="J3523" t="s">
        <v>272</v>
      </c>
      <c r="K3523" t="s">
        <v>2974</v>
      </c>
      <c r="L3523" s="2">
        <v>46054</v>
      </c>
      <c r="M3523" t="s">
        <v>272</v>
      </c>
      <c r="N3523">
        <v>0</v>
      </c>
      <c r="O3523" t="s">
        <v>26</v>
      </c>
      <c r="P3523" t="s">
        <v>18</v>
      </c>
      <c r="Q3523" t="s">
        <v>274</v>
      </c>
    </row>
    <row r="3524" spans="1:17" x14ac:dyDescent="0.3">
      <c r="A3524" t="s">
        <v>17</v>
      </c>
      <c r="B3524">
        <v>63</v>
      </c>
      <c r="C3524" t="s">
        <v>18</v>
      </c>
      <c r="D3524" s="2">
        <v>46071</v>
      </c>
      <c r="E3524" s="3">
        <f t="shared" si="55"/>
        <v>46054</v>
      </c>
      <c r="F3524" t="s">
        <v>2973</v>
      </c>
      <c r="G3524" t="s">
        <v>2245</v>
      </c>
      <c r="H3524" s="4">
        <v>100</v>
      </c>
      <c r="I3524" t="s">
        <v>47</v>
      </c>
      <c r="J3524" t="s">
        <v>272</v>
      </c>
      <c r="K3524" t="s">
        <v>2974</v>
      </c>
      <c r="L3524" s="2">
        <v>46054</v>
      </c>
      <c r="M3524" t="s">
        <v>272</v>
      </c>
      <c r="N3524">
        <v>0</v>
      </c>
      <c r="O3524" t="s">
        <v>26</v>
      </c>
      <c r="P3524" t="s">
        <v>18</v>
      </c>
      <c r="Q3524" t="s">
        <v>274</v>
      </c>
    </row>
    <row r="3525" spans="1:17" x14ac:dyDescent="0.3">
      <c r="A3525" t="s">
        <v>17</v>
      </c>
      <c r="B3525">
        <v>63</v>
      </c>
      <c r="C3525" t="s">
        <v>18</v>
      </c>
      <c r="D3525" s="2">
        <v>46071</v>
      </c>
      <c r="E3525" s="3">
        <f t="shared" si="55"/>
        <v>46054</v>
      </c>
      <c r="F3525" t="s">
        <v>2973</v>
      </c>
      <c r="G3525" t="s">
        <v>2245</v>
      </c>
      <c r="H3525" s="4">
        <v>100</v>
      </c>
      <c r="I3525" t="s">
        <v>47</v>
      </c>
      <c r="J3525" t="s">
        <v>272</v>
      </c>
      <c r="K3525" t="s">
        <v>2974</v>
      </c>
      <c r="L3525" s="2">
        <v>46054</v>
      </c>
      <c r="M3525" t="s">
        <v>272</v>
      </c>
      <c r="N3525">
        <v>0</v>
      </c>
      <c r="O3525" t="s">
        <v>26</v>
      </c>
      <c r="P3525" t="s">
        <v>18</v>
      </c>
      <c r="Q3525" t="s">
        <v>274</v>
      </c>
    </row>
    <row r="3526" spans="1:17" x14ac:dyDescent="0.3">
      <c r="A3526" t="s">
        <v>17</v>
      </c>
      <c r="B3526">
        <v>63</v>
      </c>
      <c r="C3526" t="s">
        <v>18</v>
      </c>
      <c r="D3526" s="2">
        <v>46071</v>
      </c>
      <c r="E3526" s="3">
        <f t="shared" si="55"/>
        <v>46054</v>
      </c>
      <c r="F3526" t="s">
        <v>2973</v>
      </c>
      <c r="G3526" t="s">
        <v>2245</v>
      </c>
      <c r="H3526" s="4">
        <v>100</v>
      </c>
      <c r="I3526" t="s">
        <v>47</v>
      </c>
      <c r="J3526" t="s">
        <v>272</v>
      </c>
      <c r="K3526" t="s">
        <v>2974</v>
      </c>
      <c r="L3526" s="2">
        <v>46054</v>
      </c>
      <c r="M3526" t="s">
        <v>272</v>
      </c>
      <c r="N3526">
        <v>0</v>
      </c>
      <c r="O3526" t="s">
        <v>26</v>
      </c>
      <c r="P3526" t="s">
        <v>18</v>
      </c>
      <c r="Q3526" t="s">
        <v>274</v>
      </c>
    </row>
    <row r="3527" spans="1:17" x14ac:dyDescent="0.3">
      <c r="A3527" t="s">
        <v>17</v>
      </c>
      <c r="B3527">
        <v>63</v>
      </c>
      <c r="C3527" t="s">
        <v>18</v>
      </c>
      <c r="D3527" s="2">
        <v>46071</v>
      </c>
      <c r="E3527" s="3">
        <f t="shared" si="55"/>
        <v>46054</v>
      </c>
      <c r="F3527" t="s">
        <v>2973</v>
      </c>
      <c r="G3527" t="s">
        <v>2245</v>
      </c>
      <c r="H3527" s="4">
        <v>50</v>
      </c>
      <c r="I3527" t="s">
        <v>47</v>
      </c>
      <c r="J3527" t="s">
        <v>272</v>
      </c>
      <c r="K3527" t="s">
        <v>2974</v>
      </c>
      <c r="L3527" s="2">
        <v>46054</v>
      </c>
      <c r="M3527" t="s">
        <v>272</v>
      </c>
      <c r="N3527">
        <v>0</v>
      </c>
      <c r="O3527" t="s">
        <v>26</v>
      </c>
      <c r="P3527" t="s">
        <v>18</v>
      </c>
      <c r="Q3527" t="s">
        <v>274</v>
      </c>
    </row>
    <row r="3528" spans="1:17" x14ac:dyDescent="0.3">
      <c r="A3528" t="s">
        <v>17</v>
      </c>
      <c r="B3528">
        <v>63</v>
      </c>
      <c r="C3528" t="s">
        <v>18</v>
      </c>
      <c r="D3528" s="2">
        <v>46071</v>
      </c>
      <c r="E3528" s="3">
        <f t="shared" si="55"/>
        <v>46054</v>
      </c>
      <c r="F3528" t="s">
        <v>2973</v>
      </c>
      <c r="G3528" t="s">
        <v>2245</v>
      </c>
      <c r="H3528" s="4">
        <v>150</v>
      </c>
      <c r="I3528" t="s">
        <v>47</v>
      </c>
      <c r="J3528" t="s">
        <v>272</v>
      </c>
      <c r="K3528" t="s">
        <v>2975</v>
      </c>
      <c r="L3528" s="2">
        <v>46054</v>
      </c>
      <c r="M3528" t="s">
        <v>272</v>
      </c>
      <c r="N3528">
        <v>0</v>
      </c>
      <c r="O3528" t="s">
        <v>26</v>
      </c>
      <c r="P3528" t="s">
        <v>18</v>
      </c>
      <c r="Q3528" t="s">
        <v>274</v>
      </c>
    </row>
    <row r="3529" spans="1:17" x14ac:dyDescent="0.3">
      <c r="A3529" t="s">
        <v>17</v>
      </c>
      <c r="B3529">
        <v>63</v>
      </c>
      <c r="C3529" t="s">
        <v>18</v>
      </c>
      <c r="D3529" s="2">
        <v>46071</v>
      </c>
      <c r="E3529" s="3">
        <f t="shared" si="55"/>
        <v>46054</v>
      </c>
      <c r="F3529" t="s">
        <v>2973</v>
      </c>
      <c r="G3529" t="s">
        <v>2245</v>
      </c>
      <c r="H3529" s="4">
        <v>800</v>
      </c>
      <c r="I3529" t="s">
        <v>47</v>
      </c>
      <c r="J3529" t="s">
        <v>272</v>
      </c>
      <c r="K3529" t="s">
        <v>2975</v>
      </c>
      <c r="L3529" s="2">
        <v>46054</v>
      </c>
      <c r="M3529" t="s">
        <v>272</v>
      </c>
      <c r="N3529">
        <v>0</v>
      </c>
      <c r="O3529" t="s">
        <v>26</v>
      </c>
      <c r="P3529" t="s">
        <v>18</v>
      </c>
      <c r="Q3529" t="s">
        <v>274</v>
      </c>
    </row>
    <row r="3530" spans="1:17" x14ac:dyDescent="0.3">
      <c r="A3530" t="s">
        <v>17</v>
      </c>
      <c r="B3530">
        <v>63</v>
      </c>
      <c r="C3530" t="s">
        <v>18</v>
      </c>
      <c r="D3530" s="2">
        <v>46071</v>
      </c>
      <c r="E3530" s="3">
        <f t="shared" si="55"/>
        <v>46054</v>
      </c>
      <c r="F3530" t="s">
        <v>2973</v>
      </c>
      <c r="G3530" t="s">
        <v>2245</v>
      </c>
      <c r="H3530" s="4">
        <v>339</v>
      </c>
      <c r="I3530" t="s">
        <v>47</v>
      </c>
      <c r="J3530" t="s">
        <v>272</v>
      </c>
      <c r="K3530" t="s">
        <v>2396</v>
      </c>
      <c r="L3530" s="2">
        <v>46054</v>
      </c>
      <c r="M3530" t="s">
        <v>272</v>
      </c>
      <c r="N3530">
        <v>0</v>
      </c>
      <c r="O3530" t="s">
        <v>26</v>
      </c>
      <c r="P3530" t="s">
        <v>18</v>
      </c>
      <c r="Q3530" t="s">
        <v>274</v>
      </c>
    </row>
    <row r="3531" spans="1:17" x14ac:dyDescent="0.3">
      <c r="A3531" t="s">
        <v>17</v>
      </c>
      <c r="B3531">
        <v>63</v>
      </c>
      <c r="C3531" t="s">
        <v>18</v>
      </c>
      <c r="D3531" s="2">
        <v>46071</v>
      </c>
      <c r="E3531" s="3">
        <f t="shared" si="55"/>
        <v>46054</v>
      </c>
      <c r="F3531" t="s">
        <v>2973</v>
      </c>
      <c r="G3531" t="s">
        <v>2245</v>
      </c>
      <c r="H3531" s="4">
        <v>300</v>
      </c>
      <c r="I3531" t="s">
        <v>47</v>
      </c>
      <c r="J3531" t="s">
        <v>272</v>
      </c>
      <c r="K3531" t="s">
        <v>2974</v>
      </c>
      <c r="L3531" s="2">
        <v>46054</v>
      </c>
      <c r="M3531" t="s">
        <v>272</v>
      </c>
      <c r="N3531">
        <v>0</v>
      </c>
      <c r="O3531" t="s">
        <v>26</v>
      </c>
      <c r="P3531" t="s">
        <v>18</v>
      </c>
      <c r="Q3531" t="s">
        <v>274</v>
      </c>
    </row>
    <row r="3532" spans="1:17" x14ac:dyDescent="0.3">
      <c r="A3532" t="s">
        <v>17</v>
      </c>
      <c r="B3532">
        <v>63</v>
      </c>
      <c r="C3532" t="s">
        <v>18</v>
      </c>
      <c r="D3532" s="2">
        <v>46071</v>
      </c>
      <c r="E3532" s="3">
        <f t="shared" si="55"/>
        <v>46054</v>
      </c>
      <c r="F3532" t="s">
        <v>2973</v>
      </c>
      <c r="G3532" t="s">
        <v>2245</v>
      </c>
      <c r="H3532" s="4">
        <v>150</v>
      </c>
      <c r="I3532" t="s">
        <v>47</v>
      </c>
      <c r="J3532" t="s">
        <v>272</v>
      </c>
      <c r="K3532" t="s">
        <v>2974</v>
      </c>
      <c r="L3532" s="2">
        <v>46054</v>
      </c>
      <c r="M3532" t="s">
        <v>272</v>
      </c>
      <c r="N3532">
        <v>0</v>
      </c>
      <c r="O3532" t="s">
        <v>26</v>
      </c>
      <c r="P3532" t="s">
        <v>18</v>
      </c>
      <c r="Q3532" t="s">
        <v>274</v>
      </c>
    </row>
    <row r="3533" spans="1:17" x14ac:dyDescent="0.3">
      <c r="A3533" t="s">
        <v>17</v>
      </c>
      <c r="B3533">
        <v>63</v>
      </c>
      <c r="C3533" t="s">
        <v>18</v>
      </c>
      <c r="D3533" s="2">
        <v>46071</v>
      </c>
      <c r="E3533" s="3">
        <f t="shared" si="55"/>
        <v>46054</v>
      </c>
      <c r="F3533" t="s">
        <v>2973</v>
      </c>
      <c r="G3533" t="s">
        <v>2245</v>
      </c>
      <c r="H3533" s="4">
        <v>300</v>
      </c>
      <c r="I3533" t="s">
        <v>47</v>
      </c>
      <c r="J3533" t="s">
        <v>272</v>
      </c>
      <c r="K3533" t="s">
        <v>2974</v>
      </c>
      <c r="L3533" s="2">
        <v>46054</v>
      </c>
      <c r="M3533" t="s">
        <v>272</v>
      </c>
      <c r="N3533">
        <v>0</v>
      </c>
      <c r="O3533" t="s">
        <v>26</v>
      </c>
      <c r="P3533" t="s">
        <v>18</v>
      </c>
      <c r="Q3533" t="s">
        <v>274</v>
      </c>
    </row>
    <row r="3534" spans="1:17" x14ac:dyDescent="0.3">
      <c r="A3534" t="s">
        <v>17</v>
      </c>
      <c r="B3534">
        <v>63</v>
      </c>
      <c r="C3534" t="s">
        <v>18</v>
      </c>
      <c r="D3534" s="2">
        <v>46071</v>
      </c>
      <c r="E3534" s="3">
        <f t="shared" si="55"/>
        <v>46054</v>
      </c>
      <c r="F3534" t="s">
        <v>2973</v>
      </c>
      <c r="G3534" t="s">
        <v>2245</v>
      </c>
      <c r="H3534" s="4">
        <v>650</v>
      </c>
      <c r="I3534" t="s">
        <v>47</v>
      </c>
      <c r="J3534" t="s">
        <v>272</v>
      </c>
      <c r="K3534" t="s">
        <v>2974</v>
      </c>
      <c r="L3534" s="2">
        <v>46054</v>
      </c>
      <c r="M3534" t="s">
        <v>272</v>
      </c>
      <c r="N3534">
        <v>0</v>
      </c>
      <c r="O3534" t="s">
        <v>26</v>
      </c>
      <c r="P3534" t="s">
        <v>18</v>
      </c>
      <c r="Q3534" t="s">
        <v>274</v>
      </c>
    </row>
    <row r="3535" spans="1:17" x14ac:dyDescent="0.3">
      <c r="A3535" t="s">
        <v>17</v>
      </c>
      <c r="B3535">
        <v>63</v>
      </c>
      <c r="C3535" t="s">
        <v>18</v>
      </c>
      <c r="D3535" s="2">
        <v>46071</v>
      </c>
      <c r="E3535" s="3">
        <f t="shared" si="55"/>
        <v>46054</v>
      </c>
      <c r="F3535" t="s">
        <v>2973</v>
      </c>
      <c r="G3535" t="s">
        <v>2245</v>
      </c>
      <c r="H3535" s="4">
        <v>100</v>
      </c>
      <c r="I3535" t="s">
        <v>47</v>
      </c>
      <c r="J3535" t="s">
        <v>272</v>
      </c>
      <c r="K3535" t="s">
        <v>2974</v>
      </c>
      <c r="L3535" s="2">
        <v>46054</v>
      </c>
      <c r="M3535" t="s">
        <v>272</v>
      </c>
      <c r="N3535">
        <v>0</v>
      </c>
      <c r="O3535" t="s">
        <v>26</v>
      </c>
      <c r="P3535" t="s">
        <v>18</v>
      </c>
      <c r="Q3535" t="s">
        <v>274</v>
      </c>
    </row>
    <row r="3536" spans="1:17" x14ac:dyDescent="0.3">
      <c r="A3536" t="s">
        <v>17</v>
      </c>
      <c r="B3536">
        <v>63</v>
      </c>
      <c r="C3536" t="s">
        <v>18</v>
      </c>
      <c r="D3536" s="2">
        <v>46071</v>
      </c>
      <c r="E3536" s="3">
        <f t="shared" si="55"/>
        <v>46054</v>
      </c>
      <c r="F3536" t="s">
        <v>2973</v>
      </c>
      <c r="G3536" t="s">
        <v>2245</v>
      </c>
      <c r="H3536" s="4">
        <v>113</v>
      </c>
      <c r="I3536" t="s">
        <v>47</v>
      </c>
      <c r="J3536" t="s">
        <v>272</v>
      </c>
      <c r="K3536" t="s">
        <v>2397</v>
      </c>
      <c r="L3536" s="2">
        <v>46054</v>
      </c>
      <c r="M3536" t="s">
        <v>272</v>
      </c>
      <c r="N3536">
        <v>0</v>
      </c>
      <c r="O3536" t="s">
        <v>26</v>
      </c>
      <c r="P3536" t="s">
        <v>18</v>
      </c>
      <c r="Q3536" t="s">
        <v>274</v>
      </c>
    </row>
    <row r="3537" spans="1:17" x14ac:dyDescent="0.3">
      <c r="A3537" t="s">
        <v>17</v>
      </c>
      <c r="B3537">
        <v>63</v>
      </c>
      <c r="C3537" t="s">
        <v>18</v>
      </c>
      <c r="D3537" s="2">
        <v>46071</v>
      </c>
      <c r="E3537" s="3">
        <f t="shared" si="55"/>
        <v>46054</v>
      </c>
      <c r="F3537" t="s">
        <v>2973</v>
      </c>
      <c r="G3537" t="s">
        <v>2245</v>
      </c>
      <c r="H3537" s="4">
        <v>500</v>
      </c>
      <c r="I3537" t="s">
        <v>47</v>
      </c>
      <c r="J3537" t="s">
        <v>272</v>
      </c>
      <c r="K3537" t="s">
        <v>2974</v>
      </c>
      <c r="L3537" s="2">
        <v>46054</v>
      </c>
      <c r="M3537" t="s">
        <v>272</v>
      </c>
      <c r="N3537">
        <v>0</v>
      </c>
      <c r="O3537" t="s">
        <v>26</v>
      </c>
      <c r="P3537" t="s">
        <v>18</v>
      </c>
      <c r="Q3537" t="s">
        <v>274</v>
      </c>
    </row>
    <row r="3538" spans="1:17" x14ac:dyDescent="0.3">
      <c r="A3538" t="s">
        <v>17</v>
      </c>
      <c r="B3538">
        <v>63</v>
      </c>
      <c r="C3538" t="s">
        <v>18</v>
      </c>
      <c r="D3538" s="2">
        <v>46071</v>
      </c>
      <c r="E3538" s="3">
        <f t="shared" si="55"/>
        <v>46054</v>
      </c>
      <c r="F3538" t="s">
        <v>2973</v>
      </c>
      <c r="G3538" t="s">
        <v>2245</v>
      </c>
      <c r="H3538" s="4">
        <v>100</v>
      </c>
      <c r="I3538" t="s">
        <v>47</v>
      </c>
      <c r="J3538" t="s">
        <v>272</v>
      </c>
      <c r="K3538" t="s">
        <v>2974</v>
      </c>
      <c r="L3538" s="2">
        <v>46054</v>
      </c>
      <c r="M3538" t="s">
        <v>272</v>
      </c>
      <c r="N3538">
        <v>0</v>
      </c>
      <c r="O3538" t="s">
        <v>26</v>
      </c>
      <c r="P3538" t="s">
        <v>18</v>
      </c>
      <c r="Q3538" t="s">
        <v>274</v>
      </c>
    </row>
    <row r="3539" spans="1:17" x14ac:dyDescent="0.3">
      <c r="A3539" t="s">
        <v>17</v>
      </c>
      <c r="B3539">
        <v>63</v>
      </c>
      <c r="C3539" t="s">
        <v>18</v>
      </c>
      <c r="D3539" s="2">
        <v>46071</v>
      </c>
      <c r="E3539" s="3">
        <f t="shared" si="55"/>
        <v>46054</v>
      </c>
      <c r="F3539" t="s">
        <v>2973</v>
      </c>
      <c r="G3539" t="s">
        <v>2245</v>
      </c>
      <c r="H3539" s="4">
        <v>3220.5</v>
      </c>
      <c r="I3539" t="s">
        <v>47</v>
      </c>
      <c r="J3539" t="s">
        <v>272</v>
      </c>
      <c r="K3539" t="s">
        <v>2965</v>
      </c>
      <c r="L3539" s="2">
        <v>46054</v>
      </c>
      <c r="M3539" t="s">
        <v>272</v>
      </c>
      <c r="N3539">
        <v>0</v>
      </c>
      <c r="O3539" t="s">
        <v>26</v>
      </c>
      <c r="P3539" t="s">
        <v>18</v>
      </c>
      <c r="Q3539" t="s">
        <v>274</v>
      </c>
    </row>
    <row r="3540" spans="1:17" x14ac:dyDescent="0.3">
      <c r="A3540" t="s">
        <v>17</v>
      </c>
      <c r="B3540">
        <v>63</v>
      </c>
      <c r="C3540" t="s">
        <v>18</v>
      </c>
      <c r="D3540" s="2">
        <v>46071</v>
      </c>
      <c r="E3540" s="3">
        <f t="shared" si="55"/>
        <v>46054</v>
      </c>
      <c r="F3540" t="s">
        <v>2973</v>
      </c>
      <c r="G3540" t="s">
        <v>2245</v>
      </c>
      <c r="H3540" s="4">
        <v>650</v>
      </c>
      <c r="I3540" t="s">
        <v>47</v>
      </c>
      <c r="J3540" t="s">
        <v>272</v>
      </c>
      <c r="K3540" t="s">
        <v>2974</v>
      </c>
      <c r="L3540" s="2">
        <v>46054</v>
      </c>
      <c r="M3540" t="s">
        <v>272</v>
      </c>
      <c r="N3540">
        <v>0</v>
      </c>
      <c r="O3540" t="s">
        <v>26</v>
      </c>
      <c r="P3540" t="s">
        <v>18</v>
      </c>
      <c r="Q3540" t="s">
        <v>274</v>
      </c>
    </row>
    <row r="3541" spans="1:17" x14ac:dyDescent="0.3">
      <c r="A3541" t="s">
        <v>17</v>
      </c>
      <c r="B3541">
        <v>63</v>
      </c>
      <c r="C3541" t="s">
        <v>18</v>
      </c>
      <c r="D3541" s="2">
        <v>46081</v>
      </c>
      <c r="E3541" s="3">
        <f t="shared" si="55"/>
        <v>46054</v>
      </c>
      <c r="F3541" t="s">
        <v>2976</v>
      </c>
      <c r="H3541" s="4">
        <v>5361.69</v>
      </c>
      <c r="I3541" t="s">
        <v>47</v>
      </c>
      <c r="J3541" t="s">
        <v>272</v>
      </c>
      <c r="K3541" t="s">
        <v>2977</v>
      </c>
      <c r="L3541" s="2">
        <v>46054</v>
      </c>
      <c r="M3541" t="s">
        <v>272</v>
      </c>
      <c r="N3541">
        <v>0</v>
      </c>
      <c r="O3541" t="s">
        <v>26</v>
      </c>
      <c r="P3541" t="s">
        <v>18</v>
      </c>
      <c r="Q3541" t="s">
        <v>274</v>
      </c>
    </row>
    <row r="3542" spans="1:17" x14ac:dyDescent="0.3">
      <c r="A3542" t="s">
        <v>17</v>
      </c>
      <c r="B3542">
        <v>63</v>
      </c>
      <c r="C3542" t="s">
        <v>18</v>
      </c>
      <c r="D3542" s="2">
        <v>46081</v>
      </c>
      <c r="E3542" s="3">
        <f t="shared" si="55"/>
        <v>46054</v>
      </c>
      <c r="F3542" t="s">
        <v>2978</v>
      </c>
      <c r="H3542" s="4">
        <v>28833.35</v>
      </c>
      <c r="I3542" t="s">
        <v>47</v>
      </c>
      <c r="J3542" t="s">
        <v>272</v>
      </c>
      <c r="K3542" t="s">
        <v>1782</v>
      </c>
      <c r="L3542" s="2">
        <v>46054</v>
      </c>
      <c r="M3542" t="s">
        <v>272</v>
      </c>
      <c r="N3542">
        <v>0</v>
      </c>
      <c r="O3542" t="s">
        <v>26</v>
      </c>
      <c r="P3542" t="s">
        <v>18</v>
      </c>
      <c r="Q3542" t="s">
        <v>274</v>
      </c>
    </row>
    <row r="3543" spans="1:17" x14ac:dyDescent="0.3">
      <c r="A3543" t="s">
        <v>17</v>
      </c>
      <c r="B3543">
        <v>63</v>
      </c>
      <c r="C3543" t="s">
        <v>18</v>
      </c>
      <c r="D3543" s="2">
        <v>46054</v>
      </c>
      <c r="E3543" s="3">
        <f t="shared" si="55"/>
        <v>46054</v>
      </c>
      <c r="F3543" t="s">
        <v>2979</v>
      </c>
      <c r="H3543" s="4">
        <v>-29348</v>
      </c>
      <c r="I3543" t="s">
        <v>116</v>
      </c>
      <c r="J3543" t="s">
        <v>364</v>
      </c>
      <c r="K3543" t="s">
        <v>2602</v>
      </c>
      <c r="L3543" s="2">
        <v>46054</v>
      </c>
      <c r="M3543" t="s">
        <v>366</v>
      </c>
      <c r="N3543">
        <v>0</v>
      </c>
      <c r="O3543" t="s">
        <v>26</v>
      </c>
      <c r="P3543" t="s">
        <v>18</v>
      </c>
      <c r="Q3543" t="s">
        <v>367</v>
      </c>
    </row>
    <row r="3544" spans="1:17" x14ac:dyDescent="0.3">
      <c r="A3544" t="s">
        <v>17</v>
      </c>
      <c r="B3544">
        <v>63</v>
      </c>
      <c r="C3544" t="s">
        <v>18</v>
      </c>
      <c r="D3544" s="2">
        <v>46078</v>
      </c>
      <c r="E3544" s="3">
        <f t="shared" si="55"/>
        <v>46054</v>
      </c>
      <c r="F3544">
        <v>1928</v>
      </c>
      <c r="G3544" t="s">
        <v>363</v>
      </c>
      <c r="H3544" s="4">
        <v>29449.75</v>
      </c>
      <c r="I3544" t="s">
        <v>116</v>
      </c>
      <c r="J3544" t="s">
        <v>364</v>
      </c>
      <c r="K3544" t="s">
        <v>2980</v>
      </c>
      <c r="L3544" s="2">
        <v>46054</v>
      </c>
      <c r="M3544" t="s">
        <v>366</v>
      </c>
      <c r="N3544">
        <v>0</v>
      </c>
      <c r="O3544" t="s">
        <v>26</v>
      </c>
      <c r="P3544" t="s">
        <v>18</v>
      </c>
      <c r="Q3544" t="s">
        <v>367</v>
      </c>
    </row>
    <row r="3545" spans="1:17" x14ac:dyDescent="0.3">
      <c r="A3545" t="s">
        <v>17</v>
      </c>
      <c r="B3545">
        <v>63</v>
      </c>
      <c r="C3545" t="s">
        <v>18</v>
      </c>
      <c r="D3545" s="2">
        <v>46054</v>
      </c>
      <c r="E3545" s="3">
        <f t="shared" si="55"/>
        <v>46054</v>
      </c>
      <c r="F3545" s="7">
        <v>46052</v>
      </c>
      <c r="G3545" t="s">
        <v>439</v>
      </c>
      <c r="H3545" s="4">
        <v>550</v>
      </c>
      <c r="I3545" t="s">
        <v>21</v>
      </c>
      <c r="J3545" t="s">
        <v>22</v>
      </c>
      <c r="K3545" t="s">
        <v>2524</v>
      </c>
      <c r="L3545" s="2">
        <v>46054</v>
      </c>
      <c r="M3545" t="s">
        <v>24</v>
      </c>
      <c r="N3545" t="s">
        <v>25</v>
      </c>
      <c r="O3545" t="s">
        <v>26</v>
      </c>
      <c r="P3545" t="s">
        <v>18</v>
      </c>
      <c r="Q3545" t="s">
        <v>27</v>
      </c>
    </row>
    <row r="3546" spans="1:17" x14ac:dyDescent="0.3">
      <c r="A3546" t="s">
        <v>17</v>
      </c>
      <c r="B3546">
        <v>63</v>
      </c>
      <c r="C3546" t="s">
        <v>18</v>
      </c>
      <c r="D3546" s="2">
        <v>46062</v>
      </c>
      <c r="E3546" s="3">
        <f t="shared" si="55"/>
        <v>46054</v>
      </c>
      <c r="F3546">
        <v>199</v>
      </c>
      <c r="G3546" t="s">
        <v>2981</v>
      </c>
      <c r="H3546" s="4">
        <v>4750</v>
      </c>
      <c r="I3546" t="s">
        <v>47</v>
      </c>
      <c r="J3546" t="s">
        <v>22</v>
      </c>
      <c r="K3546" t="s">
        <v>2982</v>
      </c>
      <c r="L3546" s="2">
        <v>46054</v>
      </c>
      <c r="M3546" t="s">
        <v>24</v>
      </c>
      <c r="N3546">
        <v>0</v>
      </c>
      <c r="O3546" t="s">
        <v>26</v>
      </c>
      <c r="P3546" t="s">
        <v>18</v>
      </c>
      <c r="Q3546" t="s">
        <v>27</v>
      </c>
    </row>
    <row r="3547" spans="1:17" x14ac:dyDescent="0.3">
      <c r="A3547" t="s">
        <v>17</v>
      </c>
      <c r="B3547">
        <v>63</v>
      </c>
      <c r="C3547" t="s">
        <v>18</v>
      </c>
      <c r="D3547" s="2">
        <v>46063</v>
      </c>
      <c r="E3547" s="3">
        <f t="shared" si="55"/>
        <v>46054</v>
      </c>
      <c r="F3547">
        <v>223181</v>
      </c>
      <c r="G3547" t="s">
        <v>251</v>
      </c>
      <c r="H3547" s="4">
        <v>800</v>
      </c>
      <c r="I3547" t="s">
        <v>47</v>
      </c>
      <c r="J3547" t="s">
        <v>22</v>
      </c>
      <c r="K3547" t="s">
        <v>1556</v>
      </c>
      <c r="L3547" s="2">
        <v>46054</v>
      </c>
      <c r="M3547" t="s">
        <v>24</v>
      </c>
      <c r="N3547">
        <v>0</v>
      </c>
      <c r="O3547" t="s">
        <v>26</v>
      </c>
      <c r="P3547" t="s">
        <v>18</v>
      </c>
      <c r="Q3547" t="s">
        <v>27</v>
      </c>
    </row>
    <row r="3548" spans="1:17" x14ac:dyDescent="0.3">
      <c r="A3548" t="s">
        <v>17</v>
      </c>
      <c r="B3548">
        <v>63</v>
      </c>
      <c r="C3548" t="s">
        <v>18</v>
      </c>
      <c r="D3548" s="2">
        <v>46063</v>
      </c>
      <c r="E3548" s="3">
        <f t="shared" si="55"/>
        <v>46054</v>
      </c>
      <c r="F3548">
        <v>223181</v>
      </c>
      <c r="G3548" t="s">
        <v>251</v>
      </c>
      <c r="H3548" s="4">
        <v>2000</v>
      </c>
      <c r="I3548" t="s">
        <v>47</v>
      </c>
      <c r="J3548" t="s">
        <v>22</v>
      </c>
      <c r="K3548" t="s">
        <v>2983</v>
      </c>
      <c r="L3548" s="2">
        <v>46054</v>
      </c>
      <c r="M3548" t="s">
        <v>24</v>
      </c>
      <c r="N3548">
        <v>0</v>
      </c>
      <c r="O3548" t="s">
        <v>26</v>
      </c>
      <c r="P3548" t="s">
        <v>18</v>
      </c>
      <c r="Q3548" t="s">
        <v>27</v>
      </c>
    </row>
    <row r="3549" spans="1:17" x14ac:dyDescent="0.3">
      <c r="A3549" t="s">
        <v>17</v>
      </c>
      <c r="B3549">
        <v>63</v>
      </c>
      <c r="C3549" t="s">
        <v>18</v>
      </c>
      <c r="D3549" s="2">
        <v>46063</v>
      </c>
      <c r="E3549" s="3">
        <f t="shared" si="55"/>
        <v>46054</v>
      </c>
      <c r="F3549">
        <v>223181</v>
      </c>
      <c r="G3549" t="s">
        <v>251</v>
      </c>
      <c r="H3549" s="4">
        <v>2000</v>
      </c>
      <c r="I3549" t="s">
        <v>47</v>
      </c>
      <c r="J3549" t="s">
        <v>22</v>
      </c>
      <c r="K3549" t="s">
        <v>2984</v>
      </c>
      <c r="L3549" s="2">
        <v>46054</v>
      </c>
      <c r="M3549" t="s">
        <v>24</v>
      </c>
      <c r="N3549">
        <v>0</v>
      </c>
      <c r="O3549" t="s">
        <v>26</v>
      </c>
      <c r="P3549" t="s">
        <v>18</v>
      </c>
      <c r="Q3549" t="s">
        <v>27</v>
      </c>
    </row>
    <row r="3550" spans="1:17" x14ac:dyDescent="0.3">
      <c r="A3550" t="s">
        <v>17</v>
      </c>
      <c r="B3550">
        <v>63</v>
      </c>
      <c r="C3550" t="s">
        <v>18</v>
      </c>
      <c r="D3550" s="2">
        <v>46065</v>
      </c>
      <c r="E3550" s="3">
        <f t="shared" si="55"/>
        <v>46054</v>
      </c>
      <c r="F3550">
        <v>223268</v>
      </c>
      <c r="G3550" t="s">
        <v>251</v>
      </c>
      <c r="H3550" s="4">
        <v>240</v>
      </c>
      <c r="I3550" t="s">
        <v>47</v>
      </c>
      <c r="J3550" t="s">
        <v>22</v>
      </c>
      <c r="K3550" t="s">
        <v>1556</v>
      </c>
      <c r="L3550" s="2">
        <v>46054</v>
      </c>
      <c r="M3550" t="s">
        <v>24</v>
      </c>
      <c r="N3550">
        <v>0</v>
      </c>
      <c r="O3550" t="s">
        <v>26</v>
      </c>
      <c r="P3550" t="s">
        <v>18</v>
      </c>
      <c r="Q3550" t="s">
        <v>27</v>
      </c>
    </row>
    <row r="3551" spans="1:17" x14ac:dyDescent="0.3">
      <c r="A3551" t="s">
        <v>17</v>
      </c>
      <c r="B3551">
        <v>63</v>
      </c>
      <c r="C3551" t="s">
        <v>18</v>
      </c>
      <c r="D3551" s="2">
        <v>46065</v>
      </c>
      <c r="E3551" s="3">
        <f t="shared" si="55"/>
        <v>46054</v>
      </c>
      <c r="F3551">
        <v>223268</v>
      </c>
      <c r="G3551" t="s">
        <v>251</v>
      </c>
      <c r="H3551" s="4">
        <v>1200</v>
      </c>
      <c r="I3551" t="s">
        <v>47</v>
      </c>
      <c r="J3551" t="s">
        <v>22</v>
      </c>
      <c r="K3551" t="s">
        <v>2985</v>
      </c>
      <c r="L3551" s="2">
        <v>46054</v>
      </c>
      <c r="M3551" t="s">
        <v>24</v>
      </c>
      <c r="N3551">
        <v>0</v>
      </c>
      <c r="O3551" t="s">
        <v>26</v>
      </c>
      <c r="P3551" t="s">
        <v>18</v>
      </c>
      <c r="Q3551" t="s">
        <v>27</v>
      </c>
    </row>
    <row r="3552" spans="1:17" x14ac:dyDescent="0.3">
      <c r="A3552" t="s">
        <v>17</v>
      </c>
      <c r="B3552">
        <v>63</v>
      </c>
      <c r="C3552" t="s">
        <v>18</v>
      </c>
      <c r="D3552" s="2">
        <v>46066</v>
      </c>
      <c r="E3552" s="3">
        <f t="shared" si="55"/>
        <v>46054</v>
      </c>
      <c r="F3552">
        <v>845198</v>
      </c>
      <c r="G3552" t="s">
        <v>125</v>
      </c>
      <c r="H3552" s="4">
        <v>55</v>
      </c>
      <c r="I3552" t="s">
        <v>47</v>
      </c>
      <c r="J3552" t="s">
        <v>22</v>
      </c>
      <c r="K3552" t="s">
        <v>1791</v>
      </c>
      <c r="L3552" s="2">
        <v>46054</v>
      </c>
      <c r="M3552" t="s">
        <v>24</v>
      </c>
      <c r="N3552">
        <v>0</v>
      </c>
      <c r="O3552" t="s">
        <v>26</v>
      </c>
      <c r="P3552" t="s">
        <v>18</v>
      </c>
      <c r="Q3552" t="s">
        <v>27</v>
      </c>
    </row>
    <row r="3553" spans="1:17" x14ac:dyDescent="0.3">
      <c r="A3553" t="s">
        <v>17</v>
      </c>
      <c r="B3553">
        <v>63</v>
      </c>
      <c r="C3553" t="s">
        <v>18</v>
      </c>
      <c r="D3553" s="2">
        <v>46066</v>
      </c>
      <c r="E3553" s="3">
        <f t="shared" si="55"/>
        <v>46054</v>
      </c>
      <c r="F3553">
        <v>845198</v>
      </c>
      <c r="G3553" t="s">
        <v>125</v>
      </c>
      <c r="H3553" s="4">
        <v>275</v>
      </c>
      <c r="I3553" t="s">
        <v>47</v>
      </c>
      <c r="J3553" t="s">
        <v>22</v>
      </c>
      <c r="K3553" t="s">
        <v>2986</v>
      </c>
      <c r="L3553" s="2">
        <v>46054</v>
      </c>
      <c r="M3553" t="s">
        <v>24</v>
      </c>
      <c r="N3553">
        <v>0</v>
      </c>
      <c r="O3553" t="s">
        <v>26</v>
      </c>
      <c r="P3553" t="s">
        <v>18</v>
      </c>
      <c r="Q3553" t="s">
        <v>27</v>
      </c>
    </row>
    <row r="3554" spans="1:17" x14ac:dyDescent="0.3">
      <c r="A3554" t="s">
        <v>17</v>
      </c>
      <c r="B3554">
        <v>63</v>
      </c>
      <c r="C3554" t="s">
        <v>18</v>
      </c>
      <c r="D3554" s="2">
        <v>46073</v>
      </c>
      <c r="E3554" s="3">
        <f t="shared" si="55"/>
        <v>46054</v>
      </c>
      <c r="F3554">
        <v>122825</v>
      </c>
      <c r="G3554" t="s">
        <v>2987</v>
      </c>
      <c r="H3554" s="4">
        <v>2400</v>
      </c>
      <c r="I3554" t="s">
        <v>21</v>
      </c>
      <c r="J3554" t="s">
        <v>22</v>
      </c>
      <c r="K3554" t="s">
        <v>2988</v>
      </c>
      <c r="L3554" s="2">
        <v>46054</v>
      </c>
      <c r="M3554" t="s">
        <v>24</v>
      </c>
      <c r="N3554" t="s">
        <v>25</v>
      </c>
      <c r="O3554" t="s">
        <v>26</v>
      </c>
      <c r="P3554" t="s">
        <v>18</v>
      </c>
      <c r="Q3554" t="s">
        <v>27</v>
      </c>
    </row>
    <row r="3555" spans="1:17" x14ac:dyDescent="0.3">
      <c r="A3555" t="s">
        <v>17</v>
      </c>
      <c r="B3555">
        <v>63</v>
      </c>
      <c r="C3555" t="s">
        <v>18</v>
      </c>
      <c r="D3555" s="2">
        <v>46073</v>
      </c>
      <c r="E3555" s="3">
        <f t="shared" si="55"/>
        <v>46054</v>
      </c>
      <c r="F3555">
        <v>122824</v>
      </c>
      <c r="G3555" t="s">
        <v>2987</v>
      </c>
      <c r="H3555" s="4">
        <v>2400</v>
      </c>
      <c r="I3555" t="s">
        <v>21</v>
      </c>
      <c r="J3555" t="s">
        <v>22</v>
      </c>
      <c r="K3555" t="s">
        <v>2989</v>
      </c>
      <c r="L3555" s="2">
        <v>46054</v>
      </c>
      <c r="M3555" t="s">
        <v>24</v>
      </c>
      <c r="N3555" t="s">
        <v>25</v>
      </c>
      <c r="O3555" t="s">
        <v>26</v>
      </c>
      <c r="P3555" t="s">
        <v>18</v>
      </c>
      <c r="Q3555" t="s">
        <v>27</v>
      </c>
    </row>
    <row r="3556" spans="1:17" x14ac:dyDescent="0.3">
      <c r="A3556" t="s">
        <v>17</v>
      </c>
      <c r="B3556">
        <v>63</v>
      </c>
      <c r="C3556" t="s">
        <v>18</v>
      </c>
      <c r="D3556" s="2">
        <v>46081</v>
      </c>
      <c r="E3556" s="3">
        <f t="shared" si="55"/>
        <v>46054</v>
      </c>
      <c r="F3556" t="s">
        <v>2990</v>
      </c>
      <c r="H3556" s="4">
        <v>9778.11</v>
      </c>
      <c r="I3556" t="s">
        <v>47</v>
      </c>
      <c r="J3556" t="s">
        <v>326</v>
      </c>
      <c r="K3556" t="s">
        <v>2991</v>
      </c>
      <c r="L3556" s="2">
        <v>46054</v>
      </c>
      <c r="M3556" t="s">
        <v>328</v>
      </c>
      <c r="N3556">
        <v>0</v>
      </c>
      <c r="O3556" t="s">
        <v>26</v>
      </c>
      <c r="P3556" t="s">
        <v>18</v>
      </c>
      <c r="Q3556" t="s">
        <v>329</v>
      </c>
    </row>
    <row r="3557" spans="1:17" x14ac:dyDescent="0.3">
      <c r="A3557" t="s">
        <v>17</v>
      </c>
      <c r="B3557">
        <v>67</v>
      </c>
      <c r="C3557" t="s">
        <v>28</v>
      </c>
      <c r="D3557" s="2">
        <v>46057</v>
      </c>
      <c r="E3557" s="3">
        <f t="shared" si="55"/>
        <v>46054</v>
      </c>
      <c r="F3557" t="s">
        <v>2992</v>
      </c>
      <c r="G3557" t="s">
        <v>119</v>
      </c>
      <c r="H3557" s="4">
        <v>2178.75</v>
      </c>
      <c r="I3557" t="s">
        <v>31</v>
      </c>
      <c r="J3557" t="s">
        <v>68</v>
      </c>
      <c r="K3557" t="s">
        <v>1567</v>
      </c>
      <c r="L3557" s="2">
        <v>46054</v>
      </c>
      <c r="M3557" t="s">
        <v>68</v>
      </c>
      <c r="N3557">
        <v>0</v>
      </c>
      <c r="O3557" t="s">
        <v>31</v>
      </c>
      <c r="P3557" t="s">
        <v>28</v>
      </c>
      <c r="Q3557">
        <v>0</v>
      </c>
    </row>
    <row r="3558" spans="1:17" x14ac:dyDescent="0.3">
      <c r="A3558" t="s">
        <v>17</v>
      </c>
      <c r="B3558">
        <v>67</v>
      </c>
      <c r="C3558" t="s">
        <v>28</v>
      </c>
      <c r="D3558" s="2">
        <v>46059</v>
      </c>
      <c r="E3558" s="3">
        <f t="shared" si="55"/>
        <v>46054</v>
      </c>
      <c r="F3558" t="s">
        <v>2993</v>
      </c>
      <c r="G3558" t="s">
        <v>67</v>
      </c>
      <c r="H3558" s="4">
        <v>309.74</v>
      </c>
      <c r="I3558" t="s">
        <v>31</v>
      </c>
      <c r="J3558" t="s">
        <v>68</v>
      </c>
      <c r="K3558" t="s">
        <v>2994</v>
      </c>
      <c r="L3558" s="2">
        <v>46054</v>
      </c>
      <c r="M3558" t="s">
        <v>68</v>
      </c>
      <c r="N3558">
        <v>0</v>
      </c>
      <c r="O3558" t="s">
        <v>31</v>
      </c>
      <c r="P3558" t="s">
        <v>28</v>
      </c>
      <c r="Q3558">
        <v>0</v>
      </c>
    </row>
    <row r="3559" spans="1:17" x14ac:dyDescent="0.3">
      <c r="A3559" t="s">
        <v>17</v>
      </c>
      <c r="B3559">
        <v>67</v>
      </c>
      <c r="C3559" t="s">
        <v>28</v>
      </c>
      <c r="D3559" s="2">
        <v>46064</v>
      </c>
      <c r="E3559" s="3">
        <f t="shared" si="55"/>
        <v>46054</v>
      </c>
      <c r="F3559" t="s">
        <v>2995</v>
      </c>
      <c r="G3559" t="s">
        <v>119</v>
      </c>
      <c r="H3559" s="4">
        <v>1515</v>
      </c>
      <c r="I3559" t="s">
        <v>31</v>
      </c>
      <c r="J3559" t="s">
        <v>68</v>
      </c>
      <c r="K3559" t="s">
        <v>1567</v>
      </c>
      <c r="L3559" s="2">
        <v>46054</v>
      </c>
      <c r="M3559" t="s">
        <v>68</v>
      </c>
      <c r="N3559">
        <v>0</v>
      </c>
      <c r="O3559" t="s">
        <v>31</v>
      </c>
      <c r="P3559" t="s">
        <v>28</v>
      </c>
      <c r="Q3559">
        <v>0</v>
      </c>
    </row>
    <row r="3560" spans="1:17" x14ac:dyDescent="0.3">
      <c r="A3560" t="s">
        <v>17</v>
      </c>
      <c r="B3560">
        <v>67</v>
      </c>
      <c r="C3560" t="s">
        <v>28</v>
      </c>
      <c r="D3560" s="2">
        <v>46065</v>
      </c>
      <c r="E3560" s="3">
        <f t="shared" si="55"/>
        <v>46054</v>
      </c>
      <c r="F3560" t="s">
        <v>2996</v>
      </c>
      <c r="G3560" t="s">
        <v>119</v>
      </c>
      <c r="H3560" s="4">
        <v>200</v>
      </c>
      <c r="I3560" t="s">
        <v>31</v>
      </c>
      <c r="J3560" t="s">
        <v>68</v>
      </c>
      <c r="K3560" t="s">
        <v>2712</v>
      </c>
      <c r="L3560" s="2">
        <v>46054</v>
      </c>
      <c r="M3560" t="s">
        <v>68</v>
      </c>
      <c r="N3560">
        <v>0</v>
      </c>
      <c r="O3560" t="s">
        <v>31</v>
      </c>
      <c r="P3560" t="s">
        <v>28</v>
      </c>
      <c r="Q3560">
        <v>0</v>
      </c>
    </row>
    <row r="3561" spans="1:17" x14ac:dyDescent="0.3">
      <c r="A3561" t="s">
        <v>17</v>
      </c>
      <c r="B3561">
        <v>67</v>
      </c>
      <c r="C3561" t="s">
        <v>28</v>
      </c>
      <c r="D3561" s="2">
        <v>46071</v>
      </c>
      <c r="E3561" s="3">
        <f t="shared" si="55"/>
        <v>46054</v>
      </c>
      <c r="F3561" t="s">
        <v>2997</v>
      </c>
      <c r="G3561" t="s">
        <v>119</v>
      </c>
      <c r="H3561" s="4">
        <v>1890</v>
      </c>
      <c r="I3561" t="s">
        <v>31</v>
      </c>
      <c r="J3561" t="s">
        <v>68</v>
      </c>
      <c r="K3561" t="s">
        <v>1567</v>
      </c>
      <c r="L3561" s="2">
        <v>46054</v>
      </c>
      <c r="M3561" t="s">
        <v>68</v>
      </c>
      <c r="N3561">
        <v>0</v>
      </c>
      <c r="O3561" t="s">
        <v>31</v>
      </c>
      <c r="P3561" t="s">
        <v>28</v>
      </c>
      <c r="Q3561">
        <v>0</v>
      </c>
    </row>
    <row r="3562" spans="1:17" x14ac:dyDescent="0.3">
      <c r="A3562" t="s">
        <v>17</v>
      </c>
      <c r="B3562">
        <v>67</v>
      </c>
      <c r="C3562" t="s">
        <v>28</v>
      </c>
      <c r="D3562" s="2">
        <v>46073</v>
      </c>
      <c r="E3562" s="3">
        <f t="shared" si="55"/>
        <v>46054</v>
      </c>
      <c r="F3562" t="s">
        <v>2998</v>
      </c>
      <c r="G3562" t="s">
        <v>67</v>
      </c>
      <c r="H3562" s="4">
        <v>537.38</v>
      </c>
      <c r="I3562" t="s">
        <v>31</v>
      </c>
      <c r="J3562" t="s">
        <v>68</v>
      </c>
      <c r="K3562" t="s">
        <v>2998</v>
      </c>
      <c r="L3562" s="2">
        <v>46054</v>
      </c>
      <c r="M3562" t="s">
        <v>68</v>
      </c>
      <c r="N3562">
        <v>0</v>
      </c>
      <c r="O3562" t="s">
        <v>31</v>
      </c>
      <c r="P3562" t="s">
        <v>28</v>
      </c>
      <c r="Q3562">
        <v>0</v>
      </c>
    </row>
    <row r="3563" spans="1:17" x14ac:dyDescent="0.3">
      <c r="A3563" t="s">
        <v>17</v>
      </c>
      <c r="B3563">
        <v>67</v>
      </c>
      <c r="C3563" t="s">
        <v>28</v>
      </c>
      <c r="D3563" s="2">
        <v>46078</v>
      </c>
      <c r="E3563" s="3">
        <f t="shared" si="55"/>
        <v>46054</v>
      </c>
      <c r="F3563" t="s">
        <v>2999</v>
      </c>
      <c r="G3563" t="s">
        <v>119</v>
      </c>
      <c r="H3563" s="4">
        <v>1315</v>
      </c>
      <c r="I3563" t="s">
        <v>31</v>
      </c>
      <c r="J3563" t="s">
        <v>68</v>
      </c>
      <c r="K3563" t="s">
        <v>1567</v>
      </c>
      <c r="L3563" s="2">
        <v>46054</v>
      </c>
      <c r="M3563" t="s">
        <v>68</v>
      </c>
      <c r="N3563">
        <v>0</v>
      </c>
      <c r="O3563" t="s">
        <v>31</v>
      </c>
      <c r="P3563" t="s">
        <v>28</v>
      </c>
      <c r="Q3563">
        <v>0</v>
      </c>
    </row>
    <row r="3564" spans="1:17" x14ac:dyDescent="0.3">
      <c r="A3564" t="s">
        <v>17</v>
      </c>
      <c r="B3564">
        <v>67</v>
      </c>
      <c r="C3564" t="s">
        <v>28</v>
      </c>
      <c r="D3564" s="2">
        <v>46078</v>
      </c>
      <c r="E3564" s="3">
        <f t="shared" si="55"/>
        <v>46054</v>
      </c>
      <c r="F3564" t="s">
        <v>3000</v>
      </c>
      <c r="G3564" t="s">
        <v>67</v>
      </c>
      <c r="H3564" s="4">
        <v>323.39</v>
      </c>
      <c r="I3564" t="s">
        <v>31</v>
      </c>
      <c r="J3564" t="s">
        <v>68</v>
      </c>
      <c r="K3564" t="s">
        <v>3001</v>
      </c>
      <c r="L3564" s="2">
        <v>46054</v>
      </c>
      <c r="M3564" t="s">
        <v>68</v>
      </c>
      <c r="N3564">
        <v>0</v>
      </c>
      <c r="O3564" t="s">
        <v>31</v>
      </c>
      <c r="P3564" t="s">
        <v>28</v>
      </c>
      <c r="Q3564">
        <v>0</v>
      </c>
    </row>
    <row r="3565" spans="1:17" x14ac:dyDescent="0.3">
      <c r="A3565" t="s">
        <v>17</v>
      </c>
      <c r="B3565">
        <v>67</v>
      </c>
      <c r="C3565" t="s">
        <v>28</v>
      </c>
      <c r="D3565" s="2">
        <v>46080</v>
      </c>
      <c r="E3565" s="3">
        <f t="shared" si="55"/>
        <v>46054</v>
      </c>
      <c r="F3565" t="s">
        <v>3002</v>
      </c>
      <c r="G3565" t="s">
        <v>67</v>
      </c>
      <c r="H3565" s="4">
        <v>19.68</v>
      </c>
      <c r="I3565" t="s">
        <v>31</v>
      </c>
      <c r="J3565" t="s">
        <v>68</v>
      </c>
      <c r="K3565" t="s">
        <v>3003</v>
      </c>
      <c r="L3565" s="2">
        <v>46054</v>
      </c>
      <c r="M3565" t="s">
        <v>68</v>
      </c>
      <c r="N3565">
        <v>0</v>
      </c>
      <c r="O3565" t="s">
        <v>31</v>
      </c>
      <c r="P3565" t="s">
        <v>28</v>
      </c>
      <c r="Q3565">
        <v>0</v>
      </c>
    </row>
    <row r="3566" spans="1:17" x14ac:dyDescent="0.3">
      <c r="A3566" t="s">
        <v>17</v>
      </c>
      <c r="B3566">
        <v>65</v>
      </c>
      <c r="C3566" t="s">
        <v>54</v>
      </c>
      <c r="D3566" s="2">
        <v>46054</v>
      </c>
      <c r="E3566" s="3">
        <f t="shared" si="55"/>
        <v>46054</v>
      </c>
      <c r="F3566" t="s">
        <v>3004</v>
      </c>
      <c r="G3566" t="s">
        <v>40</v>
      </c>
      <c r="H3566" s="4">
        <v>31017.18</v>
      </c>
      <c r="I3566" t="s">
        <v>31</v>
      </c>
      <c r="J3566" t="s">
        <v>55</v>
      </c>
      <c r="K3566" t="s">
        <v>3005</v>
      </c>
      <c r="L3566" s="2">
        <v>46054</v>
      </c>
      <c r="M3566" t="s">
        <v>55</v>
      </c>
      <c r="N3566">
        <v>0</v>
      </c>
      <c r="O3566" t="s">
        <v>31</v>
      </c>
      <c r="P3566" t="s">
        <v>54</v>
      </c>
      <c r="Q3566">
        <v>0</v>
      </c>
    </row>
    <row r="3567" spans="1:17" x14ac:dyDescent="0.3">
      <c r="A3567" t="s">
        <v>17</v>
      </c>
      <c r="B3567">
        <v>65</v>
      </c>
      <c r="C3567" t="s">
        <v>54</v>
      </c>
      <c r="D3567" s="2">
        <v>46081</v>
      </c>
      <c r="E3567" s="3">
        <f t="shared" si="55"/>
        <v>46054</v>
      </c>
      <c r="F3567" t="s">
        <v>3006</v>
      </c>
      <c r="H3567" s="4">
        <v>-31017.18</v>
      </c>
      <c r="I3567" t="s">
        <v>31</v>
      </c>
      <c r="J3567" t="s">
        <v>55</v>
      </c>
      <c r="L3567" s="2">
        <v>46054</v>
      </c>
      <c r="M3567" t="s">
        <v>55</v>
      </c>
      <c r="N3567">
        <v>0</v>
      </c>
      <c r="O3567" t="s">
        <v>31</v>
      </c>
      <c r="P3567" t="s">
        <v>54</v>
      </c>
      <c r="Q3567">
        <v>0</v>
      </c>
    </row>
    <row r="3568" spans="1:17" x14ac:dyDescent="0.3">
      <c r="A3568" t="s">
        <v>17</v>
      </c>
      <c r="B3568">
        <v>68</v>
      </c>
      <c r="C3568" t="s">
        <v>34</v>
      </c>
      <c r="D3568" s="2">
        <v>46056</v>
      </c>
      <c r="E3568" s="3">
        <f t="shared" si="55"/>
        <v>46054</v>
      </c>
      <c r="F3568" t="s">
        <v>3007</v>
      </c>
      <c r="G3568" t="s">
        <v>40</v>
      </c>
      <c r="H3568" s="4">
        <v>1064.8399999999999</v>
      </c>
      <c r="I3568" t="s">
        <v>31</v>
      </c>
      <c r="J3568" t="s">
        <v>79</v>
      </c>
      <c r="K3568" t="s">
        <v>3008</v>
      </c>
      <c r="L3568" s="2">
        <v>46054</v>
      </c>
      <c r="M3568" t="s">
        <v>79</v>
      </c>
      <c r="N3568">
        <v>0</v>
      </c>
      <c r="O3568" t="s">
        <v>31</v>
      </c>
      <c r="P3568" t="s">
        <v>34</v>
      </c>
      <c r="Q3568">
        <v>0</v>
      </c>
    </row>
    <row r="3569" spans="1:17" x14ac:dyDescent="0.3">
      <c r="A3569" t="s">
        <v>17</v>
      </c>
      <c r="B3569">
        <v>68</v>
      </c>
      <c r="C3569" t="s">
        <v>34</v>
      </c>
      <c r="D3569" s="2">
        <v>46057</v>
      </c>
      <c r="E3569" s="3">
        <f t="shared" si="55"/>
        <v>46054</v>
      </c>
      <c r="F3569" t="s">
        <v>3009</v>
      </c>
      <c r="G3569" t="s">
        <v>1251</v>
      </c>
      <c r="H3569" s="4">
        <v>200</v>
      </c>
      <c r="I3569" t="s">
        <v>21</v>
      </c>
      <c r="J3569" t="s">
        <v>79</v>
      </c>
      <c r="K3569" t="s">
        <v>3010</v>
      </c>
      <c r="L3569" s="2">
        <v>46054</v>
      </c>
      <c r="M3569" t="s">
        <v>79</v>
      </c>
      <c r="N3569" t="s">
        <v>25</v>
      </c>
      <c r="O3569" t="s">
        <v>81</v>
      </c>
      <c r="P3569" t="s">
        <v>34</v>
      </c>
      <c r="Q3569">
        <v>0</v>
      </c>
    </row>
    <row r="3570" spans="1:17" x14ac:dyDescent="0.3">
      <c r="A3570" t="s">
        <v>17</v>
      </c>
      <c r="B3570">
        <v>68</v>
      </c>
      <c r="C3570" t="s">
        <v>34</v>
      </c>
      <c r="D3570" s="2">
        <v>46057</v>
      </c>
      <c r="E3570" s="3">
        <f t="shared" si="55"/>
        <v>46054</v>
      </c>
      <c r="F3570" t="s">
        <v>3011</v>
      </c>
      <c r="G3570" t="s">
        <v>101</v>
      </c>
      <c r="H3570" s="4">
        <v>70.650000000000006</v>
      </c>
      <c r="I3570" t="s">
        <v>31</v>
      </c>
      <c r="J3570" t="s">
        <v>79</v>
      </c>
      <c r="K3570" t="s">
        <v>3012</v>
      </c>
      <c r="L3570" s="2">
        <v>46054</v>
      </c>
      <c r="M3570" t="s">
        <v>79</v>
      </c>
      <c r="N3570">
        <v>0</v>
      </c>
      <c r="O3570" t="s">
        <v>31</v>
      </c>
      <c r="P3570" t="s">
        <v>34</v>
      </c>
      <c r="Q3570">
        <v>0</v>
      </c>
    </row>
    <row r="3571" spans="1:17" x14ac:dyDescent="0.3">
      <c r="A3571" t="s">
        <v>17</v>
      </c>
      <c r="B3571">
        <v>68</v>
      </c>
      <c r="C3571" t="s">
        <v>34</v>
      </c>
      <c r="D3571" s="2">
        <v>46057</v>
      </c>
      <c r="E3571" s="3">
        <f t="shared" si="55"/>
        <v>46054</v>
      </c>
      <c r="F3571" t="s">
        <v>3011</v>
      </c>
      <c r="G3571" t="s">
        <v>101</v>
      </c>
      <c r="H3571" s="4">
        <v>270.8</v>
      </c>
      <c r="I3571" t="s">
        <v>31</v>
      </c>
      <c r="J3571" t="s">
        <v>79</v>
      </c>
      <c r="K3571" t="s">
        <v>3013</v>
      </c>
      <c r="L3571" s="2">
        <v>46054</v>
      </c>
      <c r="M3571" t="s">
        <v>79</v>
      </c>
      <c r="N3571">
        <v>0</v>
      </c>
      <c r="O3571" t="s">
        <v>31</v>
      </c>
      <c r="P3571" t="s">
        <v>34</v>
      </c>
      <c r="Q3571">
        <v>0</v>
      </c>
    </row>
    <row r="3572" spans="1:17" x14ac:dyDescent="0.3">
      <c r="A3572" t="s">
        <v>17</v>
      </c>
      <c r="B3572">
        <v>68</v>
      </c>
      <c r="C3572" t="s">
        <v>34</v>
      </c>
      <c r="D3572" s="2">
        <v>46057</v>
      </c>
      <c r="E3572" s="3">
        <f t="shared" si="55"/>
        <v>46054</v>
      </c>
      <c r="F3572" t="s">
        <v>3011</v>
      </c>
      <c r="G3572" t="s">
        <v>101</v>
      </c>
      <c r="H3572" s="4">
        <v>-745.21</v>
      </c>
      <c r="I3572" t="s">
        <v>31</v>
      </c>
      <c r="J3572" t="s">
        <v>79</v>
      </c>
      <c r="K3572" t="s">
        <v>3014</v>
      </c>
      <c r="L3572" s="2">
        <v>46054</v>
      </c>
      <c r="M3572" t="s">
        <v>79</v>
      </c>
      <c r="N3572">
        <v>0</v>
      </c>
      <c r="O3572" t="s">
        <v>31</v>
      </c>
      <c r="P3572" t="s">
        <v>34</v>
      </c>
      <c r="Q3572">
        <v>0</v>
      </c>
    </row>
    <row r="3573" spans="1:17" x14ac:dyDescent="0.3">
      <c r="A3573" t="s">
        <v>17</v>
      </c>
      <c r="B3573">
        <v>68</v>
      </c>
      <c r="C3573" t="s">
        <v>34</v>
      </c>
      <c r="D3573" s="2">
        <v>46057</v>
      </c>
      <c r="E3573" s="3">
        <f t="shared" si="55"/>
        <v>46054</v>
      </c>
      <c r="F3573" t="s">
        <v>3011</v>
      </c>
      <c r="G3573" t="s">
        <v>101</v>
      </c>
      <c r="H3573" s="4">
        <v>740.35</v>
      </c>
      <c r="I3573" t="s">
        <v>31</v>
      </c>
      <c r="J3573" t="s">
        <v>79</v>
      </c>
      <c r="K3573" t="s">
        <v>3015</v>
      </c>
      <c r="L3573" s="2">
        <v>46054</v>
      </c>
      <c r="M3573" t="s">
        <v>79</v>
      </c>
      <c r="N3573">
        <v>0</v>
      </c>
      <c r="O3573" t="s">
        <v>31</v>
      </c>
      <c r="P3573" t="s">
        <v>34</v>
      </c>
      <c r="Q3573">
        <v>0</v>
      </c>
    </row>
    <row r="3574" spans="1:17" x14ac:dyDescent="0.3">
      <c r="A3574" t="s">
        <v>17</v>
      </c>
      <c r="B3574">
        <v>68</v>
      </c>
      <c r="C3574" t="s">
        <v>34</v>
      </c>
      <c r="D3574" s="2">
        <v>46063</v>
      </c>
      <c r="E3574" s="3">
        <f t="shared" si="55"/>
        <v>46054</v>
      </c>
      <c r="F3574">
        <v>13040</v>
      </c>
      <c r="G3574" t="s">
        <v>131</v>
      </c>
      <c r="H3574" s="4">
        <v>84.31</v>
      </c>
      <c r="I3574" t="s">
        <v>31</v>
      </c>
      <c r="J3574" t="s">
        <v>79</v>
      </c>
      <c r="K3574" t="s">
        <v>1276</v>
      </c>
      <c r="L3574" s="2">
        <v>46054</v>
      </c>
      <c r="M3574" t="s">
        <v>79</v>
      </c>
      <c r="N3574">
        <v>0</v>
      </c>
      <c r="O3574" t="s">
        <v>31</v>
      </c>
      <c r="P3574" t="s">
        <v>34</v>
      </c>
      <c r="Q3574">
        <v>0</v>
      </c>
    </row>
    <row r="3575" spans="1:17" x14ac:dyDescent="0.3">
      <c r="A3575" t="s">
        <v>17</v>
      </c>
      <c r="B3575">
        <v>68</v>
      </c>
      <c r="C3575" t="s">
        <v>34</v>
      </c>
      <c r="D3575" s="2">
        <v>46063</v>
      </c>
      <c r="E3575" s="3">
        <f t="shared" si="55"/>
        <v>46054</v>
      </c>
      <c r="F3575">
        <v>13040</v>
      </c>
      <c r="G3575" t="s">
        <v>131</v>
      </c>
      <c r="H3575" s="4">
        <v>950</v>
      </c>
      <c r="I3575" t="s">
        <v>31</v>
      </c>
      <c r="J3575" t="s">
        <v>79</v>
      </c>
      <c r="K3575" t="s">
        <v>1406</v>
      </c>
      <c r="L3575" s="2">
        <v>46054</v>
      </c>
      <c r="M3575" t="s">
        <v>79</v>
      </c>
      <c r="N3575">
        <v>0</v>
      </c>
      <c r="O3575" t="s">
        <v>31</v>
      </c>
      <c r="P3575" t="s">
        <v>34</v>
      </c>
      <c r="Q3575">
        <v>0</v>
      </c>
    </row>
    <row r="3576" spans="1:17" x14ac:dyDescent="0.3">
      <c r="A3576" t="s">
        <v>17</v>
      </c>
      <c r="B3576">
        <v>68</v>
      </c>
      <c r="C3576" t="s">
        <v>34</v>
      </c>
      <c r="D3576" s="2">
        <v>46067</v>
      </c>
      <c r="E3576" s="3">
        <f t="shared" si="55"/>
        <v>46054</v>
      </c>
      <c r="F3576" t="s">
        <v>2925</v>
      </c>
      <c r="G3576" t="s">
        <v>1227</v>
      </c>
      <c r="H3576" s="4">
        <v>30.47</v>
      </c>
      <c r="I3576" t="s">
        <v>47</v>
      </c>
      <c r="J3576" t="s">
        <v>79</v>
      </c>
      <c r="K3576" t="s">
        <v>3016</v>
      </c>
      <c r="L3576" s="2">
        <v>46054</v>
      </c>
      <c r="M3576" t="s">
        <v>79</v>
      </c>
      <c r="N3576">
        <v>0</v>
      </c>
      <c r="O3576" t="s">
        <v>26</v>
      </c>
      <c r="P3576" t="s">
        <v>34</v>
      </c>
      <c r="Q3576">
        <v>0</v>
      </c>
    </row>
    <row r="3577" spans="1:17" x14ac:dyDescent="0.3">
      <c r="A3577" t="s">
        <v>17</v>
      </c>
      <c r="B3577">
        <v>68</v>
      </c>
      <c r="C3577" t="s">
        <v>34</v>
      </c>
      <c r="D3577" s="2">
        <v>46081</v>
      </c>
      <c r="E3577" s="3">
        <f t="shared" si="55"/>
        <v>46054</v>
      </c>
      <c r="F3577" t="s">
        <v>3017</v>
      </c>
      <c r="G3577" t="s">
        <v>266</v>
      </c>
      <c r="H3577" s="4">
        <v>124.99</v>
      </c>
      <c r="I3577" t="s">
        <v>31</v>
      </c>
      <c r="J3577" t="s">
        <v>79</v>
      </c>
      <c r="K3577" t="s">
        <v>3018</v>
      </c>
      <c r="L3577" s="2">
        <v>46054</v>
      </c>
      <c r="M3577" t="s">
        <v>79</v>
      </c>
      <c r="N3577">
        <v>0</v>
      </c>
      <c r="O3577" t="s">
        <v>31</v>
      </c>
      <c r="P3577" t="s">
        <v>34</v>
      </c>
      <c r="Q3577">
        <v>0</v>
      </c>
    </row>
    <row r="3578" spans="1:17" x14ac:dyDescent="0.3">
      <c r="A3578" t="s">
        <v>17</v>
      </c>
      <c r="B3578">
        <v>68</v>
      </c>
      <c r="C3578" t="s">
        <v>34</v>
      </c>
      <c r="D3578" s="2">
        <v>46081</v>
      </c>
      <c r="E3578" s="3">
        <f t="shared" si="55"/>
        <v>46054</v>
      </c>
      <c r="F3578" t="s">
        <v>3017</v>
      </c>
      <c r="G3578" t="s">
        <v>266</v>
      </c>
      <c r="H3578" s="4">
        <v>14.28</v>
      </c>
      <c r="I3578" t="s">
        <v>31</v>
      </c>
      <c r="J3578" t="s">
        <v>79</v>
      </c>
      <c r="K3578" t="s">
        <v>1603</v>
      </c>
      <c r="L3578" s="2">
        <v>46054</v>
      </c>
      <c r="M3578" t="s">
        <v>79</v>
      </c>
      <c r="N3578">
        <v>0</v>
      </c>
      <c r="O3578" t="s">
        <v>31</v>
      </c>
      <c r="P3578" t="s">
        <v>34</v>
      </c>
      <c r="Q3578">
        <v>0</v>
      </c>
    </row>
    <row r="3579" spans="1:17" x14ac:dyDescent="0.3">
      <c r="A3579" t="s">
        <v>17</v>
      </c>
      <c r="B3579">
        <v>68</v>
      </c>
      <c r="C3579" t="s">
        <v>34</v>
      </c>
      <c r="D3579" s="2">
        <v>46081</v>
      </c>
      <c r="E3579" s="3">
        <f t="shared" si="55"/>
        <v>46054</v>
      </c>
      <c r="F3579" t="s">
        <v>3017</v>
      </c>
      <c r="G3579" t="s">
        <v>266</v>
      </c>
      <c r="H3579" s="4">
        <v>14.97</v>
      </c>
      <c r="I3579" t="s">
        <v>31</v>
      </c>
      <c r="J3579" t="s">
        <v>79</v>
      </c>
      <c r="K3579" t="s">
        <v>3019</v>
      </c>
      <c r="L3579" s="2">
        <v>46054</v>
      </c>
      <c r="M3579" t="s">
        <v>79</v>
      </c>
      <c r="N3579">
        <v>0</v>
      </c>
      <c r="O3579" t="s">
        <v>31</v>
      </c>
      <c r="P3579" t="s">
        <v>34</v>
      </c>
      <c r="Q3579">
        <v>0</v>
      </c>
    </row>
    <row r="3580" spans="1:17" x14ac:dyDescent="0.3">
      <c r="A3580" t="s">
        <v>17</v>
      </c>
      <c r="B3580">
        <v>68</v>
      </c>
      <c r="C3580" t="s">
        <v>34</v>
      </c>
      <c r="D3580" s="2">
        <v>46081</v>
      </c>
      <c r="E3580" s="3">
        <f t="shared" si="55"/>
        <v>46054</v>
      </c>
      <c r="F3580" t="s">
        <v>3017</v>
      </c>
      <c r="G3580" t="s">
        <v>266</v>
      </c>
      <c r="H3580" s="4">
        <v>15.67</v>
      </c>
      <c r="I3580" t="s">
        <v>31</v>
      </c>
      <c r="J3580" t="s">
        <v>79</v>
      </c>
      <c r="K3580" t="s">
        <v>3020</v>
      </c>
      <c r="L3580" s="2">
        <v>46054</v>
      </c>
      <c r="M3580" t="s">
        <v>79</v>
      </c>
      <c r="N3580">
        <v>0</v>
      </c>
      <c r="O3580" t="s">
        <v>31</v>
      </c>
      <c r="P3580" t="s">
        <v>34</v>
      </c>
      <c r="Q3580">
        <v>0</v>
      </c>
    </row>
    <row r="3581" spans="1:17" x14ac:dyDescent="0.3">
      <c r="A3581" t="s">
        <v>17</v>
      </c>
      <c r="B3581">
        <v>68</v>
      </c>
      <c r="C3581" t="s">
        <v>34</v>
      </c>
      <c r="D3581" s="2">
        <v>46081</v>
      </c>
      <c r="E3581" s="3">
        <f t="shared" si="55"/>
        <v>46054</v>
      </c>
      <c r="F3581" t="s">
        <v>3017</v>
      </c>
      <c r="G3581" t="s">
        <v>266</v>
      </c>
      <c r="H3581" s="4">
        <v>19.940000000000001</v>
      </c>
      <c r="I3581" t="s">
        <v>31</v>
      </c>
      <c r="J3581" t="s">
        <v>79</v>
      </c>
      <c r="K3581" t="s">
        <v>3021</v>
      </c>
      <c r="L3581" s="2">
        <v>46054</v>
      </c>
      <c r="M3581" t="s">
        <v>79</v>
      </c>
      <c r="N3581">
        <v>0</v>
      </c>
      <c r="O3581" t="s">
        <v>31</v>
      </c>
      <c r="P3581" t="s">
        <v>34</v>
      </c>
      <c r="Q3581">
        <v>0</v>
      </c>
    </row>
    <row r="3582" spans="1:17" x14ac:dyDescent="0.3">
      <c r="A3582" t="s">
        <v>17</v>
      </c>
      <c r="B3582">
        <v>68</v>
      </c>
      <c r="C3582" t="s">
        <v>34</v>
      </c>
      <c r="D3582" s="2">
        <v>46081</v>
      </c>
      <c r="E3582" s="3">
        <f t="shared" si="55"/>
        <v>46054</v>
      </c>
      <c r="F3582" t="s">
        <v>3017</v>
      </c>
      <c r="G3582" t="s">
        <v>266</v>
      </c>
      <c r="H3582" s="4">
        <v>22.99</v>
      </c>
      <c r="I3582" t="s">
        <v>31</v>
      </c>
      <c r="J3582" t="s">
        <v>79</v>
      </c>
      <c r="K3582" t="s">
        <v>3022</v>
      </c>
      <c r="L3582" s="2">
        <v>46054</v>
      </c>
      <c r="M3582" t="s">
        <v>79</v>
      </c>
      <c r="N3582">
        <v>0</v>
      </c>
      <c r="O3582" t="s">
        <v>31</v>
      </c>
      <c r="P3582" t="s">
        <v>34</v>
      </c>
      <c r="Q3582">
        <v>0</v>
      </c>
    </row>
    <row r="3583" spans="1:17" x14ac:dyDescent="0.3">
      <c r="A3583" t="s">
        <v>17</v>
      </c>
      <c r="B3583">
        <v>68</v>
      </c>
      <c r="C3583" t="s">
        <v>34</v>
      </c>
      <c r="D3583" s="2">
        <v>46081</v>
      </c>
      <c r="E3583" s="3">
        <f t="shared" si="55"/>
        <v>46054</v>
      </c>
      <c r="F3583" t="s">
        <v>3017</v>
      </c>
      <c r="G3583" t="s">
        <v>266</v>
      </c>
      <c r="H3583" s="4">
        <v>12.85</v>
      </c>
      <c r="I3583" t="s">
        <v>31</v>
      </c>
      <c r="J3583" t="s">
        <v>79</v>
      </c>
      <c r="K3583" t="s">
        <v>3023</v>
      </c>
      <c r="L3583" s="2">
        <v>46054</v>
      </c>
      <c r="M3583" t="s">
        <v>79</v>
      </c>
      <c r="N3583">
        <v>0</v>
      </c>
      <c r="O3583" t="s">
        <v>31</v>
      </c>
      <c r="P3583" t="s">
        <v>34</v>
      </c>
      <c r="Q3583">
        <v>0</v>
      </c>
    </row>
    <row r="3584" spans="1:17" x14ac:dyDescent="0.3">
      <c r="A3584" t="s">
        <v>17</v>
      </c>
      <c r="B3584">
        <v>68</v>
      </c>
      <c r="C3584" t="s">
        <v>34</v>
      </c>
      <c r="D3584" s="2">
        <v>46081</v>
      </c>
      <c r="E3584" s="3">
        <f t="shared" si="55"/>
        <v>46054</v>
      </c>
      <c r="F3584" t="s">
        <v>3017</v>
      </c>
      <c r="G3584" t="s">
        <v>266</v>
      </c>
      <c r="H3584" s="4">
        <v>53.57</v>
      </c>
      <c r="I3584" t="s">
        <v>31</v>
      </c>
      <c r="J3584" t="s">
        <v>79</v>
      </c>
      <c r="K3584" t="s">
        <v>1276</v>
      </c>
      <c r="L3584" s="2">
        <v>46054</v>
      </c>
      <c r="M3584" t="s">
        <v>79</v>
      </c>
      <c r="N3584">
        <v>0</v>
      </c>
      <c r="O3584" t="s">
        <v>31</v>
      </c>
      <c r="P3584" t="s">
        <v>34</v>
      </c>
      <c r="Q3584">
        <v>0</v>
      </c>
    </row>
    <row r="3585" spans="1:17" x14ac:dyDescent="0.3">
      <c r="A3585" t="s">
        <v>17</v>
      </c>
      <c r="B3585">
        <v>68</v>
      </c>
      <c r="C3585" t="s">
        <v>34</v>
      </c>
      <c r="D3585" s="2">
        <v>46081</v>
      </c>
      <c r="E3585" s="3">
        <f t="shared" si="55"/>
        <v>46054</v>
      </c>
      <c r="F3585" t="s">
        <v>3017</v>
      </c>
      <c r="G3585" t="s">
        <v>266</v>
      </c>
      <c r="H3585" s="4">
        <v>29.39</v>
      </c>
      <c r="I3585" t="s">
        <v>31</v>
      </c>
      <c r="J3585" t="s">
        <v>79</v>
      </c>
      <c r="K3585" t="s">
        <v>3024</v>
      </c>
      <c r="L3585" s="2">
        <v>46054</v>
      </c>
      <c r="M3585" t="s">
        <v>79</v>
      </c>
      <c r="N3585">
        <v>0</v>
      </c>
      <c r="O3585" t="s">
        <v>31</v>
      </c>
      <c r="P3585" t="s">
        <v>34</v>
      </c>
      <c r="Q3585">
        <v>0</v>
      </c>
    </row>
    <row r="3586" spans="1:17" x14ac:dyDescent="0.3">
      <c r="A3586" t="s">
        <v>17</v>
      </c>
      <c r="B3586">
        <v>68</v>
      </c>
      <c r="C3586" t="s">
        <v>34</v>
      </c>
      <c r="D3586" s="2">
        <v>46081</v>
      </c>
      <c r="E3586" s="3">
        <f t="shared" si="55"/>
        <v>46054</v>
      </c>
      <c r="F3586" t="s">
        <v>3017</v>
      </c>
      <c r="G3586" t="s">
        <v>266</v>
      </c>
      <c r="H3586" s="4">
        <v>32.99</v>
      </c>
      <c r="I3586" t="s">
        <v>31</v>
      </c>
      <c r="J3586" t="s">
        <v>79</v>
      </c>
      <c r="K3586" t="s">
        <v>3025</v>
      </c>
      <c r="L3586" s="2">
        <v>46054</v>
      </c>
      <c r="M3586" t="s">
        <v>79</v>
      </c>
      <c r="N3586">
        <v>0</v>
      </c>
      <c r="O3586" t="s">
        <v>31</v>
      </c>
      <c r="P3586" t="s">
        <v>34</v>
      </c>
      <c r="Q3586">
        <v>0</v>
      </c>
    </row>
    <row r="3587" spans="1:17" x14ac:dyDescent="0.3">
      <c r="A3587" t="s">
        <v>17</v>
      </c>
      <c r="B3587">
        <v>68</v>
      </c>
      <c r="C3587" t="s">
        <v>34</v>
      </c>
      <c r="D3587" s="2">
        <v>46081</v>
      </c>
      <c r="E3587" s="3">
        <f t="shared" ref="E3587:E3650" si="56">IF($D3587="","",DATE(YEAR($D3587),MONTH($D3587),1))</f>
        <v>46054</v>
      </c>
      <c r="F3587" t="s">
        <v>3017</v>
      </c>
      <c r="G3587" t="s">
        <v>266</v>
      </c>
      <c r="H3587" s="4">
        <v>35.700000000000003</v>
      </c>
      <c r="I3587" t="s">
        <v>31</v>
      </c>
      <c r="J3587" t="s">
        <v>79</v>
      </c>
      <c r="K3587" t="s">
        <v>3026</v>
      </c>
      <c r="L3587" s="2">
        <v>46054</v>
      </c>
      <c r="M3587" t="s">
        <v>79</v>
      </c>
      <c r="N3587">
        <v>0</v>
      </c>
      <c r="O3587" t="s">
        <v>31</v>
      </c>
      <c r="P3587" t="s">
        <v>34</v>
      </c>
      <c r="Q3587">
        <v>0</v>
      </c>
    </row>
    <row r="3588" spans="1:17" x14ac:dyDescent="0.3">
      <c r="A3588" t="s">
        <v>17</v>
      </c>
      <c r="B3588">
        <v>68</v>
      </c>
      <c r="C3588" t="s">
        <v>34</v>
      </c>
      <c r="D3588" s="2">
        <v>46081</v>
      </c>
      <c r="E3588" s="3">
        <f t="shared" si="56"/>
        <v>46054</v>
      </c>
      <c r="F3588" t="s">
        <v>3017</v>
      </c>
      <c r="G3588" t="s">
        <v>266</v>
      </c>
      <c r="H3588" s="4">
        <v>43.93</v>
      </c>
      <c r="I3588" t="s">
        <v>31</v>
      </c>
      <c r="J3588" t="s">
        <v>79</v>
      </c>
      <c r="K3588" t="s">
        <v>3027</v>
      </c>
      <c r="L3588" s="2">
        <v>46054</v>
      </c>
      <c r="M3588" t="s">
        <v>79</v>
      </c>
      <c r="N3588">
        <v>0</v>
      </c>
      <c r="O3588" t="s">
        <v>31</v>
      </c>
      <c r="P3588" t="s">
        <v>34</v>
      </c>
      <c r="Q3588">
        <v>0</v>
      </c>
    </row>
    <row r="3589" spans="1:17" x14ac:dyDescent="0.3">
      <c r="A3589" t="s">
        <v>17</v>
      </c>
      <c r="B3589">
        <v>68</v>
      </c>
      <c r="C3589" t="s">
        <v>34</v>
      </c>
      <c r="D3589" s="2">
        <v>46081</v>
      </c>
      <c r="E3589" s="3">
        <f t="shared" si="56"/>
        <v>46054</v>
      </c>
      <c r="F3589" t="s">
        <v>3017</v>
      </c>
      <c r="G3589" t="s">
        <v>266</v>
      </c>
      <c r="H3589" s="4">
        <v>11.98</v>
      </c>
      <c r="I3589" t="s">
        <v>31</v>
      </c>
      <c r="J3589" t="s">
        <v>79</v>
      </c>
      <c r="K3589" t="s">
        <v>3028</v>
      </c>
      <c r="L3589" s="2">
        <v>46054</v>
      </c>
      <c r="M3589" t="s">
        <v>79</v>
      </c>
      <c r="N3589">
        <v>0</v>
      </c>
      <c r="O3589" t="s">
        <v>31</v>
      </c>
      <c r="P3589" t="s">
        <v>34</v>
      </c>
      <c r="Q3589">
        <v>0</v>
      </c>
    </row>
    <row r="3590" spans="1:17" x14ac:dyDescent="0.3">
      <c r="A3590" t="s">
        <v>17</v>
      </c>
      <c r="B3590">
        <v>68</v>
      </c>
      <c r="C3590" t="s">
        <v>34</v>
      </c>
      <c r="D3590" s="2">
        <v>46081</v>
      </c>
      <c r="E3590" s="3">
        <f t="shared" si="56"/>
        <v>46054</v>
      </c>
      <c r="F3590" t="s">
        <v>3017</v>
      </c>
      <c r="G3590" t="s">
        <v>266</v>
      </c>
      <c r="H3590" s="4">
        <v>13.88</v>
      </c>
      <c r="I3590" t="s">
        <v>31</v>
      </c>
      <c r="J3590" t="s">
        <v>79</v>
      </c>
      <c r="K3590" t="s">
        <v>3029</v>
      </c>
      <c r="L3590" s="2">
        <v>46054</v>
      </c>
      <c r="M3590" t="s">
        <v>79</v>
      </c>
      <c r="N3590">
        <v>0</v>
      </c>
      <c r="O3590" t="s">
        <v>31</v>
      </c>
      <c r="P3590" t="s">
        <v>34</v>
      </c>
      <c r="Q3590">
        <v>0</v>
      </c>
    </row>
    <row r="3591" spans="1:17" x14ac:dyDescent="0.3">
      <c r="A3591" t="s">
        <v>17</v>
      </c>
      <c r="B3591">
        <v>68</v>
      </c>
      <c r="C3591" t="s">
        <v>34</v>
      </c>
      <c r="D3591" s="2">
        <v>46081</v>
      </c>
      <c r="E3591" s="3">
        <f t="shared" si="56"/>
        <v>46054</v>
      </c>
      <c r="F3591" t="s">
        <v>3017</v>
      </c>
      <c r="G3591" t="s">
        <v>266</v>
      </c>
      <c r="H3591" s="4">
        <v>7.11</v>
      </c>
      <c r="I3591" t="s">
        <v>31</v>
      </c>
      <c r="J3591" t="s">
        <v>79</v>
      </c>
      <c r="K3591" t="s">
        <v>3030</v>
      </c>
      <c r="L3591" s="2">
        <v>46054</v>
      </c>
      <c r="M3591" t="s">
        <v>79</v>
      </c>
      <c r="N3591">
        <v>0</v>
      </c>
      <c r="O3591" t="s">
        <v>31</v>
      </c>
      <c r="P3591" t="s">
        <v>34</v>
      </c>
      <c r="Q3591">
        <v>0</v>
      </c>
    </row>
    <row r="3592" spans="1:17" x14ac:dyDescent="0.3">
      <c r="A3592" t="s">
        <v>17</v>
      </c>
      <c r="B3592">
        <v>68</v>
      </c>
      <c r="C3592" t="s">
        <v>34</v>
      </c>
      <c r="D3592" s="2">
        <v>46081</v>
      </c>
      <c r="E3592" s="3">
        <f t="shared" si="56"/>
        <v>46054</v>
      </c>
      <c r="F3592" t="s">
        <v>3017</v>
      </c>
      <c r="G3592" t="s">
        <v>266</v>
      </c>
      <c r="H3592" s="4">
        <v>7.11</v>
      </c>
      <c r="I3592" t="s">
        <v>31</v>
      </c>
      <c r="J3592" t="s">
        <v>79</v>
      </c>
      <c r="K3592" t="s">
        <v>3031</v>
      </c>
      <c r="L3592" s="2">
        <v>46054</v>
      </c>
      <c r="M3592" t="s">
        <v>79</v>
      </c>
      <c r="N3592">
        <v>0</v>
      </c>
      <c r="O3592" t="s">
        <v>31</v>
      </c>
      <c r="P3592" t="s">
        <v>34</v>
      </c>
      <c r="Q3592">
        <v>0</v>
      </c>
    </row>
    <row r="3593" spans="1:17" x14ac:dyDescent="0.3">
      <c r="A3593" t="s">
        <v>17</v>
      </c>
      <c r="B3593">
        <v>68</v>
      </c>
      <c r="C3593" t="s">
        <v>34</v>
      </c>
      <c r="D3593" s="2">
        <v>46081</v>
      </c>
      <c r="E3593" s="3">
        <f t="shared" si="56"/>
        <v>46054</v>
      </c>
      <c r="F3593" t="s">
        <v>3017</v>
      </c>
      <c r="G3593" t="s">
        <v>266</v>
      </c>
      <c r="H3593" s="4">
        <v>71.98</v>
      </c>
      <c r="I3593" t="s">
        <v>31</v>
      </c>
      <c r="J3593" t="s">
        <v>79</v>
      </c>
      <c r="K3593" t="s">
        <v>3032</v>
      </c>
      <c r="L3593" s="2">
        <v>46054</v>
      </c>
      <c r="M3593" t="s">
        <v>79</v>
      </c>
      <c r="N3593">
        <v>0</v>
      </c>
      <c r="O3593" t="s">
        <v>31</v>
      </c>
      <c r="P3593" t="s">
        <v>34</v>
      </c>
      <c r="Q3593">
        <v>0</v>
      </c>
    </row>
    <row r="3594" spans="1:17" x14ac:dyDescent="0.3">
      <c r="A3594" t="s">
        <v>17</v>
      </c>
      <c r="B3594">
        <v>68</v>
      </c>
      <c r="C3594" t="s">
        <v>34</v>
      </c>
      <c r="D3594" s="2">
        <v>46081</v>
      </c>
      <c r="E3594" s="3">
        <f t="shared" si="56"/>
        <v>46054</v>
      </c>
      <c r="F3594" t="s">
        <v>3017</v>
      </c>
      <c r="G3594" t="s">
        <v>266</v>
      </c>
      <c r="H3594" s="4">
        <v>87.99</v>
      </c>
      <c r="I3594" t="s">
        <v>31</v>
      </c>
      <c r="J3594" t="s">
        <v>79</v>
      </c>
      <c r="K3594" t="s">
        <v>3033</v>
      </c>
      <c r="L3594" s="2">
        <v>46054</v>
      </c>
      <c r="M3594" t="s">
        <v>79</v>
      </c>
      <c r="N3594">
        <v>0</v>
      </c>
      <c r="O3594" t="s">
        <v>31</v>
      </c>
      <c r="P3594" t="s">
        <v>34</v>
      </c>
      <c r="Q3594">
        <v>0</v>
      </c>
    </row>
    <row r="3595" spans="1:17" x14ac:dyDescent="0.3">
      <c r="A3595" t="s">
        <v>17</v>
      </c>
      <c r="B3595">
        <v>68</v>
      </c>
      <c r="C3595" t="s">
        <v>34</v>
      </c>
      <c r="D3595" s="2">
        <v>46081</v>
      </c>
      <c r="E3595" s="3">
        <f t="shared" si="56"/>
        <v>46054</v>
      </c>
      <c r="F3595" t="s">
        <v>3017</v>
      </c>
      <c r="G3595" t="s">
        <v>266</v>
      </c>
      <c r="H3595" s="4">
        <v>8.49</v>
      </c>
      <c r="I3595" t="s">
        <v>31</v>
      </c>
      <c r="J3595" t="s">
        <v>79</v>
      </c>
      <c r="K3595" t="s">
        <v>3034</v>
      </c>
      <c r="L3595" s="2">
        <v>46054</v>
      </c>
      <c r="M3595" t="s">
        <v>79</v>
      </c>
      <c r="N3595">
        <v>0</v>
      </c>
      <c r="O3595" t="s">
        <v>31</v>
      </c>
      <c r="P3595" t="s">
        <v>34</v>
      </c>
      <c r="Q3595">
        <v>0</v>
      </c>
    </row>
    <row r="3596" spans="1:17" x14ac:dyDescent="0.3">
      <c r="A3596" t="s">
        <v>17</v>
      </c>
      <c r="B3596">
        <v>68</v>
      </c>
      <c r="C3596" t="s">
        <v>34</v>
      </c>
      <c r="D3596" s="2">
        <v>46081</v>
      </c>
      <c r="E3596" s="3">
        <f t="shared" si="56"/>
        <v>46054</v>
      </c>
      <c r="F3596" t="s">
        <v>3017</v>
      </c>
      <c r="G3596" t="s">
        <v>266</v>
      </c>
      <c r="H3596" s="4">
        <v>3.44</v>
      </c>
      <c r="I3596" t="s">
        <v>31</v>
      </c>
      <c r="J3596" t="s">
        <v>79</v>
      </c>
      <c r="L3596" s="2">
        <v>46054</v>
      </c>
      <c r="M3596" t="s">
        <v>79</v>
      </c>
      <c r="N3596">
        <v>0</v>
      </c>
      <c r="O3596" t="s">
        <v>31</v>
      </c>
      <c r="P3596" t="s">
        <v>34</v>
      </c>
      <c r="Q3596">
        <v>0</v>
      </c>
    </row>
    <row r="3597" spans="1:17" x14ac:dyDescent="0.3">
      <c r="A3597" t="s">
        <v>17</v>
      </c>
      <c r="B3597">
        <v>68</v>
      </c>
      <c r="C3597" t="s">
        <v>34</v>
      </c>
      <c r="D3597" s="2">
        <v>46081</v>
      </c>
      <c r="E3597" s="3">
        <f t="shared" si="56"/>
        <v>46054</v>
      </c>
      <c r="F3597" t="s">
        <v>3017</v>
      </c>
      <c r="G3597" t="s">
        <v>266</v>
      </c>
      <c r="H3597" s="4">
        <v>53.57</v>
      </c>
      <c r="I3597" t="s">
        <v>31</v>
      </c>
      <c r="J3597" t="s">
        <v>79</v>
      </c>
      <c r="K3597" t="s">
        <v>3035</v>
      </c>
      <c r="L3597" s="2">
        <v>46054</v>
      </c>
      <c r="M3597" t="s">
        <v>79</v>
      </c>
      <c r="N3597">
        <v>0</v>
      </c>
      <c r="O3597" t="s">
        <v>31</v>
      </c>
      <c r="P3597" t="s">
        <v>34</v>
      </c>
      <c r="Q3597">
        <v>0</v>
      </c>
    </row>
    <row r="3598" spans="1:17" x14ac:dyDescent="0.3">
      <c r="A3598" t="s">
        <v>17</v>
      </c>
      <c r="B3598">
        <v>68</v>
      </c>
      <c r="C3598" t="s">
        <v>34</v>
      </c>
      <c r="D3598" s="2">
        <v>46081</v>
      </c>
      <c r="E3598" s="3">
        <f t="shared" si="56"/>
        <v>46054</v>
      </c>
      <c r="F3598" t="s">
        <v>3036</v>
      </c>
      <c r="G3598" t="s">
        <v>491</v>
      </c>
      <c r="H3598" s="4">
        <v>1073.46</v>
      </c>
      <c r="I3598" t="s">
        <v>21</v>
      </c>
      <c r="J3598" t="s">
        <v>79</v>
      </c>
      <c r="K3598" t="s">
        <v>2289</v>
      </c>
      <c r="L3598" s="2">
        <v>46054</v>
      </c>
      <c r="M3598" t="s">
        <v>79</v>
      </c>
      <c r="N3598" t="s">
        <v>25</v>
      </c>
      <c r="O3598" t="s">
        <v>81</v>
      </c>
      <c r="P3598" t="s">
        <v>34</v>
      </c>
      <c r="Q3598">
        <v>0</v>
      </c>
    </row>
    <row r="3599" spans="1:17" x14ac:dyDescent="0.3">
      <c r="A3599" t="s">
        <v>17</v>
      </c>
      <c r="B3599">
        <v>68</v>
      </c>
      <c r="C3599" t="s">
        <v>34</v>
      </c>
      <c r="D3599" s="2">
        <v>46081</v>
      </c>
      <c r="E3599" s="3">
        <f t="shared" si="56"/>
        <v>46054</v>
      </c>
      <c r="F3599" t="s">
        <v>3037</v>
      </c>
      <c r="H3599" s="4">
        <v>0</v>
      </c>
      <c r="I3599" t="s">
        <v>21</v>
      </c>
      <c r="J3599" t="s">
        <v>79</v>
      </c>
      <c r="K3599" t="s">
        <v>320</v>
      </c>
      <c r="L3599" s="2">
        <v>46054</v>
      </c>
      <c r="M3599" t="s">
        <v>79</v>
      </c>
      <c r="N3599" t="s">
        <v>25</v>
      </c>
      <c r="O3599" t="s">
        <v>81</v>
      </c>
      <c r="P3599" t="s">
        <v>34</v>
      </c>
      <c r="Q3599">
        <v>0</v>
      </c>
    </row>
    <row r="3600" spans="1:17" x14ac:dyDescent="0.3">
      <c r="A3600" t="s">
        <v>17</v>
      </c>
      <c r="B3600">
        <v>66</v>
      </c>
      <c r="C3600" t="s">
        <v>134</v>
      </c>
      <c r="D3600" s="2">
        <v>46081</v>
      </c>
      <c r="E3600" s="3">
        <f t="shared" si="56"/>
        <v>46054</v>
      </c>
      <c r="F3600" t="s">
        <v>3038</v>
      </c>
      <c r="G3600" t="s">
        <v>254</v>
      </c>
      <c r="H3600" s="4">
        <v>300</v>
      </c>
      <c r="I3600" t="s">
        <v>108</v>
      </c>
      <c r="J3600" t="s">
        <v>255</v>
      </c>
      <c r="K3600" t="s">
        <v>2297</v>
      </c>
      <c r="L3600" s="2">
        <v>46054</v>
      </c>
      <c r="M3600" t="s">
        <v>257</v>
      </c>
      <c r="N3600">
        <v>0</v>
      </c>
      <c r="O3600" t="s">
        <v>111</v>
      </c>
      <c r="P3600" t="s">
        <v>134</v>
      </c>
      <c r="Q3600">
        <v>0</v>
      </c>
    </row>
    <row r="3601" spans="1:17" x14ac:dyDescent="0.3">
      <c r="A3601" t="s">
        <v>17</v>
      </c>
      <c r="B3601">
        <v>66</v>
      </c>
      <c r="C3601" t="s">
        <v>134</v>
      </c>
      <c r="D3601" s="2">
        <v>46081</v>
      </c>
      <c r="E3601" s="3">
        <f t="shared" si="56"/>
        <v>46054</v>
      </c>
      <c r="F3601" t="s">
        <v>3038</v>
      </c>
      <c r="G3601" t="s">
        <v>254</v>
      </c>
      <c r="H3601" s="4">
        <v>200</v>
      </c>
      <c r="I3601" t="s">
        <v>108</v>
      </c>
      <c r="J3601" t="s">
        <v>255</v>
      </c>
      <c r="K3601" t="s">
        <v>3039</v>
      </c>
      <c r="L3601" s="2">
        <v>46054</v>
      </c>
      <c r="M3601" t="s">
        <v>257</v>
      </c>
      <c r="N3601">
        <v>0</v>
      </c>
      <c r="O3601" t="s">
        <v>111</v>
      </c>
      <c r="P3601" t="s">
        <v>134</v>
      </c>
      <c r="Q3601">
        <v>0</v>
      </c>
    </row>
    <row r="3602" spans="1:17" x14ac:dyDescent="0.3">
      <c r="A3602" t="s">
        <v>17</v>
      </c>
      <c r="B3602">
        <v>66</v>
      </c>
      <c r="C3602" t="s">
        <v>134</v>
      </c>
      <c r="D3602" s="2">
        <v>46081</v>
      </c>
      <c r="E3602" s="3">
        <f t="shared" si="56"/>
        <v>46054</v>
      </c>
      <c r="F3602" t="s">
        <v>3038</v>
      </c>
      <c r="G3602" t="s">
        <v>254</v>
      </c>
      <c r="H3602" s="4">
        <v>250</v>
      </c>
      <c r="I3602" t="s">
        <v>108</v>
      </c>
      <c r="J3602" t="s">
        <v>255</v>
      </c>
      <c r="K3602" t="s">
        <v>1822</v>
      </c>
      <c r="L3602" s="2">
        <v>46054</v>
      </c>
      <c r="M3602" t="s">
        <v>257</v>
      </c>
      <c r="N3602">
        <v>0</v>
      </c>
      <c r="O3602" t="s">
        <v>111</v>
      </c>
      <c r="P3602" t="s">
        <v>134</v>
      </c>
      <c r="Q3602">
        <v>0</v>
      </c>
    </row>
    <row r="3603" spans="1:17" x14ac:dyDescent="0.3">
      <c r="A3603" t="s">
        <v>17</v>
      </c>
      <c r="B3603">
        <v>66</v>
      </c>
      <c r="C3603" t="s">
        <v>134</v>
      </c>
      <c r="D3603" s="2">
        <v>46054</v>
      </c>
      <c r="E3603" s="3">
        <f t="shared" si="56"/>
        <v>46054</v>
      </c>
      <c r="F3603" t="s">
        <v>3040</v>
      </c>
      <c r="G3603" t="s">
        <v>136</v>
      </c>
      <c r="H3603" s="4">
        <v>23926</v>
      </c>
      <c r="I3603" t="s">
        <v>108</v>
      </c>
      <c r="J3603" t="s">
        <v>138</v>
      </c>
      <c r="K3603" t="s">
        <v>3041</v>
      </c>
      <c r="L3603" s="2">
        <v>46054</v>
      </c>
      <c r="M3603" t="s">
        <v>140</v>
      </c>
      <c r="N3603">
        <v>0</v>
      </c>
      <c r="O3603" t="s">
        <v>111</v>
      </c>
      <c r="P3603" t="s">
        <v>134</v>
      </c>
      <c r="Q3603">
        <v>0</v>
      </c>
    </row>
    <row r="3604" spans="1:17" x14ac:dyDescent="0.3">
      <c r="A3604" t="s">
        <v>17</v>
      </c>
      <c r="B3604">
        <v>66</v>
      </c>
      <c r="C3604" t="s">
        <v>134</v>
      </c>
      <c r="D3604" s="2">
        <v>46081</v>
      </c>
      <c r="E3604" s="3">
        <f t="shared" si="56"/>
        <v>46054</v>
      </c>
      <c r="F3604" t="s">
        <v>2917</v>
      </c>
      <c r="G3604" t="s">
        <v>222</v>
      </c>
      <c r="H3604" s="4">
        <v>48.8</v>
      </c>
      <c r="I3604" t="s">
        <v>104</v>
      </c>
      <c r="J3604" t="s">
        <v>223</v>
      </c>
      <c r="K3604" t="s">
        <v>3042</v>
      </c>
      <c r="L3604" s="2">
        <v>46054</v>
      </c>
      <c r="M3604" t="s">
        <v>223</v>
      </c>
      <c r="N3604">
        <v>0</v>
      </c>
      <c r="O3604" t="s">
        <v>104</v>
      </c>
      <c r="P3604" t="s">
        <v>134</v>
      </c>
      <c r="Q3604">
        <v>0</v>
      </c>
    </row>
    <row r="3605" spans="1:17" x14ac:dyDescent="0.3">
      <c r="A3605" t="s">
        <v>17</v>
      </c>
      <c r="B3605">
        <v>66</v>
      </c>
      <c r="C3605" t="s">
        <v>134</v>
      </c>
      <c r="D3605" s="2">
        <v>46081</v>
      </c>
      <c r="E3605" s="3">
        <f t="shared" si="56"/>
        <v>46054</v>
      </c>
      <c r="F3605" t="s">
        <v>2917</v>
      </c>
      <c r="G3605" t="s">
        <v>222</v>
      </c>
      <c r="H3605" s="4">
        <v>42.5</v>
      </c>
      <c r="I3605" t="s">
        <v>104</v>
      </c>
      <c r="J3605" t="s">
        <v>223</v>
      </c>
      <c r="K3605" t="s">
        <v>3042</v>
      </c>
      <c r="L3605" s="2">
        <v>46054</v>
      </c>
      <c r="M3605" t="s">
        <v>223</v>
      </c>
      <c r="N3605">
        <v>0</v>
      </c>
      <c r="O3605" t="s">
        <v>104</v>
      </c>
      <c r="P3605" t="s">
        <v>134</v>
      </c>
      <c r="Q3605">
        <v>0</v>
      </c>
    </row>
    <row r="3606" spans="1:17" x14ac:dyDescent="0.3">
      <c r="A3606" t="s">
        <v>17</v>
      </c>
      <c r="B3606">
        <v>66</v>
      </c>
      <c r="C3606" t="s">
        <v>134</v>
      </c>
      <c r="D3606" s="2">
        <v>46081</v>
      </c>
      <c r="E3606" s="3">
        <f t="shared" si="56"/>
        <v>46054</v>
      </c>
      <c r="F3606" t="s">
        <v>2917</v>
      </c>
      <c r="G3606" t="s">
        <v>222</v>
      </c>
      <c r="H3606" s="4">
        <v>26</v>
      </c>
      <c r="I3606" t="s">
        <v>104</v>
      </c>
      <c r="J3606" t="s">
        <v>223</v>
      </c>
      <c r="K3606" t="s">
        <v>3042</v>
      </c>
      <c r="L3606" s="2">
        <v>46054</v>
      </c>
      <c r="M3606" t="s">
        <v>223</v>
      </c>
      <c r="N3606">
        <v>0</v>
      </c>
      <c r="O3606" t="s">
        <v>104</v>
      </c>
      <c r="P3606" t="s">
        <v>134</v>
      </c>
      <c r="Q3606">
        <v>0</v>
      </c>
    </row>
    <row r="3607" spans="1:17" x14ac:dyDescent="0.3">
      <c r="A3607" t="s">
        <v>17</v>
      </c>
      <c r="B3607">
        <v>66</v>
      </c>
      <c r="C3607" t="s">
        <v>134</v>
      </c>
      <c r="D3607" s="2">
        <v>46081</v>
      </c>
      <c r="E3607" s="3">
        <f t="shared" si="56"/>
        <v>46054</v>
      </c>
      <c r="F3607" t="s">
        <v>2919</v>
      </c>
      <c r="G3607" t="s">
        <v>158</v>
      </c>
      <c r="H3607" s="4">
        <v>199.6</v>
      </c>
      <c r="I3607" t="s">
        <v>159</v>
      </c>
      <c r="J3607" t="s">
        <v>223</v>
      </c>
      <c r="K3607" t="s">
        <v>3043</v>
      </c>
      <c r="L3607" s="2">
        <v>46054</v>
      </c>
      <c r="M3607" t="s">
        <v>223</v>
      </c>
      <c r="N3607">
        <v>0</v>
      </c>
      <c r="O3607" t="s">
        <v>111</v>
      </c>
      <c r="P3607" t="s">
        <v>134</v>
      </c>
      <c r="Q3607">
        <v>0</v>
      </c>
    </row>
    <row r="3608" spans="1:17" x14ac:dyDescent="0.3">
      <c r="A3608" t="s">
        <v>17</v>
      </c>
      <c r="B3608">
        <v>66</v>
      </c>
      <c r="C3608" t="s">
        <v>134</v>
      </c>
      <c r="D3608" s="2">
        <v>46081</v>
      </c>
      <c r="E3608" s="3">
        <f t="shared" si="56"/>
        <v>46054</v>
      </c>
      <c r="F3608" t="s">
        <v>2990</v>
      </c>
      <c r="H3608" s="4">
        <v>66.88</v>
      </c>
      <c r="I3608" t="s">
        <v>47</v>
      </c>
      <c r="J3608" t="s">
        <v>223</v>
      </c>
      <c r="K3608" t="s">
        <v>2991</v>
      </c>
      <c r="L3608" s="2">
        <v>46054</v>
      </c>
      <c r="M3608" t="s">
        <v>223</v>
      </c>
      <c r="N3608">
        <v>0</v>
      </c>
      <c r="O3608" t="s">
        <v>111</v>
      </c>
      <c r="P3608" t="s">
        <v>134</v>
      </c>
      <c r="Q3608">
        <v>0</v>
      </c>
    </row>
    <row r="3609" spans="1:17" x14ac:dyDescent="0.3">
      <c r="A3609" t="s">
        <v>17</v>
      </c>
      <c r="B3609">
        <v>68</v>
      </c>
      <c r="C3609" t="s">
        <v>34</v>
      </c>
      <c r="D3609" s="2">
        <v>46054</v>
      </c>
      <c r="E3609" s="3">
        <f t="shared" si="56"/>
        <v>46054</v>
      </c>
      <c r="F3609" t="s">
        <v>3044</v>
      </c>
      <c r="H3609" s="4">
        <v>-4500</v>
      </c>
      <c r="I3609" t="s">
        <v>47</v>
      </c>
      <c r="J3609" t="s">
        <v>109</v>
      </c>
      <c r="K3609" t="s">
        <v>2878</v>
      </c>
      <c r="L3609" s="2">
        <v>46054</v>
      </c>
      <c r="M3609" t="s">
        <v>109</v>
      </c>
      <c r="N3609">
        <v>0</v>
      </c>
      <c r="O3609" t="s">
        <v>26</v>
      </c>
      <c r="P3609" t="s">
        <v>112</v>
      </c>
      <c r="Q3609" t="s">
        <v>113</v>
      </c>
    </row>
    <row r="3610" spans="1:17" x14ac:dyDescent="0.3">
      <c r="A3610" t="s">
        <v>17</v>
      </c>
      <c r="B3610">
        <v>68</v>
      </c>
      <c r="C3610" t="s">
        <v>34</v>
      </c>
      <c r="D3610" s="2">
        <v>46055</v>
      </c>
      <c r="E3610" s="3">
        <f t="shared" si="56"/>
        <v>46054</v>
      </c>
      <c r="F3610" t="s">
        <v>3045</v>
      </c>
      <c r="G3610" t="s">
        <v>122</v>
      </c>
      <c r="H3610" s="4">
        <v>0.69</v>
      </c>
      <c r="I3610" t="s">
        <v>108</v>
      </c>
      <c r="J3610" t="s">
        <v>109</v>
      </c>
      <c r="L3610" s="2">
        <v>46054</v>
      </c>
      <c r="M3610" t="s">
        <v>109</v>
      </c>
      <c r="N3610">
        <v>0</v>
      </c>
      <c r="O3610" t="s">
        <v>111</v>
      </c>
      <c r="P3610" t="s">
        <v>112</v>
      </c>
      <c r="Q3610" t="s">
        <v>113</v>
      </c>
    </row>
    <row r="3611" spans="1:17" x14ac:dyDescent="0.3">
      <c r="A3611" t="s">
        <v>17</v>
      </c>
      <c r="B3611">
        <v>68</v>
      </c>
      <c r="C3611" t="s">
        <v>34</v>
      </c>
      <c r="D3611" s="2">
        <v>46055</v>
      </c>
      <c r="E3611" s="3">
        <f t="shared" si="56"/>
        <v>46054</v>
      </c>
      <c r="F3611" t="s">
        <v>3045</v>
      </c>
      <c r="G3611" t="s">
        <v>122</v>
      </c>
      <c r="H3611" s="4">
        <v>17.5</v>
      </c>
      <c r="I3611" t="s">
        <v>108</v>
      </c>
      <c r="J3611" t="s">
        <v>109</v>
      </c>
      <c r="L3611" s="2">
        <v>46054</v>
      </c>
      <c r="M3611" t="s">
        <v>109</v>
      </c>
      <c r="N3611">
        <v>0</v>
      </c>
      <c r="O3611" t="s">
        <v>111</v>
      </c>
      <c r="P3611" t="s">
        <v>112</v>
      </c>
      <c r="Q3611" t="s">
        <v>113</v>
      </c>
    </row>
    <row r="3612" spans="1:17" x14ac:dyDescent="0.3">
      <c r="A3612" t="s">
        <v>17</v>
      </c>
      <c r="B3612">
        <v>68</v>
      </c>
      <c r="C3612" t="s">
        <v>34</v>
      </c>
      <c r="D3612" s="2">
        <v>46055</v>
      </c>
      <c r="E3612" s="3">
        <f t="shared" si="56"/>
        <v>46054</v>
      </c>
      <c r="F3612" t="s">
        <v>3045</v>
      </c>
      <c r="G3612" t="s">
        <v>122</v>
      </c>
      <c r="H3612" s="4">
        <v>1.34</v>
      </c>
      <c r="I3612" t="s">
        <v>108</v>
      </c>
      <c r="J3612" t="s">
        <v>109</v>
      </c>
      <c r="L3612" s="2">
        <v>46054</v>
      </c>
      <c r="M3612" t="s">
        <v>109</v>
      </c>
      <c r="N3612">
        <v>0</v>
      </c>
      <c r="O3612" t="s">
        <v>111</v>
      </c>
      <c r="P3612" t="s">
        <v>112</v>
      </c>
      <c r="Q3612" t="s">
        <v>113</v>
      </c>
    </row>
    <row r="3613" spans="1:17" x14ac:dyDescent="0.3">
      <c r="A3613" t="s">
        <v>17</v>
      </c>
      <c r="B3613">
        <v>68</v>
      </c>
      <c r="C3613" t="s">
        <v>34</v>
      </c>
      <c r="D3613" s="2">
        <v>46056</v>
      </c>
      <c r="E3613" s="3">
        <f t="shared" si="56"/>
        <v>46054</v>
      </c>
      <c r="F3613" t="s">
        <v>3046</v>
      </c>
      <c r="G3613" t="s">
        <v>122</v>
      </c>
      <c r="H3613" s="4">
        <v>30.45</v>
      </c>
      <c r="I3613" t="s">
        <v>108</v>
      </c>
      <c r="J3613" t="s">
        <v>109</v>
      </c>
      <c r="L3613" s="2">
        <v>46054</v>
      </c>
      <c r="M3613" t="s">
        <v>109</v>
      </c>
      <c r="N3613">
        <v>0</v>
      </c>
      <c r="O3613" t="s">
        <v>111</v>
      </c>
      <c r="P3613" t="s">
        <v>112</v>
      </c>
      <c r="Q3613" t="s">
        <v>113</v>
      </c>
    </row>
    <row r="3614" spans="1:17" x14ac:dyDescent="0.3">
      <c r="A3614" t="s">
        <v>17</v>
      </c>
      <c r="B3614">
        <v>68</v>
      </c>
      <c r="C3614" t="s">
        <v>34</v>
      </c>
      <c r="D3614" s="2">
        <v>46056</v>
      </c>
      <c r="E3614" s="3">
        <f t="shared" si="56"/>
        <v>46054</v>
      </c>
      <c r="F3614" t="s">
        <v>3046</v>
      </c>
      <c r="G3614" t="s">
        <v>122</v>
      </c>
      <c r="H3614" s="4">
        <v>17.5</v>
      </c>
      <c r="I3614" t="s">
        <v>108</v>
      </c>
      <c r="J3614" t="s">
        <v>109</v>
      </c>
      <c r="L3614" s="2">
        <v>46054</v>
      </c>
      <c r="M3614" t="s">
        <v>109</v>
      </c>
      <c r="N3614">
        <v>0</v>
      </c>
      <c r="O3614" t="s">
        <v>111</v>
      </c>
      <c r="P3614" t="s">
        <v>112</v>
      </c>
      <c r="Q3614" t="s">
        <v>113</v>
      </c>
    </row>
    <row r="3615" spans="1:17" x14ac:dyDescent="0.3">
      <c r="A3615" t="s">
        <v>17</v>
      </c>
      <c r="B3615">
        <v>68</v>
      </c>
      <c r="C3615" t="s">
        <v>34</v>
      </c>
      <c r="D3615" s="2">
        <v>46056</v>
      </c>
      <c r="E3615" s="3">
        <f t="shared" si="56"/>
        <v>46054</v>
      </c>
      <c r="F3615" t="s">
        <v>3046</v>
      </c>
      <c r="G3615" t="s">
        <v>122</v>
      </c>
      <c r="H3615" s="4">
        <v>1.34</v>
      </c>
      <c r="I3615" t="s">
        <v>108</v>
      </c>
      <c r="J3615" t="s">
        <v>109</v>
      </c>
      <c r="K3615" t="s">
        <v>1457</v>
      </c>
      <c r="L3615" s="2">
        <v>46054</v>
      </c>
      <c r="M3615" t="s">
        <v>109</v>
      </c>
      <c r="N3615">
        <v>0</v>
      </c>
      <c r="O3615" t="s">
        <v>111</v>
      </c>
      <c r="P3615" t="s">
        <v>112</v>
      </c>
      <c r="Q3615" t="s">
        <v>113</v>
      </c>
    </row>
    <row r="3616" spans="1:17" x14ac:dyDescent="0.3">
      <c r="A3616" t="s">
        <v>17</v>
      </c>
      <c r="B3616">
        <v>68</v>
      </c>
      <c r="C3616" t="s">
        <v>34</v>
      </c>
      <c r="D3616" s="2">
        <v>46056</v>
      </c>
      <c r="E3616" s="3">
        <f t="shared" si="56"/>
        <v>46054</v>
      </c>
      <c r="F3616" t="s">
        <v>3047</v>
      </c>
      <c r="G3616" t="s">
        <v>122</v>
      </c>
      <c r="H3616" s="4">
        <v>19.649999999999999</v>
      </c>
      <c r="I3616" t="s">
        <v>108</v>
      </c>
      <c r="J3616" t="s">
        <v>109</v>
      </c>
      <c r="L3616" s="2">
        <v>46054</v>
      </c>
      <c r="M3616" t="s">
        <v>109</v>
      </c>
      <c r="N3616">
        <v>0</v>
      </c>
      <c r="O3616" t="s">
        <v>111</v>
      </c>
      <c r="P3616" t="s">
        <v>112</v>
      </c>
      <c r="Q3616" t="s">
        <v>113</v>
      </c>
    </row>
    <row r="3617" spans="1:17" x14ac:dyDescent="0.3">
      <c r="A3617" t="s">
        <v>17</v>
      </c>
      <c r="B3617">
        <v>68</v>
      </c>
      <c r="C3617" t="s">
        <v>34</v>
      </c>
      <c r="D3617" s="2">
        <v>46056</v>
      </c>
      <c r="E3617" s="3">
        <f t="shared" si="56"/>
        <v>46054</v>
      </c>
      <c r="F3617" t="s">
        <v>3048</v>
      </c>
      <c r="G3617" t="s">
        <v>122</v>
      </c>
      <c r="H3617" s="4">
        <v>27.54</v>
      </c>
      <c r="I3617" t="s">
        <v>108</v>
      </c>
      <c r="J3617" t="s">
        <v>109</v>
      </c>
      <c r="L3617" s="2">
        <v>46054</v>
      </c>
      <c r="M3617" t="s">
        <v>109</v>
      </c>
      <c r="N3617">
        <v>0</v>
      </c>
      <c r="O3617" t="s">
        <v>111</v>
      </c>
      <c r="P3617" t="s">
        <v>112</v>
      </c>
      <c r="Q3617" t="s">
        <v>113</v>
      </c>
    </row>
    <row r="3618" spans="1:17" x14ac:dyDescent="0.3">
      <c r="A3618" t="s">
        <v>17</v>
      </c>
      <c r="B3618">
        <v>68</v>
      </c>
      <c r="C3618" t="s">
        <v>34</v>
      </c>
      <c r="D3618" s="2">
        <v>46059</v>
      </c>
      <c r="E3618" s="3">
        <f t="shared" si="56"/>
        <v>46054</v>
      </c>
      <c r="F3618" t="s">
        <v>3049</v>
      </c>
      <c r="G3618" t="s">
        <v>122</v>
      </c>
      <c r="H3618" s="4">
        <v>5.08</v>
      </c>
      <c r="I3618" t="s">
        <v>108</v>
      </c>
      <c r="J3618" t="s">
        <v>109</v>
      </c>
      <c r="K3618" t="s">
        <v>2506</v>
      </c>
      <c r="L3618" s="2">
        <v>46054</v>
      </c>
      <c r="M3618" t="s">
        <v>109</v>
      </c>
      <c r="N3618">
        <v>0</v>
      </c>
      <c r="O3618" t="s">
        <v>111</v>
      </c>
      <c r="P3618" t="s">
        <v>112</v>
      </c>
      <c r="Q3618" t="s">
        <v>113</v>
      </c>
    </row>
    <row r="3619" spans="1:17" x14ac:dyDescent="0.3">
      <c r="A3619" t="s">
        <v>17</v>
      </c>
      <c r="B3619">
        <v>68</v>
      </c>
      <c r="C3619" t="s">
        <v>34</v>
      </c>
      <c r="D3619" s="2">
        <v>46059</v>
      </c>
      <c r="E3619" s="3">
        <f t="shared" si="56"/>
        <v>46054</v>
      </c>
      <c r="F3619" t="s">
        <v>3049</v>
      </c>
      <c r="G3619" t="s">
        <v>122</v>
      </c>
      <c r="H3619" s="4">
        <v>17.5</v>
      </c>
      <c r="I3619" t="s">
        <v>108</v>
      </c>
      <c r="J3619" t="s">
        <v>109</v>
      </c>
      <c r="K3619" t="s">
        <v>2506</v>
      </c>
      <c r="L3619" s="2">
        <v>46054</v>
      </c>
      <c r="M3619" t="s">
        <v>109</v>
      </c>
      <c r="N3619">
        <v>0</v>
      </c>
      <c r="O3619" t="s">
        <v>111</v>
      </c>
      <c r="P3619" t="s">
        <v>112</v>
      </c>
      <c r="Q3619" t="s">
        <v>113</v>
      </c>
    </row>
    <row r="3620" spans="1:17" x14ac:dyDescent="0.3">
      <c r="A3620" t="s">
        <v>17</v>
      </c>
      <c r="B3620">
        <v>68</v>
      </c>
      <c r="C3620" t="s">
        <v>34</v>
      </c>
      <c r="D3620" s="2">
        <v>46059</v>
      </c>
      <c r="E3620" s="3">
        <f t="shared" si="56"/>
        <v>46054</v>
      </c>
      <c r="F3620" t="s">
        <v>3049</v>
      </c>
      <c r="G3620" t="s">
        <v>122</v>
      </c>
      <c r="H3620" s="4">
        <v>1.34</v>
      </c>
      <c r="I3620" t="s">
        <v>108</v>
      </c>
      <c r="J3620" t="s">
        <v>109</v>
      </c>
      <c r="K3620" t="s">
        <v>2506</v>
      </c>
      <c r="L3620" s="2">
        <v>46054</v>
      </c>
      <c r="M3620" t="s">
        <v>109</v>
      </c>
      <c r="N3620">
        <v>0</v>
      </c>
      <c r="O3620" t="s">
        <v>111</v>
      </c>
      <c r="P3620" t="s">
        <v>112</v>
      </c>
      <c r="Q3620" t="s">
        <v>113</v>
      </c>
    </row>
    <row r="3621" spans="1:17" x14ac:dyDescent="0.3">
      <c r="A3621" t="s">
        <v>17</v>
      </c>
      <c r="B3621">
        <v>68</v>
      </c>
      <c r="C3621" t="s">
        <v>34</v>
      </c>
      <c r="D3621" s="2">
        <v>46062</v>
      </c>
      <c r="E3621" s="3">
        <f t="shared" si="56"/>
        <v>46054</v>
      </c>
      <c r="F3621" t="s">
        <v>3050</v>
      </c>
      <c r="G3621" t="s">
        <v>122</v>
      </c>
      <c r="H3621" s="4">
        <v>7.83</v>
      </c>
      <c r="I3621" t="s">
        <v>108</v>
      </c>
      <c r="J3621" t="s">
        <v>109</v>
      </c>
      <c r="L3621" s="2">
        <v>46054</v>
      </c>
      <c r="M3621" t="s">
        <v>109</v>
      </c>
      <c r="N3621">
        <v>0</v>
      </c>
      <c r="O3621" t="s">
        <v>111</v>
      </c>
      <c r="P3621" t="s">
        <v>112</v>
      </c>
      <c r="Q3621" t="s">
        <v>113</v>
      </c>
    </row>
    <row r="3622" spans="1:17" x14ac:dyDescent="0.3">
      <c r="A3622" t="s">
        <v>17</v>
      </c>
      <c r="B3622">
        <v>68</v>
      </c>
      <c r="C3622" t="s">
        <v>34</v>
      </c>
      <c r="D3622" s="2">
        <v>46062</v>
      </c>
      <c r="E3622" s="3">
        <f t="shared" si="56"/>
        <v>46054</v>
      </c>
      <c r="F3622" t="s">
        <v>3050</v>
      </c>
      <c r="G3622" t="s">
        <v>122</v>
      </c>
      <c r="H3622" s="4">
        <v>17.5</v>
      </c>
      <c r="I3622" t="s">
        <v>108</v>
      </c>
      <c r="J3622" t="s">
        <v>109</v>
      </c>
      <c r="L3622" s="2">
        <v>46054</v>
      </c>
      <c r="M3622" t="s">
        <v>109</v>
      </c>
      <c r="N3622">
        <v>0</v>
      </c>
      <c r="O3622" t="s">
        <v>111</v>
      </c>
      <c r="P3622" t="s">
        <v>112</v>
      </c>
      <c r="Q3622" t="s">
        <v>113</v>
      </c>
    </row>
    <row r="3623" spans="1:17" x14ac:dyDescent="0.3">
      <c r="A3623" t="s">
        <v>17</v>
      </c>
      <c r="B3623">
        <v>68</v>
      </c>
      <c r="C3623" t="s">
        <v>34</v>
      </c>
      <c r="D3623" s="2">
        <v>46062</v>
      </c>
      <c r="E3623" s="3">
        <f t="shared" si="56"/>
        <v>46054</v>
      </c>
      <c r="F3623" t="s">
        <v>3050</v>
      </c>
      <c r="G3623" t="s">
        <v>122</v>
      </c>
      <c r="H3623" s="4">
        <v>1.34</v>
      </c>
      <c r="I3623" t="s">
        <v>108</v>
      </c>
      <c r="J3623" t="s">
        <v>109</v>
      </c>
      <c r="L3623" s="2">
        <v>46054</v>
      </c>
      <c r="M3623" t="s">
        <v>109</v>
      </c>
      <c r="N3623">
        <v>0</v>
      </c>
      <c r="O3623" t="s">
        <v>111</v>
      </c>
      <c r="P3623" t="s">
        <v>112</v>
      </c>
      <c r="Q3623" t="s">
        <v>113</v>
      </c>
    </row>
    <row r="3624" spans="1:17" x14ac:dyDescent="0.3">
      <c r="A3624" t="s">
        <v>17</v>
      </c>
      <c r="B3624">
        <v>68</v>
      </c>
      <c r="C3624" t="s">
        <v>34</v>
      </c>
      <c r="D3624" s="2">
        <v>46062</v>
      </c>
      <c r="E3624" s="3">
        <f t="shared" si="56"/>
        <v>46054</v>
      </c>
      <c r="F3624" t="s">
        <v>3051</v>
      </c>
      <c r="G3624" t="s">
        <v>107</v>
      </c>
      <c r="H3624" s="4">
        <v>43.43</v>
      </c>
      <c r="I3624" t="s">
        <v>108</v>
      </c>
      <c r="J3624" t="s">
        <v>109</v>
      </c>
      <c r="K3624" t="s">
        <v>3052</v>
      </c>
      <c r="L3624" s="2">
        <v>46054</v>
      </c>
      <c r="M3624" t="s">
        <v>109</v>
      </c>
      <c r="N3624">
        <v>0</v>
      </c>
      <c r="O3624" t="s">
        <v>111</v>
      </c>
      <c r="P3624" t="s">
        <v>112</v>
      </c>
      <c r="Q3624" t="s">
        <v>113</v>
      </c>
    </row>
    <row r="3625" spans="1:17" x14ac:dyDescent="0.3">
      <c r="A3625" t="s">
        <v>17</v>
      </c>
      <c r="B3625">
        <v>68</v>
      </c>
      <c r="C3625" t="s">
        <v>34</v>
      </c>
      <c r="D3625" s="2">
        <v>46063</v>
      </c>
      <c r="E3625" s="3">
        <f t="shared" si="56"/>
        <v>46054</v>
      </c>
      <c r="F3625" t="s">
        <v>3053</v>
      </c>
      <c r="G3625" t="s">
        <v>122</v>
      </c>
      <c r="H3625" s="4">
        <v>4.3499999999999996</v>
      </c>
      <c r="I3625" t="s">
        <v>108</v>
      </c>
      <c r="J3625" t="s">
        <v>109</v>
      </c>
      <c r="L3625" s="2">
        <v>46054</v>
      </c>
      <c r="M3625" t="s">
        <v>109</v>
      </c>
      <c r="N3625">
        <v>0</v>
      </c>
      <c r="O3625" t="s">
        <v>111</v>
      </c>
      <c r="P3625" t="s">
        <v>112</v>
      </c>
      <c r="Q3625" t="s">
        <v>113</v>
      </c>
    </row>
    <row r="3626" spans="1:17" x14ac:dyDescent="0.3">
      <c r="A3626" t="s">
        <v>17</v>
      </c>
      <c r="B3626">
        <v>68</v>
      </c>
      <c r="C3626" t="s">
        <v>34</v>
      </c>
      <c r="D3626" s="2">
        <v>46063</v>
      </c>
      <c r="E3626" s="3">
        <f t="shared" si="56"/>
        <v>46054</v>
      </c>
      <c r="F3626" t="s">
        <v>3053</v>
      </c>
      <c r="G3626" t="s">
        <v>122</v>
      </c>
      <c r="H3626" s="4">
        <v>17.5</v>
      </c>
      <c r="I3626" t="s">
        <v>108</v>
      </c>
      <c r="J3626" t="s">
        <v>109</v>
      </c>
      <c r="L3626" s="2">
        <v>46054</v>
      </c>
      <c r="M3626" t="s">
        <v>109</v>
      </c>
      <c r="N3626">
        <v>0</v>
      </c>
      <c r="O3626" t="s">
        <v>111</v>
      </c>
      <c r="P3626" t="s">
        <v>112</v>
      </c>
      <c r="Q3626" t="s">
        <v>113</v>
      </c>
    </row>
    <row r="3627" spans="1:17" x14ac:dyDescent="0.3">
      <c r="A3627" t="s">
        <v>17</v>
      </c>
      <c r="B3627">
        <v>68</v>
      </c>
      <c r="C3627" t="s">
        <v>34</v>
      </c>
      <c r="D3627" s="2">
        <v>46063</v>
      </c>
      <c r="E3627" s="3">
        <f t="shared" si="56"/>
        <v>46054</v>
      </c>
      <c r="F3627" t="s">
        <v>3053</v>
      </c>
      <c r="G3627" t="s">
        <v>122</v>
      </c>
      <c r="H3627" s="4">
        <v>1.34</v>
      </c>
      <c r="I3627" t="s">
        <v>108</v>
      </c>
      <c r="J3627" t="s">
        <v>109</v>
      </c>
      <c r="L3627" s="2">
        <v>46054</v>
      </c>
      <c r="M3627" t="s">
        <v>109</v>
      </c>
      <c r="N3627">
        <v>0</v>
      </c>
      <c r="O3627" t="s">
        <v>111</v>
      </c>
      <c r="P3627" t="s">
        <v>112</v>
      </c>
      <c r="Q3627" t="s">
        <v>113</v>
      </c>
    </row>
    <row r="3628" spans="1:17" x14ac:dyDescent="0.3">
      <c r="A3628" t="s">
        <v>17</v>
      </c>
      <c r="B3628">
        <v>68</v>
      </c>
      <c r="C3628" t="s">
        <v>34</v>
      </c>
      <c r="D3628" s="2">
        <v>46063</v>
      </c>
      <c r="E3628" s="3">
        <f t="shared" si="56"/>
        <v>46054</v>
      </c>
      <c r="F3628" t="s">
        <v>3054</v>
      </c>
      <c r="G3628" t="s">
        <v>122</v>
      </c>
      <c r="H3628" s="4">
        <v>1.3</v>
      </c>
      <c r="I3628" t="s">
        <v>108</v>
      </c>
      <c r="J3628" t="s">
        <v>109</v>
      </c>
      <c r="L3628" s="2">
        <v>46054</v>
      </c>
      <c r="M3628" t="s">
        <v>109</v>
      </c>
      <c r="N3628">
        <v>0</v>
      </c>
      <c r="O3628" t="s">
        <v>111</v>
      </c>
      <c r="P3628" t="s">
        <v>112</v>
      </c>
      <c r="Q3628" t="s">
        <v>113</v>
      </c>
    </row>
    <row r="3629" spans="1:17" x14ac:dyDescent="0.3">
      <c r="A3629" t="s">
        <v>17</v>
      </c>
      <c r="B3629">
        <v>68</v>
      </c>
      <c r="C3629" t="s">
        <v>34</v>
      </c>
      <c r="D3629" s="2">
        <v>46063</v>
      </c>
      <c r="E3629" s="3">
        <f t="shared" si="56"/>
        <v>46054</v>
      </c>
      <c r="F3629" t="s">
        <v>3054</v>
      </c>
      <c r="G3629" t="s">
        <v>122</v>
      </c>
      <c r="H3629" s="4">
        <v>17.5</v>
      </c>
      <c r="I3629" t="s">
        <v>108</v>
      </c>
      <c r="J3629" t="s">
        <v>109</v>
      </c>
      <c r="L3629" s="2">
        <v>46054</v>
      </c>
      <c r="M3629" t="s">
        <v>109</v>
      </c>
      <c r="N3629">
        <v>0</v>
      </c>
      <c r="O3629" t="s">
        <v>111</v>
      </c>
      <c r="P3629" t="s">
        <v>112</v>
      </c>
      <c r="Q3629" t="s">
        <v>113</v>
      </c>
    </row>
    <row r="3630" spans="1:17" x14ac:dyDescent="0.3">
      <c r="A3630" t="s">
        <v>17</v>
      </c>
      <c r="B3630">
        <v>68</v>
      </c>
      <c r="C3630" t="s">
        <v>34</v>
      </c>
      <c r="D3630" s="2">
        <v>46063</v>
      </c>
      <c r="E3630" s="3">
        <f t="shared" si="56"/>
        <v>46054</v>
      </c>
      <c r="F3630" t="s">
        <v>3054</v>
      </c>
      <c r="G3630" t="s">
        <v>122</v>
      </c>
      <c r="H3630" s="4">
        <v>1.34</v>
      </c>
      <c r="I3630" t="s">
        <v>108</v>
      </c>
      <c r="J3630" t="s">
        <v>109</v>
      </c>
      <c r="L3630" s="2">
        <v>46054</v>
      </c>
      <c r="M3630" t="s">
        <v>109</v>
      </c>
      <c r="N3630">
        <v>0</v>
      </c>
      <c r="O3630" t="s">
        <v>111</v>
      </c>
      <c r="P3630" t="s">
        <v>112</v>
      </c>
      <c r="Q3630" t="s">
        <v>113</v>
      </c>
    </row>
    <row r="3631" spans="1:17" x14ac:dyDescent="0.3">
      <c r="A3631" t="s">
        <v>17</v>
      </c>
      <c r="B3631">
        <v>68</v>
      </c>
      <c r="C3631" t="s">
        <v>34</v>
      </c>
      <c r="D3631" s="2">
        <v>46064</v>
      </c>
      <c r="E3631" s="3">
        <f t="shared" si="56"/>
        <v>46054</v>
      </c>
      <c r="F3631" t="s">
        <v>3055</v>
      </c>
      <c r="G3631" t="s">
        <v>122</v>
      </c>
      <c r="H3631" s="4">
        <v>14.06</v>
      </c>
      <c r="I3631" t="s">
        <v>108</v>
      </c>
      <c r="J3631" t="s">
        <v>109</v>
      </c>
      <c r="K3631" t="s">
        <v>1437</v>
      </c>
      <c r="L3631" s="2">
        <v>46054</v>
      </c>
      <c r="M3631" t="s">
        <v>109</v>
      </c>
      <c r="N3631">
        <v>0</v>
      </c>
      <c r="O3631" t="s">
        <v>111</v>
      </c>
      <c r="P3631" t="s">
        <v>112</v>
      </c>
      <c r="Q3631" t="s">
        <v>113</v>
      </c>
    </row>
    <row r="3632" spans="1:17" x14ac:dyDescent="0.3">
      <c r="A3632" t="s">
        <v>17</v>
      </c>
      <c r="B3632">
        <v>68</v>
      </c>
      <c r="C3632" t="s">
        <v>34</v>
      </c>
      <c r="D3632" s="2">
        <v>46064</v>
      </c>
      <c r="E3632" s="3">
        <f t="shared" si="56"/>
        <v>46054</v>
      </c>
      <c r="F3632" t="s">
        <v>3055</v>
      </c>
      <c r="G3632" t="s">
        <v>122</v>
      </c>
      <c r="H3632" s="4">
        <v>0.48</v>
      </c>
      <c r="I3632" t="s">
        <v>108</v>
      </c>
      <c r="J3632" t="s">
        <v>109</v>
      </c>
      <c r="K3632" t="s">
        <v>1436</v>
      </c>
      <c r="L3632" s="2">
        <v>46054</v>
      </c>
      <c r="M3632" t="s">
        <v>109</v>
      </c>
      <c r="N3632">
        <v>0</v>
      </c>
      <c r="O3632" t="s">
        <v>111</v>
      </c>
      <c r="P3632" t="s">
        <v>112</v>
      </c>
      <c r="Q3632" t="s">
        <v>113</v>
      </c>
    </row>
    <row r="3633" spans="1:17" x14ac:dyDescent="0.3">
      <c r="A3633" t="s">
        <v>17</v>
      </c>
      <c r="B3633">
        <v>68</v>
      </c>
      <c r="C3633" t="s">
        <v>34</v>
      </c>
      <c r="D3633" s="2">
        <v>46064</v>
      </c>
      <c r="E3633" s="3">
        <f t="shared" si="56"/>
        <v>46054</v>
      </c>
      <c r="F3633" t="s">
        <v>3055</v>
      </c>
      <c r="G3633" t="s">
        <v>122</v>
      </c>
      <c r="H3633" s="4">
        <v>61.8</v>
      </c>
      <c r="I3633" t="s">
        <v>108</v>
      </c>
      <c r="J3633" t="s">
        <v>109</v>
      </c>
      <c r="K3633" t="s">
        <v>1681</v>
      </c>
      <c r="L3633" s="2">
        <v>46054</v>
      </c>
      <c r="M3633" t="s">
        <v>109</v>
      </c>
      <c r="N3633">
        <v>0</v>
      </c>
      <c r="O3633" t="s">
        <v>111</v>
      </c>
      <c r="P3633" t="s">
        <v>112</v>
      </c>
      <c r="Q3633" t="s">
        <v>113</v>
      </c>
    </row>
    <row r="3634" spans="1:17" x14ac:dyDescent="0.3">
      <c r="A3634" t="s">
        <v>17</v>
      </c>
      <c r="B3634">
        <v>68</v>
      </c>
      <c r="C3634" t="s">
        <v>34</v>
      </c>
      <c r="D3634" s="2">
        <v>46064</v>
      </c>
      <c r="E3634" s="3">
        <f t="shared" si="56"/>
        <v>46054</v>
      </c>
      <c r="F3634" t="s">
        <v>3056</v>
      </c>
      <c r="G3634" t="s">
        <v>122</v>
      </c>
      <c r="H3634" s="4">
        <v>1.86</v>
      </c>
      <c r="I3634" t="s">
        <v>108</v>
      </c>
      <c r="J3634" t="s">
        <v>109</v>
      </c>
      <c r="L3634" s="2">
        <v>46054</v>
      </c>
      <c r="M3634" t="s">
        <v>109</v>
      </c>
      <c r="N3634">
        <v>0</v>
      </c>
      <c r="O3634" t="s">
        <v>111</v>
      </c>
      <c r="P3634" t="s">
        <v>112</v>
      </c>
      <c r="Q3634" t="s">
        <v>113</v>
      </c>
    </row>
    <row r="3635" spans="1:17" x14ac:dyDescent="0.3">
      <c r="A3635" t="s">
        <v>17</v>
      </c>
      <c r="B3635">
        <v>68</v>
      </c>
      <c r="C3635" t="s">
        <v>34</v>
      </c>
      <c r="D3635" s="2">
        <v>46064</v>
      </c>
      <c r="E3635" s="3">
        <f t="shared" si="56"/>
        <v>46054</v>
      </c>
      <c r="F3635" t="s">
        <v>3056</v>
      </c>
      <c r="G3635" t="s">
        <v>122</v>
      </c>
      <c r="H3635" s="4">
        <v>17.5</v>
      </c>
      <c r="I3635" t="s">
        <v>108</v>
      </c>
      <c r="J3635" t="s">
        <v>109</v>
      </c>
      <c r="L3635" s="2">
        <v>46054</v>
      </c>
      <c r="M3635" t="s">
        <v>109</v>
      </c>
      <c r="N3635">
        <v>0</v>
      </c>
      <c r="O3635" t="s">
        <v>111</v>
      </c>
      <c r="P3635" t="s">
        <v>112</v>
      </c>
      <c r="Q3635" t="s">
        <v>113</v>
      </c>
    </row>
    <row r="3636" spans="1:17" x14ac:dyDescent="0.3">
      <c r="A3636" t="s">
        <v>17</v>
      </c>
      <c r="B3636">
        <v>68</v>
      </c>
      <c r="C3636" t="s">
        <v>34</v>
      </c>
      <c r="D3636" s="2">
        <v>46064</v>
      </c>
      <c r="E3636" s="3">
        <f t="shared" si="56"/>
        <v>46054</v>
      </c>
      <c r="F3636" t="s">
        <v>3056</v>
      </c>
      <c r="G3636" t="s">
        <v>122</v>
      </c>
      <c r="H3636" s="4">
        <v>1.34</v>
      </c>
      <c r="I3636" t="s">
        <v>108</v>
      </c>
      <c r="J3636" t="s">
        <v>109</v>
      </c>
      <c r="L3636" s="2">
        <v>46054</v>
      </c>
      <c r="M3636" t="s">
        <v>109</v>
      </c>
      <c r="N3636">
        <v>0</v>
      </c>
      <c r="O3636" t="s">
        <v>111</v>
      </c>
      <c r="P3636" t="s">
        <v>112</v>
      </c>
      <c r="Q3636" t="s">
        <v>113</v>
      </c>
    </row>
    <row r="3637" spans="1:17" x14ac:dyDescent="0.3">
      <c r="A3637" t="s">
        <v>17</v>
      </c>
      <c r="B3637">
        <v>68</v>
      </c>
      <c r="C3637" t="s">
        <v>34</v>
      </c>
      <c r="D3637" s="2">
        <v>46064</v>
      </c>
      <c r="E3637" s="3">
        <f t="shared" si="56"/>
        <v>46054</v>
      </c>
      <c r="F3637" t="s">
        <v>3057</v>
      </c>
      <c r="G3637" t="s">
        <v>122</v>
      </c>
      <c r="H3637" s="4">
        <v>1316.67</v>
      </c>
      <c r="I3637" t="s">
        <v>108</v>
      </c>
      <c r="J3637" t="s">
        <v>109</v>
      </c>
      <c r="K3637" t="s">
        <v>1287</v>
      </c>
      <c r="L3637" s="2">
        <v>46054</v>
      </c>
      <c r="M3637" t="s">
        <v>109</v>
      </c>
      <c r="N3637">
        <v>0</v>
      </c>
      <c r="O3637" t="s">
        <v>111</v>
      </c>
      <c r="P3637" t="s">
        <v>112</v>
      </c>
      <c r="Q3637" t="s">
        <v>113</v>
      </c>
    </row>
    <row r="3638" spans="1:17" x14ac:dyDescent="0.3">
      <c r="A3638" t="s">
        <v>17</v>
      </c>
      <c r="B3638">
        <v>68</v>
      </c>
      <c r="C3638" t="s">
        <v>34</v>
      </c>
      <c r="D3638" s="2">
        <v>46065</v>
      </c>
      <c r="E3638" s="3">
        <f t="shared" si="56"/>
        <v>46054</v>
      </c>
      <c r="F3638" t="s">
        <v>3058</v>
      </c>
      <c r="G3638" t="s">
        <v>122</v>
      </c>
      <c r="H3638" s="4">
        <v>2.21</v>
      </c>
      <c r="I3638" t="s">
        <v>108</v>
      </c>
      <c r="J3638" t="s">
        <v>109</v>
      </c>
      <c r="L3638" s="2">
        <v>46054</v>
      </c>
      <c r="M3638" t="s">
        <v>109</v>
      </c>
      <c r="N3638">
        <v>0</v>
      </c>
      <c r="O3638" t="s">
        <v>111</v>
      </c>
      <c r="P3638" t="s">
        <v>112</v>
      </c>
      <c r="Q3638" t="s">
        <v>113</v>
      </c>
    </row>
    <row r="3639" spans="1:17" x14ac:dyDescent="0.3">
      <c r="A3639" t="s">
        <v>17</v>
      </c>
      <c r="B3639">
        <v>68</v>
      </c>
      <c r="C3639" t="s">
        <v>34</v>
      </c>
      <c r="D3639" s="2">
        <v>46065</v>
      </c>
      <c r="E3639" s="3">
        <f t="shared" si="56"/>
        <v>46054</v>
      </c>
      <c r="F3639" t="s">
        <v>3058</v>
      </c>
      <c r="G3639" t="s">
        <v>122</v>
      </c>
      <c r="H3639" s="4">
        <v>17.5</v>
      </c>
      <c r="I3639" t="s">
        <v>108</v>
      </c>
      <c r="J3639" t="s">
        <v>109</v>
      </c>
      <c r="L3639" s="2">
        <v>46054</v>
      </c>
      <c r="M3639" t="s">
        <v>109</v>
      </c>
      <c r="N3639">
        <v>0</v>
      </c>
      <c r="O3639" t="s">
        <v>111</v>
      </c>
      <c r="P3639" t="s">
        <v>112</v>
      </c>
      <c r="Q3639" t="s">
        <v>113</v>
      </c>
    </row>
    <row r="3640" spans="1:17" x14ac:dyDescent="0.3">
      <c r="A3640" t="s">
        <v>17</v>
      </c>
      <c r="B3640">
        <v>68</v>
      </c>
      <c r="C3640" t="s">
        <v>34</v>
      </c>
      <c r="D3640" s="2">
        <v>46065</v>
      </c>
      <c r="E3640" s="3">
        <f t="shared" si="56"/>
        <v>46054</v>
      </c>
      <c r="F3640" t="s">
        <v>3058</v>
      </c>
      <c r="G3640" t="s">
        <v>122</v>
      </c>
      <c r="H3640" s="4">
        <v>1.34</v>
      </c>
      <c r="I3640" t="s">
        <v>108</v>
      </c>
      <c r="J3640" t="s">
        <v>109</v>
      </c>
      <c r="L3640" s="2">
        <v>46054</v>
      </c>
      <c r="M3640" t="s">
        <v>109</v>
      </c>
      <c r="N3640">
        <v>0</v>
      </c>
      <c r="O3640" t="s">
        <v>111</v>
      </c>
      <c r="P3640" t="s">
        <v>112</v>
      </c>
      <c r="Q3640" t="s">
        <v>113</v>
      </c>
    </row>
    <row r="3641" spans="1:17" x14ac:dyDescent="0.3">
      <c r="A3641" t="s">
        <v>17</v>
      </c>
      <c r="B3641">
        <v>68</v>
      </c>
      <c r="C3641" t="s">
        <v>34</v>
      </c>
      <c r="D3641" s="2">
        <v>46068</v>
      </c>
      <c r="E3641" s="3">
        <f t="shared" si="56"/>
        <v>46054</v>
      </c>
      <c r="F3641" t="s">
        <v>2915</v>
      </c>
      <c r="G3641" t="s">
        <v>824</v>
      </c>
      <c r="H3641" s="4">
        <v>21.05</v>
      </c>
      <c r="I3641" t="s">
        <v>108</v>
      </c>
      <c r="J3641" t="s">
        <v>109</v>
      </c>
      <c r="K3641" t="s">
        <v>3059</v>
      </c>
      <c r="L3641" s="2">
        <v>46054</v>
      </c>
      <c r="M3641" t="s">
        <v>109</v>
      </c>
      <c r="N3641">
        <v>0</v>
      </c>
      <c r="O3641" t="s">
        <v>111</v>
      </c>
      <c r="P3641" t="s">
        <v>112</v>
      </c>
      <c r="Q3641" t="s">
        <v>113</v>
      </c>
    </row>
    <row r="3642" spans="1:17" x14ac:dyDescent="0.3">
      <c r="A3642" t="s">
        <v>17</v>
      </c>
      <c r="B3642">
        <v>68</v>
      </c>
      <c r="C3642" t="s">
        <v>34</v>
      </c>
      <c r="D3642" s="2">
        <v>46070</v>
      </c>
      <c r="E3642" s="3">
        <f t="shared" si="56"/>
        <v>46054</v>
      </c>
      <c r="F3642" t="s">
        <v>3060</v>
      </c>
      <c r="G3642" t="s">
        <v>122</v>
      </c>
      <c r="H3642" s="4">
        <v>18.87</v>
      </c>
      <c r="I3642" t="s">
        <v>108</v>
      </c>
      <c r="J3642" t="s">
        <v>109</v>
      </c>
      <c r="K3642" t="s">
        <v>3061</v>
      </c>
      <c r="L3642" s="2">
        <v>46054</v>
      </c>
      <c r="M3642" t="s">
        <v>109</v>
      </c>
      <c r="N3642">
        <v>0</v>
      </c>
      <c r="O3642" t="s">
        <v>111</v>
      </c>
      <c r="P3642" t="s">
        <v>112</v>
      </c>
      <c r="Q3642" t="s">
        <v>113</v>
      </c>
    </row>
    <row r="3643" spans="1:17" x14ac:dyDescent="0.3">
      <c r="A3643" t="s">
        <v>17</v>
      </c>
      <c r="B3643">
        <v>68</v>
      </c>
      <c r="C3643" t="s">
        <v>34</v>
      </c>
      <c r="D3643" s="2">
        <v>46070</v>
      </c>
      <c r="E3643" s="3">
        <f t="shared" si="56"/>
        <v>46054</v>
      </c>
      <c r="F3643" t="s">
        <v>3062</v>
      </c>
      <c r="G3643" t="s">
        <v>122</v>
      </c>
      <c r="H3643" s="4">
        <v>21.26</v>
      </c>
      <c r="I3643" t="s">
        <v>108</v>
      </c>
      <c r="J3643" t="s">
        <v>109</v>
      </c>
      <c r="K3643" t="s">
        <v>3063</v>
      </c>
      <c r="L3643" s="2">
        <v>46054</v>
      </c>
      <c r="M3643" t="s">
        <v>109</v>
      </c>
      <c r="N3643">
        <v>0</v>
      </c>
      <c r="O3643" t="s">
        <v>111</v>
      </c>
      <c r="P3643" t="s">
        <v>112</v>
      </c>
      <c r="Q3643" t="s">
        <v>113</v>
      </c>
    </row>
    <row r="3644" spans="1:17" x14ac:dyDescent="0.3">
      <c r="A3644" t="s">
        <v>17</v>
      </c>
      <c r="B3644">
        <v>68</v>
      </c>
      <c r="C3644" t="s">
        <v>34</v>
      </c>
      <c r="D3644" s="2">
        <v>46070</v>
      </c>
      <c r="E3644" s="3">
        <f t="shared" si="56"/>
        <v>46054</v>
      </c>
      <c r="F3644" t="s">
        <v>3064</v>
      </c>
      <c r="G3644" t="s">
        <v>107</v>
      </c>
      <c r="H3644" s="4">
        <v>119.12</v>
      </c>
      <c r="I3644" t="s">
        <v>108</v>
      </c>
      <c r="J3644" t="s">
        <v>109</v>
      </c>
      <c r="L3644" s="2">
        <v>46054</v>
      </c>
      <c r="M3644" t="s">
        <v>109</v>
      </c>
      <c r="N3644">
        <v>0</v>
      </c>
      <c r="O3644" t="s">
        <v>111</v>
      </c>
      <c r="P3644" t="s">
        <v>112</v>
      </c>
      <c r="Q3644" t="s">
        <v>113</v>
      </c>
    </row>
    <row r="3645" spans="1:17" x14ac:dyDescent="0.3">
      <c r="A3645" t="s">
        <v>17</v>
      </c>
      <c r="B3645">
        <v>68</v>
      </c>
      <c r="C3645" t="s">
        <v>34</v>
      </c>
      <c r="D3645" s="2">
        <v>46070</v>
      </c>
      <c r="E3645" s="3">
        <f t="shared" si="56"/>
        <v>46054</v>
      </c>
      <c r="F3645" t="s">
        <v>3065</v>
      </c>
      <c r="G3645" t="s">
        <v>122</v>
      </c>
      <c r="H3645" s="4">
        <v>20.12</v>
      </c>
      <c r="I3645" t="s">
        <v>108</v>
      </c>
      <c r="J3645" t="s">
        <v>109</v>
      </c>
      <c r="K3645" t="s">
        <v>3063</v>
      </c>
      <c r="L3645" s="2">
        <v>46054</v>
      </c>
      <c r="M3645" t="s">
        <v>109</v>
      </c>
      <c r="N3645">
        <v>0</v>
      </c>
      <c r="O3645" t="s">
        <v>111</v>
      </c>
      <c r="P3645" t="s">
        <v>112</v>
      </c>
      <c r="Q3645" t="s">
        <v>113</v>
      </c>
    </row>
    <row r="3646" spans="1:17" x14ac:dyDescent="0.3">
      <c r="A3646" t="s">
        <v>17</v>
      </c>
      <c r="B3646">
        <v>68</v>
      </c>
      <c r="C3646" t="s">
        <v>34</v>
      </c>
      <c r="D3646" s="2">
        <v>46070</v>
      </c>
      <c r="E3646" s="3">
        <f t="shared" si="56"/>
        <v>46054</v>
      </c>
      <c r="F3646" t="s">
        <v>3066</v>
      </c>
      <c r="G3646" t="s">
        <v>122</v>
      </c>
      <c r="H3646" s="4">
        <v>33.119999999999997</v>
      </c>
      <c r="I3646" t="s">
        <v>108</v>
      </c>
      <c r="J3646" t="s">
        <v>109</v>
      </c>
      <c r="K3646" t="s">
        <v>2776</v>
      </c>
      <c r="L3646" s="2">
        <v>46054</v>
      </c>
      <c r="M3646" t="s">
        <v>109</v>
      </c>
      <c r="N3646">
        <v>0</v>
      </c>
      <c r="O3646" t="s">
        <v>111</v>
      </c>
      <c r="P3646" t="s">
        <v>112</v>
      </c>
      <c r="Q3646" t="s">
        <v>113</v>
      </c>
    </row>
    <row r="3647" spans="1:17" x14ac:dyDescent="0.3">
      <c r="A3647" t="s">
        <v>17</v>
      </c>
      <c r="B3647">
        <v>68</v>
      </c>
      <c r="C3647" t="s">
        <v>34</v>
      </c>
      <c r="D3647" s="2">
        <v>46071</v>
      </c>
      <c r="E3647" s="3">
        <f t="shared" si="56"/>
        <v>46054</v>
      </c>
      <c r="F3647" t="s">
        <v>3067</v>
      </c>
      <c r="G3647" t="s">
        <v>122</v>
      </c>
      <c r="H3647" s="4">
        <v>23.94</v>
      </c>
      <c r="I3647" t="s">
        <v>108</v>
      </c>
      <c r="J3647" t="s">
        <v>109</v>
      </c>
      <c r="L3647" s="2">
        <v>46054</v>
      </c>
      <c r="M3647" t="s">
        <v>109</v>
      </c>
      <c r="N3647">
        <v>0</v>
      </c>
      <c r="O3647" t="s">
        <v>111</v>
      </c>
      <c r="P3647" t="s">
        <v>112</v>
      </c>
      <c r="Q3647" t="s">
        <v>113</v>
      </c>
    </row>
    <row r="3648" spans="1:17" x14ac:dyDescent="0.3">
      <c r="A3648" t="s">
        <v>17</v>
      </c>
      <c r="B3648">
        <v>68</v>
      </c>
      <c r="C3648" t="s">
        <v>34</v>
      </c>
      <c r="D3648" s="2">
        <v>46071</v>
      </c>
      <c r="E3648" s="3">
        <f t="shared" si="56"/>
        <v>46054</v>
      </c>
      <c r="F3648" t="s">
        <v>3067</v>
      </c>
      <c r="G3648" t="s">
        <v>122</v>
      </c>
      <c r="H3648" s="4">
        <v>17.5</v>
      </c>
      <c r="I3648" t="s">
        <v>108</v>
      </c>
      <c r="J3648" t="s">
        <v>109</v>
      </c>
      <c r="L3648" s="2">
        <v>46054</v>
      </c>
      <c r="M3648" t="s">
        <v>109</v>
      </c>
      <c r="N3648">
        <v>0</v>
      </c>
      <c r="O3648" t="s">
        <v>111</v>
      </c>
      <c r="P3648" t="s">
        <v>112</v>
      </c>
      <c r="Q3648" t="s">
        <v>113</v>
      </c>
    </row>
    <row r="3649" spans="1:17" x14ac:dyDescent="0.3">
      <c r="A3649" t="s">
        <v>17</v>
      </c>
      <c r="B3649">
        <v>68</v>
      </c>
      <c r="C3649" t="s">
        <v>34</v>
      </c>
      <c r="D3649" s="2">
        <v>46071</v>
      </c>
      <c r="E3649" s="3">
        <f t="shared" si="56"/>
        <v>46054</v>
      </c>
      <c r="F3649" t="s">
        <v>3067</v>
      </c>
      <c r="G3649" t="s">
        <v>122</v>
      </c>
      <c r="H3649" s="4">
        <v>1.34</v>
      </c>
      <c r="I3649" t="s">
        <v>108</v>
      </c>
      <c r="J3649" t="s">
        <v>109</v>
      </c>
      <c r="L3649" s="2">
        <v>46054</v>
      </c>
      <c r="M3649" t="s">
        <v>109</v>
      </c>
      <c r="N3649">
        <v>0</v>
      </c>
      <c r="O3649" t="s">
        <v>111</v>
      </c>
      <c r="P3649" t="s">
        <v>112</v>
      </c>
      <c r="Q3649" t="s">
        <v>113</v>
      </c>
    </row>
    <row r="3650" spans="1:17" x14ac:dyDescent="0.3">
      <c r="A3650" t="s">
        <v>17</v>
      </c>
      <c r="B3650">
        <v>68</v>
      </c>
      <c r="C3650" t="s">
        <v>34</v>
      </c>
      <c r="D3650" s="2">
        <v>46071</v>
      </c>
      <c r="E3650" s="3">
        <f t="shared" si="56"/>
        <v>46054</v>
      </c>
      <c r="F3650" t="s">
        <v>3068</v>
      </c>
      <c r="G3650" t="s">
        <v>122</v>
      </c>
      <c r="H3650" s="4">
        <v>673.68</v>
      </c>
      <c r="I3650" t="s">
        <v>108</v>
      </c>
      <c r="J3650" t="s">
        <v>109</v>
      </c>
      <c r="K3650" t="s">
        <v>1287</v>
      </c>
      <c r="L3650" s="2">
        <v>46054</v>
      </c>
      <c r="M3650" t="s">
        <v>109</v>
      </c>
      <c r="N3650">
        <v>0</v>
      </c>
      <c r="O3650" t="s">
        <v>111</v>
      </c>
      <c r="P3650" t="s">
        <v>112</v>
      </c>
      <c r="Q3650" t="s">
        <v>113</v>
      </c>
    </row>
    <row r="3651" spans="1:17" x14ac:dyDescent="0.3">
      <c r="A3651" t="s">
        <v>17</v>
      </c>
      <c r="B3651">
        <v>68</v>
      </c>
      <c r="C3651" t="s">
        <v>34</v>
      </c>
      <c r="D3651" s="2">
        <v>46071</v>
      </c>
      <c r="E3651" s="3">
        <f t="shared" ref="E3651:E3714" si="57">IF($D3651="","",DATE(YEAR($D3651),MONTH($D3651),1))</f>
        <v>46054</v>
      </c>
      <c r="F3651" t="s">
        <v>3069</v>
      </c>
      <c r="G3651" t="s">
        <v>122</v>
      </c>
      <c r="H3651" s="4">
        <v>3.45</v>
      </c>
      <c r="I3651" t="s">
        <v>108</v>
      </c>
      <c r="J3651" t="s">
        <v>109</v>
      </c>
      <c r="K3651" t="s">
        <v>1450</v>
      </c>
      <c r="L3651" s="2">
        <v>46054</v>
      </c>
      <c r="M3651" t="s">
        <v>109</v>
      </c>
      <c r="N3651">
        <v>0</v>
      </c>
      <c r="O3651" t="s">
        <v>111</v>
      </c>
      <c r="P3651" t="s">
        <v>112</v>
      </c>
      <c r="Q3651" t="s">
        <v>113</v>
      </c>
    </row>
    <row r="3652" spans="1:17" x14ac:dyDescent="0.3">
      <c r="A3652" t="s">
        <v>17</v>
      </c>
      <c r="B3652">
        <v>68</v>
      </c>
      <c r="C3652" t="s">
        <v>34</v>
      </c>
      <c r="D3652" s="2">
        <v>46071</v>
      </c>
      <c r="E3652" s="3">
        <f t="shared" si="57"/>
        <v>46054</v>
      </c>
      <c r="F3652" t="s">
        <v>3069</v>
      </c>
      <c r="G3652" t="s">
        <v>122</v>
      </c>
      <c r="H3652" s="4">
        <v>17.5</v>
      </c>
      <c r="I3652" t="s">
        <v>108</v>
      </c>
      <c r="J3652" t="s">
        <v>109</v>
      </c>
      <c r="L3652" s="2">
        <v>46054</v>
      </c>
      <c r="M3652" t="s">
        <v>109</v>
      </c>
      <c r="N3652">
        <v>0</v>
      </c>
      <c r="O3652" t="s">
        <v>111</v>
      </c>
      <c r="P3652" t="s">
        <v>112</v>
      </c>
      <c r="Q3652" t="s">
        <v>113</v>
      </c>
    </row>
    <row r="3653" spans="1:17" x14ac:dyDescent="0.3">
      <c r="A3653" t="s">
        <v>17</v>
      </c>
      <c r="B3653">
        <v>68</v>
      </c>
      <c r="C3653" t="s">
        <v>34</v>
      </c>
      <c r="D3653" s="2">
        <v>46071</v>
      </c>
      <c r="E3653" s="3">
        <f t="shared" si="57"/>
        <v>46054</v>
      </c>
      <c r="F3653" t="s">
        <v>3069</v>
      </c>
      <c r="G3653" t="s">
        <v>122</v>
      </c>
      <c r="H3653" s="4">
        <v>1.34</v>
      </c>
      <c r="I3653" t="s">
        <v>108</v>
      </c>
      <c r="J3653" t="s">
        <v>109</v>
      </c>
      <c r="L3653" s="2">
        <v>46054</v>
      </c>
      <c r="M3653" t="s">
        <v>109</v>
      </c>
      <c r="N3653">
        <v>0</v>
      </c>
      <c r="O3653" t="s">
        <v>111</v>
      </c>
      <c r="P3653" t="s">
        <v>112</v>
      </c>
      <c r="Q3653" t="s">
        <v>113</v>
      </c>
    </row>
    <row r="3654" spans="1:17" x14ac:dyDescent="0.3">
      <c r="A3654" t="s">
        <v>17</v>
      </c>
      <c r="B3654">
        <v>68</v>
      </c>
      <c r="C3654" t="s">
        <v>34</v>
      </c>
      <c r="D3654" s="2">
        <v>46071</v>
      </c>
      <c r="E3654" s="3">
        <f t="shared" si="57"/>
        <v>46054</v>
      </c>
      <c r="F3654" t="s">
        <v>3070</v>
      </c>
      <c r="G3654" t="s">
        <v>122</v>
      </c>
      <c r="H3654" s="4">
        <v>12.89</v>
      </c>
      <c r="I3654" t="s">
        <v>108</v>
      </c>
      <c r="J3654" t="s">
        <v>109</v>
      </c>
      <c r="K3654" t="s">
        <v>1437</v>
      </c>
      <c r="L3654" s="2">
        <v>46054</v>
      </c>
      <c r="M3654" t="s">
        <v>109</v>
      </c>
      <c r="N3654">
        <v>0</v>
      </c>
      <c r="O3654" t="s">
        <v>111</v>
      </c>
      <c r="P3654" t="s">
        <v>112</v>
      </c>
      <c r="Q3654" t="s">
        <v>113</v>
      </c>
    </row>
    <row r="3655" spans="1:17" x14ac:dyDescent="0.3">
      <c r="A3655" t="s">
        <v>17</v>
      </c>
      <c r="B3655">
        <v>68</v>
      </c>
      <c r="C3655" t="s">
        <v>34</v>
      </c>
      <c r="D3655" s="2">
        <v>46071</v>
      </c>
      <c r="E3655" s="3">
        <f t="shared" si="57"/>
        <v>46054</v>
      </c>
      <c r="F3655" t="s">
        <v>3070</v>
      </c>
      <c r="G3655" t="s">
        <v>122</v>
      </c>
      <c r="H3655" s="4">
        <v>0.24</v>
      </c>
      <c r="I3655" t="s">
        <v>108</v>
      </c>
      <c r="J3655" t="s">
        <v>109</v>
      </c>
      <c r="K3655" t="s">
        <v>1436</v>
      </c>
      <c r="L3655" s="2">
        <v>46054</v>
      </c>
      <c r="M3655" t="s">
        <v>109</v>
      </c>
      <c r="N3655">
        <v>0</v>
      </c>
      <c r="O3655" t="s">
        <v>111</v>
      </c>
      <c r="P3655" t="s">
        <v>112</v>
      </c>
      <c r="Q3655" t="s">
        <v>113</v>
      </c>
    </row>
    <row r="3656" spans="1:17" x14ac:dyDescent="0.3">
      <c r="A3656" t="s">
        <v>17</v>
      </c>
      <c r="B3656">
        <v>68</v>
      </c>
      <c r="C3656" t="s">
        <v>34</v>
      </c>
      <c r="D3656" s="2">
        <v>46071</v>
      </c>
      <c r="E3656" s="3">
        <f t="shared" si="57"/>
        <v>46054</v>
      </c>
      <c r="F3656" t="s">
        <v>3070</v>
      </c>
      <c r="G3656" t="s">
        <v>122</v>
      </c>
      <c r="H3656" s="4">
        <v>4.4000000000000004</v>
      </c>
      <c r="I3656" t="s">
        <v>108</v>
      </c>
      <c r="J3656" t="s">
        <v>109</v>
      </c>
      <c r="K3656" t="s">
        <v>1438</v>
      </c>
      <c r="L3656" s="2">
        <v>46054</v>
      </c>
      <c r="M3656" t="s">
        <v>109</v>
      </c>
      <c r="N3656">
        <v>0</v>
      </c>
      <c r="O3656" t="s">
        <v>111</v>
      </c>
      <c r="P3656" t="s">
        <v>112</v>
      </c>
      <c r="Q3656" t="s">
        <v>113</v>
      </c>
    </row>
    <row r="3657" spans="1:17" x14ac:dyDescent="0.3">
      <c r="A3657" t="s">
        <v>17</v>
      </c>
      <c r="B3657">
        <v>68</v>
      </c>
      <c r="C3657" t="s">
        <v>34</v>
      </c>
      <c r="D3657" s="2">
        <v>46071</v>
      </c>
      <c r="E3657" s="3">
        <f t="shared" si="57"/>
        <v>46054</v>
      </c>
      <c r="F3657" t="s">
        <v>3070</v>
      </c>
      <c r="G3657" t="s">
        <v>122</v>
      </c>
      <c r="H3657" s="4">
        <v>6.3</v>
      </c>
      <c r="I3657" t="s">
        <v>108</v>
      </c>
      <c r="J3657" t="s">
        <v>109</v>
      </c>
      <c r="K3657" t="s">
        <v>3071</v>
      </c>
      <c r="L3657" s="2">
        <v>46054</v>
      </c>
      <c r="M3657" t="s">
        <v>109</v>
      </c>
      <c r="N3657">
        <v>0</v>
      </c>
      <c r="O3657" t="s">
        <v>111</v>
      </c>
      <c r="P3657" t="s">
        <v>112</v>
      </c>
      <c r="Q3657" t="s">
        <v>113</v>
      </c>
    </row>
    <row r="3658" spans="1:17" x14ac:dyDescent="0.3">
      <c r="A3658" t="s">
        <v>17</v>
      </c>
      <c r="B3658">
        <v>68</v>
      </c>
      <c r="C3658" t="s">
        <v>34</v>
      </c>
      <c r="D3658" s="2">
        <v>46071</v>
      </c>
      <c r="E3658" s="3">
        <f t="shared" si="57"/>
        <v>46054</v>
      </c>
      <c r="F3658" t="s">
        <v>3070</v>
      </c>
      <c r="G3658" t="s">
        <v>122</v>
      </c>
      <c r="H3658" s="4">
        <v>25.5</v>
      </c>
      <c r="I3658" t="s">
        <v>108</v>
      </c>
      <c r="J3658" t="s">
        <v>109</v>
      </c>
      <c r="K3658" t="s">
        <v>3072</v>
      </c>
      <c r="L3658" s="2">
        <v>46054</v>
      </c>
      <c r="M3658" t="s">
        <v>109</v>
      </c>
      <c r="N3658">
        <v>0</v>
      </c>
      <c r="O3658" t="s">
        <v>111</v>
      </c>
      <c r="P3658" t="s">
        <v>112</v>
      </c>
      <c r="Q3658" t="s">
        <v>113</v>
      </c>
    </row>
    <row r="3659" spans="1:17" x14ac:dyDescent="0.3">
      <c r="A3659" t="s">
        <v>17</v>
      </c>
      <c r="B3659">
        <v>68</v>
      </c>
      <c r="C3659" t="s">
        <v>34</v>
      </c>
      <c r="D3659" s="2">
        <v>46071</v>
      </c>
      <c r="E3659" s="3">
        <f t="shared" si="57"/>
        <v>46054</v>
      </c>
      <c r="F3659" t="s">
        <v>3070</v>
      </c>
      <c r="G3659" t="s">
        <v>122</v>
      </c>
      <c r="H3659" s="4">
        <v>48.57</v>
      </c>
      <c r="I3659" t="s">
        <v>108</v>
      </c>
      <c r="J3659" t="s">
        <v>109</v>
      </c>
      <c r="K3659" t="s">
        <v>3073</v>
      </c>
      <c r="L3659" s="2">
        <v>46054</v>
      </c>
      <c r="M3659" t="s">
        <v>109</v>
      </c>
      <c r="N3659">
        <v>0</v>
      </c>
      <c r="O3659" t="s">
        <v>111</v>
      </c>
      <c r="P3659" t="s">
        <v>112</v>
      </c>
      <c r="Q3659" t="s">
        <v>113</v>
      </c>
    </row>
    <row r="3660" spans="1:17" x14ac:dyDescent="0.3">
      <c r="A3660" t="s">
        <v>17</v>
      </c>
      <c r="B3660">
        <v>68</v>
      </c>
      <c r="C3660" t="s">
        <v>34</v>
      </c>
      <c r="D3660" s="2">
        <v>46072</v>
      </c>
      <c r="E3660" s="3">
        <f t="shared" si="57"/>
        <v>46054</v>
      </c>
      <c r="F3660" t="s">
        <v>3074</v>
      </c>
      <c r="G3660" t="s">
        <v>122</v>
      </c>
      <c r="H3660" s="4">
        <v>4.76</v>
      </c>
      <c r="I3660" t="s">
        <v>108</v>
      </c>
      <c r="J3660" t="s">
        <v>109</v>
      </c>
      <c r="K3660" t="s">
        <v>1838</v>
      </c>
      <c r="L3660" s="2">
        <v>46054</v>
      </c>
      <c r="M3660" t="s">
        <v>109</v>
      </c>
      <c r="N3660">
        <v>0</v>
      </c>
      <c r="O3660" t="s">
        <v>111</v>
      </c>
      <c r="P3660" t="s">
        <v>112</v>
      </c>
      <c r="Q3660" t="s">
        <v>113</v>
      </c>
    </row>
    <row r="3661" spans="1:17" x14ac:dyDescent="0.3">
      <c r="A3661" t="s">
        <v>17</v>
      </c>
      <c r="B3661">
        <v>68</v>
      </c>
      <c r="C3661" t="s">
        <v>34</v>
      </c>
      <c r="D3661" s="2">
        <v>46072</v>
      </c>
      <c r="E3661" s="3">
        <f t="shared" si="57"/>
        <v>46054</v>
      </c>
      <c r="F3661" t="s">
        <v>3074</v>
      </c>
      <c r="G3661" t="s">
        <v>122</v>
      </c>
      <c r="H3661" s="4">
        <v>17.5</v>
      </c>
      <c r="I3661" t="s">
        <v>108</v>
      </c>
      <c r="J3661" t="s">
        <v>109</v>
      </c>
      <c r="L3661" s="2">
        <v>46054</v>
      </c>
      <c r="M3661" t="s">
        <v>109</v>
      </c>
      <c r="N3661">
        <v>0</v>
      </c>
      <c r="O3661" t="s">
        <v>111</v>
      </c>
      <c r="P3661" t="s">
        <v>112</v>
      </c>
      <c r="Q3661" t="s">
        <v>113</v>
      </c>
    </row>
    <row r="3662" spans="1:17" x14ac:dyDescent="0.3">
      <c r="A3662" t="s">
        <v>17</v>
      </c>
      <c r="B3662">
        <v>68</v>
      </c>
      <c r="C3662" t="s">
        <v>34</v>
      </c>
      <c r="D3662" s="2">
        <v>46072</v>
      </c>
      <c r="E3662" s="3">
        <f t="shared" si="57"/>
        <v>46054</v>
      </c>
      <c r="F3662" t="s">
        <v>3074</v>
      </c>
      <c r="G3662" t="s">
        <v>122</v>
      </c>
      <c r="H3662" s="4">
        <v>1.34</v>
      </c>
      <c r="I3662" t="s">
        <v>108</v>
      </c>
      <c r="J3662" t="s">
        <v>109</v>
      </c>
      <c r="L3662" s="2">
        <v>46054</v>
      </c>
      <c r="M3662" t="s">
        <v>109</v>
      </c>
      <c r="N3662">
        <v>0</v>
      </c>
      <c r="O3662" t="s">
        <v>111</v>
      </c>
      <c r="P3662" t="s">
        <v>112</v>
      </c>
      <c r="Q3662" t="s">
        <v>113</v>
      </c>
    </row>
    <row r="3663" spans="1:17" x14ac:dyDescent="0.3">
      <c r="A3663" t="s">
        <v>17</v>
      </c>
      <c r="B3663">
        <v>68</v>
      </c>
      <c r="C3663" t="s">
        <v>34</v>
      </c>
      <c r="D3663" s="2">
        <v>46072</v>
      </c>
      <c r="E3663" s="3">
        <f t="shared" si="57"/>
        <v>46054</v>
      </c>
      <c r="F3663">
        <v>2083764270</v>
      </c>
      <c r="G3663" t="s">
        <v>1261</v>
      </c>
      <c r="H3663" s="4">
        <v>636.33000000000004</v>
      </c>
      <c r="I3663" t="s">
        <v>108</v>
      </c>
      <c r="J3663" t="s">
        <v>109</v>
      </c>
      <c r="K3663" t="s">
        <v>2109</v>
      </c>
      <c r="L3663" s="2">
        <v>46054</v>
      </c>
      <c r="M3663" t="s">
        <v>109</v>
      </c>
      <c r="N3663">
        <v>0</v>
      </c>
      <c r="O3663" t="s">
        <v>111</v>
      </c>
      <c r="P3663" t="s">
        <v>112</v>
      </c>
      <c r="Q3663" t="s">
        <v>113</v>
      </c>
    </row>
    <row r="3664" spans="1:17" x14ac:dyDescent="0.3">
      <c r="A3664" t="s">
        <v>17</v>
      </c>
      <c r="B3664">
        <v>68</v>
      </c>
      <c r="C3664" t="s">
        <v>34</v>
      </c>
      <c r="D3664" s="2">
        <v>46073</v>
      </c>
      <c r="E3664" s="3">
        <f t="shared" si="57"/>
        <v>46054</v>
      </c>
      <c r="F3664" t="s">
        <v>3075</v>
      </c>
      <c r="G3664" t="s">
        <v>122</v>
      </c>
      <c r="H3664" s="4">
        <v>19.62</v>
      </c>
      <c r="I3664" t="s">
        <v>108</v>
      </c>
      <c r="J3664" t="s">
        <v>109</v>
      </c>
      <c r="K3664" t="s">
        <v>3063</v>
      </c>
      <c r="L3664" s="2">
        <v>46054</v>
      </c>
      <c r="M3664" t="s">
        <v>109</v>
      </c>
      <c r="N3664">
        <v>0</v>
      </c>
      <c r="O3664" t="s">
        <v>111</v>
      </c>
      <c r="P3664" t="s">
        <v>112</v>
      </c>
      <c r="Q3664" t="s">
        <v>113</v>
      </c>
    </row>
    <row r="3665" spans="1:17" x14ac:dyDescent="0.3">
      <c r="A3665" t="s">
        <v>17</v>
      </c>
      <c r="B3665">
        <v>68</v>
      </c>
      <c r="C3665" t="s">
        <v>34</v>
      </c>
      <c r="D3665" s="2">
        <v>46076</v>
      </c>
      <c r="E3665" s="3">
        <f t="shared" si="57"/>
        <v>46054</v>
      </c>
      <c r="F3665" t="s">
        <v>3076</v>
      </c>
      <c r="G3665" t="s">
        <v>122</v>
      </c>
      <c r="H3665" s="4">
        <v>4.3499999999999996</v>
      </c>
      <c r="I3665" t="s">
        <v>108</v>
      </c>
      <c r="J3665" t="s">
        <v>109</v>
      </c>
      <c r="L3665" s="2">
        <v>46054</v>
      </c>
      <c r="M3665" t="s">
        <v>109</v>
      </c>
      <c r="N3665">
        <v>0</v>
      </c>
      <c r="O3665" t="s">
        <v>111</v>
      </c>
      <c r="P3665" t="s">
        <v>112</v>
      </c>
      <c r="Q3665" t="s">
        <v>113</v>
      </c>
    </row>
    <row r="3666" spans="1:17" x14ac:dyDescent="0.3">
      <c r="A3666" t="s">
        <v>17</v>
      </c>
      <c r="B3666">
        <v>68</v>
      </c>
      <c r="C3666" t="s">
        <v>34</v>
      </c>
      <c r="D3666" s="2">
        <v>46076</v>
      </c>
      <c r="E3666" s="3">
        <f t="shared" si="57"/>
        <v>46054</v>
      </c>
      <c r="F3666" t="s">
        <v>3076</v>
      </c>
      <c r="G3666" t="s">
        <v>122</v>
      </c>
      <c r="H3666" s="4">
        <v>17.5</v>
      </c>
      <c r="I3666" t="s">
        <v>108</v>
      </c>
      <c r="J3666" t="s">
        <v>109</v>
      </c>
      <c r="L3666" s="2">
        <v>46054</v>
      </c>
      <c r="M3666" t="s">
        <v>109</v>
      </c>
      <c r="N3666">
        <v>0</v>
      </c>
      <c r="O3666" t="s">
        <v>111</v>
      </c>
      <c r="P3666" t="s">
        <v>112</v>
      </c>
      <c r="Q3666" t="s">
        <v>113</v>
      </c>
    </row>
    <row r="3667" spans="1:17" x14ac:dyDescent="0.3">
      <c r="A3667" t="s">
        <v>17</v>
      </c>
      <c r="B3667">
        <v>68</v>
      </c>
      <c r="C3667" t="s">
        <v>34</v>
      </c>
      <c r="D3667" s="2">
        <v>46076</v>
      </c>
      <c r="E3667" s="3">
        <f t="shared" si="57"/>
        <v>46054</v>
      </c>
      <c r="F3667" t="s">
        <v>3076</v>
      </c>
      <c r="G3667" t="s">
        <v>122</v>
      </c>
      <c r="H3667" s="4">
        <v>1.34</v>
      </c>
      <c r="I3667" t="s">
        <v>108</v>
      </c>
      <c r="J3667" t="s">
        <v>109</v>
      </c>
      <c r="L3667" s="2">
        <v>46054</v>
      </c>
      <c r="M3667" t="s">
        <v>109</v>
      </c>
      <c r="N3667">
        <v>0</v>
      </c>
      <c r="O3667" t="s">
        <v>111</v>
      </c>
      <c r="P3667" t="s">
        <v>112</v>
      </c>
      <c r="Q3667" t="s">
        <v>113</v>
      </c>
    </row>
    <row r="3668" spans="1:17" x14ac:dyDescent="0.3">
      <c r="A3668" t="s">
        <v>17</v>
      </c>
      <c r="B3668">
        <v>68</v>
      </c>
      <c r="C3668" t="s">
        <v>34</v>
      </c>
      <c r="D3668" s="2">
        <v>46076</v>
      </c>
      <c r="E3668" s="3">
        <f t="shared" si="57"/>
        <v>46054</v>
      </c>
      <c r="F3668" t="s">
        <v>3077</v>
      </c>
      <c r="G3668" t="s">
        <v>122</v>
      </c>
      <c r="H3668" s="4">
        <v>19.739999999999998</v>
      </c>
      <c r="I3668" t="s">
        <v>108</v>
      </c>
      <c r="J3668" t="s">
        <v>109</v>
      </c>
      <c r="L3668" s="2">
        <v>46054</v>
      </c>
      <c r="M3668" t="s">
        <v>109</v>
      </c>
      <c r="N3668">
        <v>0</v>
      </c>
      <c r="O3668" t="s">
        <v>111</v>
      </c>
      <c r="P3668" t="s">
        <v>112</v>
      </c>
      <c r="Q3668" t="s">
        <v>113</v>
      </c>
    </row>
    <row r="3669" spans="1:17" x14ac:dyDescent="0.3">
      <c r="A3669" t="s">
        <v>17</v>
      </c>
      <c r="B3669">
        <v>68</v>
      </c>
      <c r="C3669" t="s">
        <v>34</v>
      </c>
      <c r="D3669" s="2">
        <v>46077</v>
      </c>
      <c r="E3669" s="3">
        <f t="shared" si="57"/>
        <v>46054</v>
      </c>
      <c r="F3669" t="s">
        <v>3078</v>
      </c>
      <c r="G3669" t="s">
        <v>1281</v>
      </c>
      <c r="H3669" s="4">
        <v>53.35</v>
      </c>
      <c r="I3669" t="s">
        <v>108</v>
      </c>
      <c r="J3669" t="s">
        <v>109</v>
      </c>
      <c r="K3669" t="s">
        <v>1282</v>
      </c>
      <c r="L3669" s="2">
        <v>46054</v>
      </c>
      <c r="M3669" t="s">
        <v>109</v>
      </c>
      <c r="N3669">
        <v>0</v>
      </c>
      <c r="O3669" t="s">
        <v>111</v>
      </c>
      <c r="P3669" t="s">
        <v>112</v>
      </c>
      <c r="Q3669" t="s">
        <v>113</v>
      </c>
    </row>
    <row r="3670" spans="1:17" x14ac:dyDescent="0.3">
      <c r="A3670" t="s">
        <v>17</v>
      </c>
      <c r="B3670">
        <v>68</v>
      </c>
      <c r="C3670" t="s">
        <v>34</v>
      </c>
      <c r="D3670" s="2">
        <v>46077</v>
      </c>
      <c r="E3670" s="3">
        <f t="shared" si="57"/>
        <v>46054</v>
      </c>
      <c r="F3670" t="s">
        <v>3079</v>
      </c>
      <c r="G3670" t="s">
        <v>1281</v>
      </c>
      <c r="H3670" s="4">
        <v>53.35</v>
      </c>
      <c r="I3670" t="s">
        <v>108</v>
      </c>
      <c r="J3670" t="s">
        <v>109</v>
      </c>
      <c r="K3670" t="s">
        <v>3080</v>
      </c>
      <c r="L3670" s="2">
        <v>46054</v>
      </c>
      <c r="M3670" t="s">
        <v>109</v>
      </c>
      <c r="N3670">
        <v>0</v>
      </c>
      <c r="O3670" t="s">
        <v>111</v>
      </c>
      <c r="P3670" t="s">
        <v>112</v>
      </c>
      <c r="Q3670" t="s">
        <v>113</v>
      </c>
    </row>
    <row r="3671" spans="1:17" x14ac:dyDescent="0.3">
      <c r="A3671" t="s">
        <v>17</v>
      </c>
      <c r="B3671">
        <v>68</v>
      </c>
      <c r="C3671" t="s">
        <v>34</v>
      </c>
      <c r="D3671" s="2">
        <v>46077</v>
      </c>
      <c r="E3671" s="3">
        <f t="shared" si="57"/>
        <v>46054</v>
      </c>
      <c r="F3671" t="s">
        <v>3081</v>
      </c>
      <c r="G3671" t="s">
        <v>122</v>
      </c>
      <c r="H3671" s="4">
        <v>8.6999999999999993</v>
      </c>
      <c r="I3671" t="s">
        <v>108</v>
      </c>
      <c r="J3671" t="s">
        <v>109</v>
      </c>
      <c r="K3671" t="s">
        <v>1450</v>
      </c>
      <c r="L3671" s="2">
        <v>46054</v>
      </c>
      <c r="M3671" t="s">
        <v>109</v>
      </c>
      <c r="N3671">
        <v>0</v>
      </c>
      <c r="O3671" t="s">
        <v>111</v>
      </c>
      <c r="P3671" t="s">
        <v>112</v>
      </c>
      <c r="Q3671" t="s">
        <v>113</v>
      </c>
    </row>
    <row r="3672" spans="1:17" x14ac:dyDescent="0.3">
      <c r="A3672" t="s">
        <v>17</v>
      </c>
      <c r="B3672">
        <v>68</v>
      </c>
      <c r="C3672" t="s">
        <v>34</v>
      </c>
      <c r="D3672" s="2">
        <v>46077</v>
      </c>
      <c r="E3672" s="3">
        <f t="shared" si="57"/>
        <v>46054</v>
      </c>
      <c r="F3672" t="s">
        <v>3081</v>
      </c>
      <c r="G3672" t="s">
        <v>122</v>
      </c>
      <c r="H3672" s="4">
        <v>17.5</v>
      </c>
      <c r="I3672" t="s">
        <v>108</v>
      </c>
      <c r="J3672" t="s">
        <v>109</v>
      </c>
      <c r="K3672" t="s">
        <v>3082</v>
      </c>
      <c r="L3672" s="2">
        <v>46054</v>
      </c>
      <c r="M3672" t="s">
        <v>109</v>
      </c>
      <c r="N3672">
        <v>0</v>
      </c>
      <c r="O3672" t="s">
        <v>111</v>
      </c>
      <c r="P3672" t="s">
        <v>112</v>
      </c>
      <c r="Q3672" t="s">
        <v>113</v>
      </c>
    </row>
    <row r="3673" spans="1:17" x14ac:dyDescent="0.3">
      <c r="A3673" t="s">
        <v>17</v>
      </c>
      <c r="B3673">
        <v>68</v>
      </c>
      <c r="C3673" t="s">
        <v>34</v>
      </c>
      <c r="D3673" s="2">
        <v>46077</v>
      </c>
      <c r="E3673" s="3">
        <f t="shared" si="57"/>
        <v>46054</v>
      </c>
      <c r="F3673" t="s">
        <v>3081</v>
      </c>
      <c r="G3673" t="s">
        <v>122</v>
      </c>
      <c r="H3673" s="4">
        <v>1.34</v>
      </c>
      <c r="I3673" t="s">
        <v>108</v>
      </c>
      <c r="J3673" t="s">
        <v>109</v>
      </c>
      <c r="K3673" t="s">
        <v>1452</v>
      </c>
      <c r="L3673" s="2">
        <v>46054</v>
      </c>
      <c r="M3673" t="s">
        <v>109</v>
      </c>
      <c r="N3673">
        <v>0</v>
      </c>
      <c r="O3673" t="s">
        <v>111</v>
      </c>
      <c r="P3673" t="s">
        <v>112</v>
      </c>
      <c r="Q3673" t="s">
        <v>113</v>
      </c>
    </row>
    <row r="3674" spans="1:17" x14ac:dyDescent="0.3">
      <c r="A3674" t="s">
        <v>17</v>
      </c>
      <c r="B3674">
        <v>68</v>
      </c>
      <c r="C3674" t="s">
        <v>34</v>
      </c>
      <c r="D3674" s="2">
        <v>46080</v>
      </c>
      <c r="E3674" s="3">
        <f t="shared" si="57"/>
        <v>46054</v>
      </c>
      <c r="F3674" t="s">
        <v>3083</v>
      </c>
      <c r="G3674" t="s">
        <v>107</v>
      </c>
      <c r="H3674" s="4">
        <v>66.5</v>
      </c>
      <c r="I3674" t="s">
        <v>47</v>
      </c>
      <c r="J3674" t="s">
        <v>109</v>
      </c>
      <c r="L3674" s="2">
        <v>46054</v>
      </c>
      <c r="M3674" t="s">
        <v>109</v>
      </c>
      <c r="N3674">
        <v>0</v>
      </c>
      <c r="O3674" t="s">
        <v>26</v>
      </c>
      <c r="P3674" t="s">
        <v>112</v>
      </c>
      <c r="Q3674" t="s">
        <v>113</v>
      </c>
    </row>
    <row r="3675" spans="1:17" x14ac:dyDescent="0.3">
      <c r="A3675" t="s">
        <v>17</v>
      </c>
      <c r="B3675">
        <v>68</v>
      </c>
      <c r="C3675" t="s">
        <v>34</v>
      </c>
      <c r="D3675" s="2">
        <v>46081</v>
      </c>
      <c r="E3675" s="3">
        <f t="shared" si="57"/>
        <v>46054</v>
      </c>
      <c r="F3675" t="s">
        <v>3084</v>
      </c>
      <c r="G3675" t="s">
        <v>291</v>
      </c>
      <c r="H3675" s="4">
        <v>497.94</v>
      </c>
      <c r="I3675" t="s">
        <v>47</v>
      </c>
      <c r="J3675" t="s">
        <v>109</v>
      </c>
      <c r="K3675" t="s">
        <v>3085</v>
      </c>
      <c r="L3675" s="2">
        <v>46054</v>
      </c>
      <c r="M3675" t="s">
        <v>109</v>
      </c>
      <c r="N3675">
        <v>0</v>
      </c>
      <c r="O3675" t="s">
        <v>26</v>
      </c>
      <c r="P3675" t="s">
        <v>112</v>
      </c>
      <c r="Q3675" t="s">
        <v>113</v>
      </c>
    </row>
    <row r="3676" spans="1:17" x14ac:dyDescent="0.3">
      <c r="A3676" t="s">
        <v>17</v>
      </c>
      <c r="B3676">
        <v>68</v>
      </c>
      <c r="C3676" t="s">
        <v>34</v>
      </c>
      <c r="D3676" s="2">
        <v>46081</v>
      </c>
      <c r="E3676" s="3">
        <f t="shared" si="57"/>
        <v>46054</v>
      </c>
      <c r="F3676" t="s">
        <v>3084</v>
      </c>
      <c r="G3676" t="s">
        <v>291</v>
      </c>
      <c r="H3676" s="4">
        <v>194.34</v>
      </c>
      <c r="I3676" t="s">
        <v>47</v>
      </c>
      <c r="J3676" t="s">
        <v>109</v>
      </c>
      <c r="K3676" t="s">
        <v>3086</v>
      </c>
      <c r="L3676" s="2">
        <v>46054</v>
      </c>
      <c r="M3676" t="s">
        <v>109</v>
      </c>
      <c r="N3676">
        <v>0</v>
      </c>
      <c r="O3676" t="s">
        <v>26</v>
      </c>
      <c r="P3676" t="s">
        <v>112</v>
      </c>
      <c r="Q3676" t="s">
        <v>113</v>
      </c>
    </row>
    <row r="3677" spans="1:17" x14ac:dyDescent="0.3">
      <c r="A3677" t="s">
        <v>17</v>
      </c>
      <c r="B3677">
        <v>68</v>
      </c>
      <c r="C3677" t="s">
        <v>34</v>
      </c>
      <c r="D3677" s="2">
        <v>46081</v>
      </c>
      <c r="E3677" s="3">
        <f t="shared" si="57"/>
        <v>46054</v>
      </c>
      <c r="F3677" t="s">
        <v>3084</v>
      </c>
      <c r="G3677" t="s">
        <v>291</v>
      </c>
      <c r="H3677" s="4">
        <v>309.24</v>
      </c>
      <c r="I3677" t="s">
        <v>47</v>
      </c>
      <c r="J3677" t="s">
        <v>109</v>
      </c>
      <c r="K3677" t="s">
        <v>1701</v>
      </c>
      <c r="L3677" s="2">
        <v>46054</v>
      </c>
      <c r="M3677" t="s">
        <v>109</v>
      </c>
      <c r="N3677">
        <v>0</v>
      </c>
      <c r="O3677" t="s">
        <v>26</v>
      </c>
      <c r="P3677" t="s">
        <v>112</v>
      </c>
      <c r="Q3677" t="s">
        <v>113</v>
      </c>
    </row>
    <row r="3678" spans="1:17" x14ac:dyDescent="0.3">
      <c r="A3678" t="s">
        <v>17</v>
      </c>
      <c r="B3678">
        <v>68</v>
      </c>
      <c r="C3678" t="s">
        <v>34</v>
      </c>
      <c r="D3678" s="2">
        <v>46081</v>
      </c>
      <c r="E3678" s="3">
        <f t="shared" si="57"/>
        <v>46054</v>
      </c>
      <c r="F3678" t="s">
        <v>3084</v>
      </c>
      <c r="G3678" t="s">
        <v>291</v>
      </c>
      <c r="H3678" s="4">
        <v>56.64</v>
      </c>
      <c r="I3678" t="s">
        <v>47</v>
      </c>
      <c r="J3678" t="s">
        <v>109</v>
      </c>
      <c r="K3678" t="s">
        <v>3087</v>
      </c>
      <c r="L3678" s="2">
        <v>46054</v>
      </c>
      <c r="M3678" t="s">
        <v>109</v>
      </c>
      <c r="N3678">
        <v>0</v>
      </c>
      <c r="O3678" t="s">
        <v>26</v>
      </c>
      <c r="P3678" t="s">
        <v>112</v>
      </c>
      <c r="Q3678" t="s">
        <v>113</v>
      </c>
    </row>
    <row r="3679" spans="1:17" x14ac:dyDescent="0.3">
      <c r="A3679" t="s">
        <v>17</v>
      </c>
      <c r="B3679">
        <v>68</v>
      </c>
      <c r="C3679" t="s">
        <v>34</v>
      </c>
      <c r="D3679" s="2">
        <v>46081</v>
      </c>
      <c r="E3679" s="3">
        <f t="shared" si="57"/>
        <v>46054</v>
      </c>
      <c r="F3679" t="s">
        <v>3084</v>
      </c>
      <c r="G3679" t="s">
        <v>291</v>
      </c>
      <c r="H3679" s="4">
        <v>79.739999999999995</v>
      </c>
      <c r="I3679" t="s">
        <v>47</v>
      </c>
      <c r="J3679" t="s">
        <v>109</v>
      </c>
      <c r="K3679" t="s">
        <v>3088</v>
      </c>
      <c r="L3679" s="2">
        <v>46054</v>
      </c>
      <c r="M3679" t="s">
        <v>109</v>
      </c>
      <c r="N3679">
        <v>0</v>
      </c>
      <c r="O3679" t="s">
        <v>26</v>
      </c>
      <c r="P3679" t="s">
        <v>112</v>
      </c>
      <c r="Q3679" t="s">
        <v>113</v>
      </c>
    </row>
    <row r="3680" spans="1:17" x14ac:dyDescent="0.3">
      <c r="A3680" t="s">
        <v>17</v>
      </c>
      <c r="B3680">
        <v>68</v>
      </c>
      <c r="C3680" t="s">
        <v>34</v>
      </c>
      <c r="D3680" s="2">
        <v>46081</v>
      </c>
      <c r="E3680" s="3">
        <f t="shared" si="57"/>
        <v>46054</v>
      </c>
      <c r="F3680" t="s">
        <v>3084</v>
      </c>
      <c r="G3680" t="s">
        <v>291</v>
      </c>
      <c r="H3680" s="4">
        <v>204.94</v>
      </c>
      <c r="I3680" t="s">
        <v>47</v>
      </c>
      <c r="J3680" t="s">
        <v>109</v>
      </c>
      <c r="K3680" t="s">
        <v>3089</v>
      </c>
      <c r="L3680" s="2">
        <v>46054</v>
      </c>
      <c r="M3680" t="s">
        <v>109</v>
      </c>
      <c r="N3680">
        <v>0</v>
      </c>
      <c r="O3680" t="s">
        <v>26</v>
      </c>
      <c r="P3680" t="s">
        <v>112</v>
      </c>
      <c r="Q3680" t="s">
        <v>113</v>
      </c>
    </row>
    <row r="3681" spans="1:17" x14ac:dyDescent="0.3">
      <c r="A3681" t="s">
        <v>17</v>
      </c>
      <c r="B3681">
        <v>68</v>
      </c>
      <c r="C3681" t="s">
        <v>34</v>
      </c>
      <c r="D3681" s="2">
        <v>46081</v>
      </c>
      <c r="E3681" s="3">
        <f t="shared" si="57"/>
        <v>46054</v>
      </c>
      <c r="F3681" t="s">
        <v>3084</v>
      </c>
      <c r="G3681" t="s">
        <v>291</v>
      </c>
      <c r="H3681" s="4">
        <v>56.64</v>
      </c>
      <c r="I3681" t="s">
        <v>47</v>
      </c>
      <c r="J3681" t="s">
        <v>109</v>
      </c>
      <c r="K3681" t="s">
        <v>3087</v>
      </c>
      <c r="L3681" s="2">
        <v>46054</v>
      </c>
      <c r="M3681" t="s">
        <v>109</v>
      </c>
      <c r="N3681">
        <v>0</v>
      </c>
      <c r="O3681" t="s">
        <v>26</v>
      </c>
      <c r="P3681" t="s">
        <v>112</v>
      </c>
      <c r="Q3681" t="s">
        <v>113</v>
      </c>
    </row>
    <row r="3682" spans="1:17" x14ac:dyDescent="0.3">
      <c r="A3682" t="s">
        <v>17</v>
      </c>
      <c r="B3682">
        <v>68</v>
      </c>
      <c r="C3682" t="s">
        <v>34</v>
      </c>
      <c r="D3682" s="2">
        <v>46081</v>
      </c>
      <c r="E3682" s="3">
        <f t="shared" si="57"/>
        <v>46054</v>
      </c>
      <c r="F3682" t="s">
        <v>3084</v>
      </c>
      <c r="G3682" t="s">
        <v>291</v>
      </c>
      <c r="H3682" s="4">
        <v>168.84</v>
      </c>
      <c r="I3682" t="s">
        <v>47</v>
      </c>
      <c r="J3682" t="s">
        <v>109</v>
      </c>
      <c r="K3682" t="s">
        <v>3090</v>
      </c>
      <c r="L3682" s="2">
        <v>46054</v>
      </c>
      <c r="M3682" t="s">
        <v>109</v>
      </c>
      <c r="N3682">
        <v>0</v>
      </c>
      <c r="O3682" t="s">
        <v>26</v>
      </c>
      <c r="P3682" t="s">
        <v>112</v>
      </c>
      <c r="Q3682" t="s">
        <v>113</v>
      </c>
    </row>
    <row r="3683" spans="1:17" x14ac:dyDescent="0.3">
      <c r="A3683" t="s">
        <v>17</v>
      </c>
      <c r="B3683">
        <v>68</v>
      </c>
      <c r="C3683" t="s">
        <v>34</v>
      </c>
      <c r="D3683" s="2">
        <v>46081</v>
      </c>
      <c r="E3683" s="3">
        <f t="shared" si="57"/>
        <v>46054</v>
      </c>
      <c r="F3683" t="s">
        <v>3084</v>
      </c>
      <c r="G3683" t="s">
        <v>291</v>
      </c>
      <c r="H3683" s="4">
        <v>380.94</v>
      </c>
      <c r="I3683" t="s">
        <v>47</v>
      </c>
      <c r="J3683" t="s">
        <v>109</v>
      </c>
      <c r="L3683" s="2">
        <v>46054</v>
      </c>
      <c r="M3683" t="s">
        <v>109</v>
      </c>
      <c r="N3683">
        <v>0</v>
      </c>
      <c r="O3683" t="s">
        <v>26</v>
      </c>
      <c r="P3683" t="s">
        <v>112</v>
      </c>
      <c r="Q3683" t="s">
        <v>113</v>
      </c>
    </row>
    <row r="3684" spans="1:17" x14ac:dyDescent="0.3">
      <c r="A3684" t="s">
        <v>17</v>
      </c>
      <c r="B3684">
        <v>68</v>
      </c>
      <c r="C3684" t="s">
        <v>34</v>
      </c>
      <c r="D3684" s="2">
        <v>46081</v>
      </c>
      <c r="E3684" s="3">
        <f t="shared" si="57"/>
        <v>46054</v>
      </c>
      <c r="F3684" t="s">
        <v>3084</v>
      </c>
      <c r="G3684" t="s">
        <v>291</v>
      </c>
      <c r="H3684" s="4">
        <v>92.24</v>
      </c>
      <c r="I3684" t="s">
        <v>47</v>
      </c>
      <c r="J3684" t="s">
        <v>109</v>
      </c>
      <c r="K3684" t="s">
        <v>3091</v>
      </c>
      <c r="L3684" s="2">
        <v>46054</v>
      </c>
      <c r="M3684" t="s">
        <v>109</v>
      </c>
      <c r="N3684">
        <v>0</v>
      </c>
      <c r="O3684" t="s">
        <v>26</v>
      </c>
      <c r="P3684" t="s">
        <v>112</v>
      </c>
      <c r="Q3684" t="s">
        <v>113</v>
      </c>
    </row>
    <row r="3685" spans="1:17" x14ac:dyDescent="0.3">
      <c r="A3685" t="s">
        <v>17</v>
      </c>
      <c r="B3685">
        <v>68</v>
      </c>
      <c r="C3685" t="s">
        <v>34</v>
      </c>
      <c r="D3685" s="2">
        <v>46081</v>
      </c>
      <c r="E3685" s="3">
        <f t="shared" si="57"/>
        <v>46054</v>
      </c>
      <c r="F3685" t="s">
        <v>3084</v>
      </c>
      <c r="G3685" t="s">
        <v>291</v>
      </c>
      <c r="H3685" s="4">
        <v>182.24</v>
      </c>
      <c r="I3685" t="s">
        <v>47</v>
      </c>
      <c r="J3685" t="s">
        <v>109</v>
      </c>
      <c r="L3685" s="2">
        <v>46054</v>
      </c>
      <c r="M3685" t="s">
        <v>109</v>
      </c>
      <c r="N3685">
        <v>0</v>
      </c>
      <c r="O3685" t="s">
        <v>26</v>
      </c>
      <c r="P3685" t="s">
        <v>112</v>
      </c>
      <c r="Q3685" t="s">
        <v>113</v>
      </c>
    </row>
    <row r="3686" spans="1:17" x14ac:dyDescent="0.3">
      <c r="A3686" t="s">
        <v>17</v>
      </c>
      <c r="B3686">
        <v>68</v>
      </c>
      <c r="C3686" t="s">
        <v>34</v>
      </c>
      <c r="D3686" s="2">
        <v>46081</v>
      </c>
      <c r="E3686" s="3">
        <f t="shared" si="57"/>
        <v>46054</v>
      </c>
      <c r="F3686" t="s">
        <v>3084</v>
      </c>
      <c r="G3686" t="s">
        <v>291</v>
      </c>
      <c r="H3686" s="4">
        <v>172.34</v>
      </c>
      <c r="I3686" t="s">
        <v>47</v>
      </c>
      <c r="J3686" t="s">
        <v>109</v>
      </c>
      <c r="K3686" t="s">
        <v>2587</v>
      </c>
      <c r="L3686" s="2">
        <v>46054</v>
      </c>
      <c r="M3686" t="s">
        <v>109</v>
      </c>
      <c r="N3686">
        <v>0</v>
      </c>
      <c r="O3686" t="s">
        <v>26</v>
      </c>
      <c r="P3686" t="s">
        <v>112</v>
      </c>
      <c r="Q3686" t="s">
        <v>113</v>
      </c>
    </row>
    <row r="3687" spans="1:17" x14ac:dyDescent="0.3">
      <c r="A3687" t="s">
        <v>17</v>
      </c>
      <c r="B3687">
        <v>68</v>
      </c>
      <c r="C3687" t="s">
        <v>34</v>
      </c>
      <c r="D3687" s="2">
        <v>46081</v>
      </c>
      <c r="E3687" s="3">
        <f t="shared" si="57"/>
        <v>46054</v>
      </c>
      <c r="F3687" t="s">
        <v>3092</v>
      </c>
      <c r="G3687" t="s">
        <v>122</v>
      </c>
      <c r="H3687" s="4">
        <v>76.260000000000005</v>
      </c>
      <c r="I3687" t="s">
        <v>108</v>
      </c>
      <c r="J3687" t="s">
        <v>109</v>
      </c>
      <c r="K3687" t="s">
        <v>1681</v>
      </c>
      <c r="L3687" s="2">
        <v>46054</v>
      </c>
      <c r="M3687" t="s">
        <v>109</v>
      </c>
      <c r="N3687">
        <v>0</v>
      </c>
      <c r="O3687" t="s">
        <v>111</v>
      </c>
      <c r="P3687" t="s">
        <v>112</v>
      </c>
      <c r="Q3687" t="s">
        <v>113</v>
      </c>
    </row>
    <row r="3688" spans="1:17" x14ac:dyDescent="0.3">
      <c r="A3688" t="s">
        <v>17</v>
      </c>
      <c r="B3688">
        <v>68</v>
      </c>
      <c r="C3688" t="s">
        <v>34</v>
      </c>
      <c r="D3688" s="2">
        <v>46081</v>
      </c>
      <c r="E3688" s="3">
        <f t="shared" si="57"/>
        <v>46054</v>
      </c>
      <c r="F3688" t="s">
        <v>3092</v>
      </c>
      <c r="G3688" t="s">
        <v>122</v>
      </c>
      <c r="H3688" s="4">
        <v>0.38</v>
      </c>
      <c r="I3688" t="s">
        <v>108</v>
      </c>
      <c r="J3688" t="s">
        <v>109</v>
      </c>
      <c r="K3688" t="s">
        <v>1436</v>
      </c>
      <c r="L3688" s="2">
        <v>46054</v>
      </c>
      <c r="M3688" t="s">
        <v>109</v>
      </c>
      <c r="N3688">
        <v>0</v>
      </c>
      <c r="O3688" t="s">
        <v>111</v>
      </c>
      <c r="P3688" t="s">
        <v>112</v>
      </c>
      <c r="Q3688" t="s">
        <v>113</v>
      </c>
    </row>
    <row r="3689" spans="1:17" x14ac:dyDescent="0.3">
      <c r="A3689" t="s">
        <v>17</v>
      </c>
      <c r="B3689">
        <v>68</v>
      </c>
      <c r="C3689" t="s">
        <v>34</v>
      </c>
      <c r="D3689" s="2">
        <v>46081</v>
      </c>
      <c r="E3689" s="3">
        <f t="shared" si="57"/>
        <v>46054</v>
      </c>
      <c r="F3689" t="s">
        <v>3092</v>
      </c>
      <c r="G3689" t="s">
        <v>122</v>
      </c>
      <c r="H3689" s="4">
        <v>19.45</v>
      </c>
      <c r="I3689" t="s">
        <v>108</v>
      </c>
      <c r="J3689" t="s">
        <v>109</v>
      </c>
      <c r="K3689" t="s">
        <v>1437</v>
      </c>
      <c r="L3689" s="2">
        <v>46054</v>
      </c>
      <c r="M3689" t="s">
        <v>109</v>
      </c>
      <c r="N3689">
        <v>0</v>
      </c>
      <c r="O3689" t="s">
        <v>111</v>
      </c>
      <c r="P3689" t="s">
        <v>112</v>
      </c>
      <c r="Q3689" t="s">
        <v>113</v>
      </c>
    </row>
    <row r="3690" spans="1:17" x14ac:dyDescent="0.3">
      <c r="A3690" t="s">
        <v>17</v>
      </c>
      <c r="B3690">
        <v>67</v>
      </c>
      <c r="C3690" t="s">
        <v>28</v>
      </c>
      <c r="D3690" s="2">
        <v>46062</v>
      </c>
      <c r="E3690" s="3">
        <f t="shared" si="57"/>
        <v>46054</v>
      </c>
      <c r="F3690" t="s">
        <v>3093</v>
      </c>
      <c r="H3690" s="4">
        <v>66</v>
      </c>
      <c r="I3690" t="s">
        <v>31</v>
      </c>
      <c r="J3690" t="s">
        <v>32</v>
      </c>
      <c r="K3690" t="s">
        <v>3094</v>
      </c>
      <c r="L3690" s="2">
        <v>46054</v>
      </c>
      <c r="M3690" t="s">
        <v>32</v>
      </c>
      <c r="N3690">
        <v>0</v>
      </c>
      <c r="O3690" t="s">
        <v>31</v>
      </c>
      <c r="P3690" t="s">
        <v>28</v>
      </c>
      <c r="Q3690">
        <v>0</v>
      </c>
    </row>
    <row r="3691" spans="1:17" x14ac:dyDescent="0.3">
      <c r="A3691" t="s">
        <v>17</v>
      </c>
      <c r="B3691">
        <v>67</v>
      </c>
      <c r="C3691" t="s">
        <v>28</v>
      </c>
      <c r="D3691" s="2">
        <v>46064</v>
      </c>
      <c r="E3691" s="3">
        <f t="shared" si="57"/>
        <v>46054</v>
      </c>
      <c r="F3691" t="s">
        <v>3095</v>
      </c>
      <c r="G3691" t="s">
        <v>774</v>
      </c>
      <c r="H3691" s="4">
        <v>1336.32</v>
      </c>
      <c r="I3691" t="s">
        <v>31</v>
      </c>
      <c r="J3691" t="s">
        <v>32</v>
      </c>
      <c r="K3691" t="s">
        <v>2879</v>
      </c>
      <c r="L3691" s="2">
        <v>46054</v>
      </c>
      <c r="M3691" t="s">
        <v>32</v>
      </c>
      <c r="N3691">
        <v>0</v>
      </c>
      <c r="O3691" t="s">
        <v>31</v>
      </c>
      <c r="P3691" t="s">
        <v>28</v>
      </c>
      <c r="Q3691">
        <v>0</v>
      </c>
    </row>
    <row r="3692" spans="1:17" x14ac:dyDescent="0.3">
      <c r="A3692" t="s">
        <v>17</v>
      </c>
      <c r="B3692">
        <v>67</v>
      </c>
      <c r="C3692" t="s">
        <v>28</v>
      </c>
      <c r="D3692" s="2">
        <v>46064</v>
      </c>
      <c r="E3692" s="3">
        <f t="shared" si="57"/>
        <v>46054</v>
      </c>
      <c r="F3692" t="s">
        <v>3096</v>
      </c>
      <c r="G3692" t="s">
        <v>774</v>
      </c>
      <c r="H3692" s="4">
        <v>5488.83</v>
      </c>
      <c r="I3692" t="s">
        <v>31</v>
      </c>
      <c r="J3692" t="s">
        <v>32</v>
      </c>
      <c r="K3692" t="s">
        <v>2880</v>
      </c>
      <c r="L3692" s="2">
        <v>46054</v>
      </c>
      <c r="M3692" t="s">
        <v>32</v>
      </c>
      <c r="N3692">
        <v>0</v>
      </c>
      <c r="O3692" t="s">
        <v>31</v>
      </c>
      <c r="P3692" t="s">
        <v>28</v>
      </c>
      <c r="Q3692">
        <v>0</v>
      </c>
    </row>
    <row r="3693" spans="1:17" x14ac:dyDescent="0.3">
      <c r="A3693" t="s">
        <v>17</v>
      </c>
      <c r="B3693">
        <v>67</v>
      </c>
      <c r="C3693" t="s">
        <v>28</v>
      </c>
      <c r="D3693" s="2">
        <v>46064</v>
      </c>
      <c r="E3693" s="3">
        <f t="shared" si="57"/>
        <v>46054</v>
      </c>
      <c r="F3693">
        <v>1002604274</v>
      </c>
      <c r="H3693" s="4">
        <v>-7523.32</v>
      </c>
      <c r="I3693" t="s">
        <v>31</v>
      </c>
      <c r="J3693" t="s">
        <v>32</v>
      </c>
      <c r="K3693" t="s">
        <v>2880</v>
      </c>
      <c r="L3693" s="2">
        <v>46054</v>
      </c>
      <c r="M3693" t="s">
        <v>32</v>
      </c>
      <c r="N3693">
        <v>0</v>
      </c>
      <c r="O3693" t="s">
        <v>31</v>
      </c>
      <c r="P3693" t="s">
        <v>28</v>
      </c>
      <c r="Q3693">
        <v>0</v>
      </c>
    </row>
    <row r="3694" spans="1:17" x14ac:dyDescent="0.3">
      <c r="A3694" t="s">
        <v>17</v>
      </c>
      <c r="B3694">
        <v>67</v>
      </c>
      <c r="C3694" t="s">
        <v>28</v>
      </c>
      <c r="D3694" s="2">
        <v>46064</v>
      </c>
      <c r="E3694" s="3">
        <f t="shared" si="57"/>
        <v>46054</v>
      </c>
      <c r="F3694">
        <v>1002604273</v>
      </c>
      <c r="H3694" s="4">
        <v>-1831.64</v>
      </c>
      <c r="I3694" t="s">
        <v>31</v>
      </c>
      <c r="J3694" t="s">
        <v>32</v>
      </c>
      <c r="K3694" t="s">
        <v>2879</v>
      </c>
      <c r="L3694" s="2">
        <v>46054</v>
      </c>
      <c r="M3694" t="s">
        <v>32</v>
      </c>
      <c r="N3694">
        <v>0</v>
      </c>
      <c r="O3694" t="s">
        <v>31</v>
      </c>
      <c r="P3694" t="s">
        <v>28</v>
      </c>
      <c r="Q3694">
        <v>0</v>
      </c>
    </row>
    <row r="3695" spans="1:17" x14ac:dyDescent="0.3">
      <c r="A3695" t="s">
        <v>17</v>
      </c>
      <c r="B3695">
        <v>67</v>
      </c>
      <c r="C3695" t="s">
        <v>28</v>
      </c>
      <c r="D3695" s="2">
        <v>46070</v>
      </c>
      <c r="E3695" s="3">
        <f t="shared" si="57"/>
        <v>46054</v>
      </c>
      <c r="F3695" t="s">
        <v>3097</v>
      </c>
      <c r="H3695" s="4">
        <v>50</v>
      </c>
      <c r="I3695" t="s">
        <v>31</v>
      </c>
      <c r="J3695" t="s">
        <v>32</v>
      </c>
      <c r="K3695" t="s">
        <v>3098</v>
      </c>
      <c r="L3695" s="2">
        <v>46054</v>
      </c>
      <c r="M3695" t="s">
        <v>32</v>
      </c>
      <c r="N3695">
        <v>0</v>
      </c>
      <c r="O3695" t="s">
        <v>31</v>
      </c>
      <c r="P3695" t="s">
        <v>28</v>
      </c>
      <c r="Q3695">
        <v>0</v>
      </c>
    </row>
    <row r="3696" spans="1:17" x14ac:dyDescent="0.3">
      <c r="A3696" t="s">
        <v>17</v>
      </c>
      <c r="B3696">
        <v>67</v>
      </c>
      <c r="C3696" t="s">
        <v>28</v>
      </c>
      <c r="D3696" s="2">
        <v>46078</v>
      </c>
      <c r="E3696" s="3">
        <f t="shared" si="57"/>
        <v>46054</v>
      </c>
      <c r="F3696" t="s">
        <v>3099</v>
      </c>
      <c r="G3696" t="s">
        <v>259</v>
      </c>
      <c r="H3696" s="4">
        <v>10479.879999999999</v>
      </c>
      <c r="I3696" t="s">
        <v>31</v>
      </c>
      <c r="J3696" t="s">
        <v>32</v>
      </c>
      <c r="K3696" t="s">
        <v>1704</v>
      </c>
      <c r="L3696" s="2">
        <v>46054</v>
      </c>
      <c r="M3696" t="s">
        <v>32</v>
      </c>
      <c r="N3696">
        <v>0</v>
      </c>
      <c r="O3696" t="s">
        <v>31</v>
      </c>
      <c r="P3696" t="s">
        <v>28</v>
      </c>
      <c r="Q3696">
        <v>0</v>
      </c>
    </row>
    <row r="3697" spans="1:17" x14ac:dyDescent="0.3">
      <c r="A3697" t="s">
        <v>17</v>
      </c>
      <c r="B3697">
        <v>67</v>
      </c>
      <c r="C3697" t="s">
        <v>28</v>
      </c>
      <c r="D3697" s="2">
        <v>46078</v>
      </c>
      <c r="E3697" s="3">
        <f t="shared" si="57"/>
        <v>46054</v>
      </c>
      <c r="F3697" t="s">
        <v>3100</v>
      </c>
      <c r="G3697" t="s">
        <v>208</v>
      </c>
      <c r="H3697" s="4">
        <v>110</v>
      </c>
      <c r="I3697" t="s">
        <v>31</v>
      </c>
      <c r="J3697" t="s">
        <v>32</v>
      </c>
      <c r="K3697" t="s">
        <v>3101</v>
      </c>
      <c r="L3697" s="2">
        <v>46054</v>
      </c>
      <c r="M3697" t="s">
        <v>32</v>
      </c>
      <c r="N3697">
        <v>0</v>
      </c>
      <c r="O3697" t="s">
        <v>31</v>
      </c>
      <c r="P3697" t="s">
        <v>28</v>
      </c>
      <c r="Q3697">
        <v>0</v>
      </c>
    </row>
    <row r="3698" spans="1:17" x14ac:dyDescent="0.3">
      <c r="A3698" t="s">
        <v>17</v>
      </c>
      <c r="B3698">
        <v>67</v>
      </c>
      <c r="C3698" t="s">
        <v>28</v>
      </c>
      <c r="D3698" s="2">
        <v>46078</v>
      </c>
      <c r="E3698" s="3">
        <f t="shared" si="57"/>
        <v>46054</v>
      </c>
      <c r="F3698" t="s">
        <v>3100</v>
      </c>
      <c r="G3698" t="s">
        <v>208</v>
      </c>
      <c r="H3698" s="4">
        <v>500</v>
      </c>
      <c r="I3698" t="s">
        <v>31</v>
      </c>
      <c r="J3698" t="s">
        <v>32</v>
      </c>
      <c r="K3698" t="s">
        <v>3102</v>
      </c>
      <c r="L3698" s="2">
        <v>46054</v>
      </c>
      <c r="M3698" t="s">
        <v>32</v>
      </c>
      <c r="N3698">
        <v>0</v>
      </c>
      <c r="O3698" t="s">
        <v>31</v>
      </c>
      <c r="P3698" t="s">
        <v>28</v>
      </c>
      <c r="Q3698">
        <v>0</v>
      </c>
    </row>
    <row r="3699" spans="1:17" x14ac:dyDescent="0.3">
      <c r="A3699" t="s">
        <v>17</v>
      </c>
      <c r="B3699">
        <v>67</v>
      </c>
      <c r="C3699" t="s">
        <v>28</v>
      </c>
      <c r="D3699" s="2">
        <v>46078</v>
      </c>
      <c r="E3699" s="3">
        <f t="shared" si="57"/>
        <v>46054</v>
      </c>
      <c r="F3699" t="s">
        <v>3100</v>
      </c>
      <c r="G3699" t="s">
        <v>208</v>
      </c>
      <c r="H3699" s="4">
        <v>500</v>
      </c>
      <c r="I3699" t="s">
        <v>31</v>
      </c>
      <c r="J3699" t="s">
        <v>32</v>
      </c>
      <c r="K3699" t="s">
        <v>3103</v>
      </c>
      <c r="L3699" s="2">
        <v>46054</v>
      </c>
      <c r="M3699" t="s">
        <v>32</v>
      </c>
      <c r="N3699">
        <v>0</v>
      </c>
      <c r="O3699" t="s">
        <v>31</v>
      </c>
      <c r="P3699" t="s">
        <v>28</v>
      </c>
      <c r="Q3699">
        <v>0</v>
      </c>
    </row>
    <row r="3700" spans="1:17" x14ac:dyDescent="0.3">
      <c r="A3700" t="s">
        <v>17</v>
      </c>
      <c r="B3700">
        <v>67</v>
      </c>
      <c r="C3700" t="s">
        <v>28</v>
      </c>
      <c r="D3700" s="2">
        <v>46078</v>
      </c>
      <c r="E3700" s="3">
        <f t="shared" si="57"/>
        <v>46054</v>
      </c>
      <c r="F3700" t="s">
        <v>3104</v>
      </c>
      <c r="G3700" t="s">
        <v>205</v>
      </c>
      <c r="H3700" s="4">
        <v>500</v>
      </c>
      <c r="I3700" t="s">
        <v>31</v>
      </c>
      <c r="J3700" t="s">
        <v>32</v>
      </c>
      <c r="K3700" t="s">
        <v>3105</v>
      </c>
      <c r="L3700" s="2">
        <v>46054</v>
      </c>
      <c r="M3700" t="s">
        <v>32</v>
      </c>
      <c r="N3700">
        <v>0</v>
      </c>
      <c r="O3700" t="s">
        <v>31</v>
      </c>
      <c r="P3700" t="s">
        <v>28</v>
      </c>
      <c r="Q3700">
        <v>0</v>
      </c>
    </row>
    <row r="3701" spans="1:17" x14ac:dyDescent="0.3">
      <c r="A3701" t="s">
        <v>17</v>
      </c>
      <c r="B3701">
        <v>67</v>
      </c>
      <c r="C3701" t="s">
        <v>28</v>
      </c>
      <c r="D3701" s="2">
        <v>46078</v>
      </c>
      <c r="E3701" s="3">
        <f t="shared" si="57"/>
        <v>46054</v>
      </c>
      <c r="F3701" t="s">
        <v>3104</v>
      </c>
      <c r="G3701" t="s">
        <v>205</v>
      </c>
      <c r="H3701" s="4">
        <v>420</v>
      </c>
      <c r="I3701" t="s">
        <v>31</v>
      </c>
      <c r="J3701" t="s">
        <v>32</v>
      </c>
      <c r="K3701" t="s">
        <v>3106</v>
      </c>
      <c r="L3701" s="2">
        <v>46054</v>
      </c>
      <c r="M3701" t="s">
        <v>32</v>
      </c>
      <c r="N3701">
        <v>0</v>
      </c>
      <c r="O3701" t="s">
        <v>31</v>
      </c>
      <c r="P3701" t="s">
        <v>28</v>
      </c>
      <c r="Q3701">
        <v>0</v>
      </c>
    </row>
    <row r="3702" spans="1:17" x14ac:dyDescent="0.3">
      <c r="A3702" t="s">
        <v>17</v>
      </c>
      <c r="B3702">
        <v>67</v>
      </c>
      <c r="C3702" t="s">
        <v>28</v>
      </c>
      <c r="D3702" s="2">
        <v>46078</v>
      </c>
      <c r="E3702" s="3">
        <f t="shared" si="57"/>
        <v>46054</v>
      </c>
      <c r="F3702" t="s">
        <v>3104</v>
      </c>
      <c r="G3702" t="s">
        <v>205</v>
      </c>
      <c r="H3702" s="4">
        <v>1000</v>
      </c>
      <c r="I3702" t="s">
        <v>31</v>
      </c>
      <c r="J3702" t="s">
        <v>32</v>
      </c>
      <c r="K3702" t="s">
        <v>3103</v>
      </c>
      <c r="L3702" s="2">
        <v>46054</v>
      </c>
      <c r="M3702" t="s">
        <v>32</v>
      </c>
      <c r="N3702">
        <v>0</v>
      </c>
      <c r="O3702" t="s">
        <v>31</v>
      </c>
      <c r="P3702" t="s">
        <v>28</v>
      </c>
      <c r="Q3702">
        <v>0</v>
      </c>
    </row>
    <row r="3703" spans="1:17" x14ac:dyDescent="0.3">
      <c r="A3703" t="s">
        <v>17</v>
      </c>
      <c r="B3703">
        <v>67</v>
      </c>
      <c r="C3703" t="s">
        <v>28</v>
      </c>
      <c r="D3703" s="2">
        <v>46081</v>
      </c>
      <c r="E3703" s="3">
        <f t="shared" si="57"/>
        <v>46054</v>
      </c>
      <c r="F3703" t="s">
        <v>3107</v>
      </c>
      <c r="H3703" s="4">
        <v>2000</v>
      </c>
      <c r="I3703" t="s">
        <v>31</v>
      </c>
      <c r="J3703" t="s">
        <v>32</v>
      </c>
      <c r="K3703" t="s">
        <v>3108</v>
      </c>
      <c r="L3703" s="2">
        <v>46054</v>
      </c>
      <c r="M3703" t="s">
        <v>32</v>
      </c>
      <c r="N3703">
        <v>0</v>
      </c>
      <c r="O3703" t="s">
        <v>31</v>
      </c>
      <c r="P3703" t="s">
        <v>28</v>
      </c>
      <c r="Q3703">
        <v>0</v>
      </c>
    </row>
    <row r="3704" spans="1:17" x14ac:dyDescent="0.3">
      <c r="A3704" t="s">
        <v>17</v>
      </c>
      <c r="B3704">
        <v>67</v>
      </c>
      <c r="C3704" t="s">
        <v>28</v>
      </c>
      <c r="D3704" s="2">
        <v>46068</v>
      </c>
      <c r="E3704" s="3">
        <f t="shared" si="57"/>
        <v>46054</v>
      </c>
      <c r="F3704" t="s">
        <v>3109</v>
      </c>
      <c r="H3704" s="4">
        <v>-19.3</v>
      </c>
      <c r="I3704" t="s">
        <v>31</v>
      </c>
      <c r="J3704" t="s">
        <v>60</v>
      </c>
      <c r="L3704" s="2">
        <v>46054</v>
      </c>
      <c r="M3704" t="s">
        <v>60</v>
      </c>
      <c r="N3704">
        <v>0</v>
      </c>
      <c r="O3704" t="s">
        <v>31</v>
      </c>
      <c r="P3704" t="s">
        <v>28</v>
      </c>
      <c r="Q3704">
        <v>0</v>
      </c>
    </row>
    <row r="3705" spans="1:17" x14ac:dyDescent="0.3">
      <c r="A3705" t="s">
        <v>17</v>
      </c>
      <c r="B3705">
        <v>67</v>
      </c>
      <c r="C3705" t="s">
        <v>28</v>
      </c>
      <c r="D3705" s="2">
        <v>46068</v>
      </c>
      <c r="E3705" s="3">
        <f t="shared" si="57"/>
        <v>46054</v>
      </c>
      <c r="F3705" t="s">
        <v>3109</v>
      </c>
      <c r="H3705" s="4">
        <v>-16.96</v>
      </c>
      <c r="I3705" t="s">
        <v>31</v>
      </c>
      <c r="J3705" t="s">
        <v>60</v>
      </c>
      <c r="L3705" s="2">
        <v>46054</v>
      </c>
      <c r="M3705" t="s">
        <v>60</v>
      </c>
      <c r="N3705">
        <v>0</v>
      </c>
      <c r="O3705" t="s">
        <v>31</v>
      </c>
      <c r="P3705" t="s">
        <v>28</v>
      </c>
      <c r="Q3705">
        <v>0</v>
      </c>
    </row>
    <row r="3706" spans="1:17" x14ac:dyDescent="0.3">
      <c r="A3706" t="s">
        <v>17</v>
      </c>
      <c r="B3706">
        <v>67</v>
      </c>
      <c r="C3706" t="s">
        <v>28</v>
      </c>
      <c r="D3706" s="2">
        <v>46068</v>
      </c>
      <c r="E3706" s="3">
        <f t="shared" si="57"/>
        <v>46054</v>
      </c>
      <c r="F3706" t="s">
        <v>3109</v>
      </c>
      <c r="H3706" s="4">
        <v>-74.78</v>
      </c>
      <c r="I3706" t="s">
        <v>31</v>
      </c>
      <c r="J3706" t="s">
        <v>60</v>
      </c>
      <c r="L3706" s="2">
        <v>46054</v>
      </c>
      <c r="M3706" t="s">
        <v>60</v>
      </c>
      <c r="N3706">
        <v>0</v>
      </c>
      <c r="O3706" t="s">
        <v>31</v>
      </c>
      <c r="P3706" t="s">
        <v>28</v>
      </c>
      <c r="Q3706">
        <v>0</v>
      </c>
    </row>
    <row r="3707" spans="1:17" x14ac:dyDescent="0.3">
      <c r="A3707" t="s">
        <v>17</v>
      </c>
      <c r="B3707">
        <v>67</v>
      </c>
      <c r="C3707" t="s">
        <v>28</v>
      </c>
      <c r="D3707" s="2">
        <v>46068</v>
      </c>
      <c r="E3707" s="3">
        <f t="shared" si="57"/>
        <v>46054</v>
      </c>
      <c r="F3707" t="s">
        <v>3109</v>
      </c>
      <c r="H3707" s="4">
        <v>-47.6</v>
      </c>
      <c r="I3707" t="s">
        <v>31</v>
      </c>
      <c r="J3707" t="s">
        <v>60</v>
      </c>
      <c r="L3707" s="2">
        <v>46054</v>
      </c>
      <c r="M3707" t="s">
        <v>60</v>
      </c>
      <c r="N3707">
        <v>0</v>
      </c>
      <c r="O3707" t="s">
        <v>31</v>
      </c>
      <c r="P3707" t="s">
        <v>28</v>
      </c>
      <c r="Q3707">
        <v>0</v>
      </c>
    </row>
    <row r="3708" spans="1:17" x14ac:dyDescent="0.3">
      <c r="A3708" t="s">
        <v>17</v>
      </c>
      <c r="B3708">
        <v>67</v>
      </c>
      <c r="C3708" t="s">
        <v>28</v>
      </c>
      <c r="D3708" s="2">
        <v>46068</v>
      </c>
      <c r="E3708" s="3">
        <f t="shared" si="57"/>
        <v>46054</v>
      </c>
      <c r="F3708" t="s">
        <v>3109</v>
      </c>
      <c r="H3708" s="4">
        <v>-54.53</v>
      </c>
      <c r="I3708" t="s">
        <v>31</v>
      </c>
      <c r="J3708" t="s">
        <v>60</v>
      </c>
      <c r="L3708" s="2">
        <v>46054</v>
      </c>
      <c r="M3708" t="s">
        <v>60</v>
      </c>
      <c r="N3708">
        <v>0</v>
      </c>
      <c r="O3708" t="s">
        <v>31</v>
      </c>
      <c r="P3708" t="s">
        <v>28</v>
      </c>
      <c r="Q3708">
        <v>0</v>
      </c>
    </row>
    <row r="3709" spans="1:17" x14ac:dyDescent="0.3">
      <c r="A3709" t="s">
        <v>17</v>
      </c>
      <c r="B3709">
        <v>67</v>
      </c>
      <c r="C3709" t="s">
        <v>28</v>
      </c>
      <c r="D3709" s="2">
        <v>46068</v>
      </c>
      <c r="E3709" s="3">
        <f t="shared" si="57"/>
        <v>46054</v>
      </c>
      <c r="F3709" t="s">
        <v>3109</v>
      </c>
      <c r="H3709" s="4">
        <v>-102.12</v>
      </c>
      <c r="I3709" t="s">
        <v>31</v>
      </c>
      <c r="J3709" t="s">
        <v>60</v>
      </c>
      <c r="L3709" s="2">
        <v>46054</v>
      </c>
      <c r="M3709" t="s">
        <v>60</v>
      </c>
      <c r="N3709">
        <v>0</v>
      </c>
      <c r="O3709" t="s">
        <v>31</v>
      </c>
      <c r="P3709" t="s">
        <v>28</v>
      </c>
      <c r="Q3709">
        <v>0</v>
      </c>
    </row>
    <row r="3710" spans="1:17" x14ac:dyDescent="0.3">
      <c r="A3710" t="s">
        <v>17</v>
      </c>
      <c r="B3710">
        <v>67</v>
      </c>
      <c r="C3710" t="s">
        <v>28</v>
      </c>
      <c r="D3710" s="2">
        <v>46068</v>
      </c>
      <c r="E3710" s="3">
        <f t="shared" si="57"/>
        <v>46054</v>
      </c>
      <c r="F3710" t="s">
        <v>3109</v>
      </c>
      <c r="H3710" s="4">
        <v>-111.5</v>
      </c>
      <c r="I3710" t="s">
        <v>31</v>
      </c>
      <c r="J3710" t="s">
        <v>60</v>
      </c>
      <c r="L3710" s="2">
        <v>46054</v>
      </c>
      <c r="M3710" t="s">
        <v>60</v>
      </c>
      <c r="N3710">
        <v>0</v>
      </c>
      <c r="O3710" t="s">
        <v>31</v>
      </c>
      <c r="P3710" t="s">
        <v>28</v>
      </c>
      <c r="Q3710">
        <v>0</v>
      </c>
    </row>
    <row r="3711" spans="1:17" x14ac:dyDescent="0.3">
      <c r="A3711" t="s">
        <v>17</v>
      </c>
      <c r="B3711">
        <v>67</v>
      </c>
      <c r="C3711" t="s">
        <v>28</v>
      </c>
      <c r="D3711" s="2">
        <v>46068</v>
      </c>
      <c r="E3711" s="3">
        <f t="shared" si="57"/>
        <v>46054</v>
      </c>
      <c r="F3711" t="s">
        <v>3109</v>
      </c>
      <c r="H3711" s="4">
        <v>-64.09</v>
      </c>
      <c r="I3711" t="s">
        <v>31</v>
      </c>
      <c r="J3711" t="s">
        <v>60</v>
      </c>
      <c r="L3711" s="2">
        <v>46054</v>
      </c>
      <c r="M3711" t="s">
        <v>60</v>
      </c>
      <c r="N3711">
        <v>0</v>
      </c>
      <c r="O3711" t="s">
        <v>31</v>
      </c>
      <c r="P3711" t="s">
        <v>28</v>
      </c>
      <c r="Q3711">
        <v>0</v>
      </c>
    </row>
    <row r="3712" spans="1:17" x14ac:dyDescent="0.3">
      <c r="A3712" t="s">
        <v>17</v>
      </c>
      <c r="B3712">
        <v>67</v>
      </c>
      <c r="C3712" t="s">
        <v>28</v>
      </c>
      <c r="D3712" s="2">
        <v>46081</v>
      </c>
      <c r="E3712" s="3">
        <f t="shared" si="57"/>
        <v>46054</v>
      </c>
      <c r="F3712" t="s">
        <v>3110</v>
      </c>
      <c r="H3712" s="4">
        <v>-64.09</v>
      </c>
      <c r="I3712" t="s">
        <v>31</v>
      </c>
      <c r="J3712" t="s">
        <v>60</v>
      </c>
      <c r="L3712" s="2">
        <v>46054</v>
      </c>
      <c r="M3712" t="s">
        <v>60</v>
      </c>
      <c r="N3712">
        <v>0</v>
      </c>
      <c r="O3712" t="s">
        <v>31</v>
      </c>
      <c r="P3712" t="s">
        <v>28</v>
      </c>
      <c r="Q3712">
        <v>0</v>
      </c>
    </row>
    <row r="3713" spans="1:17" x14ac:dyDescent="0.3">
      <c r="A3713" t="s">
        <v>17</v>
      </c>
      <c r="B3713">
        <v>67</v>
      </c>
      <c r="C3713" t="s">
        <v>28</v>
      </c>
      <c r="D3713" s="2">
        <v>46081</v>
      </c>
      <c r="E3713" s="3">
        <f t="shared" si="57"/>
        <v>46054</v>
      </c>
      <c r="F3713" t="s">
        <v>3110</v>
      </c>
      <c r="H3713" s="4">
        <v>-111.5</v>
      </c>
      <c r="I3713" t="s">
        <v>31</v>
      </c>
      <c r="J3713" t="s">
        <v>60</v>
      </c>
      <c r="L3713" s="2">
        <v>46054</v>
      </c>
      <c r="M3713" t="s">
        <v>60</v>
      </c>
      <c r="N3713">
        <v>0</v>
      </c>
      <c r="O3713" t="s">
        <v>31</v>
      </c>
      <c r="P3713" t="s">
        <v>28</v>
      </c>
      <c r="Q3713">
        <v>0</v>
      </c>
    </row>
    <row r="3714" spans="1:17" x14ac:dyDescent="0.3">
      <c r="A3714" t="s">
        <v>17</v>
      </c>
      <c r="B3714">
        <v>67</v>
      </c>
      <c r="C3714" t="s">
        <v>28</v>
      </c>
      <c r="D3714" s="2">
        <v>46081</v>
      </c>
      <c r="E3714" s="3">
        <f t="shared" si="57"/>
        <v>46054</v>
      </c>
      <c r="F3714" t="s">
        <v>3110</v>
      </c>
      <c r="H3714" s="4">
        <v>-102.12</v>
      </c>
      <c r="I3714" t="s">
        <v>31</v>
      </c>
      <c r="J3714" t="s">
        <v>60</v>
      </c>
      <c r="L3714" s="2">
        <v>46054</v>
      </c>
      <c r="M3714" t="s">
        <v>60</v>
      </c>
      <c r="N3714">
        <v>0</v>
      </c>
      <c r="O3714" t="s">
        <v>31</v>
      </c>
      <c r="P3714" t="s">
        <v>28</v>
      </c>
      <c r="Q3714">
        <v>0</v>
      </c>
    </row>
    <row r="3715" spans="1:17" x14ac:dyDescent="0.3">
      <c r="A3715" t="s">
        <v>17</v>
      </c>
      <c r="B3715">
        <v>67</v>
      </c>
      <c r="C3715" t="s">
        <v>28</v>
      </c>
      <c r="D3715" s="2">
        <v>46081</v>
      </c>
      <c r="E3715" s="3">
        <f t="shared" ref="E3715:E3778" si="58">IF($D3715="","",DATE(YEAR($D3715),MONTH($D3715),1))</f>
        <v>46054</v>
      </c>
      <c r="F3715" t="s">
        <v>3110</v>
      </c>
      <c r="H3715" s="4">
        <v>-54.53</v>
      </c>
      <c r="I3715" t="s">
        <v>31</v>
      </c>
      <c r="J3715" t="s">
        <v>60</v>
      </c>
      <c r="L3715" s="2">
        <v>46054</v>
      </c>
      <c r="M3715" t="s">
        <v>60</v>
      </c>
      <c r="N3715">
        <v>0</v>
      </c>
      <c r="O3715" t="s">
        <v>31</v>
      </c>
      <c r="P3715" t="s">
        <v>28</v>
      </c>
      <c r="Q3715">
        <v>0</v>
      </c>
    </row>
    <row r="3716" spans="1:17" x14ac:dyDescent="0.3">
      <c r="A3716" t="s">
        <v>17</v>
      </c>
      <c r="B3716">
        <v>67</v>
      </c>
      <c r="C3716" t="s">
        <v>28</v>
      </c>
      <c r="D3716" s="2">
        <v>46081</v>
      </c>
      <c r="E3716" s="3">
        <f t="shared" si="58"/>
        <v>46054</v>
      </c>
      <c r="F3716" t="s">
        <v>3110</v>
      </c>
      <c r="H3716" s="4">
        <v>-47.6</v>
      </c>
      <c r="I3716" t="s">
        <v>31</v>
      </c>
      <c r="J3716" t="s">
        <v>60</v>
      </c>
      <c r="L3716" s="2">
        <v>46054</v>
      </c>
      <c r="M3716" t="s">
        <v>60</v>
      </c>
      <c r="N3716">
        <v>0</v>
      </c>
      <c r="O3716" t="s">
        <v>31</v>
      </c>
      <c r="P3716" t="s">
        <v>28</v>
      </c>
      <c r="Q3716">
        <v>0</v>
      </c>
    </row>
    <row r="3717" spans="1:17" x14ac:dyDescent="0.3">
      <c r="A3717" t="s">
        <v>17</v>
      </c>
      <c r="B3717">
        <v>67</v>
      </c>
      <c r="C3717" t="s">
        <v>28</v>
      </c>
      <c r="D3717" s="2">
        <v>46081</v>
      </c>
      <c r="E3717" s="3">
        <f t="shared" si="58"/>
        <v>46054</v>
      </c>
      <c r="F3717" t="s">
        <v>3110</v>
      </c>
      <c r="H3717" s="4">
        <v>-74.78</v>
      </c>
      <c r="I3717" t="s">
        <v>31</v>
      </c>
      <c r="J3717" t="s">
        <v>60</v>
      </c>
      <c r="L3717" s="2">
        <v>46054</v>
      </c>
      <c r="M3717" t="s">
        <v>60</v>
      </c>
      <c r="N3717">
        <v>0</v>
      </c>
      <c r="O3717" t="s">
        <v>31</v>
      </c>
      <c r="P3717" t="s">
        <v>28</v>
      </c>
      <c r="Q3717">
        <v>0</v>
      </c>
    </row>
    <row r="3718" spans="1:17" x14ac:dyDescent="0.3">
      <c r="A3718" t="s">
        <v>17</v>
      </c>
      <c r="B3718">
        <v>67</v>
      </c>
      <c r="C3718" t="s">
        <v>28</v>
      </c>
      <c r="D3718" s="2">
        <v>46081</v>
      </c>
      <c r="E3718" s="3">
        <f t="shared" si="58"/>
        <v>46054</v>
      </c>
      <c r="F3718" t="s">
        <v>3110</v>
      </c>
      <c r="H3718" s="4">
        <v>-16.96</v>
      </c>
      <c r="I3718" t="s">
        <v>31</v>
      </c>
      <c r="J3718" t="s">
        <v>60</v>
      </c>
      <c r="L3718" s="2">
        <v>46054</v>
      </c>
      <c r="M3718" t="s">
        <v>60</v>
      </c>
      <c r="N3718">
        <v>0</v>
      </c>
      <c r="O3718" t="s">
        <v>31</v>
      </c>
      <c r="P3718" t="s">
        <v>28</v>
      </c>
      <c r="Q3718">
        <v>0</v>
      </c>
    </row>
    <row r="3719" spans="1:17" x14ac:dyDescent="0.3">
      <c r="A3719" t="s">
        <v>17</v>
      </c>
      <c r="B3719">
        <v>67</v>
      </c>
      <c r="C3719" t="s">
        <v>28</v>
      </c>
      <c r="D3719" s="2">
        <v>46081</v>
      </c>
      <c r="E3719" s="3">
        <f t="shared" si="58"/>
        <v>46054</v>
      </c>
      <c r="F3719" t="s">
        <v>3110</v>
      </c>
      <c r="H3719" s="4">
        <v>-19.3</v>
      </c>
      <c r="I3719" t="s">
        <v>31</v>
      </c>
      <c r="J3719" t="s">
        <v>60</v>
      </c>
      <c r="L3719" s="2">
        <v>46054</v>
      </c>
      <c r="M3719" t="s">
        <v>60</v>
      </c>
      <c r="N3719">
        <v>0</v>
      </c>
      <c r="O3719" t="s">
        <v>31</v>
      </c>
      <c r="P3719" t="s">
        <v>28</v>
      </c>
      <c r="Q3719">
        <v>0</v>
      </c>
    </row>
    <row r="3720" spans="1:17" x14ac:dyDescent="0.3">
      <c r="A3720" t="s">
        <v>17</v>
      </c>
      <c r="B3720">
        <v>67</v>
      </c>
      <c r="C3720" t="s">
        <v>28</v>
      </c>
      <c r="D3720" s="2">
        <v>46081</v>
      </c>
      <c r="E3720" s="3">
        <f t="shared" si="58"/>
        <v>46054</v>
      </c>
      <c r="F3720" t="s">
        <v>3111</v>
      </c>
      <c r="H3720" s="4">
        <v>785.13</v>
      </c>
      <c r="I3720" t="s">
        <v>31</v>
      </c>
      <c r="J3720" t="s">
        <v>60</v>
      </c>
      <c r="K3720" t="s">
        <v>2887</v>
      </c>
      <c r="L3720" s="2">
        <v>46054</v>
      </c>
      <c r="M3720" t="s">
        <v>60</v>
      </c>
      <c r="N3720">
        <v>0</v>
      </c>
      <c r="O3720" t="s">
        <v>31</v>
      </c>
      <c r="P3720" t="s">
        <v>28</v>
      </c>
      <c r="Q3720">
        <v>0</v>
      </c>
    </row>
    <row r="3721" spans="1:17" x14ac:dyDescent="0.3">
      <c r="A3721" t="s">
        <v>17</v>
      </c>
      <c r="B3721">
        <v>67</v>
      </c>
      <c r="C3721" t="s">
        <v>28</v>
      </c>
      <c r="D3721" s="2">
        <v>46081</v>
      </c>
      <c r="E3721" s="3">
        <f t="shared" si="58"/>
        <v>46054</v>
      </c>
      <c r="F3721" t="s">
        <v>3112</v>
      </c>
      <c r="H3721" s="4">
        <v>1191.25</v>
      </c>
      <c r="I3721" t="s">
        <v>31</v>
      </c>
      <c r="J3721" t="s">
        <v>60</v>
      </c>
      <c r="K3721" t="s">
        <v>2884</v>
      </c>
      <c r="L3721" s="2">
        <v>46054</v>
      </c>
      <c r="M3721" t="s">
        <v>60</v>
      </c>
      <c r="N3721">
        <v>0</v>
      </c>
      <c r="O3721" t="s">
        <v>31</v>
      </c>
      <c r="P3721" t="s">
        <v>28</v>
      </c>
      <c r="Q3721">
        <v>0</v>
      </c>
    </row>
    <row r="3722" spans="1:17" x14ac:dyDescent="0.3">
      <c r="A3722" t="s">
        <v>17</v>
      </c>
      <c r="B3722">
        <v>67</v>
      </c>
      <c r="C3722" t="s">
        <v>28</v>
      </c>
      <c r="D3722" s="2">
        <v>46081</v>
      </c>
      <c r="E3722" s="3">
        <f t="shared" si="58"/>
        <v>46054</v>
      </c>
      <c r="F3722" t="s">
        <v>3113</v>
      </c>
      <c r="H3722" s="4">
        <v>428.3</v>
      </c>
      <c r="I3722" t="s">
        <v>31</v>
      </c>
      <c r="J3722" t="s">
        <v>60</v>
      </c>
      <c r="K3722" t="s">
        <v>1123</v>
      </c>
      <c r="L3722" s="2">
        <v>46054</v>
      </c>
      <c r="M3722" t="s">
        <v>60</v>
      </c>
      <c r="N3722">
        <v>0</v>
      </c>
      <c r="O3722" t="s">
        <v>31</v>
      </c>
      <c r="P3722" t="s">
        <v>28</v>
      </c>
      <c r="Q3722">
        <v>0</v>
      </c>
    </row>
    <row r="3723" spans="1:17" x14ac:dyDescent="0.3">
      <c r="A3723" t="s">
        <v>17</v>
      </c>
      <c r="B3723">
        <v>67</v>
      </c>
      <c r="C3723" t="s">
        <v>28</v>
      </c>
      <c r="D3723" s="2">
        <v>46054</v>
      </c>
      <c r="E3723" s="3">
        <f t="shared" si="58"/>
        <v>46054</v>
      </c>
      <c r="F3723" t="s">
        <v>3114</v>
      </c>
      <c r="G3723" t="s">
        <v>1726</v>
      </c>
      <c r="H3723" s="4">
        <v>10000</v>
      </c>
      <c r="I3723" t="s">
        <v>21</v>
      </c>
      <c r="J3723" t="s">
        <v>74</v>
      </c>
      <c r="K3723" t="s">
        <v>3115</v>
      </c>
      <c r="L3723" s="2">
        <v>46054</v>
      </c>
      <c r="M3723" t="s">
        <v>76</v>
      </c>
      <c r="N3723" t="s">
        <v>25</v>
      </c>
      <c r="O3723" t="s">
        <v>81</v>
      </c>
      <c r="P3723" t="s">
        <v>28</v>
      </c>
      <c r="Q3723">
        <v>0</v>
      </c>
    </row>
    <row r="3724" spans="1:17" x14ac:dyDescent="0.3">
      <c r="A3724" t="s">
        <v>17</v>
      </c>
      <c r="B3724">
        <v>67</v>
      </c>
      <c r="C3724" t="s">
        <v>28</v>
      </c>
      <c r="D3724" s="2">
        <v>46054</v>
      </c>
      <c r="E3724" s="3">
        <f t="shared" si="58"/>
        <v>46054</v>
      </c>
      <c r="F3724" t="s">
        <v>3116</v>
      </c>
      <c r="H3724" s="4">
        <v>-102.22</v>
      </c>
      <c r="I3724" t="s">
        <v>31</v>
      </c>
      <c r="J3724" t="s">
        <v>74</v>
      </c>
      <c r="K3724" t="s">
        <v>2902</v>
      </c>
      <c r="L3724" s="2">
        <v>46054</v>
      </c>
      <c r="M3724" t="s">
        <v>76</v>
      </c>
      <c r="N3724">
        <v>0</v>
      </c>
      <c r="O3724" t="s">
        <v>31</v>
      </c>
      <c r="P3724" t="s">
        <v>28</v>
      </c>
      <c r="Q3724">
        <v>0</v>
      </c>
    </row>
    <row r="3725" spans="1:17" x14ac:dyDescent="0.3">
      <c r="A3725" t="s">
        <v>17</v>
      </c>
      <c r="B3725">
        <v>67</v>
      </c>
      <c r="C3725" t="s">
        <v>28</v>
      </c>
      <c r="D3725" s="2">
        <v>46057</v>
      </c>
      <c r="E3725" s="3">
        <f t="shared" si="58"/>
        <v>46054</v>
      </c>
      <c r="F3725" t="s">
        <v>3011</v>
      </c>
      <c r="G3725" t="s">
        <v>101</v>
      </c>
      <c r="H3725" s="4">
        <v>232</v>
      </c>
      <c r="I3725" t="s">
        <v>108</v>
      </c>
      <c r="J3725" t="s">
        <v>74</v>
      </c>
      <c r="K3725" t="s">
        <v>2700</v>
      </c>
      <c r="L3725" s="2">
        <v>46054</v>
      </c>
      <c r="M3725" t="s">
        <v>76</v>
      </c>
      <c r="N3725">
        <v>0</v>
      </c>
      <c r="O3725" t="s">
        <v>111</v>
      </c>
      <c r="P3725" t="s">
        <v>28</v>
      </c>
      <c r="Q3725">
        <v>0</v>
      </c>
    </row>
    <row r="3726" spans="1:17" x14ac:dyDescent="0.3">
      <c r="A3726" t="s">
        <v>17</v>
      </c>
      <c r="B3726">
        <v>67</v>
      </c>
      <c r="C3726" t="s">
        <v>28</v>
      </c>
      <c r="D3726" s="2">
        <v>46057</v>
      </c>
      <c r="E3726" s="3">
        <f t="shared" si="58"/>
        <v>46054</v>
      </c>
      <c r="F3726" t="s">
        <v>3011</v>
      </c>
      <c r="G3726" t="s">
        <v>101</v>
      </c>
      <c r="H3726" s="4">
        <v>1494</v>
      </c>
      <c r="I3726" t="s">
        <v>104</v>
      </c>
      <c r="J3726" t="s">
        <v>74</v>
      </c>
      <c r="K3726" t="s">
        <v>2353</v>
      </c>
      <c r="L3726" s="2">
        <v>46054</v>
      </c>
      <c r="M3726" t="s">
        <v>76</v>
      </c>
      <c r="N3726">
        <v>0</v>
      </c>
      <c r="O3726" t="s">
        <v>104</v>
      </c>
      <c r="P3726" t="s">
        <v>28</v>
      </c>
      <c r="Q3726">
        <v>0</v>
      </c>
    </row>
    <row r="3727" spans="1:17" x14ac:dyDescent="0.3">
      <c r="A3727" t="s">
        <v>17</v>
      </c>
      <c r="B3727">
        <v>67</v>
      </c>
      <c r="C3727" t="s">
        <v>28</v>
      </c>
      <c r="D3727" s="2">
        <v>46057</v>
      </c>
      <c r="E3727" s="3">
        <f t="shared" si="58"/>
        <v>46054</v>
      </c>
      <c r="F3727" t="s">
        <v>3011</v>
      </c>
      <c r="G3727" t="s">
        <v>101</v>
      </c>
      <c r="H3727" s="4">
        <v>543.5</v>
      </c>
      <c r="I3727" t="s">
        <v>31</v>
      </c>
      <c r="J3727" t="s">
        <v>74</v>
      </c>
      <c r="K3727" t="s">
        <v>1722</v>
      </c>
      <c r="L3727" s="2">
        <v>46054</v>
      </c>
      <c r="M3727" t="s">
        <v>76</v>
      </c>
      <c r="N3727">
        <v>0</v>
      </c>
      <c r="O3727" t="s">
        <v>31</v>
      </c>
      <c r="P3727" t="s">
        <v>28</v>
      </c>
      <c r="Q3727">
        <v>0</v>
      </c>
    </row>
    <row r="3728" spans="1:17" x14ac:dyDescent="0.3">
      <c r="A3728" t="s">
        <v>17</v>
      </c>
      <c r="B3728">
        <v>67</v>
      </c>
      <c r="C3728" t="s">
        <v>28</v>
      </c>
      <c r="D3728" s="2">
        <v>46057</v>
      </c>
      <c r="E3728" s="3">
        <f t="shared" si="58"/>
        <v>46054</v>
      </c>
      <c r="F3728" t="s">
        <v>3011</v>
      </c>
      <c r="G3728" t="s">
        <v>101</v>
      </c>
      <c r="H3728" s="4">
        <v>102.22</v>
      </c>
      <c r="I3728" t="s">
        <v>31</v>
      </c>
      <c r="J3728" t="s">
        <v>74</v>
      </c>
      <c r="K3728" t="s">
        <v>1889</v>
      </c>
      <c r="L3728" s="2">
        <v>46054</v>
      </c>
      <c r="M3728" t="s">
        <v>76</v>
      </c>
      <c r="N3728">
        <v>0</v>
      </c>
      <c r="O3728" t="s">
        <v>31</v>
      </c>
      <c r="P3728" t="s">
        <v>28</v>
      </c>
      <c r="Q3728">
        <v>0</v>
      </c>
    </row>
    <row r="3729" spans="1:17" x14ac:dyDescent="0.3">
      <c r="A3729" t="s">
        <v>17</v>
      </c>
      <c r="B3729">
        <v>67</v>
      </c>
      <c r="C3729" t="s">
        <v>28</v>
      </c>
      <c r="D3729" s="2">
        <v>46057</v>
      </c>
      <c r="E3729" s="3">
        <f t="shared" si="58"/>
        <v>46054</v>
      </c>
      <c r="F3729" t="s">
        <v>3011</v>
      </c>
      <c r="G3729" t="s">
        <v>101</v>
      </c>
      <c r="H3729" s="4">
        <v>2159.27</v>
      </c>
      <c r="I3729" t="s">
        <v>31</v>
      </c>
      <c r="J3729" t="s">
        <v>74</v>
      </c>
      <c r="K3729" t="s">
        <v>2354</v>
      </c>
      <c r="L3729" s="2">
        <v>46054</v>
      </c>
      <c r="M3729" t="s">
        <v>76</v>
      </c>
      <c r="N3729">
        <v>0</v>
      </c>
      <c r="O3729" t="s">
        <v>31</v>
      </c>
      <c r="P3729" t="s">
        <v>28</v>
      </c>
      <c r="Q3729">
        <v>0</v>
      </c>
    </row>
    <row r="3730" spans="1:17" x14ac:dyDescent="0.3">
      <c r="A3730" t="s">
        <v>17</v>
      </c>
      <c r="B3730">
        <v>67</v>
      </c>
      <c r="C3730" t="s">
        <v>28</v>
      </c>
      <c r="D3730" s="2">
        <v>46081</v>
      </c>
      <c r="E3730" s="3">
        <f t="shared" si="58"/>
        <v>46054</v>
      </c>
      <c r="F3730" t="s">
        <v>2932</v>
      </c>
      <c r="H3730" s="4">
        <v>163.31</v>
      </c>
      <c r="I3730" t="s">
        <v>31</v>
      </c>
      <c r="J3730" t="s">
        <v>74</v>
      </c>
      <c r="K3730" t="s">
        <v>3117</v>
      </c>
      <c r="L3730" s="2">
        <v>46054</v>
      </c>
      <c r="M3730" t="s">
        <v>76</v>
      </c>
      <c r="N3730">
        <v>0</v>
      </c>
      <c r="O3730" t="s">
        <v>31</v>
      </c>
      <c r="P3730" t="s">
        <v>28</v>
      </c>
      <c r="Q3730">
        <v>0</v>
      </c>
    </row>
    <row r="3731" spans="1:17" x14ac:dyDescent="0.3">
      <c r="A3731" t="s">
        <v>17</v>
      </c>
      <c r="B3731">
        <v>67</v>
      </c>
      <c r="C3731" t="s">
        <v>28</v>
      </c>
      <c r="D3731" s="2">
        <v>46081</v>
      </c>
      <c r="E3731" s="3">
        <f t="shared" si="58"/>
        <v>46054</v>
      </c>
      <c r="F3731" t="s">
        <v>2932</v>
      </c>
      <c r="H3731" s="4">
        <v>21.78</v>
      </c>
      <c r="I3731" t="s">
        <v>31</v>
      </c>
      <c r="J3731" t="s">
        <v>74</v>
      </c>
      <c r="K3731" t="s">
        <v>3117</v>
      </c>
      <c r="L3731" s="2">
        <v>46054</v>
      </c>
      <c r="M3731" t="s">
        <v>76</v>
      </c>
      <c r="N3731">
        <v>0</v>
      </c>
      <c r="O3731" t="s">
        <v>31</v>
      </c>
      <c r="P3731" t="s">
        <v>28</v>
      </c>
      <c r="Q3731">
        <v>0</v>
      </c>
    </row>
    <row r="3732" spans="1:17" x14ac:dyDescent="0.3">
      <c r="A3732" t="s">
        <v>17</v>
      </c>
      <c r="B3732">
        <v>67</v>
      </c>
      <c r="C3732" t="s">
        <v>28</v>
      </c>
      <c r="D3732" s="2">
        <v>46081</v>
      </c>
      <c r="E3732" s="3">
        <f t="shared" si="58"/>
        <v>46054</v>
      </c>
      <c r="F3732" t="s">
        <v>2932</v>
      </c>
      <c r="H3732" s="4">
        <v>217.75</v>
      </c>
      <c r="I3732" t="s">
        <v>31</v>
      </c>
      <c r="J3732" t="s">
        <v>74</v>
      </c>
      <c r="K3732" t="s">
        <v>2139</v>
      </c>
      <c r="L3732" s="2">
        <v>46054</v>
      </c>
      <c r="M3732" t="s">
        <v>76</v>
      </c>
      <c r="N3732">
        <v>0</v>
      </c>
      <c r="O3732" t="s">
        <v>31</v>
      </c>
      <c r="P3732" t="s">
        <v>28</v>
      </c>
      <c r="Q3732">
        <v>0</v>
      </c>
    </row>
    <row r="3733" spans="1:17" x14ac:dyDescent="0.3">
      <c r="A3733" t="s">
        <v>17</v>
      </c>
      <c r="B3733">
        <v>67</v>
      </c>
      <c r="C3733" t="s">
        <v>28</v>
      </c>
      <c r="D3733" s="2">
        <v>46081</v>
      </c>
      <c r="E3733" s="3">
        <f t="shared" si="58"/>
        <v>46054</v>
      </c>
      <c r="F3733" t="s">
        <v>2932</v>
      </c>
      <c r="H3733" s="4">
        <v>195.98</v>
      </c>
      <c r="I3733" t="s">
        <v>31</v>
      </c>
      <c r="J3733" t="s">
        <v>74</v>
      </c>
      <c r="K3733" t="s">
        <v>247</v>
      </c>
      <c r="L3733" s="2">
        <v>46054</v>
      </c>
      <c r="M3733" t="s">
        <v>76</v>
      </c>
      <c r="N3733">
        <v>0</v>
      </c>
      <c r="O3733" t="s">
        <v>31</v>
      </c>
      <c r="P3733" t="s">
        <v>28</v>
      </c>
      <c r="Q3733">
        <v>0</v>
      </c>
    </row>
    <row r="3734" spans="1:17" x14ac:dyDescent="0.3">
      <c r="A3734" t="s">
        <v>17</v>
      </c>
      <c r="B3734">
        <v>67</v>
      </c>
      <c r="C3734" t="s">
        <v>28</v>
      </c>
      <c r="D3734" s="2">
        <v>46081</v>
      </c>
      <c r="E3734" s="3">
        <f t="shared" si="58"/>
        <v>46054</v>
      </c>
      <c r="F3734" t="s">
        <v>2932</v>
      </c>
      <c r="H3734" s="4">
        <v>24.99</v>
      </c>
      <c r="I3734" t="s">
        <v>31</v>
      </c>
      <c r="J3734" t="s">
        <v>74</v>
      </c>
      <c r="K3734" t="s">
        <v>3118</v>
      </c>
      <c r="L3734" s="2">
        <v>46054</v>
      </c>
      <c r="M3734" t="s">
        <v>76</v>
      </c>
      <c r="N3734">
        <v>0</v>
      </c>
      <c r="O3734" t="s">
        <v>31</v>
      </c>
      <c r="P3734" t="s">
        <v>28</v>
      </c>
      <c r="Q3734">
        <v>0</v>
      </c>
    </row>
    <row r="3735" spans="1:17" x14ac:dyDescent="0.3">
      <c r="A3735" t="s">
        <v>17</v>
      </c>
      <c r="B3735">
        <v>67</v>
      </c>
      <c r="C3735" t="s">
        <v>28</v>
      </c>
      <c r="D3735" s="2">
        <v>46081</v>
      </c>
      <c r="E3735" s="3">
        <f t="shared" si="58"/>
        <v>46054</v>
      </c>
      <c r="F3735" t="s">
        <v>2919</v>
      </c>
      <c r="G3735" t="s">
        <v>158</v>
      </c>
      <c r="H3735" s="4">
        <v>21.78</v>
      </c>
      <c r="I3735" t="s">
        <v>159</v>
      </c>
      <c r="J3735" t="s">
        <v>74</v>
      </c>
      <c r="K3735" t="s">
        <v>3119</v>
      </c>
      <c r="L3735" s="2">
        <v>46054</v>
      </c>
      <c r="M3735" t="s">
        <v>76</v>
      </c>
      <c r="N3735">
        <v>0</v>
      </c>
      <c r="O3735" t="s">
        <v>159</v>
      </c>
      <c r="P3735" t="s">
        <v>28</v>
      </c>
      <c r="Q3735">
        <v>0</v>
      </c>
    </row>
    <row r="3736" spans="1:17" x14ac:dyDescent="0.3">
      <c r="A3736" t="s">
        <v>17</v>
      </c>
      <c r="B3736">
        <v>67</v>
      </c>
      <c r="C3736" t="s">
        <v>28</v>
      </c>
      <c r="D3736" s="2">
        <v>46081</v>
      </c>
      <c r="E3736" s="3">
        <f t="shared" si="58"/>
        <v>46054</v>
      </c>
      <c r="F3736" t="s">
        <v>2919</v>
      </c>
      <c r="G3736" t="s">
        <v>158</v>
      </c>
      <c r="H3736" s="4">
        <v>21.78</v>
      </c>
      <c r="I3736" t="s">
        <v>159</v>
      </c>
      <c r="J3736" t="s">
        <v>74</v>
      </c>
      <c r="K3736" t="s">
        <v>994</v>
      </c>
      <c r="L3736" s="2">
        <v>46054</v>
      </c>
      <c r="M3736" t="s">
        <v>76</v>
      </c>
      <c r="N3736">
        <v>0</v>
      </c>
      <c r="O3736" t="s">
        <v>159</v>
      </c>
      <c r="P3736" t="s">
        <v>28</v>
      </c>
      <c r="Q3736">
        <v>0</v>
      </c>
    </row>
    <row r="3737" spans="1:17" x14ac:dyDescent="0.3">
      <c r="A3737" t="s">
        <v>17</v>
      </c>
      <c r="B3737">
        <v>67</v>
      </c>
      <c r="C3737" t="s">
        <v>28</v>
      </c>
      <c r="D3737" s="2">
        <v>46081</v>
      </c>
      <c r="E3737" s="3">
        <f t="shared" si="58"/>
        <v>46054</v>
      </c>
      <c r="F3737" t="s">
        <v>3120</v>
      </c>
      <c r="H3737" s="4">
        <v>2582.46</v>
      </c>
      <c r="I3737" t="s">
        <v>31</v>
      </c>
      <c r="J3737" t="s">
        <v>74</v>
      </c>
      <c r="K3737" t="s">
        <v>1100</v>
      </c>
      <c r="L3737" s="2">
        <v>46054</v>
      </c>
      <c r="M3737" t="s">
        <v>76</v>
      </c>
      <c r="N3737">
        <v>0</v>
      </c>
      <c r="O3737" t="s">
        <v>31</v>
      </c>
      <c r="P3737" t="s">
        <v>28</v>
      </c>
      <c r="Q3737">
        <v>0</v>
      </c>
    </row>
    <row r="3738" spans="1:17" x14ac:dyDescent="0.3">
      <c r="A3738" t="s">
        <v>17</v>
      </c>
      <c r="B3738">
        <v>67</v>
      </c>
      <c r="C3738" t="s">
        <v>28</v>
      </c>
      <c r="D3738" s="2">
        <v>46081</v>
      </c>
      <c r="E3738" s="3">
        <f t="shared" si="58"/>
        <v>46054</v>
      </c>
      <c r="F3738" t="s">
        <v>3121</v>
      </c>
      <c r="H3738" s="4">
        <v>421.68</v>
      </c>
      <c r="I3738" t="s">
        <v>31</v>
      </c>
      <c r="J3738" t="s">
        <v>74</v>
      </c>
      <c r="K3738" t="s">
        <v>2657</v>
      </c>
      <c r="L3738" s="2">
        <v>46054</v>
      </c>
      <c r="M3738" t="s">
        <v>76</v>
      </c>
      <c r="N3738">
        <v>0</v>
      </c>
      <c r="O3738" t="s">
        <v>31</v>
      </c>
      <c r="P3738" t="s">
        <v>28</v>
      </c>
      <c r="Q3738">
        <v>0</v>
      </c>
    </row>
    <row r="3739" spans="1:17" x14ac:dyDescent="0.3">
      <c r="A3739" t="s">
        <v>17</v>
      </c>
      <c r="B3739">
        <v>67</v>
      </c>
      <c r="C3739" t="s">
        <v>28</v>
      </c>
      <c r="D3739" s="2">
        <v>46081</v>
      </c>
      <c r="E3739" s="3">
        <f t="shared" si="58"/>
        <v>46054</v>
      </c>
      <c r="F3739" t="s">
        <v>3122</v>
      </c>
      <c r="H3739" s="4">
        <v>411.58</v>
      </c>
      <c r="I3739" t="s">
        <v>31</v>
      </c>
      <c r="J3739" t="s">
        <v>74</v>
      </c>
      <c r="K3739" t="s">
        <v>1501</v>
      </c>
      <c r="L3739" s="2">
        <v>46054</v>
      </c>
      <c r="M3739" t="s">
        <v>76</v>
      </c>
      <c r="N3739">
        <v>0</v>
      </c>
      <c r="O3739" t="s">
        <v>31</v>
      </c>
      <c r="P3739" t="s">
        <v>28</v>
      </c>
      <c r="Q3739">
        <v>0</v>
      </c>
    </row>
    <row r="3740" spans="1:17" x14ac:dyDescent="0.3">
      <c r="A3740" t="s">
        <v>17</v>
      </c>
      <c r="B3740">
        <v>67</v>
      </c>
      <c r="C3740" t="s">
        <v>28</v>
      </c>
      <c r="D3740" s="2">
        <v>46081</v>
      </c>
      <c r="E3740" s="3">
        <f t="shared" si="58"/>
        <v>46054</v>
      </c>
      <c r="F3740" t="s">
        <v>3123</v>
      </c>
      <c r="H3740" s="4">
        <v>3179.22</v>
      </c>
      <c r="I3740" t="s">
        <v>31</v>
      </c>
      <c r="J3740" t="s">
        <v>74</v>
      </c>
      <c r="K3740" t="s">
        <v>1098</v>
      </c>
      <c r="L3740" s="2">
        <v>46054</v>
      </c>
      <c r="M3740" t="s">
        <v>76</v>
      </c>
      <c r="N3740">
        <v>0</v>
      </c>
      <c r="O3740" t="s">
        <v>31</v>
      </c>
      <c r="P3740" t="s">
        <v>28</v>
      </c>
      <c r="Q3740">
        <v>0</v>
      </c>
    </row>
    <row r="3741" spans="1:17" x14ac:dyDescent="0.3">
      <c r="A3741" t="s">
        <v>17</v>
      </c>
      <c r="B3741">
        <v>67</v>
      </c>
      <c r="C3741" t="s">
        <v>28</v>
      </c>
      <c r="D3741" s="2">
        <v>46081</v>
      </c>
      <c r="E3741" s="3">
        <f t="shared" si="58"/>
        <v>46054</v>
      </c>
      <c r="F3741" t="s">
        <v>3124</v>
      </c>
      <c r="H3741" s="4">
        <v>9.99</v>
      </c>
      <c r="I3741" t="s">
        <v>31</v>
      </c>
      <c r="J3741" t="s">
        <v>74</v>
      </c>
      <c r="K3741" t="s">
        <v>1494</v>
      </c>
      <c r="L3741" s="2">
        <v>46054</v>
      </c>
      <c r="M3741" t="s">
        <v>76</v>
      </c>
      <c r="N3741">
        <v>0</v>
      </c>
      <c r="O3741" t="s">
        <v>31</v>
      </c>
      <c r="P3741" t="s">
        <v>28</v>
      </c>
      <c r="Q3741">
        <v>0</v>
      </c>
    </row>
    <row r="3742" spans="1:17" x14ac:dyDescent="0.3">
      <c r="A3742" t="s">
        <v>17</v>
      </c>
      <c r="B3742">
        <v>67</v>
      </c>
      <c r="C3742" t="s">
        <v>28</v>
      </c>
      <c r="D3742" s="2">
        <v>46081</v>
      </c>
      <c r="E3742" s="3">
        <f t="shared" si="58"/>
        <v>46054</v>
      </c>
      <c r="F3742" t="s">
        <v>3125</v>
      </c>
      <c r="H3742" s="4">
        <v>4148.25</v>
      </c>
      <c r="I3742" t="s">
        <v>31</v>
      </c>
      <c r="J3742" t="s">
        <v>74</v>
      </c>
      <c r="K3742" t="s">
        <v>2651</v>
      </c>
      <c r="L3742" s="2">
        <v>46054</v>
      </c>
      <c r="M3742" t="s">
        <v>76</v>
      </c>
      <c r="N3742">
        <v>0</v>
      </c>
      <c r="O3742" t="s">
        <v>31</v>
      </c>
      <c r="P3742" t="s">
        <v>28</v>
      </c>
      <c r="Q3742">
        <v>0</v>
      </c>
    </row>
    <row r="3743" spans="1:17" x14ac:dyDescent="0.3">
      <c r="A3743" t="s">
        <v>17</v>
      </c>
      <c r="B3743">
        <v>67</v>
      </c>
      <c r="C3743" t="s">
        <v>28</v>
      </c>
      <c r="D3743" s="2">
        <v>46081</v>
      </c>
      <c r="E3743" s="3">
        <f t="shared" si="58"/>
        <v>46054</v>
      </c>
      <c r="F3743" t="s">
        <v>3126</v>
      </c>
      <c r="H3743" s="4">
        <v>19.600000000000001</v>
      </c>
      <c r="I3743" t="s">
        <v>159</v>
      </c>
      <c r="J3743" t="s">
        <v>74</v>
      </c>
      <c r="K3743" t="s">
        <v>2659</v>
      </c>
      <c r="L3743" s="2">
        <v>46054</v>
      </c>
      <c r="M3743" t="s">
        <v>76</v>
      </c>
      <c r="N3743">
        <v>0</v>
      </c>
      <c r="O3743" t="s">
        <v>159</v>
      </c>
      <c r="P3743" t="s">
        <v>28</v>
      </c>
      <c r="Q3743">
        <v>0</v>
      </c>
    </row>
    <row r="3744" spans="1:17" x14ac:dyDescent="0.3">
      <c r="A3744" t="s">
        <v>17</v>
      </c>
      <c r="B3744">
        <v>67</v>
      </c>
      <c r="C3744" t="s">
        <v>28</v>
      </c>
      <c r="D3744" s="2">
        <v>46081</v>
      </c>
      <c r="E3744" s="3">
        <f t="shared" si="58"/>
        <v>46054</v>
      </c>
      <c r="F3744" t="s">
        <v>3127</v>
      </c>
      <c r="H3744" s="4">
        <v>24.5</v>
      </c>
      <c r="I3744" t="s">
        <v>47</v>
      </c>
      <c r="J3744" t="s">
        <v>74</v>
      </c>
      <c r="K3744" t="s">
        <v>2649</v>
      </c>
      <c r="L3744" s="2">
        <v>46054</v>
      </c>
      <c r="M3744" t="s">
        <v>76</v>
      </c>
      <c r="N3744">
        <v>0</v>
      </c>
      <c r="O3744" t="s">
        <v>26</v>
      </c>
      <c r="P3744" t="s">
        <v>28</v>
      </c>
      <c r="Q3744">
        <v>0</v>
      </c>
    </row>
    <row r="3745" spans="1:17" x14ac:dyDescent="0.3">
      <c r="A3745" t="s">
        <v>17</v>
      </c>
      <c r="B3745">
        <v>67</v>
      </c>
      <c r="C3745" t="s">
        <v>28</v>
      </c>
      <c r="D3745" s="2">
        <v>46081</v>
      </c>
      <c r="E3745" s="3">
        <f t="shared" si="58"/>
        <v>46054</v>
      </c>
      <c r="F3745" t="s">
        <v>3128</v>
      </c>
      <c r="H3745" s="4">
        <v>16.670000000000002</v>
      </c>
      <c r="I3745" t="s">
        <v>47</v>
      </c>
      <c r="J3745" t="s">
        <v>74</v>
      </c>
      <c r="K3745" t="s">
        <v>2891</v>
      </c>
      <c r="L3745" s="2">
        <v>46054</v>
      </c>
      <c r="M3745" t="s">
        <v>76</v>
      </c>
      <c r="N3745">
        <v>0</v>
      </c>
      <c r="O3745" t="s">
        <v>26</v>
      </c>
      <c r="P3745" t="s">
        <v>28</v>
      </c>
      <c r="Q3745">
        <v>0</v>
      </c>
    </row>
    <row r="3746" spans="1:17" x14ac:dyDescent="0.3">
      <c r="A3746" t="s">
        <v>17</v>
      </c>
      <c r="B3746">
        <v>67</v>
      </c>
      <c r="C3746" t="s">
        <v>28</v>
      </c>
      <c r="D3746" s="2">
        <v>46081</v>
      </c>
      <c r="E3746" s="3">
        <f t="shared" si="58"/>
        <v>46054</v>
      </c>
      <c r="F3746" t="s">
        <v>3129</v>
      </c>
      <c r="H3746" s="4">
        <v>41.67</v>
      </c>
      <c r="I3746" t="s">
        <v>47</v>
      </c>
      <c r="J3746" t="s">
        <v>74</v>
      </c>
      <c r="K3746" t="s">
        <v>2150</v>
      </c>
      <c r="L3746" s="2">
        <v>46054</v>
      </c>
      <c r="M3746" t="s">
        <v>76</v>
      </c>
      <c r="N3746">
        <v>0</v>
      </c>
      <c r="O3746" t="s">
        <v>26</v>
      </c>
      <c r="P3746" t="s">
        <v>28</v>
      </c>
      <c r="Q3746">
        <v>0</v>
      </c>
    </row>
    <row r="3747" spans="1:17" x14ac:dyDescent="0.3">
      <c r="A3747" t="s">
        <v>17</v>
      </c>
      <c r="B3747">
        <v>67</v>
      </c>
      <c r="C3747" t="s">
        <v>28</v>
      </c>
      <c r="D3747" s="2">
        <v>46081</v>
      </c>
      <c r="E3747" s="3">
        <f t="shared" si="58"/>
        <v>46054</v>
      </c>
      <c r="F3747" t="s">
        <v>3130</v>
      </c>
      <c r="H3747" s="4">
        <v>2268.23</v>
      </c>
      <c r="I3747" t="s">
        <v>47</v>
      </c>
      <c r="J3747" t="s">
        <v>74</v>
      </c>
      <c r="K3747" t="s">
        <v>1108</v>
      </c>
      <c r="L3747" s="2">
        <v>46054</v>
      </c>
      <c r="M3747" t="s">
        <v>76</v>
      </c>
      <c r="N3747">
        <v>0</v>
      </c>
      <c r="O3747" t="s">
        <v>26</v>
      </c>
      <c r="P3747" t="s">
        <v>28</v>
      </c>
      <c r="Q3747">
        <v>0</v>
      </c>
    </row>
    <row r="3748" spans="1:17" x14ac:dyDescent="0.3">
      <c r="A3748" t="s">
        <v>17</v>
      </c>
      <c r="B3748">
        <v>67</v>
      </c>
      <c r="C3748" t="s">
        <v>28</v>
      </c>
      <c r="D3748" s="2">
        <v>46081</v>
      </c>
      <c r="E3748" s="3">
        <f t="shared" si="58"/>
        <v>46054</v>
      </c>
      <c r="F3748" t="s">
        <v>3131</v>
      </c>
      <c r="H3748" s="4">
        <v>18.149999999999999</v>
      </c>
      <c r="I3748" t="s">
        <v>108</v>
      </c>
      <c r="J3748" t="s">
        <v>74</v>
      </c>
      <c r="K3748" t="s">
        <v>2366</v>
      </c>
      <c r="L3748" s="2">
        <v>46054</v>
      </c>
      <c r="M3748" t="s">
        <v>76</v>
      </c>
      <c r="N3748">
        <v>0</v>
      </c>
      <c r="O3748" t="s">
        <v>111</v>
      </c>
      <c r="P3748" t="s">
        <v>28</v>
      </c>
      <c r="Q3748">
        <v>0</v>
      </c>
    </row>
    <row r="3749" spans="1:17" x14ac:dyDescent="0.3">
      <c r="A3749" t="s">
        <v>17</v>
      </c>
      <c r="B3749">
        <v>68</v>
      </c>
      <c r="C3749" t="s">
        <v>34</v>
      </c>
      <c r="D3749" s="2">
        <v>46054</v>
      </c>
      <c r="E3749" s="3">
        <f t="shared" si="58"/>
        <v>46054</v>
      </c>
      <c r="F3749">
        <v>1072</v>
      </c>
      <c r="G3749" t="s">
        <v>36</v>
      </c>
      <c r="H3749" s="4">
        <v>0.85</v>
      </c>
      <c r="I3749" t="s">
        <v>31</v>
      </c>
      <c r="J3749" t="s">
        <v>37</v>
      </c>
      <c r="K3749" t="s">
        <v>3132</v>
      </c>
      <c r="L3749" s="2">
        <v>46054</v>
      </c>
      <c r="M3749" t="s">
        <v>37</v>
      </c>
      <c r="N3749">
        <v>0</v>
      </c>
      <c r="O3749" t="s">
        <v>31</v>
      </c>
      <c r="P3749" t="s">
        <v>34</v>
      </c>
      <c r="Q3749">
        <v>0</v>
      </c>
    </row>
    <row r="3750" spans="1:17" x14ac:dyDescent="0.3">
      <c r="A3750" t="s">
        <v>17</v>
      </c>
      <c r="B3750">
        <v>68</v>
      </c>
      <c r="C3750" t="s">
        <v>34</v>
      </c>
      <c r="D3750" s="2">
        <v>46054</v>
      </c>
      <c r="E3750" s="3">
        <f t="shared" si="58"/>
        <v>46054</v>
      </c>
      <c r="F3750">
        <v>1072</v>
      </c>
      <c r="G3750" t="s">
        <v>36</v>
      </c>
      <c r="H3750" s="4">
        <v>35</v>
      </c>
      <c r="I3750" t="s">
        <v>31</v>
      </c>
      <c r="J3750" t="s">
        <v>37</v>
      </c>
      <c r="K3750" t="s">
        <v>3133</v>
      </c>
      <c r="L3750" s="2">
        <v>46054</v>
      </c>
      <c r="M3750" t="s">
        <v>37</v>
      </c>
      <c r="N3750">
        <v>0</v>
      </c>
      <c r="O3750" t="s">
        <v>31</v>
      </c>
      <c r="P3750" t="s">
        <v>34</v>
      </c>
      <c r="Q3750">
        <v>0</v>
      </c>
    </row>
    <row r="3751" spans="1:17" x14ac:dyDescent="0.3">
      <c r="A3751" t="s">
        <v>17</v>
      </c>
      <c r="B3751">
        <v>68</v>
      </c>
      <c r="C3751" t="s">
        <v>34</v>
      </c>
      <c r="D3751" s="2">
        <v>46054</v>
      </c>
      <c r="E3751" s="3">
        <f t="shared" si="58"/>
        <v>46054</v>
      </c>
      <c r="F3751">
        <v>1072</v>
      </c>
      <c r="G3751" t="s">
        <v>36</v>
      </c>
      <c r="H3751" s="4">
        <v>5.33</v>
      </c>
      <c r="I3751" t="s">
        <v>31</v>
      </c>
      <c r="J3751" t="s">
        <v>37</v>
      </c>
      <c r="K3751" t="s">
        <v>1276</v>
      </c>
      <c r="L3751" s="2">
        <v>46054</v>
      </c>
      <c r="M3751" t="s">
        <v>37</v>
      </c>
      <c r="N3751">
        <v>0</v>
      </c>
      <c r="O3751" t="s">
        <v>31</v>
      </c>
      <c r="P3751" t="s">
        <v>34</v>
      </c>
      <c r="Q3751">
        <v>0</v>
      </c>
    </row>
    <row r="3752" spans="1:17" x14ac:dyDescent="0.3">
      <c r="A3752" t="s">
        <v>17</v>
      </c>
      <c r="B3752">
        <v>68</v>
      </c>
      <c r="C3752" t="s">
        <v>34</v>
      </c>
      <c r="D3752" s="2">
        <v>46054</v>
      </c>
      <c r="E3752" s="3">
        <f t="shared" si="58"/>
        <v>46054</v>
      </c>
      <c r="F3752">
        <v>1072</v>
      </c>
      <c r="G3752" t="s">
        <v>36</v>
      </c>
      <c r="H3752" s="4">
        <v>25</v>
      </c>
      <c r="I3752" t="s">
        <v>31</v>
      </c>
      <c r="J3752" t="s">
        <v>37</v>
      </c>
      <c r="K3752" t="s">
        <v>3134</v>
      </c>
      <c r="L3752" s="2">
        <v>46054</v>
      </c>
      <c r="M3752" t="s">
        <v>37</v>
      </c>
      <c r="N3752">
        <v>0</v>
      </c>
      <c r="O3752" t="s">
        <v>31</v>
      </c>
      <c r="P3752" t="s">
        <v>34</v>
      </c>
      <c r="Q3752">
        <v>0</v>
      </c>
    </row>
    <row r="3753" spans="1:17" x14ac:dyDescent="0.3">
      <c r="A3753" t="s">
        <v>17</v>
      </c>
      <c r="B3753">
        <v>68</v>
      </c>
      <c r="C3753" t="s">
        <v>34</v>
      </c>
      <c r="D3753" s="2">
        <v>46054</v>
      </c>
      <c r="E3753" s="3">
        <f t="shared" si="58"/>
        <v>46054</v>
      </c>
      <c r="F3753" t="s">
        <v>3004</v>
      </c>
      <c r="G3753" t="s">
        <v>40</v>
      </c>
      <c r="H3753" s="4">
        <v>241.38</v>
      </c>
      <c r="I3753" t="s">
        <v>31</v>
      </c>
      <c r="J3753" t="s">
        <v>37</v>
      </c>
      <c r="K3753" t="s">
        <v>3135</v>
      </c>
      <c r="L3753" s="2">
        <v>46054</v>
      </c>
      <c r="M3753" t="s">
        <v>37</v>
      </c>
      <c r="N3753">
        <v>0</v>
      </c>
      <c r="O3753" t="s">
        <v>31</v>
      </c>
      <c r="P3753" t="s">
        <v>34</v>
      </c>
      <c r="Q3753">
        <v>0</v>
      </c>
    </row>
    <row r="3754" spans="1:17" x14ac:dyDescent="0.3">
      <c r="A3754" t="s">
        <v>17</v>
      </c>
      <c r="B3754">
        <v>68</v>
      </c>
      <c r="C3754" t="s">
        <v>34</v>
      </c>
      <c r="D3754" s="2">
        <v>46054</v>
      </c>
      <c r="E3754" s="3">
        <f t="shared" si="58"/>
        <v>46054</v>
      </c>
      <c r="F3754" t="s">
        <v>3136</v>
      </c>
      <c r="H3754" s="4">
        <v>-241.38</v>
      </c>
      <c r="I3754" t="s">
        <v>31</v>
      </c>
      <c r="J3754" t="s">
        <v>37</v>
      </c>
      <c r="K3754" t="s">
        <v>2905</v>
      </c>
      <c r="L3754" s="2">
        <v>46054</v>
      </c>
      <c r="M3754" t="s">
        <v>37</v>
      </c>
      <c r="N3754">
        <v>0</v>
      </c>
      <c r="O3754" t="s">
        <v>31</v>
      </c>
      <c r="P3754" t="s">
        <v>34</v>
      </c>
      <c r="Q3754">
        <v>0</v>
      </c>
    </row>
    <row r="3755" spans="1:17" x14ac:dyDescent="0.3">
      <c r="A3755" t="s">
        <v>17</v>
      </c>
      <c r="B3755">
        <v>68</v>
      </c>
      <c r="C3755" t="s">
        <v>34</v>
      </c>
      <c r="D3755" s="2">
        <v>46081</v>
      </c>
      <c r="E3755" s="3">
        <f t="shared" si="58"/>
        <v>46054</v>
      </c>
      <c r="F3755" t="s">
        <v>3137</v>
      </c>
      <c r="H3755" s="4">
        <v>333.7</v>
      </c>
      <c r="I3755" t="s">
        <v>31</v>
      </c>
      <c r="J3755" t="s">
        <v>37</v>
      </c>
      <c r="K3755" t="s">
        <v>3138</v>
      </c>
      <c r="L3755" s="2">
        <v>46054</v>
      </c>
      <c r="M3755" t="s">
        <v>37</v>
      </c>
      <c r="N3755">
        <v>0</v>
      </c>
      <c r="O3755" t="s">
        <v>31</v>
      </c>
      <c r="P3755" t="s">
        <v>34</v>
      </c>
      <c r="Q3755">
        <v>0</v>
      </c>
    </row>
    <row r="3756" spans="1:17" x14ac:dyDescent="0.3">
      <c r="A3756" t="s">
        <v>17</v>
      </c>
      <c r="B3756">
        <v>65</v>
      </c>
      <c r="C3756" t="s">
        <v>54</v>
      </c>
      <c r="D3756" s="2">
        <v>46068</v>
      </c>
      <c r="E3756" s="3">
        <f t="shared" si="58"/>
        <v>46054</v>
      </c>
      <c r="F3756">
        <v>42714151</v>
      </c>
      <c r="G3756" t="s">
        <v>154</v>
      </c>
      <c r="H3756" s="4">
        <v>763.21</v>
      </c>
      <c r="I3756" t="s">
        <v>31</v>
      </c>
      <c r="J3756" t="s">
        <v>155</v>
      </c>
      <c r="K3756" t="s">
        <v>2156</v>
      </c>
      <c r="L3756" s="2">
        <v>46054</v>
      </c>
      <c r="M3756" t="s">
        <v>155</v>
      </c>
      <c r="N3756">
        <v>0</v>
      </c>
      <c r="O3756" t="s">
        <v>31</v>
      </c>
      <c r="P3756" t="s">
        <v>54</v>
      </c>
      <c r="Q3756">
        <v>0</v>
      </c>
    </row>
    <row r="3757" spans="1:17" x14ac:dyDescent="0.3">
      <c r="A3757" t="s">
        <v>17</v>
      </c>
      <c r="B3757">
        <v>65</v>
      </c>
      <c r="C3757" t="s">
        <v>54</v>
      </c>
      <c r="D3757" s="2">
        <v>46081</v>
      </c>
      <c r="E3757" s="3">
        <f t="shared" si="58"/>
        <v>46054</v>
      </c>
      <c r="F3757" t="s">
        <v>3006</v>
      </c>
      <c r="H3757" s="4">
        <v>-606</v>
      </c>
      <c r="I3757" t="s">
        <v>31</v>
      </c>
      <c r="J3757" t="s">
        <v>155</v>
      </c>
      <c r="L3757" s="2">
        <v>46054</v>
      </c>
      <c r="M3757" t="s">
        <v>155</v>
      </c>
      <c r="N3757">
        <v>0</v>
      </c>
      <c r="O3757" t="s">
        <v>31</v>
      </c>
      <c r="P3757" t="s">
        <v>54</v>
      </c>
      <c r="Q3757">
        <v>0</v>
      </c>
    </row>
    <row r="3758" spans="1:17" x14ac:dyDescent="0.3">
      <c r="A3758" t="s">
        <v>17</v>
      </c>
      <c r="B3758">
        <v>67</v>
      </c>
      <c r="C3758" t="s">
        <v>28</v>
      </c>
      <c r="D3758" s="2">
        <v>46081</v>
      </c>
      <c r="E3758" s="3">
        <f t="shared" si="58"/>
        <v>46054</v>
      </c>
      <c r="F3758" t="s">
        <v>3139</v>
      </c>
      <c r="H3758" s="4">
        <v>175</v>
      </c>
      <c r="I3758" t="s">
        <v>108</v>
      </c>
      <c r="J3758" t="s">
        <v>352</v>
      </c>
      <c r="K3758" t="s">
        <v>3140</v>
      </c>
      <c r="L3758" s="2">
        <v>46054</v>
      </c>
      <c r="M3758" t="s">
        <v>352</v>
      </c>
      <c r="N3758">
        <v>0</v>
      </c>
      <c r="O3758" t="s">
        <v>111</v>
      </c>
      <c r="P3758" t="s">
        <v>28</v>
      </c>
      <c r="Q3758">
        <v>0</v>
      </c>
    </row>
    <row r="3759" spans="1:17" x14ac:dyDescent="0.3">
      <c r="A3759" t="s">
        <v>17</v>
      </c>
      <c r="B3759">
        <v>68</v>
      </c>
      <c r="C3759" t="s">
        <v>34</v>
      </c>
      <c r="D3759" s="2">
        <v>46081</v>
      </c>
      <c r="E3759" s="3">
        <f t="shared" si="58"/>
        <v>46054</v>
      </c>
      <c r="F3759" t="s">
        <v>3141</v>
      </c>
      <c r="H3759" s="4">
        <v>5000</v>
      </c>
      <c r="I3759" t="s">
        <v>21</v>
      </c>
      <c r="J3759" t="s">
        <v>726</v>
      </c>
      <c r="K3759" t="s">
        <v>3142</v>
      </c>
      <c r="L3759" s="2">
        <v>46054</v>
      </c>
      <c r="M3759" t="s">
        <v>726</v>
      </c>
      <c r="N3759" t="s">
        <v>25</v>
      </c>
      <c r="O3759" t="s">
        <v>81</v>
      </c>
      <c r="P3759" t="s">
        <v>34</v>
      </c>
      <c r="Q3759">
        <v>0</v>
      </c>
    </row>
    <row r="3760" spans="1:17" x14ac:dyDescent="0.3">
      <c r="A3760" t="s">
        <v>17</v>
      </c>
      <c r="B3760">
        <v>67</v>
      </c>
      <c r="C3760" t="s">
        <v>28</v>
      </c>
      <c r="D3760" s="2">
        <v>46057</v>
      </c>
      <c r="E3760" s="3">
        <f t="shared" si="58"/>
        <v>46054</v>
      </c>
      <c r="F3760" t="s">
        <v>3011</v>
      </c>
      <c r="G3760" t="s">
        <v>101</v>
      </c>
      <c r="H3760" s="4">
        <v>1.06</v>
      </c>
      <c r="I3760" t="s">
        <v>31</v>
      </c>
      <c r="J3760" t="s">
        <v>64</v>
      </c>
      <c r="K3760" t="s">
        <v>1166</v>
      </c>
      <c r="L3760" s="2">
        <v>46054</v>
      </c>
      <c r="M3760" t="s">
        <v>64</v>
      </c>
      <c r="N3760">
        <v>0</v>
      </c>
      <c r="O3760" t="s">
        <v>31</v>
      </c>
      <c r="P3760" t="s">
        <v>28</v>
      </c>
      <c r="Q3760">
        <v>0</v>
      </c>
    </row>
    <row r="3761" spans="1:17" x14ac:dyDescent="0.3">
      <c r="A3761" t="s">
        <v>17</v>
      </c>
      <c r="B3761">
        <v>67</v>
      </c>
      <c r="C3761" t="s">
        <v>28</v>
      </c>
      <c r="D3761" s="2">
        <v>46057</v>
      </c>
      <c r="E3761" s="3">
        <f t="shared" si="58"/>
        <v>46054</v>
      </c>
      <c r="F3761" t="s">
        <v>3011</v>
      </c>
      <c r="G3761" t="s">
        <v>101</v>
      </c>
      <c r="H3761" s="4">
        <v>1.53</v>
      </c>
      <c r="I3761" t="s">
        <v>31</v>
      </c>
      <c r="J3761" t="s">
        <v>64</v>
      </c>
      <c r="K3761" t="s">
        <v>1166</v>
      </c>
      <c r="L3761" s="2">
        <v>46054</v>
      </c>
      <c r="M3761" t="s">
        <v>64</v>
      </c>
      <c r="N3761">
        <v>0</v>
      </c>
      <c r="O3761" t="s">
        <v>31</v>
      </c>
      <c r="P3761" t="s">
        <v>28</v>
      </c>
      <c r="Q3761">
        <v>0</v>
      </c>
    </row>
    <row r="3762" spans="1:17" x14ac:dyDescent="0.3">
      <c r="A3762" t="s">
        <v>17</v>
      </c>
      <c r="B3762">
        <v>68</v>
      </c>
      <c r="C3762" t="s">
        <v>34</v>
      </c>
      <c r="D3762" s="2">
        <v>46056</v>
      </c>
      <c r="E3762" s="3">
        <f t="shared" si="58"/>
        <v>46054</v>
      </c>
      <c r="F3762" t="s">
        <v>3143</v>
      </c>
      <c r="H3762" s="4">
        <v>175</v>
      </c>
      <c r="I3762" t="s">
        <v>31</v>
      </c>
      <c r="J3762" t="s">
        <v>613</v>
      </c>
      <c r="K3762" t="s">
        <v>3144</v>
      </c>
      <c r="L3762" s="2">
        <v>46054</v>
      </c>
      <c r="M3762" t="s">
        <v>613</v>
      </c>
      <c r="N3762">
        <v>0</v>
      </c>
      <c r="O3762" t="s">
        <v>31</v>
      </c>
      <c r="P3762" t="s">
        <v>34</v>
      </c>
      <c r="Q3762">
        <v>0</v>
      </c>
    </row>
    <row r="3763" spans="1:17" x14ac:dyDescent="0.3">
      <c r="A3763" t="s">
        <v>17</v>
      </c>
      <c r="B3763">
        <v>68</v>
      </c>
      <c r="C3763" t="s">
        <v>34</v>
      </c>
      <c r="D3763" s="2">
        <v>46070</v>
      </c>
      <c r="E3763" s="3">
        <f t="shared" si="58"/>
        <v>46054</v>
      </c>
      <c r="F3763" t="s">
        <v>3145</v>
      </c>
      <c r="G3763" t="s">
        <v>3146</v>
      </c>
      <c r="H3763" s="4">
        <v>225</v>
      </c>
      <c r="I3763" t="s">
        <v>31</v>
      </c>
      <c r="J3763" t="s">
        <v>613</v>
      </c>
      <c r="K3763" t="s">
        <v>3147</v>
      </c>
      <c r="L3763" s="2">
        <v>46054</v>
      </c>
      <c r="M3763" t="s">
        <v>613</v>
      </c>
      <c r="N3763">
        <v>0</v>
      </c>
      <c r="O3763" t="s">
        <v>31</v>
      </c>
      <c r="P3763" t="s">
        <v>34</v>
      </c>
      <c r="Q3763">
        <v>0</v>
      </c>
    </row>
    <row r="3764" spans="1:17" x14ac:dyDescent="0.3">
      <c r="A3764" t="s">
        <v>17</v>
      </c>
      <c r="B3764">
        <v>68</v>
      </c>
      <c r="C3764" t="s">
        <v>34</v>
      </c>
      <c r="D3764" s="2">
        <v>46070</v>
      </c>
      <c r="E3764" s="3">
        <f t="shared" si="58"/>
        <v>46054</v>
      </c>
      <c r="F3764" t="s">
        <v>3097</v>
      </c>
      <c r="H3764" s="4">
        <v>175</v>
      </c>
      <c r="I3764" t="s">
        <v>31</v>
      </c>
      <c r="J3764" t="s">
        <v>613</v>
      </c>
      <c r="K3764" t="s">
        <v>3098</v>
      </c>
      <c r="L3764" s="2">
        <v>46054</v>
      </c>
      <c r="M3764" t="s">
        <v>613</v>
      </c>
      <c r="N3764">
        <v>0</v>
      </c>
      <c r="O3764" t="s">
        <v>31</v>
      </c>
      <c r="P3764" t="s">
        <v>34</v>
      </c>
      <c r="Q3764">
        <v>0</v>
      </c>
    </row>
    <row r="3765" spans="1:17" x14ac:dyDescent="0.3">
      <c r="A3765" t="s">
        <v>17</v>
      </c>
      <c r="B3765">
        <v>68</v>
      </c>
      <c r="C3765" t="s">
        <v>34</v>
      </c>
      <c r="D3765" s="2">
        <v>46073</v>
      </c>
      <c r="E3765" s="3">
        <f t="shared" si="58"/>
        <v>46054</v>
      </c>
      <c r="F3765" t="s">
        <v>3148</v>
      </c>
      <c r="H3765" s="4">
        <v>204</v>
      </c>
      <c r="I3765" t="s">
        <v>31</v>
      </c>
      <c r="J3765" t="s">
        <v>613</v>
      </c>
      <c r="K3765" t="s">
        <v>3149</v>
      </c>
      <c r="L3765" s="2">
        <v>46054</v>
      </c>
      <c r="M3765" t="s">
        <v>613</v>
      </c>
      <c r="N3765">
        <v>0</v>
      </c>
      <c r="O3765" t="s">
        <v>31</v>
      </c>
      <c r="P3765" t="s">
        <v>34</v>
      </c>
      <c r="Q3765">
        <v>0</v>
      </c>
    </row>
    <row r="3766" spans="1:17" x14ac:dyDescent="0.3">
      <c r="A3766" t="s">
        <v>17</v>
      </c>
      <c r="B3766">
        <v>69</v>
      </c>
      <c r="C3766" t="s">
        <v>297</v>
      </c>
      <c r="D3766" s="2">
        <v>46081</v>
      </c>
      <c r="E3766" s="3">
        <f t="shared" si="58"/>
        <v>46054</v>
      </c>
      <c r="F3766" t="s">
        <v>3150</v>
      </c>
      <c r="H3766" s="4">
        <v>24.41</v>
      </c>
      <c r="I3766" t="s">
        <v>31</v>
      </c>
      <c r="J3766" t="s">
        <v>360</v>
      </c>
      <c r="L3766" s="2">
        <v>46054</v>
      </c>
      <c r="M3766" t="s">
        <v>361</v>
      </c>
      <c r="N3766">
        <v>0</v>
      </c>
      <c r="O3766" t="s">
        <v>31</v>
      </c>
      <c r="P3766" t="s">
        <v>297</v>
      </c>
      <c r="Q3766">
        <v>0</v>
      </c>
    </row>
    <row r="3767" spans="1:17" x14ac:dyDescent="0.3">
      <c r="A3767" t="s">
        <v>17</v>
      </c>
      <c r="B3767">
        <v>69</v>
      </c>
      <c r="C3767" t="s">
        <v>297</v>
      </c>
      <c r="D3767" s="2">
        <v>46081</v>
      </c>
      <c r="E3767" s="3">
        <f t="shared" si="58"/>
        <v>46054</v>
      </c>
      <c r="F3767" t="s">
        <v>3150</v>
      </c>
      <c r="H3767" s="4">
        <v>27.49</v>
      </c>
      <c r="I3767" t="s">
        <v>108</v>
      </c>
      <c r="J3767" t="s">
        <v>360</v>
      </c>
      <c r="L3767" s="2">
        <v>46054</v>
      </c>
      <c r="M3767" t="s">
        <v>361</v>
      </c>
      <c r="N3767">
        <v>0</v>
      </c>
      <c r="O3767" t="s">
        <v>111</v>
      </c>
      <c r="P3767" t="s">
        <v>297</v>
      </c>
      <c r="Q3767">
        <v>0</v>
      </c>
    </row>
    <row r="3768" spans="1:17" x14ac:dyDescent="0.3">
      <c r="A3768" t="s">
        <v>17</v>
      </c>
      <c r="B3768">
        <v>69</v>
      </c>
      <c r="C3768" t="s">
        <v>297</v>
      </c>
      <c r="D3768" s="2">
        <v>46081</v>
      </c>
      <c r="E3768" s="3">
        <f t="shared" si="58"/>
        <v>46054</v>
      </c>
      <c r="F3768" t="s">
        <v>3150</v>
      </c>
      <c r="H3768" s="4">
        <v>58.03</v>
      </c>
      <c r="I3768" t="s">
        <v>31</v>
      </c>
      <c r="J3768" t="s">
        <v>349</v>
      </c>
      <c r="L3768" s="2">
        <v>46054</v>
      </c>
      <c r="M3768" t="s">
        <v>350</v>
      </c>
      <c r="N3768">
        <v>0</v>
      </c>
      <c r="O3768" t="s">
        <v>31</v>
      </c>
      <c r="P3768" t="s">
        <v>297</v>
      </c>
      <c r="Q3768">
        <v>0</v>
      </c>
    </row>
    <row r="3769" spans="1:17" x14ac:dyDescent="0.3">
      <c r="A3769" t="s">
        <v>17</v>
      </c>
      <c r="B3769">
        <v>69</v>
      </c>
      <c r="C3769" t="s">
        <v>297</v>
      </c>
      <c r="D3769" s="2">
        <v>46081</v>
      </c>
      <c r="E3769" s="3">
        <f t="shared" si="58"/>
        <v>46054</v>
      </c>
      <c r="F3769" t="s">
        <v>3151</v>
      </c>
      <c r="H3769" s="4">
        <v>-21.2</v>
      </c>
      <c r="I3769" t="s">
        <v>137</v>
      </c>
      <c r="J3769" t="s">
        <v>349</v>
      </c>
      <c r="L3769" s="2">
        <v>46054</v>
      </c>
      <c r="M3769" t="s">
        <v>350</v>
      </c>
      <c r="N3769" t="s">
        <v>141</v>
      </c>
      <c r="O3769" t="s">
        <v>141</v>
      </c>
      <c r="P3769" t="s">
        <v>297</v>
      </c>
      <c r="Q3769">
        <v>0</v>
      </c>
    </row>
    <row r="3770" spans="1:17" x14ac:dyDescent="0.3">
      <c r="A3770" t="s">
        <v>17</v>
      </c>
      <c r="B3770">
        <v>69</v>
      </c>
      <c r="C3770" t="s">
        <v>297</v>
      </c>
      <c r="D3770" s="2">
        <v>46081</v>
      </c>
      <c r="E3770" s="3">
        <f t="shared" si="58"/>
        <v>46054</v>
      </c>
      <c r="F3770" t="s">
        <v>3150</v>
      </c>
      <c r="H3770" s="4">
        <v>238.78</v>
      </c>
      <c r="I3770" t="s">
        <v>137</v>
      </c>
      <c r="J3770" t="s">
        <v>349</v>
      </c>
      <c r="L3770" s="2">
        <v>46054</v>
      </c>
      <c r="M3770" t="s">
        <v>350</v>
      </c>
      <c r="N3770" t="s">
        <v>141</v>
      </c>
      <c r="O3770" t="s">
        <v>141</v>
      </c>
      <c r="P3770" t="s">
        <v>297</v>
      </c>
      <c r="Q3770">
        <v>0</v>
      </c>
    </row>
    <row r="3771" spans="1:17" x14ac:dyDescent="0.3">
      <c r="A3771" t="s">
        <v>17</v>
      </c>
      <c r="B3771">
        <v>69</v>
      </c>
      <c r="C3771" t="s">
        <v>297</v>
      </c>
      <c r="D3771" s="2">
        <v>46081</v>
      </c>
      <c r="E3771" s="3">
        <f t="shared" si="58"/>
        <v>46054</v>
      </c>
      <c r="F3771" t="s">
        <v>3150</v>
      </c>
      <c r="H3771" s="4">
        <v>3482.05</v>
      </c>
      <c r="I3771" t="s">
        <v>31</v>
      </c>
      <c r="J3771" t="s">
        <v>346</v>
      </c>
      <c r="L3771" s="2">
        <v>46054</v>
      </c>
      <c r="M3771" t="s">
        <v>347</v>
      </c>
      <c r="N3771">
        <v>0</v>
      </c>
      <c r="O3771" t="s">
        <v>31</v>
      </c>
      <c r="P3771" t="s">
        <v>297</v>
      </c>
      <c r="Q3771">
        <v>0</v>
      </c>
    </row>
    <row r="3772" spans="1:17" x14ac:dyDescent="0.3">
      <c r="A3772" t="s">
        <v>17</v>
      </c>
      <c r="B3772">
        <v>69</v>
      </c>
      <c r="C3772" t="s">
        <v>297</v>
      </c>
      <c r="D3772" s="2">
        <v>46081</v>
      </c>
      <c r="E3772" s="3">
        <f t="shared" si="58"/>
        <v>46054</v>
      </c>
      <c r="F3772" t="s">
        <v>3150</v>
      </c>
      <c r="H3772" s="4">
        <v>216.66</v>
      </c>
      <c r="I3772" t="s">
        <v>104</v>
      </c>
      <c r="J3772" t="s">
        <v>346</v>
      </c>
      <c r="L3772" s="2">
        <v>46054</v>
      </c>
      <c r="M3772" t="s">
        <v>347</v>
      </c>
      <c r="N3772">
        <v>0</v>
      </c>
      <c r="O3772" t="s">
        <v>104</v>
      </c>
      <c r="P3772" t="s">
        <v>297</v>
      </c>
      <c r="Q3772">
        <v>0</v>
      </c>
    </row>
    <row r="3773" spans="1:17" x14ac:dyDescent="0.3">
      <c r="A3773" t="s">
        <v>17</v>
      </c>
      <c r="B3773">
        <v>69</v>
      </c>
      <c r="C3773" t="s">
        <v>297</v>
      </c>
      <c r="D3773" s="2">
        <v>46081</v>
      </c>
      <c r="E3773" s="3">
        <f t="shared" si="58"/>
        <v>46054</v>
      </c>
      <c r="F3773" t="s">
        <v>3150</v>
      </c>
      <c r="H3773" s="4">
        <v>274.3</v>
      </c>
      <c r="I3773" t="s">
        <v>21</v>
      </c>
      <c r="J3773" t="s">
        <v>346</v>
      </c>
      <c r="L3773" s="2">
        <v>46054</v>
      </c>
      <c r="M3773" t="s">
        <v>347</v>
      </c>
      <c r="N3773" t="s">
        <v>25</v>
      </c>
      <c r="O3773" t="s">
        <v>81</v>
      </c>
      <c r="P3773" t="s">
        <v>297</v>
      </c>
      <c r="Q3773">
        <v>0</v>
      </c>
    </row>
    <row r="3774" spans="1:17" x14ac:dyDescent="0.3">
      <c r="A3774" t="s">
        <v>17</v>
      </c>
      <c r="B3774">
        <v>69</v>
      </c>
      <c r="C3774" t="s">
        <v>297</v>
      </c>
      <c r="D3774" s="2">
        <v>46081</v>
      </c>
      <c r="E3774" s="3">
        <f t="shared" si="58"/>
        <v>46054</v>
      </c>
      <c r="F3774" t="s">
        <v>3150</v>
      </c>
      <c r="H3774" s="4">
        <v>66.72</v>
      </c>
      <c r="I3774" t="s">
        <v>159</v>
      </c>
      <c r="J3774" t="s">
        <v>346</v>
      </c>
      <c r="L3774" s="2">
        <v>46054</v>
      </c>
      <c r="M3774" t="s">
        <v>347</v>
      </c>
      <c r="N3774">
        <v>0</v>
      </c>
      <c r="O3774" t="s">
        <v>159</v>
      </c>
      <c r="P3774" t="s">
        <v>297</v>
      </c>
      <c r="Q3774">
        <v>0</v>
      </c>
    </row>
    <row r="3775" spans="1:17" x14ac:dyDescent="0.3">
      <c r="A3775" t="s">
        <v>17</v>
      </c>
      <c r="B3775">
        <v>69</v>
      </c>
      <c r="C3775" t="s">
        <v>297</v>
      </c>
      <c r="D3775" s="2">
        <v>46081</v>
      </c>
      <c r="E3775" s="3">
        <f t="shared" si="58"/>
        <v>46054</v>
      </c>
      <c r="F3775" t="s">
        <v>3150</v>
      </c>
      <c r="H3775" s="4">
        <v>149.81</v>
      </c>
      <c r="I3775" t="s">
        <v>47</v>
      </c>
      <c r="J3775" t="s">
        <v>346</v>
      </c>
      <c r="L3775" s="2">
        <v>46054</v>
      </c>
      <c r="M3775" t="s">
        <v>347</v>
      </c>
      <c r="N3775">
        <v>0</v>
      </c>
      <c r="O3775" t="s">
        <v>26</v>
      </c>
      <c r="P3775" t="s">
        <v>297</v>
      </c>
      <c r="Q3775">
        <v>0</v>
      </c>
    </row>
    <row r="3776" spans="1:17" x14ac:dyDescent="0.3">
      <c r="A3776" t="s">
        <v>17</v>
      </c>
      <c r="B3776">
        <v>69</v>
      </c>
      <c r="C3776" t="s">
        <v>297</v>
      </c>
      <c r="D3776" s="2">
        <v>46081</v>
      </c>
      <c r="E3776" s="3">
        <f t="shared" si="58"/>
        <v>46054</v>
      </c>
      <c r="F3776" t="s">
        <v>3150</v>
      </c>
      <c r="H3776" s="4">
        <v>33.57</v>
      </c>
      <c r="I3776" t="s">
        <v>348</v>
      </c>
      <c r="J3776" t="s">
        <v>346</v>
      </c>
      <c r="L3776" s="2">
        <v>46054</v>
      </c>
      <c r="M3776" t="s">
        <v>347</v>
      </c>
      <c r="N3776">
        <v>0</v>
      </c>
      <c r="O3776" t="s">
        <v>348</v>
      </c>
      <c r="P3776" t="s">
        <v>297</v>
      </c>
      <c r="Q3776">
        <v>0</v>
      </c>
    </row>
    <row r="3777" spans="1:17" x14ac:dyDescent="0.3">
      <c r="A3777" t="s">
        <v>17</v>
      </c>
      <c r="B3777">
        <v>69</v>
      </c>
      <c r="C3777" t="s">
        <v>297</v>
      </c>
      <c r="D3777" s="2">
        <v>46081</v>
      </c>
      <c r="E3777" s="3">
        <f t="shared" si="58"/>
        <v>46054</v>
      </c>
      <c r="F3777" t="s">
        <v>3150</v>
      </c>
      <c r="H3777" s="4">
        <v>156.94</v>
      </c>
      <c r="I3777" t="s">
        <v>108</v>
      </c>
      <c r="J3777" t="s">
        <v>346</v>
      </c>
      <c r="L3777" s="2">
        <v>46054</v>
      </c>
      <c r="M3777" t="s">
        <v>347</v>
      </c>
      <c r="N3777">
        <v>0</v>
      </c>
      <c r="O3777" t="s">
        <v>111</v>
      </c>
      <c r="P3777" t="s">
        <v>297</v>
      </c>
      <c r="Q3777">
        <v>0</v>
      </c>
    </row>
    <row r="3778" spans="1:17" x14ac:dyDescent="0.3">
      <c r="A3778" t="s">
        <v>17</v>
      </c>
      <c r="B3778">
        <v>69</v>
      </c>
      <c r="C3778" t="s">
        <v>297</v>
      </c>
      <c r="D3778" s="2">
        <v>46081</v>
      </c>
      <c r="E3778" s="3">
        <f t="shared" si="58"/>
        <v>46054</v>
      </c>
      <c r="F3778" t="s">
        <v>3150</v>
      </c>
      <c r="H3778" s="4">
        <v>113.67</v>
      </c>
      <c r="I3778" t="s">
        <v>137</v>
      </c>
      <c r="J3778" t="s">
        <v>346</v>
      </c>
      <c r="L3778" s="2">
        <v>46054</v>
      </c>
      <c r="M3778" t="s">
        <v>347</v>
      </c>
      <c r="N3778" t="s">
        <v>141</v>
      </c>
      <c r="O3778" t="s">
        <v>141</v>
      </c>
      <c r="P3778" t="s">
        <v>297</v>
      </c>
      <c r="Q3778">
        <v>0</v>
      </c>
    </row>
    <row r="3779" spans="1:17" x14ac:dyDescent="0.3">
      <c r="A3779" t="s">
        <v>17</v>
      </c>
      <c r="B3779">
        <v>69</v>
      </c>
      <c r="C3779" t="s">
        <v>297</v>
      </c>
      <c r="D3779" s="2">
        <v>46081</v>
      </c>
      <c r="E3779" s="3">
        <f t="shared" ref="E3779:E3842" si="59">IF($D3779="","",DATE(YEAR($D3779),MONTH($D3779),1))</f>
        <v>46054</v>
      </c>
      <c r="F3779" t="s">
        <v>3152</v>
      </c>
      <c r="H3779" s="4">
        <v>1954.72</v>
      </c>
      <c r="I3779" t="s">
        <v>31</v>
      </c>
      <c r="J3779" t="s">
        <v>299</v>
      </c>
      <c r="K3779" t="s">
        <v>300</v>
      </c>
      <c r="L3779" s="2">
        <v>46054</v>
      </c>
      <c r="M3779" t="s">
        <v>301</v>
      </c>
      <c r="N3779">
        <v>0</v>
      </c>
      <c r="O3779" t="s">
        <v>31</v>
      </c>
      <c r="P3779" t="s">
        <v>297</v>
      </c>
      <c r="Q3779">
        <v>0</v>
      </c>
    </row>
    <row r="3780" spans="1:17" x14ac:dyDescent="0.3">
      <c r="A3780" t="s">
        <v>17</v>
      </c>
      <c r="B3780">
        <v>65</v>
      </c>
      <c r="C3780" t="s">
        <v>54</v>
      </c>
      <c r="D3780" s="2">
        <v>46081</v>
      </c>
      <c r="E3780" s="3">
        <f t="shared" si="59"/>
        <v>46054</v>
      </c>
      <c r="F3780" t="s">
        <v>3006</v>
      </c>
      <c r="H3780" s="4">
        <v>23940.66</v>
      </c>
      <c r="I3780" t="s">
        <v>31</v>
      </c>
      <c r="J3780" t="s">
        <v>296</v>
      </c>
      <c r="L3780" s="2">
        <v>46054</v>
      </c>
      <c r="M3780" t="s">
        <v>296</v>
      </c>
      <c r="N3780">
        <v>0</v>
      </c>
      <c r="O3780" t="s">
        <v>31</v>
      </c>
      <c r="P3780" t="s">
        <v>54</v>
      </c>
      <c r="Q3780">
        <v>0</v>
      </c>
    </row>
    <row r="3781" spans="1:17" x14ac:dyDescent="0.3">
      <c r="A3781" t="s">
        <v>17</v>
      </c>
      <c r="B3781">
        <v>65</v>
      </c>
      <c r="C3781" t="s">
        <v>54</v>
      </c>
      <c r="D3781" s="2">
        <v>46081</v>
      </c>
      <c r="E3781" s="3">
        <f t="shared" si="59"/>
        <v>46054</v>
      </c>
      <c r="F3781" t="s">
        <v>3006</v>
      </c>
      <c r="H3781" s="4">
        <v>603.69000000000005</v>
      </c>
      <c r="I3781" t="s">
        <v>31</v>
      </c>
      <c r="J3781" t="s">
        <v>296</v>
      </c>
      <c r="L3781" s="2">
        <v>46054</v>
      </c>
      <c r="M3781" t="s">
        <v>296</v>
      </c>
      <c r="N3781">
        <v>0</v>
      </c>
      <c r="O3781" t="s">
        <v>31</v>
      </c>
      <c r="P3781" t="s">
        <v>54</v>
      </c>
      <c r="Q3781">
        <v>0</v>
      </c>
    </row>
    <row r="3782" spans="1:17" x14ac:dyDescent="0.3">
      <c r="A3782" t="s">
        <v>17</v>
      </c>
      <c r="B3782">
        <v>64</v>
      </c>
      <c r="C3782" t="s">
        <v>83</v>
      </c>
      <c r="D3782" s="2">
        <v>46086</v>
      </c>
      <c r="E3782" s="3">
        <f t="shared" si="59"/>
        <v>46082</v>
      </c>
      <c r="F3782" t="s">
        <v>3153</v>
      </c>
      <c r="G3782" t="s">
        <v>174</v>
      </c>
      <c r="H3782" s="4">
        <v>138.57</v>
      </c>
      <c r="I3782" t="s">
        <v>31</v>
      </c>
      <c r="J3782" t="s">
        <v>91</v>
      </c>
      <c r="K3782" t="s">
        <v>1201</v>
      </c>
      <c r="L3782" s="2">
        <v>46082</v>
      </c>
      <c r="M3782" t="s">
        <v>93</v>
      </c>
      <c r="N3782">
        <v>0</v>
      </c>
      <c r="O3782" t="s">
        <v>31</v>
      </c>
      <c r="P3782" t="s">
        <v>83</v>
      </c>
      <c r="Q3782">
        <v>0</v>
      </c>
    </row>
    <row r="3783" spans="1:17" x14ac:dyDescent="0.3">
      <c r="A3783" t="s">
        <v>17</v>
      </c>
      <c r="B3783">
        <v>64</v>
      </c>
      <c r="C3783" t="s">
        <v>83</v>
      </c>
      <c r="D3783" s="2">
        <v>46086</v>
      </c>
      <c r="E3783" s="3">
        <f t="shared" si="59"/>
        <v>46082</v>
      </c>
      <c r="F3783" t="s">
        <v>3153</v>
      </c>
      <c r="G3783" t="s">
        <v>174</v>
      </c>
      <c r="H3783" s="4">
        <v>13.64</v>
      </c>
      <c r="I3783" t="s">
        <v>31</v>
      </c>
      <c r="J3783" t="s">
        <v>91</v>
      </c>
      <c r="K3783" t="s">
        <v>1201</v>
      </c>
      <c r="L3783" s="2">
        <v>46082</v>
      </c>
      <c r="M3783" t="s">
        <v>93</v>
      </c>
      <c r="N3783">
        <v>0</v>
      </c>
      <c r="O3783" t="s">
        <v>31</v>
      </c>
      <c r="P3783" t="s">
        <v>83</v>
      </c>
      <c r="Q3783">
        <v>0</v>
      </c>
    </row>
    <row r="3784" spans="1:17" x14ac:dyDescent="0.3">
      <c r="A3784" t="s">
        <v>17</v>
      </c>
      <c r="B3784">
        <v>64</v>
      </c>
      <c r="C3784" t="s">
        <v>83</v>
      </c>
      <c r="D3784" s="2">
        <v>46086</v>
      </c>
      <c r="E3784" s="3">
        <f t="shared" si="59"/>
        <v>46082</v>
      </c>
      <c r="F3784" t="s">
        <v>3153</v>
      </c>
      <c r="G3784" t="s">
        <v>174</v>
      </c>
      <c r="H3784" s="4">
        <v>85.58</v>
      </c>
      <c r="I3784" t="s">
        <v>31</v>
      </c>
      <c r="J3784" t="s">
        <v>91</v>
      </c>
      <c r="K3784" t="s">
        <v>1201</v>
      </c>
      <c r="L3784" s="2">
        <v>46082</v>
      </c>
      <c r="M3784" t="s">
        <v>93</v>
      </c>
      <c r="N3784">
        <v>0</v>
      </c>
      <c r="O3784" t="s">
        <v>31</v>
      </c>
      <c r="P3784" t="s">
        <v>83</v>
      </c>
      <c r="Q3784">
        <v>0</v>
      </c>
    </row>
    <row r="3785" spans="1:17" x14ac:dyDescent="0.3">
      <c r="A3785" t="s">
        <v>17</v>
      </c>
      <c r="B3785">
        <v>64</v>
      </c>
      <c r="C3785" t="s">
        <v>83</v>
      </c>
      <c r="D3785" s="2">
        <v>46086</v>
      </c>
      <c r="E3785" s="3">
        <f t="shared" si="59"/>
        <v>46082</v>
      </c>
      <c r="F3785" t="s">
        <v>3153</v>
      </c>
      <c r="H3785" s="4">
        <v>28.98</v>
      </c>
      <c r="I3785" t="s">
        <v>31</v>
      </c>
      <c r="J3785" t="s">
        <v>91</v>
      </c>
      <c r="K3785" t="s">
        <v>2192</v>
      </c>
      <c r="L3785" s="2">
        <v>46082</v>
      </c>
      <c r="M3785" t="s">
        <v>93</v>
      </c>
      <c r="N3785">
        <v>0</v>
      </c>
      <c r="O3785" t="s">
        <v>31</v>
      </c>
      <c r="P3785" t="s">
        <v>83</v>
      </c>
      <c r="Q3785">
        <v>0</v>
      </c>
    </row>
    <row r="3786" spans="1:17" x14ac:dyDescent="0.3">
      <c r="A3786" t="s">
        <v>17</v>
      </c>
      <c r="B3786">
        <v>64</v>
      </c>
      <c r="C3786" t="s">
        <v>83</v>
      </c>
      <c r="D3786" s="2">
        <v>46094</v>
      </c>
      <c r="E3786" s="3">
        <f t="shared" si="59"/>
        <v>46082</v>
      </c>
      <c r="F3786" t="s">
        <v>3154</v>
      </c>
      <c r="H3786" s="4">
        <v>25.04</v>
      </c>
      <c r="I3786" t="s">
        <v>31</v>
      </c>
      <c r="J3786" t="s">
        <v>91</v>
      </c>
      <c r="K3786" t="s">
        <v>3155</v>
      </c>
      <c r="L3786" s="2">
        <v>46082</v>
      </c>
      <c r="M3786" t="s">
        <v>93</v>
      </c>
      <c r="N3786">
        <v>0</v>
      </c>
      <c r="O3786" t="s">
        <v>31</v>
      </c>
      <c r="P3786" t="s">
        <v>83</v>
      </c>
      <c r="Q3786">
        <v>0</v>
      </c>
    </row>
    <row r="3787" spans="1:17" x14ac:dyDescent="0.3">
      <c r="A3787" t="s">
        <v>17</v>
      </c>
      <c r="B3787">
        <v>64</v>
      </c>
      <c r="C3787" t="s">
        <v>83</v>
      </c>
      <c r="D3787" s="2">
        <v>46094</v>
      </c>
      <c r="E3787" s="3">
        <f t="shared" si="59"/>
        <v>46082</v>
      </c>
      <c r="F3787" t="s">
        <v>3154</v>
      </c>
      <c r="H3787" s="4">
        <v>12.52</v>
      </c>
      <c r="I3787" t="s">
        <v>31</v>
      </c>
      <c r="J3787" t="s">
        <v>91</v>
      </c>
      <c r="K3787" t="s">
        <v>2914</v>
      </c>
      <c r="L3787" s="2">
        <v>46082</v>
      </c>
      <c r="M3787" t="s">
        <v>93</v>
      </c>
      <c r="N3787">
        <v>0</v>
      </c>
      <c r="O3787" t="s">
        <v>31</v>
      </c>
      <c r="P3787" t="s">
        <v>83</v>
      </c>
      <c r="Q3787">
        <v>0</v>
      </c>
    </row>
    <row r="3788" spans="1:17" x14ac:dyDescent="0.3">
      <c r="A3788" t="s">
        <v>17</v>
      </c>
      <c r="B3788">
        <v>64</v>
      </c>
      <c r="C3788" t="s">
        <v>83</v>
      </c>
      <c r="D3788" s="2">
        <v>46097</v>
      </c>
      <c r="E3788" s="3">
        <f t="shared" si="59"/>
        <v>46082</v>
      </c>
      <c r="F3788" t="s">
        <v>3156</v>
      </c>
      <c r="H3788" s="4">
        <v>10.42</v>
      </c>
      <c r="I3788" t="s">
        <v>159</v>
      </c>
      <c r="J3788" t="s">
        <v>91</v>
      </c>
      <c r="K3788" t="s">
        <v>3157</v>
      </c>
      <c r="L3788" s="2">
        <v>46082</v>
      </c>
      <c r="M3788" t="s">
        <v>93</v>
      </c>
      <c r="N3788">
        <v>0</v>
      </c>
      <c r="O3788" t="s">
        <v>159</v>
      </c>
      <c r="P3788" t="s">
        <v>83</v>
      </c>
      <c r="Q3788">
        <v>0</v>
      </c>
    </row>
    <row r="3789" spans="1:17" x14ac:dyDescent="0.3">
      <c r="A3789" t="s">
        <v>17</v>
      </c>
      <c r="B3789">
        <v>64</v>
      </c>
      <c r="C3789" t="s">
        <v>83</v>
      </c>
      <c r="D3789" s="2">
        <v>46097</v>
      </c>
      <c r="E3789" s="3">
        <f t="shared" si="59"/>
        <v>46082</v>
      </c>
      <c r="F3789" t="s">
        <v>3156</v>
      </c>
      <c r="H3789" s="4">
        <v>60.78</v>
      </c>
      <c r="I3789" t="s">
        <v>159</v>
      </c>
      <c r="J3789" t="s">
        <v>91</v>
      </c>
      <c r="K3789" t="s">
        <v>3157</v>
      </c>
      <c r="L3789" s="2">
        <v>46082</v>
      </c>
      <c r="M3789" t="s">
        <v>93</v>
      </c>
      <c r="N3789">
        <v>0</v>
      </c>
      <c r="O3789" t="s">
        <v>159</v>
      </c>
      <c r="P3789" t="s">
        <v>83</v>
      </c>
      <c r="Q3789">
        <v>0</v>
      </c>
    </row>
    <row r="3790" spans="1:17" x14ac:dyDescent="0.3">
      <c r="A3790" t="s">
        <v>17</v>
      </c>
      <c r="B3790">
        <v>64</v>
      </c>
      <c r="C3790" t="s">
        <v>83</v>
      </c>
      <c r="D3790" s="2">
        <v>46097</v>
      </c>
      <c r="E3790" s="3">
        <f t="shared" si="59"/>
        <v>46082</v>
      </c>
      <c r="F3790" t="s">
        <v>3156</v>
      </c>
      <c r="H3790" s="4">
        <v>130.4</v>
      </c>
      <c r="I3790" t="s">
        <v>159</v>
      </c>
      <c r="J3790" t="s">
        <v>91</v>
      </c>
      <c r="K3790" t="s">
        <v>2791</v>
      </c>
      <c r="L3790" s="2">
        <v>46082</v>
      </c>
      <c r="M3790" t="s">
        <v>93</v>
      </c>
      <c r="N3790">
        <v>0</v>
      </c>
      <c r="O3790" t="s">
        <v>159</v>
      </c>
      <c r="P3790" t="s">
        <v>83</v>
      </c>
      <c r="Q3790">
        <v>0</v>
      </c>
    </row>
    <row r="3791" spans="1:17" x14ac:dyDescent="0.3">
      <c r="A3791" t="s">
        <v>17</v>
      </c>
      <c r="B3791">
        <v>64</v>
      </c>
      <c r="C3791" t="s">
        <v>83</v>
      </c>
      <c r="D3791" s="2">
        <v>46097</v>
      </c>
      <c r="E3791" s="3">
        <f t="shared" si="59"/>
        <v>46082</v>
      </c>
      <c r="F3791" t="s">
        <v>3156</v>
      </c>
      <c r="H3791" s="4">
        <v>21.97</v>
      </c>
      <c r="I3791" t="s">
        <v>159</v>
      </c>
      <c r="J3791" t="s">
        <v>91</v>
      </c>
      <c r="K3791" t="s">
        <v>3158</v>
      </c>
      <c r="L3791" s="2">
        <v>46082</v>
      </c>
      <c r="M3791" t="s">
        <v>93</v>
      </c>
      <c r="N3791">
        <v>0</v>
      </c>
      <c r="O3791" t="s">
        <v>159</v>
      </c>
      <c r="P3791" t="s">
        <v>83</v>
      </c>
      <c r="Q3791">
        <v>0</v>
      </c>
    </row>
    <row r="3792" spans="1:17" x14ac:dyDescent="0.3">
      <c r="A3792" t="s">
        <v>17</v>
      </c>
      <c r="B3792">
        <v>64</v>
      </c>
      <c r="C3792" t="s">
        <v>83</v>
      </c>
      <c r="D3792" s="2">
        <v>46097</v>
      </c>
      <c r="E3792" s="3">
        <f t="shared" si="59"/>
        <v>46082</v>
      </c>
      <c r="F3792" t="s">
        <v>3156</v>
      </c>
      <c r="H3792" s="4">
        <v>325</v>
      </c>
      <c r="I3792" t="s">
        <v>159</v>
      </c>
      <c r="J3792" t="s">
        <v>91</v>
      </c>
      <c r="K3792" t="s">
        <v>3159</v>
      </c>
      <c r="L3792" s="2">
        <v>46082</v>
      </c>
      <c r="M3792" t="s">
        <v>93</v>
      </c>
      <c r="N3792">
        <v>0</v>
      </c>
      <c r="O3792" t="s">
        <v>159</v>
      </c>
      <c r="P3792" t="s">
        <v>83</v>
      </c>
      <c r="Q3792">
        <v>0</v>
      </c>
    </row>
    <row r="3793" spans="1:17" x14ac:dyDescent="0.3">
      <c r="A3793" t="s">
        <v>17</v>
      </c>
      <c r="B3793">
        <v>64</v>
      </c>
      <c r="C3793" t="s">
        <v>83</v>
      </c>
      <c r="D3793" s="2">
        <v>46097</v>
      </c>
      <c r="E3793" s="3">
        <f t="shared" si="59"/>
        <v>46082</v>
      </c>
      <c r="F3793" t="s">
        <v>3156</v>
      </c>
      <c r="G3793" t="s">
        <v>158</v>
      </c>
      <c r="H3793" s="4">
        <v>81.42</v>
      </c>
      <c r="I3793" t="s">
        <v>159</v>
      </c>
      <c r="J3793" t="s">
        <v>91</v>
      </c>
      <c r="K3793" t="s">
        <v>3160</v>
      </c>
      <c r="L3793" s="2">
        <v>46082</v>
      </c>
      <c r="M3793" t="s">
        <v>93</v>
      </c>
      <c r="N3793">
        <v>0</v>
      </c>
      <c r="O3793" t="s">
        <v>159</v>
      </c>
      <c r="P3793" t="s">
        <v>83</v>
      </c>
      <c r="Q3793">
        <v>0</v>
      </c>
    </row>
    <row r="3794" spans="1:17" x14ac:dyDescent="0.3">
      <c r="A3794" t="s">
        <v>17</v>
      </c>
      <c r="B3794">
        <v>64</v>
      </c>
      <c r="C3794" t="s">
        <v>83</v>
      </c>
      <c r="D3794" s="2">
        <v>46097</v>
      </c>
      <c r="E3794" s="3">
        <f t="shared" si="59"/>
        <v>46082</v>
      </c>
      <c r="F3794" t="s">
        <v>3156</v>
      </c>
      <c r="H3794" s="4">
        <v>100.96</v>
      </c>
      <c r="I3794" t="s">
        <v>159</v>
      </c>
      <c r="J3794" t="s">
        <v>91</v>
      </c>
      <c r="K3794" t="s">
        <v>3161</v>
      </c>
      <c r="L3794" s="2">
        <v>46082</v>
      </c>
      <c r="M3794" t="s">
        <v>93</v>
      </c>
      <c r="N3794">
        <v>0</v>
      </c>
      <c r="O3794" t="s">
        <v>159</v>
      </c>
      <c r="P3794" t="s">
        <v>83</v>
      </c>
      <c r="Q3794">
        <v>0</v>
      </c>
    </row>
    <row r="3795" spans="1:17" x14ac:dyDescent="0.3">
      <c r="A3795" t="s">
        <v>17</v>
      </c>
      <c r="B3795">
        <v>64</v>
      </c>
      <c r="C3795" t="s">
        <v>83</v>
      </c>
      <c r="D3795" s="2">
        <v>46097</v>
      </c>
      <c r="E3795" s="3">
        <f t="shared" si="59"/>
        <v>46082</v>
      </c>
      <c r="F3795" t="s">
        <v>3156</v>
      </c>
      <c r="H3795" s="4">
        <v>329.72</v>
      </c>
      <c r="I3795" t="s">
        <v>159</v>
      </c>
      <c r="J3795" t="s">
        <v>91</v>
      </c>
      <c r="K3795" t="s">
        <v>3162</v>
      </c>
      <c r="L3795" s="2">
        <v>46082</v>
      </c>
      <c r="M3795" t="s">
        <v>93</v>
      </c>
      <c r="N3795">
        <v>0</v>
      </c>
      <c r="O3795" t="s">
        <v>159</v>
      </c>
      <c r="P3795" t="s">
        <v>83</v>
      </c>
      <c r="Q3795">
        <v>0</v>
      </c>
    </row>
    <row r="3796" spans="1:17" x14ac:dyDescent="0.3">
      <c r="A3796" t="s">
        <v>17</v>
      </c>
      <c r="B3796">
        <v>64</v>
      </c>
      <c r="C3796" t="s">
        <v>83</v>
      </c>
      <c r="D3796" s="2">
        <v>46097</v>
      </c>
      <c r="E3796" s="3">
        <f t="shared" si="59"/>
        <v>46082</v>
      </c>
      <c r="F3796" t="s">
        <v>3156</v>
      </c>
      <c r="G3796" t="s">
        <v>158</v>
      </c>
      <c r="H3796" s="4">
        <v>86.75</v>
      </c>
      <c r="I3796" t="s">
        <v>159</v>
      </c>
      <c r="J3796" t="s">
        <v>91</v>
      </c>
      <c r="K3796" t="s">
        <v>165</v>
      </c>
      <c r="L3796" s="2">
        <v>46082</v>
      </c>
      <c r="M3796" t="s">
        <v>93</v>
      </c>
      <c r="N3796">
        <v>0</v>
      </c>
      <c r="O3796" t="s">
        <v>159</v>
      </c>
      <c r="P3796" t="s">
        <v>83</v>
      </c>
      <c r="Q3796">
        <v>0</v>
      </c>
    </row>
    <row r="3797" spans="1:17" x14ac:dyDescent="0.3">
      <c r="A3797" t="s">
        <v>17</v>
      </c>
      <c r="B3797">
        <v>64</v>
      </c>
      <c r="C3797" t="s">
        <v>83</v>
      </c>
      <c r="D3797" s="2">
        <v>46097</v>
      </c>
      <c r="E3797" s="3">
        <f t="shared" si="59"/>
        <v>46082</v>
      </c>
      <c r="F3797" t="s">
        <v>3156</v>
      </c>
      <c r="G3797" t="s">
        <v>158</v>
      </c>
      <c r="H3797" s="4">
        <v>46.47</v>
      </c>
      <c r="I3797" t="s">
        <v>159</v>
      </c>
      <c r="J3797" t="s">
        <v>91</v>
      </c>
      <c r="K3797" t="s">
        <v>165</v>
      </c>
      <c r="L3797" s="2">
        <v>46082</v>
      </c>
      <c r="M3797" t="s">
        <v>93</v>
      </c>
      <c r="N3797">
        <v>0</v>
      </c>
      <c r="O3797" t="s">
        <v>159</v>
      </c>
      <c r="P3797" t="s">
        <v>83</v>
      </c>
      <c r="Q3797">
        <v>0</v>
      </c>
    </row>
    <row r="3798" spans="1:17" x14ac:dyDescent="0.3">
      <c r="A3798" t="s">
        <v>17</v>
      </c>
      <c r="B3798">
        <v>64</v>
      </c>
      <c r="C3798" t="s">
        <v>83</v>
      </c>
      <c r="D3798" s="2">
        <v>46103</v>
      </c>
      <c r="E3798" s="3">
        <f t="shared" si="59"/>
        <v>46082</v>
      </c>
      <c r="F3798" t="s">
        <v>3163</v>
      </c>
      <c r="G3798" t="s">
        <v>824</v>
      </c>
      <c r="H3798" s="4">
        <v>127.48</v>
      </c>
      <c r="I3798" t="s">
        <v>108</v>
      </c>
      <c r="J3798" t="s">
        <v>91</v>
      </c>
      <c r="K3798" t="s">
        <v>825</v>
      </c>
      <c r="L3798" s="2">
        <v>46082</v>
      </c>
      <c r="M3798" t="s">
        <v>93</v>
      </c>
      <c r="N3798">
        <v>0</v>
      </c>
      <c r="O3798" t="s">
        <v>111</v>
      </c>
      <c r="P3798" t="s">
        <v>83</v>
      </c>
      <c r="Q3798">
        <v>0</v>
      </c>
    </row>
    <row r="3799" spans="1:17" x14ac:dyDescent="0.3">
      <c r="A3799" t="s">
        <v>17</v>
      </c>
      <c r="B3799">
        <v>64</v>
      </c>
      <c r="C3799" t="s">
        <v>83</v>
      </c>
      <c r="D3799" s="2">
        <v>46112</v>
      </c>
      <c r="E3799" s="3">
        <f t="shared" si="59"/>
        <v>46082</v>
      </c>
      <c r="F3799" t="s">
        <v>3164</v>
      </c>
      <c r="G3799" t="s">
        <v>1334</v>
      </c>
      <c r="H3799" s="4">
        <v>9.8000000000000007</v>
      </c>
      <c r="I3799" t="s">
        <v>31</v>
      </c>
      <c r="J3799" t="s">
        <v>91</v>
      </c>
      <c r="K3799" t="s">
        <v>3165</v>
      </c>
      <c r="L3799" s="2">
        <v>46082</v>
      </c>
      <c r="M3799" t="s">
        <v>93</v>
      </c>
      <c r="N3799">
        <v>0</v>
      </c>
      <c r="O3799" t="s">
        <v>31</v>
      </c>
      <c r="P3799" t="s">
        <v>83</v>
      </c>
      <c r="Q3799">
        <v>0</v>
      </c>
    </row>
    <row r="3800" spans="1:17" x14ac:dyDescent="0.3">
      <c r="A3800" t="s">
        <v>17</v>
      </c>
      <c r="B3800">
        <v>64</v>
      </c>
      <c r="C3800" t="s">
        <v>83</v>
      </c>
      <c r="D3800" s="2">
        <v>46112</v>
      </c>
      <c r="E3800" s="3">
        <f t="shared" si="59"/>
        <v>46082</v>
      </c>
      <c r="F3800" t="s">
        <v>3164</v>
      </c>
      <c r="G3800" t="s">
        <v>1334</v>
      </c>
      <c r="H3800" s="4">
        <v>485.96</v>
      </c>
      <c r="I3800" t="s">
        <v>31</v>
      </c>
      <c r="J3800" t="s">
        <v>91</v>
      </c>
      <c r="K3800" t="s">
        <v>3166</v>
      </c>
      <c r="L3800" s="2">
        <v>46082</v>
      </c>
      <c r="M3800" t="s">
        <v>93</v>
      </c>
      <c r="N3800">
        <v>0</v>
      </c>
      <c r="O3800" t="s">
        <v>31</v>
      </c>
      <c r="P3800" t="s">
        <v>83</v>
      </c>
      <c r="Q3800">
        <v>0</v>
      </c>
    </row>
    <row r="3801" spans="1:17" x14ac:dyDescent="0.3">
      <c r="A3801" t="s">
        <v>17</v>
      </c>
      <c r="B3801">
        <v>64</v>
      </c>
      <c r="C3801" t="s">
        <v>83</v>
      </c>
      <c r="D3801" s="2">
        <v>46112</v>
      </c>
      <c r="E3801" s="3">
        <f t="shared" si="59"/>
        <v>46082</v>
      </c>
      <c r="F3801" t="s">
        <v>3164</v>
      </c>
      <c r="G3801" t="s">
        <v>1334</v>
      </c>
      <c r="H3801" s="4">
        <v>36.799999999999997</v>
      </c>
      <c r="I3801" t="s">
        <v>31</v>
      </c>
      <c r="J3801" t="s">
        <v>91</v>
      </c>
      <c r="K3801" t="s">
        <v>3167</v>
      </c>
      <c r="L3801" s="2">
        <v>46082</v>
      </c>
      <c r="M3801" t="s">
        <v>93</v>
      </c>
      <c r="N3801">
        <v>0</v>
      </c>
      <c r="O3801" t="s">
        <v>31</v>
      </c>
      <c r="P3801" t="s">
        <v>83</v>
      </c>
      <c r="Q3801">
        <v>0</v>
      </c>
    </row>
    <row r="3802" spans="1:17" x14ac:dyDescent="0.3">
      <c r="A3802" t="s">
        <v>17</v>
      </c>
      <c r="B3802">
        <v>64</v>
      </c>
      <c r="C3802" t="s">
        <v>83</v>
      </c>
      <c r="D3802" s="2">
        <v>46112</v>
      </c>
      <c r="E3802" s="3">
        <f t="shared" si="59"/>
        <v>46082</v>
      </c>
      <c r="F3802" t="s">
        <v>3164</v>
      </c>
      <c r="G3802" t="s">
        <v>1334</v>
      </c>
      <c r="H3802" s="4">
        <v>52.53</v>
      </c>
      <c r="I3802" t="s">
        <v>31</v>
      </c>
      <c r="J3802" t="s">
        <v>91</v>
      </c>
      <c r="K3802" t="s">
        <v>3168</v>
      </c>
      <c r="L3802" s="2">
        <v>46082</v>
      </c>
      <c r="M3802" t="s">
        <v>93</v>
      </c>
      <c r="N3802">
        <v>0</v>
      </c>
      <c r="O3802" t="s">
        <v>31</v>
      </c>
      <c r="P3802" t="s">
        <v>83</v>
      </c>
      <c r="Q3802">
        <v>0</v>
      </c>
    </row>
    <row r="3803" spans="1:17" x14ac:dyDescent="0.3">
      <c r="A3803" t="s">
        <v>17</v>
      </c>
      <c r="B3803">
        <v>64</v>
      </c>
      <c r="C3803" t="s">
        <v>83</v>
      </c>
      <c r="D3803" s="2">
        <v>46112</v>
      </c>
      <c r="E3803" s="3">
        <f t="shared" si="59"/>
        <v>46082</v>
      </c>
      <c r="F3803" t="s">
        <v>3169</v>
      </c>
      <c r="H3803" s="4">
        <v>13.89</v>
      </c>
      <c r="I3803" t="s">
        <v>21</v>
      </c>
      <c r="J3803" t="s">
        <v>91</v>
      </c>
      <c r="K3803" t="s">
        <v>3170</v>
      </c>
      <c r="L3803" s="2">
        <v>46082</v>
      </c>
      <c r="M3803" t="s">
        <v>93</v>
      </c>
      <c r="N3803" t="s">
        <v>25</v>
      </c>
      <c r="O3803" t="s">
        <v>81</v>
      </c>
      <c r="P3803" t="s">
        <v>83</v>
      </c>
      <c r="Q3803">
        <v>0</v>
      </c>
    </row>
    <row r="3804" spans="1:17" x14ac:dyDescent="0.3">
      <c r="A3804" t="s">
        <v>17</v>
      </c>
      <c r="B3804">
        <v>64</v>
      </c>
      <c r="C3804" t="s">
        <v>83</v>
      </c>
      <c r="D3804" s="2">
        <v>46112</v>
      </c>
      <c r="E3804" s="3">
        <f t="shared" si="59"/>
        <v>46082</v>
      </c>
      <c r="F3804" t="s">
        <v>3169</v>
      </c>
      <c r="H3804" s="4">
        <v>12.46</v>
      </c>
      <c r="I3804" t="s">
        <v>21</v>
      </c>
      <c r="J3804" t="s">
        <v>91</v>
      </c>
      <c r="K3804" t="s">
        <v>3170</v>
      </c>
      <c r="L3804" s="2">
        <v>46082</v>
      </c>
      <c r="M3804" t="s">
        <v>93</v>
      </c>
      <c r="N3804" t="s">
        <v>25</v>
      </c>
      <c r="O3804" t="s">
        <v>81</v>
      </c>
      <c r="P3804" t="s">
        <v>83</v>
      </c>
      <c r="Q3804">
        <v>0</v>
      </c>
    </row>
    <row r="3805" spans="1:17" x14ac:dyDescent="0.3">
      <c r="A3805" t="s">
        <v>17</v>
      </c>
      <c r="B3805">
        <v>64</v>
      </c>
      <c r="C3805" t="s">
        <v>83</v>
      </c>
      <c r="D3805" s="2">
        <v>46112</v>
      </c>
      <c r="E3805" s="3">
        <f t="shared" si="59"/>
        <v>46082</v>
      </c>
      <c r="F3805" t="s">
        <v>3171</v>
      </c>
      <c r="H3805" s="4">
        <v>10.32</v>
      </c>
      <c r="I3805" t="s">
        <v>31</v>
      </c>
      <c r="J3805" t="s">
        <v>91</v>
      </c>
      <c r="K3805" t="s">
        <v>3172</v>
      </c>
      <c r="L3805" s="2">
        <v>46082</v>
      </c>
      <c r="M3805" t="s">
        <v>93</v>
      </c>
      <c r="N3805">
        <v>0</v>
      </c>
      <c r="O3805" t="s">
        <v>31</v>
      </c>
      <c r="P3805" t="s">
        <v>83</v>
      </c>
      <c r="Q3805">
        <v>0</v>
      </c>
    </row>
    <row r="3806" spans="1:17" x14ac:dyDescent="0.3">
      <c r="A3806" t="s">
        <v>17</v>
      </c>
      <c r="B3806">
        <v>64</v>
      </c>
      <c r="C3806" t="s">
        <v>83</v>
      </c>
      <c r="D3806" s="2">
        <v>46112</v>
      </c>
      <c r="E3806" s="3">
        <f t="shared" si="59"/>
        <v>46082</v>
      </c>
      <c r="F3806" t="s">
        <v>3171</v>
      </c>
      <c r="H3806" s="4">
        <v>3.49</v>
      </c>
      <c r="I3806" t="s">
        <v>31</v>
      </c>
      <c r="J3806" t="s">
        <v>91</v>
      </c>
      <c r="K3806" t="s">
        <v>3173</v>
      </c>
      <c r="L3806" s="2">
        <v>46082</v>
      </c>
      <c r="M3806" t="s">
        <v>93</v>
      </c>
      <c r="N3806">
        <v>0</v>
      </c>
      <c r="O3806" t="s">
        <v>31</v>
      </c>
      <c r="P3806" t="s">
        <v>83</v>
      </c>
      <c r="Q3806">
        <v>0</v>
      </c>
    </row>
    <row r="3807" spans="1:17" x14ac:dyDescent="0.3">
      <c r="A3807" t="s">
        <v>17</v>
      </c>
      <c r="B3807">
        <v>64</v>
      </c>
      <c r="C3807" t="s">
        <v>83</v>
      </c>
      <c r="D3807" s="2">
        <v>46085</v>
      </c>
      <c r="E3807" s="3">
        <f t="shared" si="59"/>
        <v>46082</v>
      </c>
      <c r="F3807" t="s">
        <v>3174</v>
      </c>
      <c r="G3807" t="s">
        <v>101</v>
      </c>
      <c r="H3807" s="4">
        <v>548.4</v>
      </c>
      <c r="I3807" t="s">
        <v>47</v>
      </c>
      <c r="J3807" t="s">
        <v>530</v>
      </c>
      <c r="K3807" t="s">
        <v>3175</v>
      </c>
      <c r="L3807" s="2">
        <v>46082</v>
      </c>
      <c r="M3807" t="s">
        <v>531</v>
      </c>
      <c r="N3807">
        <v>0</v>
      </c>
      <c r="O3807" t="s">
        <v>26</v>
      </c>
      <c r="P3807" t="s">
        <v>83</v>
      </c>
      <c r="Q3807">
        <v>0</v>
      </c>
    </row>
    <row r="3808" spans="1:17" x14ac:dyDescent="0.3">
      <c r="A3808" t="s">
        <v>17</v>
      </c>
      <c r="B3808">
        <v>64</v>
      </c>
      <c r="C3808" t="s">
        <v>83</v>
      </c>
      <c r="D3808" s="2">
        <v>46085</v>
      </c>
      <c r="E3808" s="3">
        <f t="shared" si="59"/>
        <v>46082</v>
      </c>
      <c r="F3808" t="s">
        <v>3174</v>
      </c>
      <c r="G3808" t="s">
        <v>101</v>
      </c>
      <c r="H3808" s="4">
        <v>362.4</v>
      </c>
      <c r="I3808" t="s">
        <v>47</v>
      </c>
      <c r="J3808" t="s">
        <v>530</v>
      </c>
      <c r="K3808" t="s">
        <v>3175</v>
      </c>
      <c r="L3808" s="2">
        <v>46082</v>
      </c>
      <c r="M3808" t="s">
        <v>531</v>
      </c>
      <c r="N3808">
        <v>0</v>
      </c>
      <c r="O3808" t="s">
        <v>26</v>
      </c>
      <c r="P3808" t="s">
        <v>83</v>
      </c>
      <c r="Q3808">
        <v>0</v>
      </c>
    </row>
    <row r="3809" spans="1:17" x14ac:dyDescent="0.3">
      <c r="A3809" t="s">
        <v>17</v>
      </c>
      <c r="B3809">
        <v>64</v>
      </c>
      <c r="C3809" t="s">
        <v>83</v>
      </c>
      <c r="D3809" s="2">
        <v>46085</v>
      </c>
      <c r="E3809" s="3">
        <f t="shared" si="59"/>
        <v>46082</v>
      </c>
      <c r="F3809" t="s">
        <v>3174</v>
      </c>
      <c r="G3809" t="s">
        <v>101</v>
      </c>
      <c r="H3809" s="4">
        <v>576.79999999999995</v>
      </c>
      <c r="I3809" t="s">
        <v>31</v>
      </c>
      <c r="J3809" t="s">
        <v>530</v>
      </c>
      <c r="K3809" t="s">
        <v>3176</v>
      </c>
      <c r="L3809" s="2">
        <v>46082</v>
      </c>
      <c r="M3809" t="s">
        <v>531</v>
      </c>
      <c r="N3809">
        <v>0</v>
      </c>
      <c r="O3809" t="s">
        <v>31</v>
      </c>
      <c r="P3809" t="s">
        <v>83</v>
      </c>
      <c r="Q3809">
        <v>0</v>
      </c>
    </row>
    <row r="3810" spans="1:17" x14ac:dyDescent="0.3">
      <c r="A3810" t="s">
        <v>17</v>
      </c>
      <c r="B3810">
        <v>64</v>
      </c>
      <c r="C3810" t="s">
        <v>83</v>
      </c>
      <c r="D3810" s="2">
        <v>46085</v>
      </c>
      <c r="E3810" s="3">
        <f t="shared" si="59"/>
        <v>46082</v>
      </c>
      <c r="F3810" t="s">
        <v>3174</v>
      </c>
      <c r="G3810" t="s">
        <v>101</v>
      </c>
      <c r="H3810" s="4">
        <v>-258.39999999999998</v>
      </c>
      <c r="I3810" t="s">
        <v>31</v>
      </c>
      <c r="J3810" t="s">
        <v>530</v>
      </c>
      <c r="K3810" t="s">
        <v>3177</v>
      </c>
      <c r="L3810" s="2">
        <v>46082</v>
      </c>
      <c r="M3810" t="s">
        <v>531</v>
      </c>
      <c r="N3810">
        <v>0</v>
      </c>
      <c r="O3810" t="s">
        <v>31</v>
      </c>
      <c r="P3810" t="s">
        <v>83</v>
      </c>
      <c r="Q3810">
        <v>0</v>
      </c>
    </row>
    <row r="3811" spans="1:17" x14ac:dyDescent="0.3">
      <c r="A3811" t="s">
        <v>17</v>
      </c>
      <c r="B3811">
        <v>64</v>
      </c>
      <c r="C3811" t="s">
        <v>83</v>
      </c>
      <c r="D3811" s="2">
        <v>46112</v>
      </c>
      <c r="E3811" s="3">
        <f t="shared" si="59"/>
        <v>46082</v>
      </c>
      <c r="F3811" t="s">
        <v>3171</v>
      </c>
      <c r="H3811" s="4">
        <v>238.4</v>
      </c>
      <c r="I3811" t="s">
        <v>31</v>
      </c>
      <c r="J3811" t="s">
        <v>530</v>
      </c>
      <c r="K3811" t="s">
        <v>3178</v>
      </c>
      <c r="L3811" s="2">
        <v>46082</v>
      </c>
      <c r="M3811" t="s">
        <v>531</v>
      </c>
      <c r="N3811">
        <v>0</v>
      </c>
      <c r="O3811" t="s">
        <v>31</v>
      </c>
      <c r="P3811" t="s">
        <v>83</v>
      </c>
      <c r="Q3811">
        <v>0</v>
      </c>
    </row>
    <row r="3812" spans="1:17" x14ac:dyDescent="0.3">
      <c r="A3812" t="s">
        <v>17</v>
      </c>
      <c r="B3812">
        <v>64</v>
      </c>
      <c r="C3812" t="s">
        <v>83</v>
      </c>
      <c r="D3812" s="2">
        <v>46085</v>
      </c>
      <c r="E3812" s="3">
        <f t="shared" si="59"/>
        <v>46082</v>
      </c>
      <c r="F3812" t="s">
        <v>3179</v>
      </c>
      <c r="G3812" t="s">
        <v>1227</v>
      </c>
      <c r="H3812" s="4">
        <v>117.01</v>
      </c>
      <c r="I3812" t="s">
        <v>47</v>
      </c>
      <c r="J3812" t="s">
        <v>87</v>
      </c>
      <c r="K3812" t="s">
        <v>3180</v>
      </c>
      <c r="L3812" s="2">
        <v>46082</v>
      </c>
      <c r="M3812" t="s">
        <v>89</v>
      </c>
      <c r="N3812">
        <v>0</v>
      </c>
      <c r="O3812" t="s">
        <v>26</v>
      </c>
      <c r="P3812" t="s">
        <v>83</v>
      </c>
      <c r="Q3812">
        <v>0</v>
      </c>
    </row>
    <row r="3813" spans="1:17" x14ac:dyDescent="0.3">
      <c r="A3813" t="s">
        <v>17</v>
      </c>
      <c r="B3813">
        <v>64</v>
      </c>
      <c r="C3813" t="s">
        <v>83</v>
      </c>
      <c r="D3813" s="2">
        <v>46085</v>
      </c>
      <c r="E3813" s="3">
        <f t="shared" si="59"/>
        <v>46082</v>
      </c>
      <c r="F3813" t="s">
        <v>3179</v>
      </c>
      <c r="G3813" t="s">
        <v>1227</v>
      </c>
      <c r="H3813" s="4">
        <v>16.18</v>
      </c>
      <c r="I3813" t="s">
        <v>47</v>
      </c>
      <c r="J3813" t="s">
        <v>87</v>
      </c>
      <c r="K3813" t="s">
        <v>3181</v>
      </c>
      <c r="L3813" s="2">
        <v>46082</v>
      </c>
      <c r="M3813" t="s">
        <v>89</v>
      </c>
      <c r="N3813">
        <v>0</v>
      </c>
      <c r="O3813" t="s">
        <v>26</v>
      </c>
      <c r="P3813" t="s">
        <v>83</v>
      </c>
      <c r="Q3813">
        <v>0</v>
      </c>
    </row>
    <row r="3814" spans="1:17" x14ac:dyDescent="0.3">
      <c r="A3814" t="s">
        <v>17</v>
      </c>
      <c r="B3814">
        <v>64</v>
      </c>
      <c r="C3814" t="s">
        <v>83</v>
      </c>
      <c r="D3814" s="2">
        <v>46085</v>
      </c>
      <c r="E3814" s="3">
        <f t="shared" si="59"/>
        <v>46082</v>
      </c>
      <c r="F3814" t="s">
        <v>3179</v>
      </c>
      <c r="G3814" t="s">
        <v>1227</v>
      </c>
      <c r="H3814" s="4">
        <v>54.08</v>
      </c>
      <c r="I3814" t="s">
        <v>47</v>
      </c>
      <c r="J3814" t="s">
        <v>87</v>
      </c>
      <c r="K3814" t="s">
        <v>3182</v>
      </c>
      <c r="L3814" s="2">
        <v>46082</v>
      </c>
      <c r="M3814" t="s">
        <v>89</v>
      </c>
      <c r="N3814">
        <v>0</v>
      </c>
      <c r="O3814" t="s">
        <v>26</v>
      </c>
      <c r="P3814" t="s">
        <v>83</v>
      </c>
      <c r="Q3814">
        <v>0</v>
      </c>
    </row>
    <row r="3815" spans="1:17" x14ac:dyDescent="0.3">
      <c r="A3815" t="s">
        <v>17</v>
      </c>
      <c r="B3815">
        <v>64</v>
      </c>
      <c r="C3815" t="s">
        <v>83</v>
      </c>
      <c r="D3815" s="2">
        <v>46085</v>
      </c>
      <c r="E3815" s="3">
        <f t="shared" si="59"/>
        <v>46082</v>
      </c>
      <c r="F3815" t="s">
        <v>3179</v>
      </c>
      <c r="G3815" t="s">
        <v>1227</v>
      </c>
      <c r="H3815" s="4">
        <v>104.32</v>
      </c>
      <c r="I3815" t="s">
        <v>47</v>
      </c>
      <c r="J3815" t="s">
        <v>87</v>
      </c>
      <c r="K3815" t="s">
        <v>3183</v>
      </c>
      <c r="L3815" s="2">
        <v>46082</v>
      </c>
      <c r="M3815" t="s">
        <v>89</v>
      </c>
      <c r="N3815">
        <v>0</v>
      </c>
      <c r="O3815" t="s">
        <v>26</v>
      </c>
      <c r="P3815" t="s">
        <v>83</v>
      </c>
      <c r="Q3815">
        <v>0</v>
      </c>
    </row>
    <row r="3816" spans="1:17" x14ac:dyDescent="0.3">
      <c r="A3816" t="s">
        <v>17</v>
      </c>
      <c r="B3816">
        <v>64</v>
      </c>
      <c r="C3816" t="s">
        <v>83</v>
      </c>
      <c r="D3816" s="2">
        <v>46085</v>
      </c>
      <c r="E3816" s="3">
        <f t="shared" si="59"/>
        <v>46082</v>
      </c>
      <c r="F3816" t="s">
        <v>3179</v>
      </c>
      <c r="G3816" t="s">
        <v>1227</v>
      </c>
      <c r="H3816" s="4">
        <v>16.21</v>
      </c>
      <c r="I3816" t="s">
        <v>47</v>
      </c>
      <c r="J3816" t="s">
        <v>87</v>
      </c>
      <c r="K3816" t="s">
        <v>3184</v>
      </c>
      <c r="L3816" s="2">
        <v>46082</v>
      </c>
      <c r="M3816" t="s">
        <v>89</v>
      </c>
      <c r="N3816">
        <v>0</v>
      </c>
      <c r="O3816" t="s">
        <v>26</v>
      </c>
      <c r="P3816" t="s">
        <v>83</v>
      </c>
      <c r="Q3816">
        <v>0</v>
      </c>
    </row>
    <row r="3817" spans="1:17" x14ac:dyDescent="0.3">
      <c r="A3817" t="s">
        <v>17</v>
      </c>
      <c r="B3817">
        <v>64</v>
      </c>
      <c r="C3817" t="s">
        <v>83</v>
      </c>
      <c r="D3817" s="2">
        <v>46097</v>
      </c>
      <c r="E3817" s="3">
        <f t="shared" si="59"/>
        <v>46082</v>
      </c>
      <c r="F3817" t="s">
        <v>3156</v>
      </c>
      <c r="H3817" s="4">
        <v>57.99</v>
      </c>
      <c r="I3817" t="s">
        <v>159</v>
      </c>
      <c r="J3817" t="s">
        <v>87</v>
      </c>
      <c r="K3817" t="s">
        <v>3185</v>
      </c>
      <c r="L3817" s="2">
        <v>46082</v>
      </c>
      <c r="M3817" t="s">
        <v>89</v>
      </c>
      <c r="N3817">
        <v>0</v>
      </c>
      <c r="O3817" t="s">
        <v>159</v>
      </c>
      <c r="P3817" t="s">
        <v>83</v>
      </c>
      <c r="Q3817">
        <v>0</v>
      </c>
    </row>
    <row r="3818" spans="1:17" x14ac:dyDescent="0.3">
      <c r="A3818" t="s">
        <v>17</v>
      </c>
      <c r="B3818">
        <v>64</v>
      </c>
      <c r="C3818" t="s">
        <v>83</v>
      </c>
      <c r="D3818" s="2">
        <v>46097</v>
      </c>
      <c r="E3818" s="3">
        <f t="shared" si="59"/>
        <v>46082</v>
      </c>
      <c r="F3818" t="s">
        <v>3156</v>
      </c>
      <c r="H3818" s="4">
        <v>28.97</v>
      </c>
      <c r="I3818" t="s">
        <v>159</v>
      </c>
      <c r="J3818" t="s">
        <v>87</v>
      </c>
      <c r="K3818" t="s">
        <v>2460</v>
      </c>
      <c r="L3818" s="2">
        <v>46082</v>
      </c>
      <c r="M3818" t="s">
        <v>89</v>
      </c>
      <c r="N3818">
        <v>0</v>
      </c>
      <c r="O3818" t="s">
        <v>159</v>
      </c>
      <c r="P3818" t="s">
        <v>83</v>
      </c>
      <c r="Q3818">
        <v>0</v>
      </c>
    </row>
    <row r="3819" spans="1:17" x14ac:dyDescent="0.3">
      <c r="A3819" t="s">
        <v>17</v>
      </c>
      <c r="B3819">
        <v>64</v>
      </c>
      <c r="C3819" t="s">
        <v>83</v>
      </c>
      <c r="D3819" s="2">
        <v>46097</v>
      </c>
      <c r="E3819" s="3">
        <f t="shared" si="59"/>
        <v>46082</v>
      </c>
      <c r="F3819" t="s">
        <v>3156</v>
      </c>
      <c r="H3819" s="4">
        <v>53</v>
      </c>
      <c r="I3819" t="s">
        <v>159</v>
      </c>
      <c r="J3819" t="s">
        <v>87</v>
      </c>
      <c r="K3819" t="s">
        <v>3186</v>
      </c>
      <c r="L3819" s="2">
        <v>46082</v>
      </c>
      <c r="M3819" t="s">
        <v>89</v>
      </c>
      <c r="N3819">
        <v>0</v>
      </c>
      <c r="O3819" t="s">
        <v>159</v>
      </c>
      <c r="P3819" t="s">
        <v>83</v>
      </c>
      <c r="Q3819">
        <v>0</v>
      </c>
    </row>
    <row r="3820" spans="1:17" x14ac:dyDescent="0.3">
      <c r="A3820" t="s">
        <v>17</v>
      </c>
      <c r="B3820">
        <v>64</v>
      </c>
      <c r="C3820" t="s">
        <v>83</v>
      </c>
      <c r="D3820" s="2">
        <v>46097</v>
      </c>
      <c r="E3820" s="3">
        <f t="shared" si="59"/>
        <v>46082</v>
      </c>
      <c r="F3820" t="s">
        <v>3156</v>
      </c>
      <c r="H3820" s="4">
        <v>47.97</v>
      </c>
      <c r="I3820" t="s">
        <v>159</v>
      </c>
      <c r="J3820" t="s">
        <v>87</v>
      </c>
      <c r="K3820" t="s">
        <v>3185</v>
      </c>
      <c r="L3820" s="2">
        <v>46082</v>
      </c>
      <c r="M3820" t="s">
        <v>89</v>
      </c>
      <c r="N3820">
        <v>0</v>
      </c>
      <c r="O3820" t="s">
        <v>159</v>
      </c>
      <c r="P3820" t="s">
        <v>83</v>
      </c>
      <c r="Q3820">
        <v>0</v>
      </c>
    </row>
    <row r="3821" spans="1:17" x14ac:dyDescent="0.3">
      <c r="A3821" t="s">
        <v>17</v>
      </c>
      <c r="B3821">
        <v>64</v>
      </c>
      <c r="C3821" t="s">
        <v>83</v>
      </c>
      <c r="D3821" s="2">
        <v>46112</v>
      </c>
      <c r="E3821" s="3">
        <f t="shared" si="59"/>
        <v>46082</v>
      </c>
      <c r="F3821" t="s">
        <v>3164</v>
      </c>
      <c r="G3821" t="s">
        <v>1334</v>
      </c>
      <c r="H3821" s="4">
        <v>43.68</v>
      </c>
      <c r="I3821" t="s">
        <v>31</v>
      </c>
      <c r="J3821" t="s">
        <v>87</v>
      </c>
      <c r="K3821" t="s">
        <v>3187</v>
      </c>
      <c r="L3821" s="2">
        <v>46082</v>
      </c>
      <c r="M3821" t="s">
        <v>89</v>
      </c>
      <c r="N3821">
        <v>0</v>
      </c>
      <c r="O3821" t="s">
        <v>31</v>
      </c>
      <c r="P3821" t="s">
        <v>83</v>
      </c>
      <c r="Q3821">
        <v>0</v>
      </c>
    </row>
    <row r="3822" spans="1:17" x14ac:dyDescent="0.3">
      <c r="A3822" t="s">
        <v>17</v>
      </c>
      <c r="B3822">
        <v>64</v>
      </c>
      <c r="C3822" t="s">
        <v>83</v>
      </c>
      <c r="D3822" s="2">
        <v>46112</v>
      </c>
      <c r="E3822" s="3">
        <f t="shared" si="59"/>
        <v>46082</v>
      </c>
      <c r="F3822" t="s">
        <v>3188</v>
      </c>
      <c r="H3822" s="4">
        <v>49.39</v>
      </c>
      <c r="I3822" t="s">
        <v>47</v>
      </c>
      <c r="J3822" t="s">
        <v>87</v>
      </c>
      <c r="K3822" t="s">
        <v>3189</v>
      </c>
      <c r="L3822" s="2">
        <v>46082</v>
      </c>
      <c r="M3822" t="s">
        <v>89</v>
      </c>
      <c r="N3822">
        <v>0</v>
      </c>
      <c r="O3822" t="s">
        <v>26</v>
      </c>
      <c r="P3822" t="s">
        <v>83</v>
      </c>
      <c r="Q3822">
        <v>0</v>
      </c>
    </row>
    <row r="3823" spans="1:17" x14ac:dyDescent="0.3">
      <c r="A3823" t="s">
        <v>17</v>
      </c>
      <c r="B3823">
        <v>64</v>
      </c>
      <c r="C3823" t="s">
        <v>83</v>
      </c>
      <c r="D3823" s="2">
        <v>46112</v>
      </c>
      <c r="E3823" s="3">
        <f t="shared" si="59"/>
        <v>46082</v>
      </c>
      <c r="F3823" t="s">
        <v>3190</v>
      </c>
      <c r="H3823" s="4">
        <v>46.92</v>
      </c>
      <c r="I3823" t="s">
        <v>104</v>
      </c>
      <c r="J3823" t="s">
        <v>87</v>
      </c>
      <c r="K3823" t="s">
        <v>2836</v>
      </c>
      <c r="L3823" s="2">
        <v>46082</v>
      </c>
      <c r="M3823" t="s">
        <v>89</v>
      </c>
      <c r="N3823">
        <v>0</v>
      </c>
      <c r="O3823" t="s">
        <v>104</v>
      </c>
      <c r="P3823" t="s">
        <v>83</v>
      </c>
      <c r="Q3823">
        <v>0</v>
      </c>
    </row>
    <row r="3824" spans="1:17" x14ac:dyDescent="0.3">
      <c r="A3824" t="s">
        <v>17</v>
      </c>
      <c r="B3824">
        <v>64</v>
      </c>
      <c r="C3824" t="s">
        <v>83</v>
      </c>
      <c r="D3824" s="2">
        <v>46112</v>
      </c>
      <c r="E3824" s="3">
        <f t="shared" si="59"/>
        <v>46082</v>
      </c>
      <c r="F3824" t="s">
        <v>3171</v>
      </c>
      <c r="H3824" s="4">
        <v>34.46</v>
      </c>
      <c r="I3824" t="s">
        <v>31</v>
      </c>
      <c r="J3824" t="s">
        <v>87</v>
      </c>
      <c r="K3824" t="s">
        <v>3191</v>
      </c>
      <c r="L3824" s="2">
        <v>46082</v>
      </c>
      <c r="M3824" t="s">
        <v>89</v>
      </c>
      <c r="N3824">
        <v>0</v>
      </c>
      <c r="O3824" t="s">
        <v>31</v>
      </c>
      <c r="P3824" t="s">
        <v>83</v>
      </c>
      <c r="Q3824">
        <v>0</v>
      </c>
    </row>
    <row r="3825" spans="1:17" x14ac:dyDescent="0.3">
      <c r="A3825" t="s">
        <v>17</v>
      </c>
      <c r="B3825">
        <v>64</v>
      </c>
      <c r="C3825" t="s">
        <v>83</v>
      </c>
      <c r="D3825" s="2">
        <v>46112</v>
      </c>
      <c r="E3825" s="3">
        <f t="shared" si="59"/>
        <v>46082</v>
      </c>
      <c r="F3825" t="s">
        <v>3171</v>
      </c>
      <c r="H3825" s="4">
        <v>108.94</v>
      </c>
      <c r="I3825" t="s">
        <v>31</v>
      </c>
      <c r="J3825" t="s">
        <v>87</v>
      </c>
      <c r="K3825" t="s">
        <v>3192</v>
      </c>
      <c r="L3825" s="2">
        <v>46082</v>
      </c>
      <c r="M3825" t="s">
        <v>89</v>
      </c>
      <c r="N3825">
        <v>0</v>
      </c>
      <c r="O3825" t="s">
        <v>31</v>
      </c>
      <c r="P3825" t="s">
        <v>83</v>
      </c>
      <c r="Q3825">
        <v>0</v>
      </c>
    </row>
    <row r="3826" spans="1:17" x14ac:dyDescent="0.3">
      <c r="A3826" t="s">
        <v>17</v>
      </c>
      <c r="B3826">
        <v>64</v>
      </c>
      <c r="C3826" t="s">
        <v>83</v>
      </c>
      <c r="D3826" s="2">
        <v>46112</v>
      </c>
      <c r="E3826" s="3">
        <f t="shared" si="59"/>
        <v>46082</v>
      </c>
      <c r="F3826" t="s">
        <v>3171</v>
      </c>
      <c r="H3826" s="4">
        <v>17.940000000000001</v>
      </c>
      <c r="I3826" t="s">
        <v>31</v>
      </c>
      <c r="J3826" t="s">
        <v>87</v>
      </c>
      <c r="K3826" t="s">
        <v>3193</v>
      </c>
      <c r="L3826" s="2">
        <v>46082</v>
      </c>
      <c r="M3826" t="s">
        <v>89</v>
      </c>
      <c r="N3826">
        <v>0</v>
      </c>
      <c r="O3826" t="s">
        <v>31</v>
      </c>
      <c r="P3826" t="s">
        <v>83</v>
      </c>
      <c r="Q3826">
        <v>0</v>
      </c>
    </row>
    <row r="3827" spans="1:17" x14ac:dyDescent="0.3">
      <c r="A3827" t="s">
        <v>17</v>
      </c>
      <c r="B3827">
        <v>64</v>
      </c>
      <c r="C3827" t="s">
        <v>83</v>
      </c>
      <c r="D3827" s="2">
        <v>46112</v>
      </c>
      <c r="E3827" s="3">
        <f t="shared" si="59"/>
        <v>46082</v>
      </c>
      <c r="F3827" t="s">
        <v>3171</v>
      </c>
      <c r="G3827" t="s">
        <v>462</v>
      </c>
      <c r="H3827" s="4">
        <v>85.23</v>
      </c>
      <c r="I3827" t="s">
        <v>31</v>
      </c>
      <c r="J3827" t="s">
        <v>87</v>
      </c>
      <c r="K3827" t="s">
        <v>3194</v>
      </c>
      <c r="L3827" s="2">
        <v>46082</v>
      </c>
      <c r="M3827" t="s">
        <v>89</v>
      </c>
      <c r="N3827">
        <v>0</v>
      </c>
      <c r="O3827" t="s">
        <v>31</v>
      </c>
      <c r="P3827" t="s">
        <v>83</v>
      </c>
      <c r="Q3827">
        <v>0</v>
      </c>
    </row>
    <row r="3828" spans="1:17" x14ac:dyDescent="0.3">
      <c r="A3828" t="s">
        <v>17</v>
      </c>
      <c r="B3828">
        <v>64</v>
      </c>
      <c r="C3828" t="s">
        <v>83</v>
      </c>
      <c r="D3828" s="2">
        <v>46112</v>
      </c>
      <c r="E3828" s="3">
        <f t="shared" si="59"/>
        <v>46082</v>
      </c>
      <c r="F3828" t="s">
        <v>3171</v>
      </c>
      <c r="H3828" s="4">
        <v>30</v>
      </c>
      <c r="I3828" t="s">
        <v>31</v>
      </c>
      <c r="J3828" t="s">
        <v>2817</v>
      </c>
      <c r="K3828" t="s">
        <v>3195</v>
      </c>
      <c r="L3828" s="2">
        <v>46082</v>
      </c>
      <c r="M3828" t="s">
        <v>2819</v>
      </c>
      <c r="N3828">
        <v>0</v>
      </c>
      <c r="O3828" t="s">
        <v>31</v>
      </c>
      <c r="P3828" t="s">
        <v>83</v>
      </c>
      <c r="Q3828">
        <v>0</v>
      </c>
    </row>
    <row r="3829" spans="1:17" x14ac:dyDescent="0.3">
      <c r="A3829" t="s">
        <v>17</v>
      </c>
      <c r="B3829">
        <v>64</v>
      </c>
      <c r="C3829" t="s">
        <v>83</v>
      </c>
      <c r="D3829" s="2">
        <v>46094</v>
      </c>
      <c r="E3829" s="3">
        <f t="shared" si="59"/>
        <v>46082</v>
      </c>
      <c r="F3829" t="s">
        <v>3196</v>
      </c>
      <c r="H3829" s="4">
        <v>74.59</v>
      </c>
      <c r="I3829" t="s">
        <v>47</v>
      </c>
      <c r="J3829" t="s">
        <v>511</v>
      </c>
      <c r="K3829" t="s">
        <v>3197</v>
      </c>
      <c r="L3829" s="2">
        <v>46082</v>
      </c>
      <c r="M3829" t="s">
        <v>513</v>
      </c>
      <c r="N3829">
        <v>0</v>
      </c>
      <c r="O3829" t="s">
        <v>26</v>
      </c>
      <c r="P3829" t="s">
        <v>83</v>
      </c>
      <c r="Q3829">
        <v>0</v>
      </c>
    </row>
    <row r="3830" spans="1:17" x14ac:dyDescent="0.3">
      <c r="A3830" t="s">
        <v>17</v>
      </c>
      <c r="B3830">
        <v>67</v>
      </c>
      <c r="C3830" t="s">
        <v>28</v>
      </c>
      <c r="D3830" s="2">
        <v>46082</v>
      </c>
      <c r="E3830" s="3">
        <f t="shared" si="59"/>
        <v>46082</v>
      </c>
      <c r="F3830">
        <v>21634</v>
      </c>
      <c r="G3830" t="s">
        <v>52</v>
      </c>
      <c r="H3830" s="4">
        <v>18.899999999999999</v>
      </c>
      <c r="I3830" t="s">
        <v>31</v>
      </c>
      <c r="J3830" t="s">
        <v>48</v>
      </c>
      <c r="K3830" t="s">
        <v>1339</v>
      </c>
      <c r="L3830" s="2">
        <v>46082</v>
      </c>
      <c r="M3830" t="s">
        <v>50</v>
      </c>
      <c r="N3830">
        <v>0</v>
      </c>
      <c r="O3830" t="s">
        <v>31</v>
      </c>
      <c r="P3830" t="s">
        <v>28</v>
      </c>
      <c r="Q3830">
        <v>0</v>
      </c>
    </row>
    <row r="3831" spans="1:17" x14ac:dyDescent="0.3">
      <c r="A3831" t="s">
        <v>17</v>
      </c>
      <c r="B3831">
        <v>67</v>
      </c>
      <c r="C3831" t="s">
        <v>28</v>
      </c>
      <c r="D3831" s="2">
        <v>46082</v>
      </c>
      <c r="E3831" s="3">
        <f t="shared" si="59"/>
        <v>46082</v>
      </c>
      <c r="F3831">
        <v>21634</v>
      </c>
      <c r="G3831" t="s">
        <v>52</v>
      </c>
      <c r="H3831" s="4">
        <v>640</v>
      </c>
      <c r="I3831" t="s">
        <v>31</v>
      </c>
      <c r="J3831" t="s">
        <v>48</v>
      </c>
      <c r="K3831" t="s">
        <v>1340</v>
      </c>
      <c r="L3831" s="2">
        <v>46082</v>
      </c>
      <c r="M3831" t="s">
        <v>50</v>
      </c>
      <c r="N3831">
        <v>0</v>
      </c>
      <c r="O3831" t="s">
        <v>31</v>
      </c>
      <c r="P3831" t="s">
        <v>28</v>
      </c>
      <c r="Q3831">
        <v>0</v>
      </c>
    </row>
    <row r="3832" spans="1:17" x14ac:dyDescent="0.3">
      <c r="A3832" t="s">
        <v>17</v>
      </c>
      <c r="B3832">
        <v>67</v>
      </c>
      <c r="C3832" t="s">
        <v>28</v>
      </c>
      <c r="D3832" s="2">
        <v>46082</v>
      </c>
      <c r="E3832" s="3">
        <f t="shared" si="59"/>
        <v>46082</v>
      </c>
      <c r="F3832">
        <v>21634</v>
      </c>
      <c r="G3832" t="s">
        <v>52</v>
      </c>
      <c r="H3832" s="4">
        <v>9</v>
      </c>
      <c r="I3832" t="s">
        <v>31</v>
      </c>
      <c r="J3832" t="s">
        <v>48</v>
      </c>
      <c r="K3832" t="s">
        <v>1341</v>
      </c>
      <c r="L3832" s="2">
        <v>46082</v>
      </c>
      <c r="M3832" t="s">
        <v>50</v>
      </c>
      <c r="N3832">
        <v>0</v>
      </c>
      <c r="O3832" t="s">
        <v>31</v>
      </c>
      <c r="P3832" t="s">
        <v>28</v>
      </c>
      <c r="Q3832">
        <v>0</v>
      </c>
    </row>
    <row r="3833" spans="1:17" x14ac:dyDescent="0.3">
      <c r="A3833" t="s">
        <v>17</v>
      </c>
      <c r="B3833">
        <v>67</v>
      </c>
      <c r="C3833" t="s">
        <v>28</v>
      </c>
      <c r="D3833" s="2">
        <v>46082</v>
      </c>
      <c r="E3833" s="3">
        <f t="shared" si="59"/>
        <v>46082</v>
      </c>
      <c r="F3833">
        <v>21634</v>
      </c>
      <c r="G3833" t="s">
        <v>52</v>
      </c>
      <c r="H3833" s="4">
        <v>125</v>
      </c>
      <c r="I3833" t="s">
        <v>31</v>
      </c>
      <c r="J3833" t="s">
        <v>48</v>
      </c>
      <c r="K3833" t="s">
        <v>1342</v>
      </c>
      <c r="L3833" s="2">
        <v>46082</v>
      </c>
      <c r="M3833" t="s">
        <v>50</v>
      </c>
      <c r="N3833">
        <v>0</v>
      </c>
      <c r="O3833" t="s">
        <v>31</v>
      </c>
      <c r="P3833" t="s">
        <v>28</v>
      </c>
      <c r="Q3833">
        <v>0</v>
      </c>
    </row>
    <row r="3834" spans="1:17" x14ac:dyDescent="0.3">
      <c r="A3834" t="s">
        <v>17</v>
      </c>
      <c r="B3834">
        <v>67</v>
      </c>
      <c r="C3834" t="s">
        <v>28</v>
      </c>
      <c r="D3834" s="2">
        <v>46082</v>
      </c>
      <c r="E3834" s="3">
        <f t="shared" si="59"/>
        <v>46082</v>
      </c>
      <c r="F3834">
        <v>21634</v>
      </c>
      <c r="G3834" t="s">
        <v>52</v>
      </c>
      <c r="H3834" s="4">
        <v>2500</v>
      </c>
      <c r="I3834" t="s">
        <v>31</v>
      </c>
      <c r="J3834" t="s">
        <v>48</v>
      </c>
      <c r="K3834" t="s">
        <v>1343</v>
      </c>
      <c r="L3834" s="2">
        <v>46082</v>
      </c>
      <c r="M3834" t="s">
        <v>50</v>
      </c>
      <c r="N3834">
        <v>0</v>
      </c>
      <c r="O3834" t="s">
        <v>31</v>
      </c>
      <c r="P3834" t="s">
        <v>28</v>
      </c>
      <c r="Q3834">
        <v>0</v>
      </c>
    </row>
    <row r="3835" spans="1:17" x14ac:dyDescent="0.3">
      <c r="A3835" t="s">
        <v>17</v>
      </c>
      <c r="B3835">
        <v>67</v>
      </c>
      <c r="C3835" t="s">
        <v>28</v>
      </c>
      <c r="D3835" s="2">
        <v>46087</v>
      </c>
      <c r="E3835" s="3">
        <f t="shared" si="59"/>
        <v>46082</v>
      </c>
      <c r="F3835">
        <v>30724</v>
      </c>
      <c r="G3835" t="s">
        <v>673</v>
      </c>
      <c r="H3835" s="4">
        <v>45</v>
      </c>
      <c r="I3835" t="s">
        <v>47</v>
      </c>
      <c r="J3835" t="s">
        <v>48</v>
      </c>
      <c r="K3835" t="s">
        <v>3198</v>
      </c>
      <c r="L3835" s="2">
        <v>46082</v>
      </c>
      <c r="M3835" t="s">
        <v>50</v>
      </c>
      <c r="N3835">
        <v>0</v>
      </c>
      <c r="O3835" t="s">
        <v>26</v>
      </c>
      <c r="P3835" t="s">
        <v>28</v>
      </c>
      <c r="Q3835">
        <v>0</v>
      </c>
    </row>
    <row r="3836" spans="1:17" x14ac:dyDescent="0.3">
      <c r="A3836" t="s">
        <v>17</v>
      </c>
      <c r="B3836">
        <v>67</v>
      </c>
      <c r="C3836" t="s">
        <v>28</v>
      </c>
      <c r="D3836" s="2">
        <v>46087</v>
      </c>
      <c r="E3836" s="3">
        <f t="shared" si="59"/>
        <v>46082</v>
      </c>
      <c r="F3836">
        <v>30724</v>
      </c>
      <c r="G3836" t="s">
        <v>673</v>
      </c>
      <c r="H3836" s="4">
        <v>2.78</v>
      </c>
      <c r="I3836" t="s">
        <v>47</v>
      </c>
      <c r="J3836" t="s">
        <v>48</v>
      </c>
      <c r="K3836" t="s">
        <v>3199</v>
      </c>
      <c r="L3836" s="2">
        <v>46082</v>
      </c>
      <c r="M3836" t="s">
        <v>50</v>
      </c>
      <c r="N3836">
        <v>0</v>
      </c>
      <c r="O3836" t="s">
        <v>26</v>
      </c>
      <c r="P3836" t="s">
        <v>28</v>
      </c>
      <c r="Q3836">
        <v>0</v>
      </c>
    </row>
    <row r="3837" spans="1:17" x14ac:dyDescent="0.3">
      <c r="A3837" t="s">
        <v>17</v>
      </c>
      <c r="B3837">
        <v>67</v>
      </c>
      <c r="C3837" t="s">
        <v>28</v>
      </c>
      <c r="D3837" s="2">
        <v>46087</v>
      </c>
      <c r="E3837" s="3">
        <f t="shared" si="59"/>
        <v>46082</v>
      </c>
      <c r="F3837">
        <v>30724</v>
      </c>
      <c r="G3837" t="s">
        <v>673</v>
      </c>
      <c r="H3837" s="4">
        <v>531.09</v>
      </c>
      <c r="I3837" t="s">
        <v>47</v>
      </c>
      <c r="J3837" t="s">
        <v>48</v>
      </c>
      <c r="K3837" t="s">
        <v>3200</v>
      </c>
      <c r="L3837" s="2">
        <v>46082</v>
      </c>
      <c r="M3837" t="s">
        <v>50</v>
      </c>
      <c r="N3837">
        <v>0</v>
      </c>
      <c r="O3837" t="s">
        <v>26</v>
      </c>
      <c r="P3837" t="s">
        <v>28</v>
      </c>
      <c r="Q3837">
        <v>0</v>
      </c>
    </row>
    <row r="3838" spans="1:17" x14ac:dyDescent="0.3">
      <c r="A3838" t="s">
        <v>17</v>
      </c>
      <c r="B3838">
        <v>67</v>
      </c>
      <c r="C3838" t="s">
        <v>28</v>
      </c>
      <c r="D3838" s="2">
        <v>46087</v>
      </c>
      <c r="E3838" s="3">
        <f t="shared" si="59"/>
        <v>46082</v>
      </c>
      <c r="F3838">
        <v>30724</v>
      </c>
      <c r="G3838" t="s">
        <v>673</v>
      </c>
      <c r="H3838" s="4">
        <v>194.44</v>
      </c>
      <c r="I3838" t="s">
        <v>47</v>
      </c>
      <c r="J3838" t="s">
        <v>48</v>
      </c>
      <c r="K3838" t="s">
        <v>3201</v>
      </c>
      <c r="L3838" s="2">
        <v>46082</v>
      </c>
      <c r="M3838" t="s">
        <v>50</v>
      </c>
      <c r="N3838">
        <v>0</v>
      </c>
      <c r="O3838" t="s">
        <v>26</v>
      </c>
      <c r="P3838" t="s">
        <v>28</v>
      </c>
      <c r="Q3838">
        <v>0</v>
      </c>
    </row>
    <row r="3839" spans="1:17" x14ac:dyDescent="0.3">
      <c r="A3839" t="s">
        <v>17</v>
      </c>
      <c r="B3839">
        <v>67</v>
      </c>
      <c r="C3839" t="s">
        <v>28</v>
      </c>
      <c r="D3839" s="2">
        <v>46087</v>
      </c>
      <c r="E3839" s="3">
        <f t="shared" si="59"/>
        <v>46082</v>
      </c>
      <c r="F3839">
        <v>30724</v>
      </c>
      <c r="G3839" t="s">
        <v>673</v>
      </c>
      <c r="H3839" s="4">
        <v>379.88</v>
      </c>
      <c r="I3839" t="s">
        <v>47</v>
      </c>
      <c r="J3839" t="s">
        <v>48</v>
      </c>
      <c r="K3839" t="s">
        <v>3200</v>
      </c>
      <c r="L3839" s="2">
        <v>46082</v>
      </c>
      <c r="M3839" t="s">
        <v>50</v>
      </c>
      <c r="N3839">
        <v>0</v>
      </c>
      <c r="O3839" t="s">
        <v>26</v>
      </c>
      <c r="P3839" t="s">
        <v>28</v>
      </c>
      <c r="Q3839">
        <v>0</v>
      </c>
    </row>
    <row r="3840" spans="1:17" x14ac:dyDescent="0.3">
      <c r="A3840" t="s">
        <v>17</v>
      </c>
      <c r="B3840">
        <v>67</v>
      </c>
      <c r="C3840" t="s">
        <v>28</v>
      </c>
      <c r="D3840" s="2">
        <v>46087</v>
      </c>
      <c r="E3840" s="3">
        <f t="shared" si="59"/>
        <v>46082</v>
      </c>
      <c r="F3840">
        <v>30724</v>
      </c>
      <c r="G3840" t="s">
        <v>673</v>
      </c>
      <c r="H3840" s="4">
        <v>194.44</v>
      </c>
      <c r="I3840" t="s">
        <v>47</v>
      </c>
      <c r="J3840" t="s">
        <v>48</v>
      </c>
      <c r="K3840" t="s">
        <v>3201</v>
      </c>
      <c r="L3840" s="2">
        <v>46082</v>
      </c>
      <c r="M3840" t="s">
        <v>50</v>
      </c>
      <c r="N3840">
        <v>0</v>
      </c>
      <c r="O3840" t="s">
        <v>26</v>
      </c>
      <c r="P3840" t="s">
        <v>28</v>
      </c>
      <c r="Q3840">
        <v>0</v>
      </c>
    </row>
    <row r="3841" spans="1:17" x14ac:dyDescent="0.3">
      <c r="A3841" t="s">
        <v>17</v>
      </c>
      <c r="B3841">
        <v>67</v>
      </c>
      <c r="C3841" t="s">
        <v>28</v>
      </c>
      <c r="D3841" s="2">
        <v>46087</v>
      </c>
      <c r="E3841" s="3">
        <f t="shared" si="59"/>
        <v>46082</v>
      </c>
      <c r="F3841">
        <v>30724</v>
      </c>
      <c r="G3841" t="s">
        <v>673</v>
      </c>
      <c r="H3841" s="4">
        <v>194.44</v>
      </c>
      <c r="I3841" t="s">
        <v>47</v>
      </c>
      <c r="J3841" t="s">
        <v>48</v>
      </c>
      <c r="K3841" t="s">
        <v>3201</v>
      </c>
      <c r="L3841" s="2">
        <v>46082</v>
      </c>
      <c r="M3841" t="s">
        <v>50</v>
      </c>
      <c r="N3841">
        <v>0</v>
      </c>
      <c r="O3841" t="s">
        <v>26</v>
      </c>
      <c r="P3841" t="s">
        <v>28</v>
      </c>
      <c r="Q3841">
        <v>0</v>
      </c>
    </row>
    <row r="3842" spans="1:17" x14ac:dyDescent="0.3">
      <c r="A3842" t="s">
        <v>17</v>
      </c>
      <c r="B3842">
        <v>67</v>
      </c>
      <c r="C3842" t="s">
        <v>28</v>
      </c>
      <c r="D3842" s="2">
        <v>46087</v>
      </c>
      <c r="E3842" s="3">
        <f t="shared" si="59"/>
        <v>46082</v>
      </c>
      <c r="F3842">
        <v>30724</v>
      </c>
      <c r="G3842" t="s">
        <v>673</v>
      </c>
      <c r="H3842" s="4">
        <v>44.85</v>
      </c>
      <c r="I3842" t="s">
        <v>47</v>
      </c>
      <c r="J3842" t="s">
        <v>48</v>
      </c>
      <c r="K3842" t="s">
        <v>3202</v>
      </c>
      <c r="L3842" s="2">
        <v>46082</v>
      </c>
      <c r="M3842" t="s">
        <v>50</v>
      </c>
      <c r="N3842">
        <v>0</v>
      </c>
      <c r="O3842" t="s">
        <v>26</v>
      </c>
      <c r="P3842" t="s">
        <v>28</v>
      </c>
      <c r="Q3842">
        <v>0</v>
      </c>
    </row>
    <row r="3843" spans="1:17" x14ac:dyDescent="0.3">
      <c r="A3843" t="s">
        <v>17</v>
      </c>
      <c r="B3843">
        <v>67</v>
      </c>
      <c r="C3843" t="s">
        <v>28</v>
      </c>
      <c r="D3843" s="2">
        <v>46087</v>
      </c>
      <c r="E3843" s="3">
        <f t="shared" ref="E3843:E3906" si="60">IF($D3843="","",DATE(YEAR($D3843),MONTH($D3843),1))</f>
        <v>46082</v>
      </c>
      <c r="F3843">
        <v>30724</v>
      </c>
      <c r="G3843" t="s">
        <v>673</v>
      </c>
      <c r="H3843" s="4">
        <v>300</v>
      </c>
      <c r="I3843" t="s">
        <v>47</v>
      </c>
      <c r="J3843" t="s">
        <v>48</v>
      </c>
      <c r="K3843" t="s">
        <v>1350</v>
      </c>
      <c r="L3843" s="2">
        <v>46082</v>
      </c>
      <c r="M3843" t="s">
        <v>50</v>
      </c>
      <c r="N3843">
        <v>0</v>
      </c>
      <c r="O3843" t="s">
        <v>26</v>
      </c>
      <c r="P3843" t="s">
        <v>28</v>
      </c>
      <c r="Q3843">
        <v>0</v>
      </c>
    </row>
    <row r="3844" spans="1:17" x14ac:dyDescent="0.3">
      <c r="A3844" t="s">
        <v>17</v>
      </c>
      <c r="B3844">
        <v>67</v>
      </c>
      <c r="C3844" t="s">
        <v>28</v>
      </c>
      <c r="D3844" s="2">
        <v>46087</v>
      </c>
      <c r="E3844" s="3">
        <f t="shared" si="60"/>
        <v>46082</v>
      </c>
      <c r="F3844">
        <v>30724</v>
      </c>
      <c r="G3844" t="s">
        <v>673</v>
      </c>
      <c r="H3844" s="4">
        <v>300</v>
      </c>
      <c r="I3844" t="s">
        <v>47</v>
      </c>
      <c r="J3844" t="s">
        <v>48</v>
      </c>
      <c r="K3844" t="s">
        <v>1351</v>
      </c>
      <c r="L3844" s="2">
        <v>46082</v>
      </c>
      <c r="M3844" t="s">
        <v>50</v>
      </c>
      <c r="N3844">
        <v>0</v>
      </c>
      <c r="O3844" t="s">
        <v>26</v>
      </c>
      <c r="P3844" t="s">
        <v>28</v>
      </c>
      <c r="Q3844">
        <v>0</v>
      </c>
    </row>
    <row r="3845" spans="1:17" x14ac:dyDescent="0.3">
      <c r="A3845" t="s">
        <v>17</v>
      </c>
      <c r="B3845">
        <v>67</v>
      </c>
      <c r="C3845" t="s">
        <v>28</v>
      </c>
      <c r="D3845" s="2">
        <v>46087</v>
      </c>
      <c r="E3845" s="3">
        <f t="shared" si="60"/>
        <v>46082</v>
      </c>
      <c r="F3845">
        <v>30724</v>
      </c>
      <c r="G3845" t="s">
        <v>673</v>
      </c>
      <c r="H3845" s="4">
        <v>500</v>
      </c>
      <c r="I3845" t="s">
        <v>47</v>
      </c>
      <c r="J3845" t="s">
        <v>48</v>
      </c>
      <c r="K3845" t="s">
        <v>1353</v>
      </c>
      <c r="L3845" s="2">
        <v>46082</v>
      </c>
      <c r="M3845" t="s">
        <v>50</v>
      </c>
      <c r="N3845">
        <v>0</v>
      </c>
      <c r="O3845" t="s">
        <v>26</v>
      </c>
      <c r="P3845" t="s">
        <v>28</v>
      </c>
      <c r="Q3845">
        <v>0</v>
      </c>
    </row>
    <row r="3846" spans="1:17" x14ac:dyDescent="0.3">
      <c r="A3846" t="s">
        <v>17</v>
      </c>
      <c r="B3846">
        <v>67</v>
      </c>
      <c r="C3846" t="s">
        <v>28</v>
      </c>
      <c r="D3846" s="2">
        <v>46087</v>
      </c>
      <c r="E3846" s="3">
        <f t="shared" si="60"/>
        <v>46082</v>
      </c>
      <c r="F3846">
        <v>30724</v>
      </c>
      <c r="G3846" t="s">
        <v>673</v>
      </c>
      <c r="H3846" s="4">
        <v>10000</v>
      </c>
      <c r="I3846" t="s">
        <v>47</v>
      </c>
      <c r="J3846" t="s">
        <v>48</v>
      </c>
      <c r="K3846" t="s">
        <v>3203</v>
      </c>
      <c r="L3846" s="2">
        <v>46082</v>
      </c>
      <c r="M3846" t="s">
        <v>50</v>
      </c>
      <c r="N3846">
        <v>0</v>
      </c>
      <c r="O3846" t="s">
        <v>26</v>
      </c>
      <c r="P3846" t="s">
        <v>28</v>
      </c>
      <c r="Q3846">
        <v>0</v>
      </c>
    </row>
    <row r="3847" spans="1:17" x14ac:dyDescent="0.3">
      <c r="A3847" t="s">
        <v>17</v>
      </c>
      <c r="B3847">
        <v>67</v>
      </c>
      <c r="C3847" t="s">
        <v>28</v>
      </c>
      <c r="D3847" s="2">
        <v>46106</v>
      </c>
      <c r="E3847" s="3">
        <f t="shared" si="60"/>
        <v>46082</v>
      </c>
      <c r="F3847" t="s">
        <v>3204</v>
      </c>
      <c r="G3847" t="s">
        <v>2953</v>
      </c>
      <c r="H3847" s="4">
        <v>119.97</v>
      </c>
      <c r="I3847" t="s">
        <v>31</v>
      </c>
      <c r="J3847" t="s">
        <v>48</v>
      </c>
      <c r="K3847" t="s">
        <v>3205</v>
      </c>
      <c r="L3847" s="2">
        <v>46082</v>
      </c>
      <c r="M3847" t="s">
        <v>50</v>
      </c>
      <c r="N3847">
        <v>0</v>
      </c>
      <c r="O3847" t="s">
        <v>31</v>
      </c>
      <c r="P3847" t="s">
        <v>28</v>
      </c>
      <c r="Q3847">
        <v>0</v>
      </c>
    </row>
    <row r="3848" spans="1:17" x14ac:dyDescent="0.3">
      <c r="A3848" t="s">
        <v>17</v>
      </c>
      <c r="B3848">
        <v>67</v>
      </c>
      <c r="C3848" t="s">
        <v>28</v>
      </c>
      <c r="D3848" s="2">
        <v>46112</v>
      </c>
      <c r="E3848" s="3">
        <f t="shared" si="60"/>
        <v>46082</v>
      </c>
      <c r="F3848">
        <v>1147284</v>
      </c>
      <c r="G3848" t="s">
        <v>283</v>
      </c>
      <c r="H3848" s="4">
        <v>134.25</v>
      </c>
      <c r="I3848" t="s">
        <v>31</v>
      </c>
      <c r="J3848" t="s">
        <v>48</v>
      </c>
      <c r="K3848" t="s">
        <v>3206</v>
      </c>
      <c r="L3848" s="2">
        <v>46082</v>
      </c>
      <c r="M3848" t="s">
        <v>50</v>
      </c>
      <c r="N3848">
        <v>0</v>
      </c>
      <c r="O3848" t="s">
        <v>31</v>
      </c>
      <c r="P3848" t="s">
        <v>28</v>
      </c>
      <c r="Q3848">
        <v>0</v>
      </c>
    </row>
    <row r="3849" spans="1:17" x14ac:dyDescent="0.3">
      <c r="A3849" t="s">
        <v>17</v>
      </c>
      <c r="B3849">
        <v>67</v>
      </c>
      <c r="C3849" t="s">
        <v>28</v>
      </c>
      <c r="D3849" s="2">
        <v>46112</v>
      </c>
      <c r="E3849" s="3">
        <f t="shared" si="60"/>
        <v>46082</v>
      </c>
      <c r="F3849">
        <v>1147284</v>
      </c>
      <c r="G3849" t="s">
        <v>283</v>
      </c>
      <c r="H3849" s="4">
        <v>13.75</v>
      </c>
      <c r="I3849" t="s">
        <v>31</v>
      </c>
      <c r="J3849" t="s">
        <v>48</v>
      </c>
      <c r="K3849" t="s">
        <v>3207</v>
      </c>
      <c r="L3849" s="2">
        <v>46082</v>
      </c>
      <c r="M3849" t="s">
        <v>50</v>
      </c>
      <c r="N3849">
        <v>0</v>
      </c>
      <c r="O3849" t="s">
        <v>31</v>
      </c>
      <c r="P3849" t="s">
        <v>28</v>
      </c>
      <c r="Q3849">
        <v>0</v>
      </c>
    </row>
    <row r="3850" spans="1:17" x14ac:dyDescent="0.3">
      <c r="A3850" t="s">
        <v>17</v>
      </c>
      <c r="B3850">
        <v>67</v>
      </c>
      <c r="C3850" t="s">
        <v>28</v>
      </c>
      <c r="D3850" s="2">
        <v>46112</v>
      </c>
      <c r="E3850" s="3">
        <f t="shared" si="60"/>
        <v>46082</v>
      </c>
      <c r="F3850">
        <v>1147284</v>
      </c>
      <c r="G3850" t="s">
        <v>283</v>
      </c>
      <c r="H3850" s="4">
        <v>27</v>
      </c>
      <c r="I3850" t="s">
        <v>31</v>
      </c>
      <c r="J3850" t="s">
        <v>48</v>
      </c>
      <c r="K3850" t="s">
        <v>3208</v>
      </c>
      <c r="L3850" s="2">
        <v>46082</v>
      </c>
      <c r="M3850" t="s">
        <v>50</v>
      </c>
      <c r="N3850">
        <v>0</v>
      </c>
      <c r="O3850" t="s">
        <v>31</v>
      </c>
      <c r="P3850" t="s">
        <v>28</v>
      </c>
      <c r="Q3850">
        <v>0</v>
      </c>
    </row>
    <row r="3851" spans="1:17" x14ac:dyDescent="0.3">
      <c r="A3851" t="s">
        <v>17</v>
      </c>
      <c r="B3851">
        <v>67</v>
      </c>
      <c r="C3851" t="s">
        <v>28</v>
      </c>
      <c r="D3851" s="2">
        <v>46112</v>
      </c>
      <c r="E3851" s="3">
        <f t="shared" si="60"/>
        <v>46082</v>
      </c>
      <c r="F3851" t="s">
        <v>3209</v>
      </c>
      <c r="H3851" s="4">
        <v>833.34</v>
      </c>
      <c r="I3851" t="s">
        <v>31</v>
      </c>
      <c r="J3851" t="s">
        <v>48</v>
      </c>
      <c r="K3851" t="s">
        <v>937</v>
      </c>
      <c r="L3851" s="2">
        <v>46082</v>
      </c>
      <c r="M3851" t="s">
        <v>50</v>
      </c>
      <c r="N3851">
        <v>0</v>
      </c>
      <c r="O3851" t="s">
        <v>31</v>
      </c>
      <c r="P3851" t="s">
        <v>28</v>
      </c>
      <c r="Q3851">
        <v>0</v>
      </c>
    </row>
    <row r="3852" spans="1:17" x14ac:dyDescent="0.3">
      <c r="A3852" t="s">
        <v>17</v>
      </c>
      <c r="B3852">
        <v>63</v>
      </c>
      <c r="C3852" t="s">
        <v>18</v>
      </c>
      <c r="D3852" s="2">
        <v>46112</v>
      </c>
      <c r="E3852" s="3">
        <f t="shared" si="60"/>
        <v>46082</v>
      </c>
      <c r="F3852" t="s">
        <v>3210</v>
      </c>
      <c r="H3852" s="4">
        <v>5361.69</v>
      </c>
      <c r="I3852" t="s">
        <v>47</v>
      </c>
      <c r="J3852" t="s">
        <v>272</v>
      </c>
      <c r="K3852" t="s">
        <v>2977</v>
      </c>
      <c r="L3852" s="2">
        <v>46082</v>
      </c>
      <c r="M3852" t="s">
        <v>272</v>
      </c>
      <c r="N3852">
        <v>0</v>
      </c>
      <c r="O3852" t="s">
        <v>26</v>
      </c>
      <c r="P3852" t="s">
        <v>18</v>
      </c>
      <c r="Q3852" t="s">
        <v>274</v>
      </c>
    </row>
    <row r="3853" spans="1:17" x14ac:dyDescent="0.3">
      <c r="A3853" t="s">
        <v>17</v>
      </c>
      <c r="B3853">
        <v>63</v>
      </c>
      <c r="C3853" t="s">
        <v>18</v>
      </c>
      <c r="D3853" s="2">
        <v>46087</v>
      </c>
      <c r="E3853" s="3">
        <f t="shared" si="60"/>
        <v>46082</v>
      </c>
      <c r="F3853" t="s">
        <v>3211</v>
      </c>
      <c r="G3853" t="s">
        <v>3212</v>
      </c>
      <c r="H3853" s="4">
        <v>500</v>
      </c>
      <c r="I3853" t="s">
        <v>47</v>
      </c>
      <c r="J3853" t="s">
        <v>331</v>
      </c>
      <c r="K3853" t="s">
        <v>3213</v>
      </c>
      <c r="L3853" s="2">
        <v>46082</v>
      </c>
      <c r="M3853" t="s">
        <v>333</v>
      </c>
      <c r="N3853">
        <v>0</v>
      </c>
      <c r="O3853" t="s">
        <v>26</v>
      </c>
      <c r="P3853" t="s">
        <v>18</v>
      </c>
      <c r="Q3853" t="s">
        <v>18</v>
      </c>
    </row>
    <row r="3854" spans="1:17" x14ac:dyDescent="0.3">
      <c r="A3854" t="s">
        <v>17</v>
      </c>
      <c r="B3854">
        <v>63</v>
      </c>
      <c r="C3854" t="s">
        <v>18</v>
      </c>
      <c r="D3854" s="2">
        <v>46092</v>
      </c>
      <c r="E3854" s="3">
        <f t="shared" si="60"/>
        <v>46082</v>
      </c>
      <c r="F3854">
        <v>847152</v>
      </c>
      <c r="G3854" t="s">
        <v>125</v>
      </c>
      <c r="H3854" s="4">
        <v>55</v>
      </c>
      <c r="I3854" t="s">
        <v>47</v>
      </c>
      <c r="J3854" t="s">
        <v>22</v>
      </c>
      <c r="K3854" t="s">
        <v>1791</v>
      </c>
      <c r="L3854" s="2">
        <v>46082</v>
      </c>
      <c r="M3854" t="s">
        <v>24</v>
      </c>
      <c r="N3854">
        <v>0</v>
      </c>
      <c r="O3854" t="s">
        <v>26</v>
      </c>
      <c r="P3854" t="s">
        <v>18</v>
      </c>
      <c r="Q3854" t="s">
        <v>27</v>
      </c>
    </row>
    <row r="3855" spans="1:17" x14ac:dyDescent="0.3">
      <c r="A3855" t="s">
        <v>17</v>
      </c>
      <c r="B3855">
        <v>63</v>
      </c>
      <c r="C3855" t="s">
        <v>18</v>
      </c>
      <c r="D3855" s="2">
        <v>46092</v>
      </c>
      <c r="E3855" s="3">
        <f t="shared" si="60"/>
        <v>46082</v>
      </c>
      <c r="F3855">
        <v>847152</v>
      </c>
      <c r="G3855" t="s">
        <v>125</v>
      </c>
      <c r="H3855" s="4">
        <v>275</v>
      </c>
      <c r="I3855" t="s">
        <v>47</v>
      </c>
      <c r="J3855" t="s">
        <v>22</v>
      </c>
      <c r="K3855" t="s">
        <v>3214</v>
      </c>
      <c r="L3855" s="2">
        <v>46082</v>
      </c>
      <c r="M3855" t="s">
        <v>24</v>
      </c>
      <c r="N3855">
        <v>0</v>
      </c>
      <c r="O3855" t="s">
        <v>26</v>
      </c>
      <c r="P3855" t="s">
        <v>18</v>
      </c>
      <c r="Q3855" t="s">
        <v>27</v>
      </c>
    </row>
    <row r="3856" spans="1:17" x14ac:dyDescent="0.3">
      <c r="A3856" t="s">
        <v>17</v>
      </c>
      <c r="B3856">
        <v>63</v>
      </c>
      <c r="C3856" t="s">
        <v>18</v>
      </c>
      <c r="D3856" s="2">
        <v>46101</v>
      </c>
      <c r="E3856" s="3">
        <f t="shared" si="60"/>
        <v>46082</v>
      </c>
      <c r="F3856">
        <v>847808</v>
      </c>
      <c r="G3856" t="s">
        <v>125</v>
      </c>
      <c r="H3856" s="4">
        <v>45</v>
      </c>
      <c r="I3856" t="s">
        <v>47</v>
      </c>
      <c r="J3856" t="s">
        <v>22</v>
      </c>
      <c r="K3856" t="s">
        <v>3215</v>
      </c>
      <c r="L3856" s="2">
        <v>46082</v>
      </c>
      <c r="M3856" t="s">
        <v>24</v>
      </c>
      <c r="N3856">
        <v>0</v>
      </c>
      <c r="O3856" t="s">
        <v>26</v>
      </c>
      <c r="P3856" t="s">
        <v>18</v>
      </c>
      <c r="Q3856" t="s">
        <v>27</v>
      </c>
    </row>
    <row r="3857" spans="1:17" x14ac:dyDescent="0.3">
      <c r="A3857" t="s">
        <v>17</v>
      </c>
      <c r="B3857">
        <v>63</v>
      </c>
      <c r="C3857" t="s">
        <v>18</v>
      </c>
      <c r="D3857" s="2">
        <v>46101</v>
      </c>
      <c r="E3857" s="3">
        <f t="shared" si="60"/>
        <v>46082</v>
      </c>
      <c r="F3857">
        <v>847808</v>
      </c>
      <c r="G3857" t="s">
        <v>125</v>
      </c>
      <c r="H3857" s="4">
        <v>225</v>
      </c>
      <c r="I3857" t="s">
        <v>47</v>
      </c>
      <c r="J3857" t="s">
        <v>22</v>
      </c>
      <c r="K3857" t="s">
        <v>3216</v>
      </c>
      <c r="L3857" s="2">
        <v>46082</v>
      </c>
      <c r="M3857" t="s">
        <v>24</v>
      </c>
      <c r="N3857">
        <v>0</v>
      </c>
      <c r="O3857" t="s">
        <v>26</v>
      </c>
      <c r="P3857" t="s">
        <v>18</v>
      </c>
      <c r="Q3857" t="s">
        <v>27</v>
      </c>
    </row>
    <row r="3858" spans="1:17" x14ac:dyDescent="0.3">
      <c r="A3858" t="s">
        <v>17</v>
      </c>
      <c r="B3858">
        <v>63</v>
      </c>
      <c r="C3858" t="s">
        <v>18</v>
      </c>
      <c r="D3858" s="2">
        <v>46112</v>
      </c>
      <c r="E3858" s="3">
        <f t="shared" si="60"/>
        <v>46082</v>
      </c>
      <c r="F3858" t="s">
        <v>3217</v>
      </c>
      <c r="H3858" s="4">
        <v>9432.52</v>
      </c>
      <c r="I3858" t="s">
        <v>47</v>
      </c>
      <c r="J3858" t="s">
        <v>326</v>
      </c>
      <c r="K3858" t="s">
        <v>3218</v>
      </c>
      <c r="L3858" s="2">
        <v>46082</v>
      </c>
      <c r="M3858" t="s">
        <v>328</v>
      </c>
      <c r="N3858">
        <v>0</v>
      </c>
      <c r="O3858" t="s">
        <v>26</v>
      </c>
      <c r="P3858" t="s">
        <v>18</v>
      </c>
      <c r="Q3858" t="s">
        <v>329</v>
      </c>
    </row>
    <row r="3859" spans="1:17" x14ac:dyDescent="0.3">
      <c r="A3859" t="s">
        <v>17</v>
      </c>
      <c r="B3859">
        <v>67</v>
      </c>
      <c r="C3859" t="s">
        <v>28</v>
      </c>
      <c r="D3859" s="2">
        <v>46085</v>
      </c>
      <c r="E3859" s="3">
        <f t="shared" si="60"/>
        <v>46082</v>
      </c>
      <c r="F3859" t="s">
        <v>3219</v>
      </c>
      <c r="G3859" t="s">
        <v>119</v>
      </c>
      <c r="H3859" s="4">
        <v>1822.5</v>
      </c>
      <c r="I3859" t="s">
        <v>31</v>
      </c>
      <c r="J3859" t="s">
        <v>68</v>
      </c>
      <c r="K3859" t="s">
        <v>1567</v>
      </c>
      <c r="L3859" s="2">
        <v>46082</v>
      </c>
      <c r="M3859" t="s">
        <v>68</v>
      </c>
      <c r="N3859">
        <v>0</v>
      </c>
      <c r="O3859" t="s">
        <v>31</v>
      </c>
      <c r="P3859" t="s">
        <v>28</v>
      </c>
      <c r="Q3859">
        <v>0</v>
      </c>
    </row>
    <row r="3860" spans="1:17" x14ac:dyDescent="0.3">
      <c r="A3860" t="s">
        <v>17</v>
      </c>
      <c r="B3860">
        <v>67</v>
      </c>
      <c r="C3860" t="s">
        <v>28</v>
      </c>
      <c r="D3860" s="2">
        <v>46087</v>
      </c>
      <c r="E3860" s="3">
        <f t="shared" si="60"/>
        <v>46082</v>
      </c>
      <c r="F3860" t="s">
        <v>3220</v>
      </c>
      <c r="G3860" t="s">
        <v>67</v>
      </c>
      <c r="H3860" s="4">
        <v>0.64</v>
      </c>
      <c r="I3860" t="s">
        <v>31</v>
      </c>
      <c r="J3860" t="s">
        <v>68</v>
      </c>
      <c r="K3860" t="s">
        <v>1276</v>
      </c>
      <c r="L3860" s="2">
        <v>46082</v>
      </c>
      <c r="M3860" t="s">
        <v>68</v>
      </c>
      <c r="N3860">
        <v>0</v>
      </c>
      <c r="O3860" t="s">
        <v>31</v>
      </c>
      <c r="P3860" t="s">
        <v>28</v>
      </c>
      <c r="Q3860">
        <v>0</v>
      </c>
    </row>
    <row r="3861" spans="1:17" x14ac:dyDescent="0.3">
      <c r="A3861" t="s">
        <v>17</v>
      </c>
      <c r="B3861">
        <v>67</v>
      </c>
      <c r="C3861" t="s">
        <v>28</v>
      </c>
      <c r="D3861" s="2">
        <v>46087</v>
      </c>
      <c r="E3861" s="3">
        <f t="shared" si="60"/>
        <v>46082</v>
      </c>
      <c r="F3861" t="s">
        <v>3220</v>
      </c>
      <c r="G3861" t="s">
        <v>67</v>
      </c>
      <c r="H3861" s="4">
        <v>9.1999999999999993</v>
      </c>
      <c r="I3861" t="s">
        <v>31</v>
      </c>
      <c r="J3861" t="s">
        <v>68</v>
      </c>
      <c r="K3861" t="s">
        <v>3221</v>
      </c>
      <c r="L3861" s="2">
        <v>46082</v>
      </c>
      <c r="M3861" t="s">
        <v>68</v>
      </c>
      <c r="N3861">
        <v>0</v>
      </c>
      <c r="O3861" t="s">
        <v>31</v>
      </c>
      <c r="P3861" t="s">
        <v>28</v>
      </c>
      <c r="Q3861">
        <v>0</v>
      </c>
    </row>
    <row r="3862" spans="1:17" x14ac:dyDescent="0.3">
      <c r="A3862" t="s">
        <v>17</v>
      </c>
      <c r="B3862">
        <v>67</v>
      </c>
      <c r="C3862" t="s">
        <v>28</v>
      </c>
      <c r="D3862" s="2">
        <v>46087</v>
      </c>
      <c r="E3862" s="3">
        <f t="shared" si="60"/>
        <v>46082</v>
      </c>
      <c r="F3862" t="s">
        <v>3222</v>
      </c>
      <c r="G3862" t="s">
        <v>67</v>
      </c>
      <c r="H3862" s="4">
        <v>643.87</v>
      </c>
      <c r="I3862" t="s">
        <v>31</v>
      </c>
      <c r="J3862" t="s">
        <v>68</v>
      </c>
      <c r="K3862" t="s">
        <v>1577</v>
      </c>
      <c r="L3862" s="2">
        <v>46082</v>
      </c>
      <c r="M3862" t="s">
        <v>68</v>
      </c>
      <c r="N3862">
        <v>0</v>
      </c>
      <c r="O3862" t="s">
        <v>31</v>
      </c>
      <c r="P3862" t="s">
        <v>28</v>
      </c>
      <c r="Q3862">
        <v>0</v>
      </c>
    </row>
    <row r="3863" spans="1:17" x14ac:dyDescent="0.3">
      <c r="A3863" t="s">
        <v>17</v>
      </c>
      <c r="B3863">
        <v>67</v>
      </c>
      <c r="C3863" t="s">
        <v>28</v>
      </c>
      <c r="D3863" s="2">
        <v>46087</v>
      </c>
      <c r="E3863" s="3">
        <f t="shared" si="60"/>
        <v>46082</v>
      </c>
      <c r="F3863" t="s">
        <v>3223</v>
      </c>
      <c r="G3863" t="s">
        <v>67</v>
      </c>
      <c r="H3863" s="4">
        <v>13.42</v>
      </c>
      <c r="I3863" t="s">
        <v>31</v>
      </c>
      <c r="J3863" t="s">
        <v>68</v>
      </c>
      <c r="K3863" t="s">
        <v>1276</v>
      </c>
      <c r="L3863" s="2">
        <v>46082</v>
      </c>
      <c r="M3863" t="s">
        <v>68</v>
      </c>
      <c r="N3863">
        <v>0</v>
      </c>
      <c r="O3863" t="s">
        <v>31</v>
      </c>
      <c r="P3863" t="s">
        <v>28</v>
      </c>
      <c r="Q3863">
        <v>0</v>
      </c>
    </row>
    <row r="3864" spans="1:17" x14ac:dyDescent="0.3">
      <c r="A3864" t="s">
        <v>17</v>
      </c>
      <c r="B3864">
        <v>67</v>
      </c>
      <c r="C3864" t="s">
        <v>28</v>
      </c>
      <c r="D3864" s="2">
        <v>46087</v>
      </c>
      <c r="E3864" s="3">
        <f t="shared" si="60"/>
        <v>46082</v>
      </c>
      <c r="F3864" t="s">
        <v>3223</v>
      </c>
      <c r="G3864" t="s">
        <v>67</v>
      </c>
      <c r="H3864" s="4">
        <v>276.64999999999998</v>
      </c>
      <c r="I3864" t="s">
        <v>31</v>
      </c>
      <c r="J3864" t="s">
        <v>68</v>
      </c>
      <c r="K3864" t="s">
        <v>3224</v>
      </c>
      <c r="L3864" s="2">
        <v>46082</v>
      </c>
      <c r="M3864" t="s">
        <v>68</v>
      </c>
      <c r="N3864">
        <v>0</v>
      </c>
      <c r="O3864" t="s">
        <v>31</v>
      </c>
      <c r="P3864" t="s">
        <v>28</v>
      </c>
      <c r="Q3864">
        <v>0</v>
      </c>
    </row>
    <row r="3865" spans="1:17" x14ac:dyDescent="0.3">
      <c r="A3865" t="s">
        <v>17</v>
      </c>
      <c r="B3865">
        <v>67</v>
      </c>
      <c r="C3865" t="s">
        <v>28</v>
      </c>
      <c r="D3865" s="2">
        <v>46092</v>
      </c>
      <c r="E3865" s="3">
        <f t="shared" si="60"/>
        <v>46082</v>
      </c>
      <c r="F3865" t="s">
        <v>3225</v>
      </c>
      <c r="G3865" t="s">
        <v>119</v>
      </c>
      <c r="H3865" s="4">
        <v>958.75</v>
      </c>
      <c r="I3865" t="s">
        <v>31</v>
      </c>
      <c r="J3865" t="s">
        <v>68</v>
      </c>
      <c r="K3865" t="s">
        <v>1567</v>
      </c>
      <c r="L3865" s="2">
        <v>46082</v>
      </c>
      <c r="M3865" t="s">
        <v>68</v>
      </c>
      <c r="N3865">
        <v>0</v>
      </c>
      <c r="O3865" t="s">
        <v>31</v>
      </c>
      <c r="P3865" t="s">
        <v>28</v>
      </c>
      <c r="Q3865">
        <v>0</v>
      </c>
    </row>
    <row r="3866" spans="1:17" x14ac:dyDescent="0.3">
      <c r="A3866" t="s">
        <v>17</v>
      </c>
      <c r="B3866">
        <v>67</v>
      </c>
      <c r="C3866" t="s">
        <v>28</v>
      </c>
      <c r="D3866" s="2">
        <v>46094</v>
      </c>
      <c r="E3866" s="3">
        <f t="shared" si="60"/>
        <v>46082</v>
      </c>
      <c r="F3866" t="s">
        <v>3226</v>
      </c>
      <c r="G3866" t="s">
        <v>67</v>
      </c>
      <c r="H3866" s="4">
        <v>0.64</v>
      </c>
      <c r="I3866" t="s">
        <v>31</v>
      </c>
      <c r="J3866" t="s">
        <v>68</v>
      </c>
      <c r="K3866" t="s">
        <v>1276</v>
      </c>
      <c r="L3866" s="2">
        <v>46082</v>
      </c>
      <c r="M3866" t="s">
        <v>68</v>
      </c>
      <c r="N3866">
        <v>0</v>
      </c>
      <c r="O3866" t="s">
        <v>31</v>
      </c>
      <c r="P3866" t="s">
        <v>28</v>
      </c>
      <c r="Q3866">
        <v>0</v>
      </c>
    </row>
    <row r="3867" spans="1:17" x14ac:dyDescent="0.3">
      <c r="A3867" t="s">
        <v>17</v>
      </c>
      <c r="B3867">
        <v>67</v>
      </c>
      <c r="C3867" t="s">
        <v>28</v>
      </c>
      <c r="D3867" s="2">
        <v>46094</v>
      </c>
      <c r="E3867" s="3">
        <f t="shared" si="60"/>
        <v>46082</v>
      </c>
      <c r="F3867" t="s">
        <v>3226</v>
      </c>
      <c r="G3867" t="s">
        <v>67</v>
      </c>
      <c r="H3867" s="4">
        <v>9.1999999999999993</v>
      </c>
      <c r="I3867" t="s">
        <v>31</v>
      </c>
      <c r="J3867" t="s">
        <v>68</v>
      </c>
      <c r="K3867" t="s">
        <v>3221</v>
      </c>
      <c r="L3867" s="2">
        <v>46082</v>
      </c>
      <c r="M3867" t="s">
        <v>68</v>
      </c>
      <c r="N3867">
        <v>0</v>
      </c>
      <c r="O3867" t="s">
        <v>31</v>
      </c>
      <c r="P3867" t="s">
        <v>28</v>
      </c>
      <c r="Q3867">
        <v>0</v>
      </c>
    </row>
    <row r="3868" spans="1:17" x14ac:dyDescent="0.3">
      <c r="A3868" t="s">
        <v>17</v>
      </c>
      <c r="B3868">
        <v>67</v>
      </c>
      <c r="C3868" t="s">
        <v>28</v>
      </c>
      <c r="D3868" s="2">
        <v>46099</v>
      </c>
      <c r="E3868" s="3">
        <f t="shared" si="60"/>
        <v>46082</v>
      </c>
      <c r="F3868" t="s">
        <v>3227</v>
      </c>
      <c r="G3868" t="s">
        <v>119</v>
      </c>
      <c r="H3868" s="4">
        <v>1485</v>
      </c>
      <c r="I3868" t="s">
        <v>31</v>
      </c>
      <c r="J3868" t="s">
        <v>68</v>
      </c>
      <c r="K3868" t="s">
        <v>1567</v>
      </c>
      <c r="L3868" s="2">
        <v>46082</v>
      </c>
      <c r="M3868" t="s">
        <v>68</v>
      </c>
      <c r="N3868">
        <v>0</v>
      </c>
      <c r="O3868" t="s">
        <v>31</v>
      </c>
      <c r="P3868" t="s">
        <v>28</v>
      </c>
      <c r="Q3868">
        <v>0</v>
      </c>
    </row>
    <row r="3869" spans="1:17" x14ac:dyDescent="0.3">
      <c r="A3869" t="s">
        <v>17</v>
      </c>
      <c r="B3869">
        <v>67</v>
      </c>
      <c r="C3869" t="s">
        <v>28</v>
      </c>
      <c r="D3869" s="2">
        <v>46101</v>
      </c>
      <c r="E3869" s="3">
        <f t="shared" si="60"/>
        <v>46082</v>
      </c>
      <c r="F3869" t="s">
        <v>3228</v>
      </c>
      <c r="G3869" t="s">
        <v>67</v>
      </c>
      <c r="H3869" s="4">
        <v>309.87</v>
      </c>
      <c r="I3869" t="s">
        <v>31</v>
      </c>
      <c r="J3869" t="s">
        <v>68</v>
      </c>
      <c r="K3869" t="s">
        <v>3221</v>
      </c>
      <c r="L3869" s="2">
        <v>46082</v>
      </c>
      <c r="M3869" t="s">
        <v>68</v>
      </c>
      <c r="N3869">
        <v>0</v>
      </c>
      <c r="O3869" t="s">
        <v>31</v>
      </c>
      <c r="P3869" t="s">
        <v>28</v>
      </c>
      <c r="Q3869">
        <v>0</v>
      </c>
    </row>
    <row r="3870" spans="1:17" x14ac:dyDescent="0.3">
      <c r="A3870" t="s">
        <v>17</v>
      </c>
      <c r="B3870">
        <v>67</v>
      </c>
      <c r="C3870" t="s">
        <v>28</v>
      </c>
      <c r="D3870" s="2">
        <v>46106</v>
      </c>
      <c r="E3870" s="3">
        <f t="shared" si="60"/>
        <v>46082</v>
      </c>
      <c r="F3870" t="s">
        <v>3229</v>
      </c>
      <c r="G3870" t="s">
        <v>119</v>
      </c>
      <c r="H3870" s="4">
        <v>760</v>
      </c>
      <c r="I3870" t="s">
        <v>31</v>
      </c>
      <c r="J3870" t="s">
        <v>68</v>
      </c>
      <c r="K3870" t="s">
        <v>3230</v>
      </c>
      <c r="L3870" s="2">
        <v>46082</v>
      </c>
      <c r="M3870" t="s">
        <v>68</v>
      </c>
      <c r="N3870">
        <v>0</v>
      </c>
      <c r="O3870" t="s">
        <v>31</v>
      </c>
      <c r="P3870" t="s">
        <v>28</v>
      </c>
      <c r="Q3870">
        <v>0</v>
      </c>
    </row>
    <row r="3871" spans="1:17" x14ac:dyDescent="0.3">
      <c r="A3871" t="s">
        <v>17</v>
      </c>
      <c r="B3871">
        <v>67</v>
      </c>
      <c r="C3871" t="s">
        <v>28</v>
      </c>
      <c r="D3871" s="2">
        <v>46108</v>
      </c>
      <c r="E3871" s="3">
        <f t="shared" si="60"/>
        <v>46082</v>
      </c>
      <c r="F3871" t="s">
        <v>3231</v>
      </c>
      <c r="G3871" t="s">
        <v>67</v>
      </c>
      <c r="H3871" s="4">
        <v>183.76</v>
      </c>
      <c r="I3871" t="s">
        <v>31</v>
      </c>
      <c r="J3871" t="s">
        <v>68</v>
      </c>
      <c r="K3871" t="s">
        <v>3221</v>
      </c>
      <c r="L3871" s="2">
        <v>46082</v>
      </c>
      <c r="M3871" t="s">
        <v>68</v>
      </c>
      <c r="N3871">
        <v>0</v>
      </c>
      <c r="O3871" t="s">
        <v>31</v>
      </c>
      <c r="P3871" t="s">
        <v>28</v>
      </c>
      <c r="Q3871">
        <v>0</v>
      </c>
    </row>
    <row r="3872" spans="1:17" x14ac:dyDescent="0.3">
      <c r="A3872" t="s">
        <v>17</v>
      </c>
      <c r="B3872">
        <v>67</v>
      </c>
      <c r="C3872" t="s">
        <v>28</v>
      </c>
      <c r="D3872" s="2">
        <v>46112</v>
      </c>
      <c r="E3872" s="3">
        <f t="shared" si="60"/>
        <v>46082</v>
      </c>
      <c r="F3872" t="s">
        <v>3232</v>
      </c>
      <c r="G3872" t="s">
        <v>119</v>
      </c>
      <c r="H3872" s="4">
        <v>472.5</v>
      </c>
      <c r="I3872" t="s">
        <v>31</v>
      </c>
      <c r="J3872" t="s">
        <v>68</v>
      </c>
      <c r="K3872" t="s">
        <v>1387</v>
      </c>
      <c r="L3872" s="2">
        <v>46082</v>
      </c>
      <c r="M3872" t="s">
        <v>68</v>
      </c>
      <c r="N3872">
        <v>0</v>
      </c>
      <c r="O3872" t="s">
        <v>31</v>
      </c>
      <c r="P3872" t="s">
        <v>28</v>
      </c>
      <c r="Q3872">
        <v>0</v>
      </c>
    </row>
    <row r="3873" spans="1:17" x14ac:dyDescent="0.3">
      <c r="A3873" t="s">
        <v>17</v>
      </c>
      <c r="B3873">
        <v>67</v>
      </c>
      <c r="C3873" t="s">
        <v>28</v>
      </c>
      <c r="D3873" s="2">
        <v>46112</v>
      </c>
      <c r="E3873" s="3">
        <f t="shared" si="60"/>
        <v>46082</v>
      </c>
      <c r="F3873" t="s">
        <v>3232</v>
      </c>
      <c r="G3873" t="s">
        <v>119</v>
      </c>
      <c r="H3873" s="4">
        <v>70</v>
      </c>
      <c r="I3873" t="s">
        <v>31</v>
      </c>
      <c r="J3873" t="s">
        <v>68</v>
      </c>
      <c r="K3873" t="s">
        <v>3233</v>
      </c>
      <c r="L3873" s="2">
        <v>46082</v>
      </c>
      <c r="M3873" t="s">
        <v>68</v>
      </c>
      <c r="N3873">
        <v>0</v>
      </c>
      <c r="O3873" t="s">
        <v>31</v>
      </c>
      <c r="P3873" t="s">
        <v>28</v>
      </c>
      <c r="Q3873">
        <v>0</v>
      </c>
    </row>
    <row r="3874" spans="1:17" x14ac:dyDescent="0.3">
      <c r="A3874" t="s">
        <v>17</v>
      </c>
      <c r="B3874">
        <v>67</v>
      </c>
      <c r="C3874" t="s">
        <v>28</v>
      </c>
      <c r="D3874" s="2">
        <v>46112</v>
      </c>
      <c r="E3874" s="3">
        <f t="shared" si="60"/>
        <v>46082</v>
      </c>
      <c r="F3874" t="s">
        <v>3232</v>
      </c>
      <c r="G3874" t="s">
        <v>119</v>
      </c>
      <c r="H3874" s="4">
        <v>640</v>
      </c>
      <c r="I3874" t="s">
        <v>31</v>
      </c>
      <c r="J3874" t="s">
        <v>68</v>
      </c>
      <c r="K3874" t="s">
        <v>3234</v>
      </c>
      <c r="L3874" s="2">
        <v>46082</v>
      </c>
      <c r="M3874" t="s">
        <v>68</v>
      </c>
      <c r="N3874">
        <v>0</v>
      </c>
      <c r="O3874" t="s">
        <v>31</v>
      </c>
      <c r="P3874" t="s">
        <v>28</v>
      </c>
      <c r="Q3874">
        <v>0</v>
      </c>
    </row>
    <row r="3875" spans="1:17" x14ac:dyDescent="0.3">
      <c r="A3875" t="s">
        <v>17</v>
      </c>
      <c r="B3875">
        <v>65</v>
      </c>
      <c r="C3875" t="s">
        <v>54</v>
      </c>
      <c r="D3875" s="2">
        <v>46082</v>
      </c>
      <c r="E3875" s="3">
        <f t="shared" si="60"/>
        <v>46082</v>
      </c>
      <c r="F3875" t="s">
        <v>3235</v>
      </c>
      <c r="G3875" t="s">
        <v>40</v>
      </c>
      <c r="H3875" s="4">
        <v>31017.18</v>
      </c>
      <c r="I3875" t="s">
        <v>31</v>
      </c>
      <c r="J3875" t="s">
        <v>55</v>
      </c>
      <c r="K3875" t="s">
        <v>3236</v>
      </c>
      <c r="L3875" s="2">
        <v>46082</v>
      </c>
      <c r="M3875" t="s">
        <v>55</v>
      </c>
      <c r="N3875">
        <v>0</v>
      </c>
      <c r="O3875" t="s">
        <v>31</v>
      </c>
      <c r="P3875" t="s">
        <v>54</v>
      </c>
      <c r="Q3875">
        <v>0</v>
      </c>
    </row>
    <row r="3876" spans="1:17" x14ac:dyDescent="0.3">
      <c r="A3876" t="s">
        <v>17</v>
      </c>
      <c r="B3876">
        <v>65</v>
      </c>
      <c r="C3876" t="s">
        <v>54</v>
      </c>
      <c r="D3876" s="2">
        <v>46112</v>
      </c>
      <c r="E3876" s="3">
        <f t="shared" si="60"/>
        <v>46082</v>
      </c>
      <c r="F3876" t="s">
        <v>3237</v>
      </c>
      <c r="H3876" s="4">
        <v>-31017.18</v>
      </c>
      <c r="I3876" t="s">
        <v>31</v>
      </c>
      <c r="J3876" t="s">
        <v>55</v>
      </c>
      <c r="L3876" s="2">
        <v>46082</v>
      </c>
      <c r="M3876" t="s">
        <v>55</v>
      </c>
      <c r="N3876">
        <v>0</v>
      </c>
      <c r="O3876" t="s">
        <v>31</v>
      </c>
      <c r="P3876" t="s">
        <v>54</v>
      </c>
      <c r="Q3876">
        <v>0</v>
      </c>
    </row>
    <row r="3877" spans="1:17" x14ac:dyDescent="0.3">
      <c r="A3877" t="s">
        <v>17</v>
      </c>
      <c r="B3877">
        <v>68</v>
      </c>
      <c r="C3877" t="s">
        <v>34</v>
      </c>
      <c r="D3877" s="2">
        <v>46085</v>
      </c>
      <c r="E3877" s="3">
        <f t="shared" si="60"/>
        <v>46082</v>
      </c>
      <c r="F3877" t="s">
        <v>3179</v>
      </c>
      <c r="G3877" t="s">
        <v>1227</v>
      </c>
      <c r="H3877" s="4">
        <v>42.79</v>
      </c>
      <c r="I3877" t="s">
        <v>47</v>
      </c>
      <c r="J3877" t="s">
        <v>79</v>
      </c>
      <c r="K3877" t="s">
        <v>3238</v>
      </c>
      <c r="L3877" s="2">
        <v>46082</v>
      </c>
      <c r="M3877" t="s">
        <v>79</v>
      </c>
      <c r="N3877">
        <v>0</v>
      </c>
      <c r="O3877" t="s">
        <v>26</v>
      </c>
      <c r="P3877" t="s">
        <v>34</v>
      </c>
      <c r="Q3877">
        <v>0</v>
      </c>
    </row>
    <row r="3878" spans="1:17" x14ac:dyDescent="0.3">
      <c r="A3878" t="s">
        <v>17</v>
      </c>
      <c r="B3878">
        <v>68</v>
      </c>
      <c r="C3878" t="s">
        <v>34</v>
      </c>
      <c r="D3878" s="2">
        <v>46085</v>
      </c>
      <c r="E3878" s="3">
        <f t="shared" si="60"/>
        <v>46082</v>
      </c>
      <c r="F3878" t="s">
        <v>3179</v>
      </c>
      <c r="G3878" t="s">
        <v>1227</v>
      </c>
      <c r="H3878" s="4">
        <v>26.32</v>
      </c>
      <c r="I3878" t="s">
        <v>47</v>
      </c>
      <c r="J3878" t="s">
        <v>79</v>
      </c>
      <c r="K3878" t="s">
        <v>3239</v>
      </c>
      <c r="L3878" s="2">
        <v>46082</v>
      </c>
      <c r="M3878" t="s">
        <v>79</v>
      </c>
      <c r="N3878">
        <v>0</v>
      </c>
      <c r="O3878" t="s">
        <v>26</v>
      </c>
      <c r="P3878" t="s">
        <v>34</v>
      </c>
      <c r="Q3878">
        <v>0</v>
      </c>
    </row>
    <row r="3879" spans="1:17" x14ac:dyDescent="0.3">
      <c r="A3879" t="s">
        <v>17</v>
      </c>
      <c r="B3879">
        <v>68</v>
      </c>
      <c r="C3879" t="s">
        <v>34</v>
      </c>
      <c r="D3879" s="2">
        <v>46085</v>
      </c>
      <c r="E3879" s="3">
        <f t="shared" si="60"/>
        <v>46082</v>
      </c>
      <c r="F3879" t="s">
        <v>3179</v>
      </c>
      <c r="G3879" t="s">
        <v>1227</v>
      </c>
      <c r="H3879" s="4">
        <v>30.47</v>
      </c>
      <c r="I3879" t="s">
        <v>47</v>
      </c>
      <c r="J3879" t="s">
        <v>79</v>
      </c>
      <c r="K3879" t="s">
        <v>3016</v>
      </c>
      <c r="L3879" s="2">
        <v>46082</v>
      </c>
      <c r="M3879" t="s">
        <v>79</v>
      </c>
      <c r="N3879">
        <v>0</v>
      </c>
      <c r="O3879" t="s">
        <v>26</v>
      </c>
      <c r="P3879" t="s">
        <v>34</v>
      </c>
      <c r="Q3879">
        <v>0</v>
      </c>
    </row>
    <row r="3880" spans="1:17" x14ac:dyDescent="0.3">
      <c r="A3880" t="s">
        <v>17</v>
      </c>
      <c r="B3880">
        <v>68</v>
      </c>
      <c r="C3880" t="s">
        <v>34</v>
      </c>
      <c r="D3880" s="2">
        <v>46085</v>
      </c>
      <c r="E3880" s="3">
        <f t="shared" si="60"/>
        <v>46082</v>
      </c>
      <c r="F3880" t="s">
        <v>3174</v>
      </c>
      <c r="G3880" t="s">
        <v>101</v>
      </c>
      <c r="H3880" s="4">
        <v>270.8</v>
      </c>
      <c r="I3880" t="s">
        <v>31</v>
      </c>
      <c r="J3880" t="s">
        <v>79</v>
      </c>
      <c r="K3880" t="s">
        <v>3013</v>
      </c>
      <c r="L3880" s="2">
        <v>46082</v>
      </c>
      <c r="M3880" t="s">
        <v>79</v>
      </c>
      <c r="N3880">
        <v>0</v>
      </c>
      <c r="O3880" t="s">
        <v>31</v>
      </c>
      <c r="P3880" t="s">
        <v>34</v>
      </c>
      <c r="Q3880">
        <v>0</v>
      </c>
    </row>
    <row r="3881" spans="1:17" x14ac:dyDescent="0.3">
      <c r="A3881" t="s">
        <v>17</v>
      </c>
      <c r="B3881">
        <v>68</v>
      </c>
      <c r="C3881" t="s">
        <v>34</v>
      </c>
      <c r="D3881" s="2">
        <v>46085</v>
      </c>
      <c r="E3881" s="3">
        <f t="shared" si="60"/>
        <v>46082</v>
      </c>
      <c r="F3881" t="s">
        <v>3240</v>
      </c>
      <c r="G3881" t="s">
        <v>1251</v>
      </c>
      <c r="H3881" s="4">
        <v>6.04</v>
      </c>
      <c r="I3881" t="s">
        <v>21</v>
      </c>
      <c r="J3881" t="s">
        <v>79</v>
      </c>
      <c r="K3881" t="s">
        <v>3010</v>
      </c>
      <c r="L3881" s="2">
        <v>46082</v>
      </c>
      <c r="M3881" t="s">
        <v>79</v>
      </c>
      <c r="N3881" t="s">
        <v>25</v>
      </c>
      <c r="O3881" t="s">
        <v>81</v>
      </c>
      <c r="P3881" t="s">
        <v>34</v>
      </c>
      <c r="Q3881">
        <v>0</v>
      </c>
    </row>
    <row r="3882" spans="1:17" x14ac:dyDescent="0.3">
      <c r="A3882" t="s">
        <v>17</v>
      </c>
      <c r="B3882">
        <v>68</v>
      </c>
      <c r="C3882" t="s">
        <v>34</v>
      </c>
      <c r="D3882" s="2">
        <v>46085</v>
      </c>
      <c r="E3882" s="3">
        <f t="shared" si="60"/>
        <v>46082</v>
      </c>
      <c r="F3882" t="s">
        <v>3240</v>
      </c>
      <c r="H3882" s="4">
        <v>-200</v>
      </c>
      <c r="I3882" t="s">
        <v>21</v>
      </c>
      <c r="J3882" t="s">
        <v>79</v>
      </c>
      <c r="K3882" t="s">
        <v>3241</v>
      </c>
      <c r="L3882" s="2">
        <v>46082</v>
      </c>
      <c r="M3882" t="s">
        <v>79</v>
      </c>
      <c r="N3882" t="s">
        <v>25</v>
      </c>
      <c r="O3882" t="s">
        <v>81</v>
      </c>
      <c r="P3882" t="s">
        <v>34</v>
      </c>
      <c r="Q3882">
        <v>0</v>
      </c>
    </row>
    <row r="3883" spans="1:17" x14ac:dyDescent="0.3">
      <c r="A3883" t="s">
        <v>17</v>
      </c>
      <c r="B3883">
        <v>68</v>
      </c>
      <c r="C3883" t="s">
        <v>34</v>
      </c>
      <c r="D3883" s="2">
        <v>46091</v>
      </c>
      <c r="E3883" s="3">
        <f t="shared" si="60"/>
        <v>46082</v>
      </c>
      <c r="F3883">
        <v>16496</v>
      </c>
      <c r="G3883" t="s">
        <v>131</v>
      </c>
      <c r="H3883" s="4">
        <v>84.31</v>
      </c>
      <c r="I3883" t="s">
        <v>31</v>
      </c>
      <c r="J3883" t="s">
        <v>79</v>
      </c>
      <c r="K3883" t="s">
        <v>1276</v>
      </c>
      <c r="L3883" s="2">
        <v>46082</v>
      </c>
      <c r="M3883" t="s">
        <v>79</v>
      </c>
      <c r="N3883">
        <v>0</v>
      </c>
      <c r="O3883" t="s">
        <v>31</v>
      </c>
      <c r="P3883" t="s">
        <v>34</v>
      </c>
      <c r="Q3883">
        <v>0</v>
      </c>
    </row>
    <row r="3884" spans="1:17" x14ac:dyDescent="0.3">
      <c r="A3884" t="s">
        <v>17</v>
      </c>
      <c r="B3884">
        <v>68</v>
      </c>
      <c r="C3884" t="s">
        <v>34</v>
      </c>
      <c r="D3884" s="2">
        <v>46091</v>
      </c>
      <c r="E3884" s="3">
        <f t="shared" si="60"/>
        <v>46082</v>
      </c>
      <c r="F3884">
        <v>16496</v>
      </c>
      <c r="G3884" t="s">
        <v>131</v>
      </c>
      <c r="H3884" s="4">
        <v>950</v>
      </c>
      <c r="I3884" t="s">
        <v>31</v>
      </c>
      <c r="J3884" t="s">
        <v>79</v>
      </c>
      <c r="K3884" t="s">
        <v>1406</v>
      </c>
      <c r="L3884" s="2">
        <v>46082</v>
      </c>
      <c r="M3884" t="s">
        <v>79</v>
      </c>
      <c r="N3884">
        <v>0</v>
      </c>
      <c r="O3884" t="s">
        <v>31</v>
      </c>
      <c r="P3884" t="s">
        <v>34</v>
      </c>
      <c r="Q3884">
        <v>0</v>
      </c>
    </row>
    <row r="3885" spans="1:17" x14ac:dyDescent="0.3">
      <c r="A3885" t="s">
        <v>17</v>
      </c>
      <c r="B3885">
        <v>68</v>
      </c>
      <c r="C3885" t="s">
        <v>34</v>
      </c>
      <c r="D3885" s="2">
        <v>46112</v>
      </c>
      <c r="E3885" s="3">
        <f t="shared" si="60"/>
        <v>46082</v>
      </c>
      <c r="F3885" t="s">
        <v>3242</v>
      </c>
      <c r="G3885" t="s">
        <v>266</v>
      </c>
      <c r="H3885" s="4">
        <v>403.49</v>
      </c>
      <c r="I3885" t="s">
        <v>31</v>
      </c>
      <c r="J3885" t="s">
        <v>79</v>
      </c>
      <c r="K3885" t="s">
        <v>3243</v>
      </c>
      <c r="L3885" s="2">
        <v>46082</v>
      </c>
      <c r="M3885" t="s">
        <v>79</v>
      </c>
      <c r="N3885">
        <v>0</v>
      </c>
      <c r="O3885" t="s">
        <v>31</v>
      </c>
      <c r="P3885" t="s">
        <v>34</v>
      </c>
      <c r="Q3885">
        <v>0</v>
      </c>
    </row>
    <row r="3886" spans="1:17" x14ac:dyDescent="0.3">
      <c r="A3886" t="s">
        <v>17</v>
      </c>
      <c r="B3886">
        <v>68</v>
      </c>
      <c r="C3886" t="s">
        <v>34</v>
      </c>
      <c r="D3886" s="2">
        <v>46112</v>
      </c>
      <c r="E3886" s="3">
        <f t="shared" si="60"/>
        <v>46082</v>
      </c>
      <c r="F3886" t="s">
        <v>3188</v>
      </c>
      <c r="G3886" t="s">
        <v>1964</v>
      </c>
      <c r="H3886" s="4">
        <v>48.72</v>
      </c>
      <c r="I3886" t="s">
        <v>47</v>
      </c>
      <c r="J3886" t="s">
        <v>79</v>
      </c>
      <c r="K3886" t="s">
        <v>3244</v>
      </c>
      <c r="L3886" s="2">
        <v>46082</v>
      </c>
      <c r="M3886" t="s">
        <v>79</v>
      </c>
      <c r="N3886">
        <v>0</v>
      </c>
      <c r="O3886" t="s">
        <v>26</v>
      </c>
      <c r="P3886" t="s">
        <v>34</v>
      </c>
      <c r="Q3886">
        <v>0</v>
      </c>
    </row>
    <row r="3887" spans="1:17" x14ac:dyDescent="0.3">
      <c r="A3887" t="s">
        <v>17</v>
      </c>
      <c r="B3887">
        <v>68</v>
      </c>
      <c r="C3887" t="s">
        <v>34</v>
      </c>
      <c r="D3887" s="2">
        <v>46112</v>
      </c>
      <c r="E3887" s="3">
        <f t="shared" si="60"/>
        <v>46082</v>
      </c>
      <c r="F3887" t="s">
        <v>3190</v>
      </c>
      <c r="H3887" s="4">
        <v>398.36</v>
      </c>
      <c r="I3887" t="s">
        <v>104</v>
      </c>
      <c r="J3887" t="s">
        <v>79</v>
      </c>
      <c r="K3887" t="s">
        <v>3245</v>
      </c>
      <c r="L3887" s="2">
        <v>46082</v>
      </c>
      <c r="M3887" t="s">
        <v>79</v>
      </c>
      <c r="N3887">
        <v>0</v>
      </c>
      <c r="O3887" t="s">
        <v>104</v>
      </c>
      <c r="P3887" t="s">
        <v>34</v>
      </c>
      <c r="Q3887">
        <v>0</v>
      </c>
    </row>
    <row r="3888" spans="1:17" x14ac:dyDescent="0.3">
      <c r="A3888" t="s">
        <v>17</v>
      </c>
      <c r="B3888">
        <v>66</v>
      </c>
      <c r="C3888" t="s">
        <v>134</v>
      </c>
      <c r="D3888" s="2">
        <v>46112</v>
      </c>
      <c r="E3888" s="3">
        <f t="shared" si="60"/>
        <v>46082</v>
      </c>
      <c r="F3888" t="s">
        <v>3246</v>
      </c>
      <c r="G3888" t="s">
        <v>254</v>
      </c>
      <c r="H3888" s="4">
        <v>200</v>
      </c>
      <c r="I3888" t="s">
        <v>108</v>
      </c>
      <c r="J3888" t="s">
        <v>255</v>
      </c>
      <c r="K3888" t="s">
        <v>1620</v>
      </c>
      <c r="L3888" s="2">
        <v>46082</v>
      </c>
      <c r="M3888" t="s">
        <v>257</v>
      </c>
      <c r="N3888">
        <v>0</v>
      </c>
      <c r="O3888" t="s">
        <v>111</v>
      </c>
      <c r="P3888" t="s">
        <v>134</v>
      </c>
      <c r="Q3888">
        <v>0</v>
      </c>
    </row>
    <row r="3889" spans="1:17" x14ac:dyDescent="0.3">
      <c r="A3889" t="s">
        <v>17</v>
      </c>
      <c r="B3889">
        <v>66</v>
      </c>
      <c r="C3889" t="s">
        <v>134</v>
      </c>
      <c r="D3889" s="2">
        <v>46112</v>
      </c>
      <c r="E3889" s="3">
        <f t="shared" si="60"/>
        <v>46082</v>
      </c>
      <c r="F3889" t="s">
        <v>3246</v>
      </c>
      <c r="G3889" t="s">
        <v>254</v>
      </c>
      <c r="H3889" s="4">
        <v>200</v>
      </c>
      <c r="I3889" t="s">
        <v>108</v>
      </c>
      <c r="J3889" t="s">
        <v>255</v>
      </c>
      <c r="K3889" t="s">
        <v>3247</v>
      </c>
      <c r="L3889" s="2">
        <v>46082</v>
      </c>
      <c r="M3889" t="s">
        <v>257</v>
      </c>
      <c r="N3889">
        <v>0</v>
      </c>
      <c r="O3889" t="s">
        <v>111</v>
      </c>
      <c r="P3889" t="s">
        <v>134</v>
      </c>
      <c r="Q3889">
        <v>0</v>
      </c>
    </row>
    <row r="3890" spans="1:17" x14ac:dyDescent="0.3">
      <c r="A3890" t="s">
        <v>17</v>
      </c>
      <c r="B3890">
        <v>66</v>
      </c>
      <c r="C3890" t="s">
        <v>134</v>
      </c>
      <c r="D3890" s="2">
        <v>46112</v>
      </c>
      <c r="E3890" s="3">
        <f t="shared" si="60"/>
        <v>46082</v>
      </c>
      <c r="F3890" t="s">
        <v>3246</v>
      </c>
      <c r="G3890" t="s">
        <v>254</v>
      </c>
      <c r="H3890" s="4">
        <v>200</v>
      </c>
      <c r="I3890" t="s">
        <v>108</v>
      </c>
      <c r="J3890" t="s">
        <v>255</v>
      </c>
      <c r="K3890" t="s">
        <v>3248</v>
      </c>
      <c r="L3890" s="2">
        <v>46082</v>
      </c>
      <c r="M3890" t="s">
        <v>257</v>
      </c>
      <c r="N3890">
        <v>0</v>
      </c>
      <c r="O3890" t="s">
        <v>111</v>
      </c>
      <c r="P3890" t="s">
        <v>134</v>
      </c>
      <c r="Q3890">
        <v>0</v>
      </c>
    </row>
    <row r="3891" spans="1:17" x14ac:dyDescent="0.3">
      <c r="A3891" t="s">
        <v>17</v>
      </c>
      <c r="B3891">
        <v>66</v>
      </c>
      <c r="C3891" t="s">
        <v>134</v>
      </c>
      <c r="D3891" s="2">
        <v>46112</v>
      </c>
      <c r="E3891" s="3">
        <f t="shared" si="60"/>
        <v>46082</v>
      </c>
      <c r="F3891" t="s">
        <v>3190</v>
      </c>
      <c r="G3891" t="s">
        <v>222</v>
      </c>
      <c r="H3891" s="4">
        <v>-246.14</v>
      </c>
      <c r="I3891" t="s">
        <v>104</v>
      </c>
      <c r="J3891" t="s">
        <v>223</v>
      </c>
      <c r="K3891" t="s">
        <v>2935</v>
      </c>
      <c r="L3891" s="2">
        <v>46082</v>
      </c>
      <c r="M3891" t="s">
        <v>223</v>
      </c>
      <c r="N3891">
        <v>0</v>
      </c>
      <c r="O3891" t="s">
        <v>104</v>
      </c>
      <c r="P3891" t="s">
        <v>134</v>
      </c>
      <c r="Q3891">
        <v>0</v>
      </c>
    </row>
    <row r="3892" spans="1:17" x14ac:dyDescent="0.3">
      <c r="A3892" t="s">
        <v>17</v>
      </c>
      <c r="B3892">
        <v>66</v>
      </c>
      <c r="C3892" t="s">
        <v>134</v>
      </c>
      <c r="D3892" s="2">
        <v>46112</v>
      </c>
      <c r="E3892" s="3">
        <f t="shared" si="60"/>
        <v>46082</v>
      </c>
      <c r="F3892" t="s">
        <v>3190</v>
      </c>
      <c r="G3892" t="s">
        <v>222</v>
      </c>
      <c r="H3892" s="4">
        <v>246.19</v>
      </c>
      <c r="I3892" t="s">
        <v>104</v>
      </c>
      <c r="J3892" t="s">
        <v>223</v>
      </c>
      <c r="K3892" t="s">
        <v>3249</v>
      </c>
      <c r="L3892" s="2">
        <v>46082</v>
      </c>
      <c r="M3892" t="s">
        <v>223</v>
      </c>
      <c r="N3892">
        <v>0</v>
      </c>
      <c r="O3892" t="s">
        <v>104</v>
      </c>
      <c r="P3892" t="s">
        <v>134</v>
      </c>
      <c r="Q3892">
        <v>0</v>
      </c>
    </row>
    <row r="3893" spans="1:17" x14ac:dyDescent="0.3">
      <c r="A3893" t="s">
        <v>17</v>
      </c>
      <c r="B3893">
        <v>68</v>
      </c>
      <c r="C3893" t="s">
        <v>34</v>
      </c>
      <c r="D3893" s="2">
        <v>46082</v>
      </c>
      <c r="E3893" s="3">
        <f t="shared" si="60"/>
        <v>46082</v>
      </c>
      <c r="F3893" t="s">
        <v>3250</v>
      </c>
      <c r="G3893" t="s">
        <v>291</v>
      </c>
      <c r="H3893" s="4">
        <v>403.79</v>
      </c>
      <c r="I3893" t="s">
        <v>47</v>
      </c>
      <c r="J3893" t="s">
        <v>109</v>
      </c>
      <c r="L3893" s="2">
        <v>46082</v>
      </c>
      <c r="M3893" t="s">
        <v>109</v>
      </c>
      <c r="N3893">
        <v>0</v>
      </c>
      <c r="O3893" t="s">
        <v>26</v>
      </c>
      <c r="P3893" t="s">
        <v>112</v>
      </c>
      <c r="Q3893" t="s">
        <v>113</v>
      </c>
    </row>
    <row r="3894" spans="1:17" x14ac:dyDescent="0.3">
      <c r="A3894" t="s">
        <v>17</v>
      </c>
      <c r="B3894">
        <v>68</v>
      </c>
      <c r="C3894" t="s">
        <v>34</v>
      </c>
      <c r="D3894" s="2">
        <v>46082</v>
      </c>
      <c r="E3894" s="3">
        <f t="shared" si="60"/>
        <v>46082</v>
      </c>
      <c r="F3894" t="s">
        <v>3250</v>
      </c>
      <c r="G3894" t="s">
        <v>291</v>
      </c>
      <c r="H3894" s="4">
        <v>280.94</v>
      </c>
      <c r="I3894" t="s">
        <v>47</v>
      </c>
      <c r="J3894" t="s">
        <v>109</v>
      </c>
      <c r="L3894" s="2">
        <v>46082</v>
      </c>
      <c r="M3894" t="s">
        <v>109</v>
      </c>
      <c r="N3894">
        <v>0</v>
      </c>
      <c r="O3894" t="s">
        <v>26</v>
      </c>
      <c r="P3894" t="s">
        <v>112</v>
      </c>
      <c r="Q3894" t="s">
        <v>113</v>
      </c>
    </row>
    <row r="3895" spans="1:17" x14ac:dyDescent="0.3">
      <c r="A3895" t="s">
        <v>17</v>
      </c>
      <c r="B3895">
        <v>68</v>
      </c>
      <c r="C3895" t="s">
        <v>34</v>
      </c>
      <c r="D3895" s="2">
        <v>46082</v>
      </c>
      <c r="E3895" s="3">
        <f t="shared" si="60"/>
        <v>46082</v>
      </c>
      <c r="F3895" t="s">
        <v>3250</v>
      </c>
      <c r="G3895" t="s">
        <v>291</v>
      </c>
      <c r="H3895" s="4">
        <v>413.09</v>
      </c>
      <c r="I3895" t="s">
        <v>47</v>
      </c>
      <c r="J3895" t="s">
        <v>109</v>
      </c>
      <c r="K3895" t="s">
        <v>1700</v>
      </c>
      <c r="L3895" s="2">
        <v>46082</v>
      </c>
      <c r="M3895" t="s">
        <v>109</v>
      </c>
      <c r="N3895">
        <v>0</v>
      </c>
      <c r="O3895" t="s">
        <v>26</v>
      </c>
      <c r="P3895" t="s">
        <v>112</v>
      </c>
      <c r="Q3895" t="s">
        <v>113</v>
      </c>
    </row>
    <row r="3896" spans="1:17" x14ac:dyDescent="0.3">
      <c r="A3896" t="s">
        <v>17</v>
      </c>
      <c r="B3896">
        <v>68</v>
      </c>
      <c r="C3896" t="s">
        <v>34</v>
      </c>
      <c r="D3896" s="2">
        <v>46082</v>
      </c>
      <c r="E3896" s="3">
        <f t="shared" si="60"/>
        <v>46082</v>
      </c>
      <c r="F3896" t="s">
        <v>3250</v>
      </c>
      <c r="G3896" t="s">
        <v>291</v>
      </c>
      <c r="H3896" s="4">
        <v>172.34</v>
      </c>
      <c r="I3896" t="s">
        <v>47</v>
      </c>
      <c r="J3896" t="s">
        <v>109</v>
      </c>
      <c r="L3896" s="2">
        <v>46082</v>
      </c>
      <c r="M3896" t="s">
        <v>109</v>
      </c>
      <c r="N3896">
        <v>0</v>
      </c>
      <c r="O3896" t="s">
        <v>26</v>
      </c>
      <c r="P3896" t="s">
        <v>112</v>
      </c>
      <c r="Q3896" t="s">
        <v>113</v>
      </c>
    </row>
    <row r="3897" spans="1:17" x14ac:dyDescent="0.3">
      <c r="A3897" t="s">
        <v>17</v>
      </c>
      <c r="B3897">
        <v>68</v>
      </c>
      <c r="C3897" t="s">
        <v>34</v>
      </c>
      <c r="D3897" s="2">
        <v>46082</v>
      </c>
      <c r="E3897" s="3">
        <f t="shared" si="60"/>
        <v>46082</v>
      </c>
      <c r="F3897" t="s">
        <v>3251</v>
      </c>
      <c r="G3897" t="s">
        <v>291</v>
      </c>
      <c r="H3897" s="4">
        <v>194.34</v>
      </c>
      <c r="I3897" t="s">
        <v>47</v>
      </c>
      <c r="J3897" t="s">
        <v>109</v>
      </c>
      <c r="L3897" s="2">
        <v>46082</v>
      </c>
      <c r="M3897" t="s">
        <v>109</v>
      </c>
      <c r="N3897">
        <v>0</v>
      </c>
      <c r="O3897" t="s">
        <v>26</v>
      </c>
      <c r="P3897" t="s">
        <v>112</v>
      </c>
      <c r="Q3897" t="s">
        <v>113</v>
      </c>
    </row>
    <row r="3898" spans="1:17" x14ac:dyDescent="0.3">
      <c r="A3898" t="s">
        <v>17</v>
      </c>
      <c r="B3898">
        <v>68</v>
      </c>
      <c r="C3898" t="s">
        <v>34</v>
      </c>
      <c r="D3898" s="2">
        <v>46083</v>
      </c>
      <c r="E3898" s="3">
        <f t="shared" si="60"/>
        <v>46082</v>
      </c>
      <c r="F3898" t="s">
        <v>3252</v>
      </c>
      <c r="G3898" t="s">
        <v>122</v>
      </c>
      <c r="H3898" s="4">
        <v>2.64</v>
      </c>
      <c r="I3898" t="s">
        <v>108</v>
      </c>
      <c r="J3898" t="s">
        <v>109</v>
      </c>
      <c r="L3898" s="2">
        <v>46082</v>
      </c>
      <c r="M3898" t="s">
        <v>109</v>
      </c>
      <c r="N3898">
        <v>0</v>
      </c>
      <c r="O3898" t="s">
        <v>111</v>
      </c>
      <c r="P3898" t="s">
        <v>112</v>
      </c>
      <c r="Q3898" t="s">
        <v>113</v>
      </c>
    </row>
    <row r="3899" spans="1:17" x14ac:dyDescent="0.3">
      <c r="A3899" t="s">
        <v>17</v>
      </c>
      <c r="B3899">
        <v>68</v>
      </c>
      <c r="C3899" t="s">
        <v>34</v>
      </c>
      <c r="D3899" s="2">
        <v>46083</v>
      </c>
      <c r="E3899" s="3">
        <f t="shared" si="60"/>
        <v>46082</v>
      </c>
      <c r="F3899" t="s">
        <v>3252</v>
      </c>
      <c r="G3899" t="s">
        <v>122</v>
      </c>
      <c r="H3899" s="4">
        <v>17.5</v>
      </c>
      <c r="I3899" t="s">
        <v>108</v>
      </c>
      <c r="J3899" t="s">
        <v>109</v>
      </c>
      <c r="L3899" s="2">
        <v>46082</v>
      </c>
      <c r="M3899" t="s">
        <v>109</v>
      </c>
      <c r="N3899">
        <v>0</v>
      </c>
      <c r="O3899" t="s">
        <v>111</v>
      </c>
      <c r="P3899" t="s">
        <v>112</v>
      </c>
      <c r="Q3899" t="s">
        <v>113</v>
      </c>
    </row>
    <row r="3900" spans="1:17" x14ac:dyDescent="0.3">
      <c r="A3900" t="s">
        <v>17</v>
      </c>
      <c r="B3900">
        <v>68</v>
      </c>
      <c r="C3900" t="s">
        <v>34</v>
      </c>
      <c r="D3900" s="2">
        <v>46083</v>
      </c>
      <c r="E3900" s="3">
        <f t="shared" si="60"/>
        <v>46082</v>
      </c>
      <c r="F3900" t="s">
        <v>3252</v>
      </c>
      <c r="G3900" t="s">
        <v>122</v>
      </c>
      <c r="H3900" s="4">
        <v>1.34</v>
      </c>
      <c r="I3900" t="s">
        <v>108</v>
      </c>
      <c r="J3900" t="s">
        <v>109</v>
      </c>
      <c r="L3900" s="2">
        <v>46082</v>
      </c>
      <c r="M3900" t="s">
        <v>109</v>
      </c>
      <c r="N3900">
        <v>0</v>
      </c>
      <c r="O3900" t="s">
        <v>111</v>
      </c>
      <c r="P3900" t="s">
        <v>112</v>
      </c>
      <c r="Q3900" t="s">
        <v>113</v>
      </c>
    </row>
    <row r="3901" spans="1:17" x14ac:dyDescent="0.3">
      <c r="A3901" t="s">
        <v>17</v>
      </c>
      <c r="B3901">
        <v>68</v>
      </c>
      <c r="C3901" t="s">
        <v>34</v>
      </c>
      <c r="D3901" s="2">
        <v>46090</v>
      </c>
      <c r="E3901" s="3">
        <f t="shared" si="60"/>
        <v>46082</v>
      </c>
      <c r="F3901" t="s">
        <v>3253</v>
      </c>
      <c r="G3901" t="s">
        <v>107</v>
      </c>
      <c r="H3901" s="4">
        <v>6.95</v>
      </c>
      <c r="I3901" t="s">
        <v>108</v>
      </c>
      <c r="J3901" t="s">
        <v>109</v>
      </c>
      <c r="K3901" t="s">
        <v>2822</v>
      </c>
      <c r="L3901" s="2">
        <v>46082</v>
      </c>
      <c r="M3901" t="s">
        <v>109</v>
      </c>
      <c r="N3901">
        <v>0</v>
      </c>
      <c r="O3901" t="s">
        <v>111</v>
      </c>
      <c r="P3901" t="s">
        <v>112</v>
      </c>
      <c r="Q3901" t="s">
        <v>113</v>
      </c>
    </row>
    <row r="3902" spans="1:17" x14ac:dyDescent="0.3">
      <c r="A3902" t="s">
        <v>17</v>
      </c>
      <c r="B3902">
        <v>68</v>
      </c>
      <c r="C3902" t="s">
        <v>34</v>
      </c>
      <c r="D3902" s="2">
        <v>46090</v>
      </c>
      <c r="E3902" s="3">
        <f t="shared" si="60"/>
        <v>46082</v>
      </c>
      <c r="F3902" t="s">
        <v>3253</v>
      </c>
      <c r="G3902" t="s">
        <v>107</v>
      </c>
      <c r="H3902" s="4">
        <v>61.19</v>
      </c>
      <c r="I3902" t="s">
        <v>108</v>
      </c>
      <c r="J3902" t="s">
        <v>109</v>
      </c>
      <c r="K3902" t="s">
        <v>1429</v>
      </c>
      <c r="L3902" s="2">
        <v>46082</v>
      </c>
      <c r="M3902" t="s">
        <v>109</v>
      </c>
      <c r="N3902">
        <v>0</v>
      </c>
      <c r="O3902" t="s">
        <v>111</v>
      </c>
      <c r="P3902" t="s">
        <v>112</v>
      </c>
      <c r="Q3902" t="s">
        <v>113</v>
      </c>
    </row>
    <row r="3903" spans="1:17" x14ac:dyDescent="0.3">
      <c r="A3903" t="s">
        <v>17</v>
      </c>
      <c r="B3903">
        <v>68</v>
      </c>
      <c r="C3903" t="s">
        <v>34</v>
      </c>
      <c r="D3903" s="2">
        <v>46090</v>
      </c>
      <c r="E3903" s="3">
        <f t="shared" si="60"/>
        <v>46082</v>
      </c>
      <c r="F3903" t="s">
        <v>3253</v>
      </c>
      <c r="G3903" t="s">
        <v>107</v>
      </c>
      <c r="H3903" s="4">
        <v>-276.67</v>
      </c>
      <c r="I3903" t="s">
        <v>108</v>
      </c>
      <c r="J3903" t="s">
        <v>109</v>
      </c>
      <c r="K3903" t="s">
        <v>3254</v>
      </c>
      <c r="L3903" s="2">
        <v>46082</v>
      </c>
      <c r="M3903" t="s">
        <v>109</v>
      </c>
      <c r="N3903">
        <v>0</v>
      </c>
      <c r="O3903" t="s">
        <v>111</v>
      </c>
      <c r="P3903" t="s">
        <v>112</v>
      </c>
      <c r="Q3903" t="s">
        <v>113</v>
      </c>
    </row>
    <row r="3904" spans="1:17" x14ac:dyDescent="0.3">
      <c r="A3904" t="s">
        <v>17</v>
      </c>
      <c r="B3904">
        <v>68</v>
      </c>
      <c r="C3904" t="s">
        <v>34</v>
      </c>
      <c r="D3904" s="2">
        <v>46090</v>
      </c>
      <c r="E3904" s="3">
        <f t="shared" si="60"/>
        <v>46082</v>
      </c>
      <c r="F3904" t="s">
        <v>3253</v>
      </c>
      <c r="G3904" t="s">
        <v>107</v>
      </c>
      <c r="H3904" s="4">
        <v>564.63</v>
      </c>
      <c r="I3904" t="s">
        <v>108</v>
      </c>
      <c r="J3904" t="s">
        <v>109</v>
      </c>
      <c r="K3904" t="s">
        <v>1431</v>
      </c>
      <c r="L3904" s="2">
        <v>46082</v>
      </c>
      <c r="M3904" t="s">
        <v>109</v>
      </c>
      <c r="N3904">
        <v>0</v>
      </c>
      <c r="O3904" t="s">
        <v>111</v>
      </c>
      <c r="P3904" t="s">
        <v>112</v>
      </c>
      <c r="Q3904" t="s">
        <v>113</v>
      </c>
    </row>
    <row r="3905" spans="1:17" x14ac:dyDescent="0.3">
      <c r="A3905" t="s">
        <v>17</v>
      </c>
      <c r="B3905">
        <v>68</v>
      </c>
      <c r="C3905" t="s">
        <v>34</v>
      </c>
      <c r="D3905" s="2">
        <v>46090</v>
      </c>
      <c r="E3905" s="3">
        <f t="shared" si="60"/>
        <v>46082</v>
      </c>
      <c r="F3905" t="s">
        <v>3255</v>
      </c>
      <c r="G3905" t="s">
        <v>107</v>
      </c>
      <c r="H3905" s="4">
        <v>22.45</v>
      </c>
      <c r="I3905" t="s">
        <v>108</v>
      </c>
      <c r="J3905" t="s">
        <v>109</v>
      </c>
      <c r="L3905" s="2">
        <v>46082</v>
      </c>
      <c r="M3905" t="s">
        <v>109</v>
      </c>
      <c r="N3905">
        <v>0</v>
      </c>
      <c r="O3905" t="s">
        <v>111</v>
      </c>
      <c r="P3905" t="s">
        <v>112</v>
      </c>
      <c r="Q3905" t="s">
        <v>113</v>
      </c>
    </row>
    <row r="3906" spans="1:17" x14ac:dyDescent="0.3">
      <c r="A3906" t="s">
        <v>17</v>
      </c>
      <c r="B3906">
        <v>68</v>
      </c>
      <c r="C3906" t="s">
        <v>34</v>
      </c>
      <c r="D3906" s="2">
        <v>46091</v>
      </c>
      <c r="E3906" s="3">
        <f t="shared" si="60"/>
        <v>46082</v>
      </c>
      <c r="F3906" t="s">
        <v>3256</v>
      </c>
      <c r="G3906" t="s">
        <v>122</v>
      </c>
      <c r="H3906" s="4">
        <v>20.149999999999999</v>
      </c>
      <c r="I3906" t="s">
        <v>108</v>
      </c>
      <c r="J3906" t="s">
        <v>109</v>
      </c>
      <c r="L3906" s="2">
        <v>46082</v>
      </c>
      <c r="M3906" t="s">
        <v>109</v>
      </c>
      <c r="N3906">
        <v>0</v>
      </c>
      <c r="O3906" t="s">
        <v>111</v>
      </c>
      <c r="P3906" t="s">
        <v>112</v>
      </c>
      <c r="Q3906" t="s">
        <v>113</v>
      </c>
    </row>
    <row r="3907" spans="1:17" x14ac:dyDescent="0.3">
      <c r="A3907" t="s">
        <v>17</v>
      </c>
      <c r="B3907">
        <v>68</v>
      </c>
      <c r="C3907" t="s">
        <v>34</v>
      </c>
      <c r="D3907" s="2">
        <v>46092</v>
      </c>
      <c r="E3907" s="3">
        <f t="shared" ref="E3907:E3970" si="61">IF($D3907="","",DATE(YEAR($D3907),MONTH($D3907),1))</f>
        <v>46082</v>
      </c>
      <c r="F3907" t="s">
        <v>3257</v>
      </c>
      <c r="G3907" t="s">
        <v>122</v>
      </c>
      <c r="H3907" s="4">
        <v>11.55</v>
      </c>
      <c r="I3907" t="s">
        <v>108</v>
      </c>
      <c r="J3907" t="s">
        <v>109</v>
      </c>
      <c r="K3907" t="s">
        <v>3258</v>
      </c>
      <c r="L3907" s="2">
        <v>46082</v>
      </c>
      <c r="M3907" t="s">
        <v>109</v>
      </c>
      <c r="N3907">
        <v>0</v>
      </c>
      <c r="O3907" t="s">
        <v>111</v>
      </c>
      <c r="P3907" t="s">
        <v>112</v>
      </c>
      <c r="Q3907" t="s">
        <v>113</v>
      </c>
    </row>
    <row r="3908" spans="1:17" x14ac:dyDescent="0.3">
      <c r="A3908" t="s">
        <v>17</v>
      </c>
      <c r="B3908">
        <v>68</v>
      </c>
      <c r="C3908" t="s">
        <v>34</v>
      </c>
      <c r="D3908" s="2">
        <v>46092</v>
      </c>
      <c r="E3908" s="3">
        <f t="shared" si="61"/>
        <v>46082</v>
      </c>
      <c r="F3908" t="s">
        <v>3257</v>
      </c>
      <c r="G3908" t="s">
        <v>122</v>
      </c>
      <c r="H3908" s="4">
        <v>47.95</v>
      </c>
      <c r="I3908" t="s">
        <v>108</v>
      </c>
      <c r="J3908" t="s">
        <v>109</v>
      </c>
      <c r="K3908" t="s">
        <v>1437</v>
      </c>
      <c r="L3908" s="2">
        <v>46082</v>
      </c>
      <c r="M3908" t="s">
        <v>109</v>
      </c>
      <c r="N3908">
        <v>0</v>
      </c>
      <c r="O3908" t="s">
        <v>111</v>
      </c>
      <c r="P3908" t="s">
        <v>112</v>
      </c>
      <c r="Q3908" t="s">
        <v>113</v>
      </c>
    </row>
    <row r="3909" spans="1:17" x14ac:dyDescent="0.3">
      <c r="A3909" t="s">
        <v>17</v>
      </c>
      <c r="B3909">
        <v>68</v>
      </c>
      <c r="C3909" t="s">
        <v>34</v>
      </c>
      <c r="D3909" s="2">
        <v>46092</v>
      </c>
      <c r="E3909" s="3">
        <f t="shared" si="61"/>
        <v>46082</v>
      </c>
      <c r="F3909" t="s">
        <v>3257</v>
      </c>
      <c r="G3909" t="s">
        <v>122</v>
      </c>
      <c r="H3909" s="4">
        <v>4.4400000000000004</v>
      </c>
      <c r="I3909" t="s">
        <v>108</v>
      </c>
      <c r="J3909" t="s">
        <v>109</v>
      </c>
      <c r="K3909" t="s">
        <v>1436</v>
      </c>
      <c r="L3909" s="2">
        <v>46082</v>
      </c>
      <c r="M3909" t="s">
        <v>109</v>
      </c>
      <c r="N3909">
        <v>0</v>
      </c>
      <c r="O3909" t="s">
        <v>111</v>
      </c>
      <c r="P3909" t="s">
        <v>112</v>
      </c>
      <c r="Q3909" t="s">
        <v>113</v>
      </c>
    </row>
    <row r="3910" spans="1:17" x14ac:dyDescent="0.3">
      <c r="A3910" t="s">
        <v>17</v>
      </c>
      <c r="B3910">
        <v>68</v>
      </c>
      <c r="C3910" t="s">
        <v>34</v>
      </c>
      <c r="D3910" s="2">
        <v>46092</v>
      </c>
      <c r="E3910" s="3">
        <f t="shared" si="61"/>
        <v>46082</v>
      </c>
      <c r="F3910" t="s">
        <v>3257</v>
      </c>
      <c r="G3910" t="s">
        <v>122</v>
      </c>
      <c r="H3910" s="4">
        <v>4.4000000000000004</v>
      </c>
      <c r="I3910" t="s">
        <v>108</v>
      </c>
      <c r="J3910" t="s">
        <v>109</v>
      </c>
      <c r="K3910" t="s">
        <v>1438</v>
      </c>
      <c r="L3910" s="2">
        <v>46082</v>
      </c>
      <c r="M3910" t="s">
        <v>109</v>
      </c>
      <c r="N3910">
        <v>0</v>
      </c>
      <c r="O3910" t="s">
        <v>111</v>
      </c>
      <c r="P3910" t="s">
        <v>112</v>
      </c>
      <c r="Q3910" t="s">
        <v>113</v>
      </c>
    </row>
    <row r="3911" spans="1:17" x14ac:dyDescent="0.3">
      <c r="A3911" t="s">
        <v>17</v>
      </c>
      <c r="B3911">
        <v>68</v>
      </c>
      <c r="C3911" t="s">
        <v>34</v>
      </c>
      <c r="D3911" s="2">
        <v>46092</v>
      </c>
      <c r="E3911" s="3">
        <f t="shared" si="61"/>
        <v>46082</v>
      </c>
      <c r="F3911" t="s">
        <v>3257</v>
      </c>
      <c r="G3911" t="s">
        <v>122</v>
      </c>
      <c r="H3911" s="4">
        <v>6.3</v>
      </c>
      <c r="I3911" t="s">
        <v>108</v>
      </c>
      <c r="J3911" t="s">
        <v>109</v>
      </c>
      <c r="K3911" t="s">
        <v>3071</v>
      </c>
      <c r="L3911" s="2">
        <v>46082</v>
      </c>
      <c r="M3911" t="s">
        <v>109</v>
      </c>
      <c r="N3911">
        <v>0</v>
      </c>
      <c r="O3911" t="s">
        <v>111</v>
      </c>
      <c r="P3911" t="s">
        <v>112</v>
      </c>
      <c r="Q3911" t="s">
        <v>113</v>
      </c>
    </row>
    <row r="3912" spans="1:17" x14ac:dyDescent="0.3">
      <c r="A3912" t="s">
        <v>17</v>
      </c>
      <c r="B3912">
        <v>68</v>
      </c>
      <c r="C3912" t="s">
        <v>34</v>
      </c>
      <c r="D3912" s="2">
        <v>46092</v>
      </c>
      <c r="E3912" s="3">
        <f t="shared" si="61"/>
        <v>46082</v>
      </c>
      <c r="F3912" t="s">
        <v>3257</v>
      </c>
      <c r="G3912" t="s">
        <v>122</v>
      </c>
      <c r="H3912" s="4">
        <v>6</v>
      </c>
      <c r="I3912" t="s">
        <v>108</v>
      </c>
      <c r="J3912" t="s">
        <v>109</v>
      </c>
      <c r="L3912" s="2">
        <v>46082</v>
      </c>
      <c r="M3912" t="s">
        <v>109</v>
      </c>
      <c r="N3912">
        <v>0</v>
      </c>
      <c r="O3912" t="s">
        <v>111</v>
      </c>
      <c r="P3912" t="s">
        <v>112</v>
      </c>
      <c r="Q3912" t="s">
        <v>113</v>
      </c>
    </row>
    <row r="3913" spans="1:17" x14ac:dyDescent="0.3">
      <c r="A3913" t="s">
        <v>17</v>
      </c>
      <c r="B3913">
        <v>68</v>
      </c>
      <c r="C3913" t="s">
        <v>34</v>
      </c>
      <c r="D3913" s="2">
        <v>46092</v>
      </c>
      <c r="E3913" s="3">
        <f t="shared" si="61"/>
        <v>46082</v>
      </c>
      <c r="F3913" t="s">
        <v>3257</v>
      </c>
      <c r="G3913" t="s">
        <v>122</v>
      </c>
      <c r="H3913" s="4">
        <v>209.75</v>
      </c>
      <c r="I3913" t="s">
        <v>108</v>
      </c>
      <c r="J3913" t="s">
        <v>109</v>
      </c>
      <c r="K3913" t="s">
        <v>3073</v>
      </c>
      <c r="L3913" s="2">
        <v>46082</v>
      </c>
      <c r="M3913" t="s">
        <v>109</v>
      </c>
      <c r="N3913">
        <v>0</v>
      </c>
      <c r="O3913" t="s">
        <v>111</v>
      </c>
      <c r="P3913" t="s">
        <v>112</v>
      </c>
      <c r="Q3913" t="s">
        <v>113</v>
      </c>
    </row>
    <row r="3914" spans="1:17" x14ac:dyDescent="0.3">
      <c r="A3914" t="s">
        <v>17</v>
      </c>
      <c r="B3914">
        <v>68</v>
      </c>
      <c r="C3914" t="s">
        <v>34</v>
      </c>
      <c r="D3914" s="2">
        <v>46092</v>
      </c>
      <c r="E3914" s="3">
        <f t="shared" si="61"/>
        <v>46082</v>
      </c>
      <c r="F3914" t="s">
        <v>3259</v>
      </c>
      <c r="G3914" t="s">
        <v>122</v>
      </c>
      <c r="H3914" s="4">
        <v>668.04</v>
      </c>
      <c r="I3914" t="s">
        <v>108</v>
      </c>
      <c r="J3914" t="s">
        <v>109</v>
      </c>
      <c r="K3914" t="s">
        <v>1288</v>
      </c>
      <c r="L3914" s="2">
        <v>46082</v>
      </c>
      <c r="M3914" t="s">
        <v>109</v>
      </c>
      <c r="N3914">
        <v>0</v>
      </c>
      <c r="O3914" t="s">
        <v>111</v>
      </c>
      <c r="P3914" t="s">
        <v>112</v>
      </c>
      <c r="Q3914" t="s">
        <v>113</v>
      </c>
    </row>
    <row r="3915" spans="1:17" x14ac:dyDescent="0.3">
      <c r="A3915" t="s">
        <v>17</v>
      </c>
      <c r="B3915">
        <v>68</v>
      </c>
      <c r="C3915" t="s">
        <v>34</v>
      </c>
      <c r="D3915" s="2">
        <v>46098</v>
      </c>
      <c r="E3915" s="3">
        <f t="shared" si="61"/>
        <v>46082</v>
      </c>
      <c r="F3915" t="s">
        <v>3260</v>
      </c>
      <c r="G3915" t="s">
        <v>122</v>
      </c>
      <c r="H3915" s="4">
        <v>19.010000000000002</v>
      </c>
      <c r="I3915" t="s">
        <v>108</v>
      </c>
      <c r="J3915" t="s">
        <v>109</v>
      </c>
      <c r="K3915" t="s">
        <v>3261</v>
      </c>
      <c r="L3915" s="2">
        <v>46082</v>
      </c>
      <c r="M3915" t="s">
        <v>109</v>
      </c>
      <c r="N3915">
        <v>0</v>
      </c>
      <c r="O3915" t="s">
        <v>111</v>
      </c>
      <c r="P3915" t="s">
        <v>112</v>
      </c>
      <c r="Q3915" t="s">
        <v>113</v>
      </c>
    </row>
    <row r="3916" spans="1:17" x14ac:dyDescent="0.3">
      <c r="A3916" t="s">
        <v>17</v>
      </c>
      <c r="B3916">
        <v>68</v>
      </c>
      <c r="C3916" t="s">
        <v>34</v>
      </c>
      <c r="D3916" s="2">
        <v>46098</v>
      </c>
      <c r="E3916" s="3">
        <f t="shared" si="61"/>
        <v>46082</v>
      </c>
      <c r="F3916" t="s">
        <v>3262</v>
      </c>
      <c r="G3916" t="s">
        <v>122</v>
      </c>
      <c r="H3916" s="4">
        <v>0.1</v>
      </c>
      <c r="I3916" t="s">
        <v>108</v>
      </c>
      <c r="J3916" t="s">
        <v>109</v>
      </c>
      <c r="K3916" t="s">
        <v>1450</v>
      </c>
      <c r="L3916" s="2">
        <v>46082</v>
      </c>
      <c r="M3916" t="s">
        <v>109</v>
      </c>
      <c r="N3916">
        <v>0</v>
      </c>
      <c r="O3916" t="s">
        <v>111</v>
      </c>
      <c r="P3916" t="s">
        <v>112</v>
      </c>
      <c r="Q3916" t="s">
        <v>113</v>
      </c>
    </row>
    <row r="3917" spans="1:17" x14ac:dyDescent="0.3">
      <c r="A3917" t="s">
        <v>17</v>
      </c>
      <c r="B3917">
        <v>68</v>
      </c>
      <c r="C3917" t="s">
        <v>34</v>
      </c>
      <c r="D3917" s="2">
        <v>46098</v>
      </c>
      <c r="E3917" s="3">
        <f t="shared" si="61"/>
        <v>46082</v>
      </c>
      <c r="F3917" t="s">
        <v>3262</v>
      </c>
      <c r="G3917" t="s">
        <v>122</v>
      </c>
      <c r="H3917" s="4">
        <v>17.5</v>
      </c>
      <c r="I3917" t="s">
        <v>108</v>
      </c>
      <c r="J3917" t="s">
        <v>109</v>
      </c>
      <c r="L3917" s="2">
        <v>46082</v>
      </c>
      <c r="M3917" t="s">
        <v>109</v>
      </c>
      <c r="N3917">
        <v>0</v>
      </c>
      <c r="O3917" t="s">
        <v>111</v>
      </c>
      <c r="P3917" t="s">
        <v>112</v>
      </c>
      <c r="Q3917" t="s">
        <v>113</v>
      </c>
    </row>
    <row r="3918" spans="1:17" x14ac:dyDescent="0.3">
      <c r="A3918" t="s">
        <v>17</v>
      </c>
      <c r="B3918">
        <v>68</v>
      </c>
      <c r="C3918" t="s">
        <v>34</v>
      </c>
      <c r="D3918" s="2">
        <v>46098</v>
      </c>
      <c r="E3918" s="3">
        <f t="shared" si="61"/>
        <v>46082</v>
      </c>
      <c r="F3918" t="s">
        <v>3262</v>
      </c>
      <c r="G3918" t="s">
        <v>122</v>
      </c>
      <c r="H3918" s="4">
        <v>1.34</v>
      </c>
      <c r="I3918" t="s">
        <v>108</v>
      </c>
      <c r="J3918" t="s">
        <v>109</v>
      </c>
      <c r="L3918" s="2">
        <v>46082</v>
      </c>
      <c r="M3918" t="s">
        <v>109</v>
      </c>
      <c r="N3918">
        <v>0</v>
      </c>
      <c r="O3918" t="s">
        <v>111</v>
      </c>
      <c r="P3918" t="s">
        <v>112</v>
      </c>
      <c r="Q3918" t="s">
        <v>113</v>
      </c>
    </row>
    <row r="3919" spans="1:17" x14ac:dyDescent="0.3">
      <c r="A3919" t="s">
        <v>17</v>
      </c>
      <c r="B3919">
        <v>68</v>
      </c>
      <c r="C3919" t="s">
        <v>34</v>
      </c>
      <c r="D3919" s="2">
        <v>46098</v>
      </c>
      <c r="E3919" s="3">
        <f t="shared" si="61"/>
        <v>46082</v>
      </c>
      <c r="F3919" t="s">
        <v>3263</v>
      </c>
      <c r="G3919" t="s">
        <v>122</v>
      </c>
      <c r="H3919" s="4">
        <v>0.99</v>
      </c>
      <c r="I3919" t="s">
        <v>108</v>
      </c>
      <c r="J3919" t="s">
        <v>109</v>
      </c>
      <c r="L3919" s="2">
        <v>46082</v>
      </c>
      <c r="M3919" t="s">
        <v>109</v>
      </c>
      <c r="N3919">
        <v>0</v>
      </c>
      <c r="O3919" t="s">
        <v>111</v>
      </c>
      <c r="P3919" t="s">
        <v>112</v>
      </c>
      <c r="Q3919" t="s">
        <v>113</v>
      </c>
    </row>
    <row r="3920" spans="1:17" x14ac:dyDescent="0.3">
      <c r="A3920" t="s">
        <v>17</v>
      </c>
      <c r="B3920">
        <v>68</v>
      </c>
      <c r="C3920" t="s">
        <v>34</v>
      </c>
      <c r="D3920" s="2">
        <v>46098</v>
      </c>
      <c r="E3920" s="3">
        <f t="shared" si="61"/>
        <v>46082</v>
      </c>
      <c r="F3920" t="s">
        <v>3263</v>
      </c>
      <c r="G3920" t="s">
        <v>122</v>
      </c>
      <c r="H3920" s="4">
        <v>17.5</v>
      </c>
      <c r="I3920" t="s">
        <v>108</v>
      </c>
      <c r="J3920" t="s">
        <v>109</v>
      </c>
      <c r="L3920" s="2">
        <v>46082</v>
      </c>
      <c r="M3920" t="s">
        <v>109</v>
      </c>
      <c r="N3920">
        <v>0</v>
      </c>
      <c r="O3920" t="s">
        <v>111</v>
      </c>
      <c r="P3920" t="s">
        <v>112</v>
      </c>
      <c r="Q3920" t="s">
        <v>113</v>
      </c>
    </row>
    <row r="3921" spans="1:17" x14ac:dyDescent="0.3">
      <c r="A3921" t="s">
        <v>17</v>
      </c>
      <c r="B3921">
        <v>68</v>
      </c>
      <c r="C3921" t="s">
        <v>34</v>
      </c>
      <c r="D3921" s="2">
        <v>46098</v>
      </c>
      <c r="E3921" s="3">
        <f t="shared" si="61"/>
        <v>46082</v>
      </c>
      <c r="F3921" t="s">
        <v>3263</v>
      </c>
      <c r="G3921" t="s">
        <v>122</v>
      </c>
      <c r="H3921" s="4">
        <v>1.34</v>
      </c>
      <c r="I3921" t="s">
        <v>108</v>
      </c>
      <c r="J3921" t="s">
        <v>109</v>
      </c>
      <c r="L3921" s="2">
        <v>46082</v>
      </c>
      <c r="M3921" t="s">
        <v>109</v>
      </c>
      <c r="N3921">
        <v>0</v>
      </c>
      <c r="O3921" t="s">
        <v>111</v>
      </c>
      <c r="P3921" t="s">
        <v>112</v>
      </c>
      <c r="Q3921" t="s">
        <v>113</v>
      </c>
    </row>
    <row r="3922" spans="1:17" x14ac:dyDescent="0.3">
      <c r="A3922" t="s">
        <v>17</v>
      </c>
      <c r="B3922">
        <v>68</v>
      </c>
      <c r="C3922" t="s">
        <v>34</v>
      </c>
      <c r="D3922" s="2">
        <v>46098</v>
      </c>
      <c r="E3922" s="3">
        <f t="shared" si="61"/>
        <v>46082</v>
      </c>
      <c r="F3922" t="s">
        <v>3264</v>
      </c>
      <c r="G3922" t="s">
        <v>107</v>
      </c>
      <c r="H3922" s="4">
        <v>35.520000000000003</v>
      </c>
      <c r="I3922" t="s">
        <v>108</v>
      </c>
      <c r="J3922" t="s">
        <v>109</v>
      </c>
      <c r="L3922" s="2">
        <v>46082</v>
      </c>
      <c r="M3922" t="s">
        <v>109</v>
      </c>
      <c r="N3922">
        <v>0</v>
      </c>
      <c r="O3922" t="s">
        <v>111</v>
      </c>
      <c r="P3922" t="s">
        <v>112</v>
      </c>
      <c r="Q3922" t="s">
        <v>113</v>
      </c>
    </row>
    <row r="3923" spans="1:17" x14ac:dyDescent="0.3">
      <c r="A3923" t="s">
        <v>17</v>
      </c>
      <c r="B3923">
        <v>68</v>
      </c>
      <c r="C3923" t="s">
        <v>34</v>
      </c>
      <c r="D3923" s="2">
        <v>46099</v>
      </c>
      <c r="E3923" s="3">
        <f t="shared" si="61"/>
        <v>46082</v>
      </c>
      <c r="F3923" t="s">
        <v>3265</v>
      </c>
      <c r="G3923" t="s">
        <v>122</v>
      </c>
      <c r="H3923" s="4">
        <v>20.32</v>
      </c>
      <c r="I3923" t="s">
        <v>108</v>
      </c>
      <c r="J3923" t="s">
        <v>109</v>
      </c>
      <c r="L3923" s="2">
        <v>46082</v>
      </c>
      <c r="M3923" t="s">
        <v>109</v>
      </c>
      <c r="N3923">
        <v>0</v>
      </c>
      <c r="O3923" t="s">
        <v>111</v>
      </c>
      <c r="P3923" t="s">
        <v>112</v>
      </c>
      <c r="Q3923" t="s">
        <v>113</v>
      </c>
    </row>
    <row r="3924" spans="1:17" x14ac:dyDescent="0.3">
      <c r="A3924" t="s">
        <v>17</v>
      </c>
      <c r="B3924">
        <v>68</v>
      </c>
      <c r="C3924" t="s">
        <v>34</v>
      </c>
      <c r="D3924" s="2">
        <v>46099</v>
      </c>
      <c r="E3924" s="3">
        <f t="shared" si="61"/>
        <v>46082</v>
      </c>
      <c r="F3924" t="s">
        <v>3266</v>
      </c>
      <c r="G3924" t="s">
        <v>122</v>
      </c>
      <c r="H3924" s="4">
        <v>761.06</v>
      </c>
      <c r="I3924" t="s">
        <v>108</v>
      </c>
      <c r="J3924" t="s">
        <v>109</v>
      </c>
      <c r="K3924" t="s">
        <v>1288</v>
      </c>
      <c r="L3924" s="2">
        <v>46082</v>
      </c>
      <c r="M3924" t="s">
        <v>109</v>
      </c>
      <c r="N3924">
        <v>0</v>
      </c>
      <c r="O3924" t="s">
        <v>111</v>
      </c>
      <c r="P3924" t="s">
        <v>112</v>
      </c>
      <c r="Q3924" t="s">
        <v>113</v>
      </c>
    </row>
    <row r="3925" spans="1:17" x14ac:dyDescent="0.3">
      <c r="A3925" t="s">
        <v>17</v>
      </c>
      <c r="B3925">
        <v>68</v>
      </c>
      <c r="C3925" t="s">
        <v>34</v>
      </c>
      <c r="D3925" s="2">
        <v>46099</v>
      </c>
      <c r="E3925" s="3">
        <f t="shared" si="61"/>
        <v>46082</v>
      </c>
      <c r="F3925" t="s">
        <v>3267</v>
      </c>
      <c r="G3925" t="s">
        <v>122</v>
      </c>
      <c r="H3925" s="4">
        <v>3.2</v>
      </c>
      <c r="I3925" t="s">
        <v>108</v>
      </c>
      <c r="J3925" t="s">
        <v>109</v>
      </c>
      <c r="L3925" s="2">
        <v>46082</v>
      </c>
      <c r="M3925" t="s">
        <v>109</v>
      </c>
      <c r="N3925">
        <v>0</v>
      </c>
      <c r="O3925" t="s">
        <v>111</v>
      </c>
      <c r="P3925" t="s">
        <v>112</v>
      </c>
      <c r="Q3925" t="s">
        <v>113</v>
      </c>
    </row>
    <row r="3926" spans="1:17" x14ac:dyDescent="0.3">
      <c r="A3926" t="s">
        <v>17</v>
      </c>
      <c r="B3926">
        <v>68</v>
      </c>
      <c r="C3926" t="s">
        <v>34</v>
      </c>
      <c r="D3926" s="2">
        <v>46099</v>
      </c>
      <c r="E3926" s="3">
        <f t="shared" si="61"/>
        <v>46082</v>
      </c>
      <c r="F3926" t="s">
        <v>3267</v>
      </c>
      <c r="G3926" t="s">
        <v>122</v>
      </c>
      <c r="H3926" s="4">
        <v>17.5</v>
      </c>
      <c r="I3926" t="s">
        <v>108</v>
      </c>
      <c r="J3926" t="s">
        <v>109</v>
      </c>
      <c r="L3926" s="2">
        <v>46082</v>
      </c>
      <c r="M3926" t="s">
        <v>109</v>
      </c>
      <c r="N3926">
        <v>0</v>
      </c>
      <c r="O3926" t="s">
        <v>111</v>
      </c>
      <c r="P3926" t="s">
        <v>112</v>
      </c>
      <c r="Q3926" t="s">
        <v>113</v>
      </c>
    </row>
    <row r="3927" spans="1:17" x14ac:dyDescent="0.3">
      <c r="A3927" t="s">
        <v>17</v>
      </c>
      <c r="B3927">
        <v>68</v>
      </c>
      <c r="C3927" t="s">
        <v>34</v>
      </c>
      <c r="D3927" s="2">
        <v>46099</v>
      </c>
      <c r="E3927" s="3">
        <f t="shared" si="61"/>
        <v>46082</v>
      </c>
      <c r="F3927" t="s">
        <v>3267</v>
      </c>
      <c r="G3927" t="s">
        <v>122</v>
      </c>
      <c r="H3927" s="4">
        <v>1.34</v>
      </c>
      <c r="I3927" t="s">
        <v>108</v>
      </c>
      <c r="J3927" t="s">
        <v>109</v>
      </c>
      <c r="K3927" t="s">
        <v>1452</v>
      </c>
      <c r="L3927" s="2">
        <v>46082</v>
      </c>
      <c r="M3927" t="s">
        <v>109</v>
      </c>
      <c r="N3927">
        <v>0</v>
      </c>
      <c r="O3927" t="s">
        <v>111</v>
      </c>
      <c r="P3927" t="s">
        <v>112</v>
      </c>
      <c r="Q3927" t="s">
        <v>113</v>
      </c>
    </row>
    <row r="3928" spans="1:17" x14ac:dyDescent="0.3">
      <c r="A3928" t="s">
        <v>17</v>
      </c>
      <c r="B3928">
        <v>68</v>
      </c>
      <c r="C3928" t="s">
        <v>34</v>
      </c>
      <c r="D3928" s="2">
        <v>46099</v>
      </c>
      <c r="E3928" s="3">
        <f t="shared" si="61"/>
        <v>46082</v>
      </c>
      <c r="F3928" t="s">
        <v>3268</v>
      </c>
      <c r="G3928" t="s">
        <v>122</v>
      </c>
      <c r="H3928" s="4">
        <v>20.100000000000001</v>
      </c>
      <c r="I3928" t="s">
        <v>108</v>
      </c>
      <c r="J3928" t="s">
        <v>109</v>
      </c>
      <c r="L3928" s="2">
        <v>46082</v>
      </c>
      <c r="M3928" t="s">
        <v>109</v>
      </c>
      <c r="N3928">
        <v>0</v>
      </c>
      <c r="O3928" t="s">
        <v>111</v>
      </c>
      <c r="P3928" t="s">
        <v>112</v>
      </c>
      <c r="Q3928" t="s">
        <v>113</v>
      </c>
    </row>
    <row r="3929" spans="1:17" x14ac:dyDescent="0.3">
      <c r="A3929" t="s">
        <v>17</v>
      </c>
      <c r="B3929">
        <v>68</v>
      </c>
      <c r="C3929" t="s">
        <v>34</v>
      </c>
      <c r="D3929" s="2">
        <v>46104</v>
      </c>
      <c r="E3929" s="3">
        <f t="shared" si="61"/>
        <v>46082</v>
      </c>
      <c r="F3929" t="s">
        <v>3269</v>
      </c>
      <c r="G3929" t="s">
        <v>107</v>
      </c>
      <c r="H3929" s="4">
        <v>30.09</v>
      </c>
      <c r="I3929" t="s">
        <v>108</v>
      </c>
      <c r="J3929" t="s">
        <v>109</v>
      </c>
      <c r="L3929" s="2">
        <v>46082</v>
      </c>
      <c r="M3929" t="s">
        <v>109</v>
      </c>
      <c r="N3929">
        <v>0</v>
      </c>
      <c r="O3929" t="s">
        <v>111</v>
      </c>
      <c r="P3929" t="s">
        <v>112</v>
      </c>
      <c r="Q3929" t="s">
        <v>113</v>
      </c>
    </row>
    <row r="3930" spans="1:17" x14ac:dyDescent="0.3">
      <c r="A3930" t="s">
        <v>17</v>
      </c>
      <c r="B3930">
        <v>68</v>
      </c>
      <c r="C3930" t="s">
        <v>34</v>
      </c>
      <c r="D3930" s="2">
        <v>46105</v>
      </c>
      <c r="E3930" s="3">
        <f t="shared" si="61"/>
        <v>46082</v>
      </c>
      <c r="F3930" t="s">
        <v>3270</v>
      </c>
      <c r="G3930" t="s">
        <v>122</v>
      </c>
      <c r="H3930" s="4">
        <v>1.48</v>
      </c>
      <c r="I3930" t="s">
        <v>108</v>
      </c>
      <c r="J3930" t="s">
        <v>109</v>
      </c>
      <c r="L3930" s="2">
        <v>46082</v>
      </c>
      <c r="M3930" t="s">
        <v>109</v>
      </c>
      <c r="N3930">
        <v>0</v>
      </c>
      <c r="O3930" t="s">
        <v>111</v>
      </c>
      <c r="P3930" t="s">
        <v>112</v>
      </c>
      <c r="Q3930" t="s">
        <v>113</v>
      </c>
    </row>
    <row r="3931" spans="1:17" x14ac:dyDescent="0.3">
      <c r="A3931" t="s">
        <v>17</v>
      </c>
      <c r="B3931">
        <v>68</v>
      </c>
      <c r="C3931" t="s">
        <v>34</v>
      </c>
      <c r="D3931" s="2">
        <v>46105</v>
      </c>
      <c r="E3931" s="3">
        <f t="shared" si="61"/>
        <v>46082</v>
      </c>
      <c r="F3931" t="s">
        <v>3270</v>
      </c>
      <c r="G3931" t="s">
        <v>122</v>
      </c>
      <c r="H3931" s="4">
        <v>17.5</v>
      </c>
      <c r="I3931" t="s">
        <v>108</v>
      </c>
      <c r="J3931" t="s">
        <v>109</v>
      </c>
      <c r="L3931" s="2">
        <v>46082</v>
      </c>
      <c r="M3931" t="s">
        <v>109</v>
      </c>
      <c r="N3931">
        <v>0</v>
      </c>
      <c r="O3931" t="s">
        <v>111</v>
      </c>
      <c r="P3931" t="s">
        <v>112</v>
      </c>
      <c r="Q3931" t="s">
        <v>113</v>
      </c>
    </row>
    <row r="3932" spans="1:17" x14ac:dyDescent="0.3">
      <c r="A3932" t="s">
        <v>17</v>
      </c>
      <c r="B3932">
        <v>68</v>
      </c>
      <c r="C3932" t="s">
        <v>34</v>
      </c>
      <c r="D3932" s="2">
        <v>46105</v>
      </c>
      <c r="E3932" s="3">
        <f t="shared" si="61"/>
        <v>46082</v>
      </c>
      <c r="F3932" t="s">
        <v>3270</v>
      </c>
      <c r="G3932" t="s">
        <v>122</v>
      </c>
      <c r="H3932" s="4">
        <v>1.34</v>
      </c>
      <c r="I3932" t="s">
        <v>108</v>
      </c>
      <c r="J3932" t="s">
        <v>109</v>
      </c>
      <c r="L3932" s="2">
        <v>46082</v>
      </c>
      <c r="M3932" t="s">
        <v>109</v>
      </c>
      <c r="N3932">
        <v>0</v>
      </c>
      <c r="O3932" t="s">
        <v>111</v>
      </c>
      <c r="P3932" t="s">
        <v>112</v>
      </c>
      <c r="Q3932" t="s">
        <v>113</v>
      </c>
    </row>
    <row r="3933" spans="1:17" x14ac:dyDescent="0.3">
      <c r="A3933" t="s">
        <v>17</v>
      </c>
      <c r="B3933">
        <v>68</v>
      </c>
      <c r="C3933" t="s">
        <v>34</v>
      </c>
      <c r="D3933" s="2">
        <v>46105</v>
      </c>
      <c r="E3933" s="3">
        <f t="shared" si="61"/>
        <v>46082</v>
      </c>
      <c r="F3933" t="s">
        <v>3271</v>
      </c>
      <c r="G3933" t="s">
        <v>122</v>
      </c>
      <c r="H3933" s="4">
        <v>0.62</v>
      </c>
      <c r="I3933" t="s">
        <v>108</v>
      </c>
      <c r="J3933" t="s">
        <v>109</v>
      </c>
      <c r="L3933" s="2">
        <v>46082</v>
      </c>
      <c r="M3933" t="s">
        <v>109</v>
      </c>
      <c r="N3933">
        <v>0</v>
      </c>
      <c r="O3933" t="s">
        <v>111</v>
      </c>
      <c r="P3933" t="s">
        <v>112</v>
      </c>
      <c r="Q3933" t="s">
        <v>113</v>
      </c>
    </row>
    <row r="3934" spans="1:17" x14ac:dyDescent="0.3">
      <c r="A3934" t="s">
        <v>17</v>
      </c>
      <c r="B3934">
        <v>68</v>
      </c>
      <c r="C3934" t="s">
        <v>34</v>
      </c>
      <c r="D3934" s="2">
        <v>46105</v>
      </c>
      <c r="E3934" s="3">
        <f t="shared" si="61"/>
        <v>46082</v>
      </c>
      <c r="F3934" t="s">
        <v>3271</v>
      </c>
      <c r="G3934" t="s">
        <v>122</v>
      </c>
      <c r="H3934" s="4">
        <v>17.5</v>
      </c>
      <c r="I3934" t="s">
        <v>108</v>
      </c>
      <c r="J3934" t="s">
        <v>109</v>
      </c>
      <c r="L3934" s="2">
        <v>46082</v>
      </c>
      <c r="M3934" t="s">
        <v>109</v>
      </c>
      <c r="N3934">
        <v>0</v>
      </c>
      <c r="O3934" t="s">
        <v>111</v>
      </c>
      <c r="P3934" t="s">
        <v>112</v>
      </c>
      <c r="Q3934" t="s">
        <v>113</v>
      </c>
    </row>
    <row r="3935" spans="1:17" x14ac:dyDescent="0.3">
      <c r="A3935" t="s">
        <v>17</v>
      </c>
      <c r="B3935">
        <v>68</v>
      </c>
      <c r="C3935" t="s">
        <v>34</v>
      </c>
      <c r="D3935" s="2">
        <v>46105</v>
      </c>
      <c r="E3935" s="3">
        <f t="shared" si="61"/>
        <v>46082</v>
      </c>
      <c r="F3935" t="s">
        <v>3271</v>
      </c>
      <c r="G3935" t="s">
        <v>122</v>
      </c>
      <c r="H3935" s="4">
        <v>1.34</v>
      </c>
      <c r="I3935" t="s">
        <v>108</v>
      </c>
      <c r="J3935" t="s">
        <v>109</v>
      </c>
      <c r="L3935" s="2">
        <v>46082</v>
      </c>
      <c r="M3935" t="s">
        <v>109</v>
      </c>
      <c r="N3935">
        <v>0</v>
      </c>
      <c r="O3935" t="s">
        <v>111</v>
      </c>
      <c r="P3935" t="s">
        <v>112</v>
      </c>
      <c r="Q3935" t="s">
        <v>113</v>
      </c>
    </row>
    <row r="3936" spans="1:17" x14ac:dyDescent="0.3">
      <c r="A3936" t="s">
        <v>17</v>
      </c>
      <c r="B3936">
        <v>68</v>
      </c>
      <c r="C3936" t="s">
        <v>34</v>
      </c>
      <c r="D3936" s="2">
        <v>46105</v>
      </c>
      <c r="E3936" s="3">
        <f t="shared" si="61"/>
        <v>46082</v>
      </c>
      <c r="F3936" t="s">
        <v>3272</v>
      </c>
      <c r="G3936" t="s">
        <v>122</v>
      </c>
      <c r="H3936" s="4">
        <v>19.18</v>
      </c>
      <c r="I3936" t="s">
        <v>108</v>
      </c>
      <c r="J3936" t="s">
        <v>109</v>
      </c>
      <c r="L3936" s="2">
        <v>46082</v>
      </c>
      <c r="M3936" t="s">
        <v>109</v>
      </c>
      <c r="N3936">
        <v>0</v>
      </c>
      <c r="O3936" t="s">
        <v>111</v>
      </c>
      <c r="P3936" t="s">
        <v>112</v>
      </c>
      <c r="Q3936" t="s">
        <v>113</v>
      </c>
    </row>
    <row r="3937" spans="1:17" x14ac:dyDescent="0.3">
      <c r="A3937" t="s">
        <v>17</v>
      </c>
      <c r="B3937">
        <v>68</v>
      </c>
      <c r="C3937" t="s">
        <v>34</v>
      </c>
      <c r="D3937" s="2">
        <v>46105</v>
      </c>
      <c r="E3937" s="3">
        <f t="shared" si="61"/>
        <v>46082</v>
      </c>
      <c r="F3937" t="s">
        <v>3273</v>
      </c>
      <c r="G3937" t="s">
        <v>122</v>
      </c>
      <c r="H3937" s="4">
        <v>2.97</v>
      </c>
      <c r="I3937" t="s">
        <v>108</v>
      </c>
      <c r="J3937" t="s">
        <v>109</v>
      </c>
      <c r="L3937" s="2">
        <v>46082</v>
      </c>
      <c r="M3937" t="s">
        <v>109</v>
      </c>
      <c r="N3937">
        <v>0</v>
      </c>
      <c r="O3937" t="s">
        <v>111</v>
      </c>
      <c r="P3937" t="s">
        <v>112</v>
      </c>
      <c r="Q3937" t="s">
        <v>113</v>
      </c>
    </row>
    <row r="3938" spans="1:17" x14ac:dyDescent="0.3">
      <c r="A3938" t="s">
        <v>17</v>
      </c>
      <c r="B3938">
        <v>68</v>
      </c>
      <c r="C3938" t="s">
        <v>34</v>
      </c>
      <c r="D3938" s="2">
        <v>46105</v>
      </c>
      <c r="E3938" s="3">
        <f t="shared" si="61"/>
        <v>46082</v>
      </c>
      <c r="F3938" t="s">
        <v>3273</v>
      </c>
      <c r="G3938" t="s">
        <v>122</v>
      </c>
      <c r="H3938" s="4">
        <v>17.5</v>
      </c>
      <c r="I3938" t="s">
        <v>108</v>
      </c>
      <c r="J3938" t="s">
        <v>109</v>
      </c>
      <c r="L3938" s="2">
        <v>46082</v>
      </c>
      <c r="M3938" t="s">
        <v>109</v>
      </c>
      <c r="N3938">
        <v>0</v>
      </c>
      <c r="O3938" t="s">
        <v>111</v>
      </c>
      <c r="P3938" t="s">
        <v>112</v>
      </c>
      <c r="Q3938" t="s">
        <v>113</v>
      </c>
    </row>
    <row r="3939" spans="1:17" x14ac:dyDescent="0.3">
      <c r="A3939" t="s">
        <v>17</v>
      </c>
      <c r="B3939">
        <v>68</v>
      </c>
      <c r="C3939" t="s">
        <v>34</v>
      </c>
      <c r="D3939" s="2">
        <v>46105</v>
      </c>
      <c r="E3939" s="3">
        <f t="shared" si="61"/>
        <v>46082</v>
      </c>
      <c r="F3939" t="s">
        <v>3273</v>
      </c>
      <c r="G3939" t="s">
        <v>122</v>
      </c>
      <c r="H3939" s="4">
        <v>1.34</v>
      </c>
      <c r="I3939" t="s">
        <v>108</v>
      </c>
      <c r="J3939" t="s">
        <v>109</v>
      </c>
      <c r="L3939" s="2">
        <v>46082</v>
      </c>
      <c r="M3939" t="s">
        <v>109</v>
      </c>
      <c r="N3939">
        <v>0</v>
      </c>
      <c r="O3939" t="s">
        <v>111</v>
      </c>
      <c r="P3939" t="s">
        <v>112</v>
      </c>
      <c r="Q3939" t="s">
        <v>113</v>
      </c>
    </row>
    <row r="3940" spans="1:17" x14ac:dyDescent="0.3">
      <c r="A3940" t="s">
        <v>17</v>
      </c>
      <c r="B3940">
        <v>68</v>
      </c>
      <c r="C3940" t="s">
        <v>34</v>
      </c>
      <c r="D3940" s="2">
        <v>46105</v>
      </c>
      <c r="E3940" s="3">
        <f t="shared" si="61"/>
        <v>46082</v>
      </c>
      <c r="F3940" t="s">
        <v>3078</v>
      </c>
      <c r="G3940" t="s">
        <v>1281</v>
      </c>
      <c r="H3940" s="4">
        <v>-53.35</v>
      </c>
      <c r="I3940" t="s">
        <v>108</v>
      </c>
      <c r="J3940" t="s">
        <v>109</v>
      </c>
      <c r="K3940" t="s">
        <v>1282</v>
      </c>
      <c r="L3940" s="2">
        <v>46082</v>
      </c>
      <c r="M3940" t="s">
        <v>109</v>
      </c>
      <c r="N3940">
        <v>0</v>
      </c>
      <c r="O3940" t="s">
        <v>111</v>
      </c>
      <c r="P3940" t="s">
        <v>112</v>
      </c>
      <c r="Q3940" t="s">
        <v>113</v>
      </c>
    </row>
    <row r="3941" spans="1:17" x14ac:dyDescent="0.3">
      <c r="A3941" t="s">
        <v>17</v>
      </c>
      <c r="B3941">
        <v>68</v>
      </c>
      <c r="C3941" t="s">
        <v>34</v>
      </c>
      <c r="D3941" s="2">
        <v>46106</v>
      </c>
      <c r="E3941" s="3">
        <f t="shared" si="61"/>
        <v>46082</v>
      </c>
      <c r="F3941" t="s">
        <v>3274</v>
      </c>
      <c r="G3941" t="s">
        <v>122</v>
      </c>
      <c r="H3941" s="4">
        <v>19.95</v>
      </c>
      <c r="I3941" t="s">
        <v>108</v>
      </c>
      <c r="J3941" t="s">
        <v>109</v>
      </c>
      <c r="L3941" s="2">
        <v>46082</v>
      </c>
      <c r="M3941" t="s">
        <v>109</v>
      </c>
      <c r="N3941">
        <v>0</v>
      </c>
      <c r="O3941" t="s">
        <v>111</v>
      </c>
      <c r="P3941" t="s">
        <v>112</v>
      </c>
      <c r="Q3941" t="s">
        <v>113</v>
      </c>
    </row>
    <row r="3942" spans="1:17" x14ac:dyDescent="0.3">
      <c r="A3942" t="s">
        <v>17</v>
      </c>
      <c r="B3942">
        <v>68</v>
      </c>
      <c r="C3942" t="s">
        <v>34</v>
      </c>
      <c r="D3942" s="2">
        <v>46106</v>
      </c>
      <c r="E3942" s="3">
        <f t="shared" si="61"/>
        <v>46082</v>
      </c>
      <c r="F3942" t="s">
        <v>3275</v>
      </c>
      <c r="G3942" t="s">
        <v>122</v>
      </c>
      <c r="H3942" s="4">
        <v>7.97</v>
      </c>
      <c r="I3942" t="s">
        <v>108</v>
      </c>
      <c r="J3942" t="s">
        <v>109</v>
      </c>
      <c r="L3942" s="2">
        <v>46082</v>
      </c>
      <c r="M3942" t="s">
        <v>109</v>
      </c>
      <c r="N3942">
        <v>0</v>
      </c>
      <c r="O3942" t="s">
        <v>111</v>
      </c>
      <c r="P3942" t="s">
        <v>112</v>
      </c>
      <c r="Q3942" t="s">
        <v>113</v>
      </c>
    </row>
    <row r="3943" spans="1:17" x14ac:dyDescent="0.3">
      <c r="A3943" t="s">
        <v>17</v>
      </c>
      <c r="B3943">
        <v>68</v>
      </c>
      <c r="C3943" t="s">
        <v>34</v>
      </c>
      <c r="D3943" s="2">
        <v>46106</v>
      </c>
      <c r="E3943" s="3">
        <f t="shared" si="61"/>
        <v>46082</v>
      </c>
      <c r="F3943" t="s">
        <v>3275</v>
      </c>
      <c r="G3943" t="s">
        <v>122</v>
      </c>
      <c r="H3943" s="4">
        <v>17.5</v>
      </c>
      <c r="I3943" t="s">
        <v>108</v>
      </c>
      <c r="J3943" t="s">
        <v>109</v>
      </c>
      <c r="L3943" s="2">
        <v>46082</v>
      </c>
      <c r="M3943" t="s">
        <v>109</v>
      </c>
      <c r="N3943">
        <v>0</v>
      </c>
      <c r="O3943" t="s">
        <v>111</v>
      </c>
      <c r="P3943" t="s">
        <v>112</v>
      </c>
      <c r="Q3943" t="s">
        <v>113</v>
      </c>
    </row>
    <row r="3944" spans="1:17" x14ac:dyDescent="0.3">
      <c r="A3944" t="s">
        <v>17</v>
      </c>
      <c r="B3944">
        <v>68</v>
      </c>
      <c r="C3944" t="s">
        <v>34</v>
      </c>
      <c r="D3944" s="2">
        <v>46106</v>
      </c>
      <c r="E3944" s="3">
        <f t="shared" si="61"/>
        <v>46082</v>
      </c>
      <c r="F3944" t="s">
        <v>3275</v>
      </c>
      <c r="G3944" t="s">
        <v>122</v>
      </c>
      <c r="H3944" s="4">
        <v>1.34</v>
      </c>
      <c r="I3944" t="s">
        <v>108</v>
      </c>
      <c r="J3944" t="s">
        <v>109</v>
      </c>
      <c r="L3944" s="2">
        <v>46082</v>
      </c>
      <c r="M3944" t="s">
        <v>109</v>
      </c>
      <c r="N3944">
        <v>0</v>
      </c>
      <c r="O3944" t="s">
        <v>111</v>
      </c>
      <c r="P3944" t="s">
        <v>112</v>
      </c>
      <c r="Q3944" t="s">
        <v>113</v>
      </c>
    </row>
    <row r="3945" spans="1:17" x14ac:dyDescent="0.3">
      <c r="A3945" t="s">
        <v>17</v>
      </c>
      <c r="B3945">
        <v>68</v>
      </c>
      <c r="C3945" t="s">
        <v>34</v>
      </c>
      <c r="D3945" s="2">
        <v>46106</v>
      </c>
      <c r="E3945" s="3">
        <f t="shared" si="61"/>
        <v>46082</v>
      </c>
      <c r="F3945" t="s">
        <v>3276</v>
      </c>
      <c r="G3945" t="s">
        <v>122</v>
      </c>
      <c r="H3945" s="4">
        <v>13.63</v>
      </c>
      <c r="I3945" t="s">
        <v>108</v>
      </c>
      <c r="J3945" t="s">
        <v>109</v>
      </c>
      <c r="K3945" t="s">
        <v>1437</v>
      </c>
      <c r="L3945" s="2">
        <v>46082</v>
      </c>
      <c r="M3945" t="s">
        <v>109</v>
      </c>
      <c r="N3945">
        <v>0</v>
      </c>
      <c r="O3945" t="s">
        <v>111</v>
      </c>
      <c r="P3945" t="s">
        <v>112</v>
      </c>
      <c r="Q3945" t="s">
        <v>113</v>
      </c>
    </row>
    <row r="3946" spans="1:17" x14ac:dyDescent="0.3">
      <c r="A3946" t="s">
        <v>17</v>
      </c>
      <c r="B3946">
        <v>68</v>
      </c>
      <c r="C3946" t="s">
        <v>34</v>
      </c>
      <c r="D3946" s="2">
        <v>46106</v>
      </c>
      <c r="E3946" s="3">
        <f t="shared" si="61"/>
        <v>46082</v>
      </c>
      <c r="F3946" t="s">
        <v>3276</v>
      </c>
      <c r="G3946" t="s">
        <v>122</v>
      </c>
      <c r="H3946" s="4">
        <v>0.24</v>
      </c>
      <c r="I3946" t="s">
        <v>108</v>
      </c>
      <c r="J3946" t="s">
        <v>109</v>
      </c>
      <c r="K3946" t="s">
        <v>1436</v>
      </c>
      <c r="L3946" s="2">
        <v>46082</v>
      </c>
      <c r="M3946" t="s">
        <v>109</v>
      </c>
      <c r="N3946">
        <v>0</v>
      </c>
      <c r="O3946" t="s">
        <v>111</v>
      </c>
      <c r="P3946" t="s">
        <v>112</v>
      </c>
      <c r="Q3946" t="s">
        <v>113</v>
      </c>
    </row>
    <row r="3947" spans="1:17" x14ac:dyDescent="0.3">
      <c r="A3947" t="s">
        <v>17</v>
      </c>
      <c r="B3947">
        <v>68</v>
      </c>
      <c r="C3947" t="s">
        <v>34</v>
      </c>
      <c r="D3947" s="2">
        <v>46106</v>
      </c>
      <c r="E3947" s="3">
        <f t="shared" si="61"/>
        <v>46082</v>
      </c>
      <c r="F3947" t="s">
        <v>3276</v>
      </c>
      <c r="G3947" t="s">
        <v>122</v>
      </c>
      <c r="H3947" s="4">
        <v>4.4000000000000004</v>
      </c>
      <c r="I3947" t="s">
        <v>108</v>
      </c>
      <c r="J3947" t="s">
        <v>109</v>
      </c>
      <c r="K3947" t="s">
        <v>1438</v>
      </c>
      <c r="L3947" s="2">
        <v>46082</v>
      </c>
      <c r="M3947" t="s">
        <v>109</v>
      </c>
      <c r="N3947">
        <v>0</v>
      </c>
      <c r="O3947" t="s">
        <v>111</v>
      </c>
      <c r="P3947" t="s">
        <v>112</v>
      </c>
      <c r="Q3947" t="s">
        <v>113</v>
      </c>
    </row>
    <row r="3948" spans="1:17" x14ac:dyDescent="0.3">
      <c r="A3948" t="s">
        <v>17</v>
      </c>
      <c r="B3948">
        <v>68</v>
      </c>
      <c r="C3948" t="s">
        <v>34</v>
      </c>
      <c r="D3948" s="2">
        <v>46106</v>
      </c>
      <c r="E3948" s="3">
        <f t="shared" si="61"/>
        <v>46082</v>
      </c>
      <c r="F3948" t="s">
        <v>3276</v>
      </c>
      <c r="G3948" t="s">
        <v>122</v>
      </c>
      <c r="H3948" s="4">
        <v>6.3</v>
      </c>
      <c r="I3948" t="s">
        <v>108</v>
      </c>
      <c r="J3948" t="s">
        <v>109</v>
      </c>
      <c r="K3948" t="s">
        <v>3071</v>
      </c>
      <c r="L3948" s="2">
        <v>46082</v>
      </c>
      <c r="M3948" t="s">
        <v>109</v>
      </c>
      <c r="N3948">
        <v>0</v>
      </c>
      <c r="O3948" t="s">
        <v>111</v>
      </c>
      <c r="P3948" t="s">
        <v>112</v>
      </c>
      <c r="Q3948" t="s">
        <v>113</v>
      </c>
    </row>
    <row r="3949" spans="1:17" x14ac:dyDescent="0.3">
      <c r="A3949" t="s">
        <v>17</v>
      </c>
      <c r="B3949">
        <v>68</v>
      </c>
      <c r="C3949" t="s">
        <v>34</v>
      </c>
      <c r="D3949" s="2">
        <v>46106</v>
      </c>
      <c r="E3949" s="3">
        <f t="shared" si="61"/>
        <v>46082</v>
      </c>
      <c r="F3949" t="s">
        <v>3276</v>
      </c>
      <c r="G3949" t="s">
        <v>122</v>
      </c>
      <c r="H3949" s="4">
        <v>25.5</v>
      </c>
      <c r="I3949" t="s">
        <v>108</v>
      </c>
      <c r="J3949" t="s">
        <v>109</v>
      </c>
      <c r="K3949" t="s">
        <v>3072</v>
      </c>
      <c r="L3949" s="2">
        <v>46082</v>
      </c>
      <c r="M3949" t="s">
        <v>109</v>
      </c>
      <c r="N3949">
        <v>0</v>
      </c>
      <c r="O3949" t="s">
        <v>111</v>
      </c>
      <c r="P3949" t="s">
        <v>112</v>
      </c>
      <c r="Q3949" t="s">
        <v>113</v>
      </c>
    </row>
    <row r="3950" spans="1:17" x14ac:dyDescent="0.3">
      <c r="A3950" t="s">
        <v>17</v>
      </c>
      <c r="B3950">
        <v>68</v>
      </c>
      <c r="C3950" t="s">
        <v>34</v>
      </c>
      <c r="D3950" s="2">
        <v>46106</v>
      </c>
      <c r="E3950" s="3">
        <f t="shared" si="61"/>
        <v>46082</v>
      </c>
      <c r="F3950" t="s">
        <v>3276</v>
      </c>
      <c r="G3950" t="s">
        <v>122</v>
      </c>
      <c r="H3950" s="4">
        <v>48.57</v>
      </c>
      <c r="I3950" t="s">
        <v>108</v>
      </c>
      <c r="J3950" t="s">
        <v>109</v>
      </c>
      <c r="K3950" t="s">
        <v>3073</v>
      </c>
      <c r="L3950" s="2">
        <v>46082</v>
      </c>
      <c r="M3950" t="s">
        <v>109</v>
      </c>
      <c r="N3950">
        <v>0</v>
      </c>
      <c r="O3950" t="s">
        <v>111</v>
      </c>
      <c r="P3950" t="s">
        <v>112</v>
      </c>
      <c r="Q3950" t="s">
        <v>113</v>
      </c>
    </row>
    <row r="3951" spans="1:17" x14ac:dyDescent="0.3">
      <c r="A3951" t="s">
        <v>17</v>
      </c>
      <c r="B3951">
        <v>68</v>
      </c>
      <c r="C3951" t="s">
        <v>34</v>
      </c>
      <c r="D3951" s="2">
        <v>46106</v>
      </c>
      <c r="E3951" s="3">
        <f t="shared" si="61"/>
        <v>46082</v>
      </c>
      <c r="F3951" t="s">
        <v>3277</v>
      </c>
      <c r="G3951" t="s">
        <v>122</v>
      </c>
      <c r="H3951" s="4">
        <v>439.44</v>
      </c>
      <c r="I3951" t="s">
        <v>108</v>
      </c>
      <c r="J3951" t="s">
        <v>109</v>
      </c>
      <c r="K3951" t="s">
        <v>388</v>
      </c>
      <c r="L3951" s="2">
        <v>46082</v>
      </c>
      <c r="M3951" t="s">
        <v>109</v>
      </c>
      <c r="N3951">
        <v>0</v>
      </c>
      <c r="O3951" t="s">
        <v>111</v>
      </c>
      <c r="P3951" t="s">
        <v>112</v>
      </c>
      <c r="Q3951" t="s">
        <v>113</v>
      </c>
    </row>
    <row r="3952" spans="1:17" x14ac:dyDescent="0.3">
      <c r="A3952" t="s">
        <v>17</v>
      </c>
      <c r="B3952">
        <v>68</v>
      </c>
      <c r="C3952" t="s">
        <v>34</v>
      </c>
      <c r="D3952" s="2">
        <v>46111</v>
      </c>
      <c r="E3952" s="3">
        <f t="shared" si="61"/>
        <v>46082</v>
      </c>
      <c r="F3952" t="s">
        <v>3278</v>
      </c>
      <c r="G3952" t="s">
        <v>122</v>
      </c>
      <c r="H3952" s="4">
        <v>0.97</v>
      </c>
      <c r="I3952" t="s">
        <v>108</v>
      </c>
      <c r="J3952" t="s">
        <v>109</v>
      </c>
      <c r="L3952" s="2">
        <v>46082</v>
      </c>
      <c r="M3952" t="s">
        <v>109</v>
      </c>
      <c r="N3952">
        <v>0</v>
      </c>
      <c r="O3952" t="s">
        <v>111</v>
      </c>
      <c r="P3952" t="s">
        <v>112</v>
      </c>
      <c r="Q3952" t="s">
        <v>113</v>
      </c>
    </row>
    <row r="3953" spans="1:17" x14ac:dyDescent="0.3">
      <c r="A3953" t="s">
        <v>17</v>
      </c>
      <c r="B3953">
        <v>68</v>
      </c>
      <c r="C3953" t="s">
        <v>34</v>
      </c>
      <c r="D3953" s="2">
        <v>46111</v>
      </c>
      <c r="E3953" s="3">
        <f t="shared" si="61"/>
        <v>46082</v>
      </c>
      <c r="F3953" t="s">
        <v>3278</v>
      </c>
      <c r="G3953" t="s">
        <v>122</v>
      </c>
      <c r="H3953" s="4">
        <v>17.5</v>
      </c>
      <c r="I3953" t="s">
        <v>108</v>
      </c>
      <c r="J3953" t="s">
        <v>109</v>
      </c>
      <c r="L3953" s="2">
        <v>46082</v>
      </c>
      <c r="M3953" t="s">
        <v>109</v>
      </c>
      <c r="N3953">
        <v>0</v>
      </c>
      <c r="O3953" t="s">
        <v>111</v>
      </c>
      <c r="P3953" t="s">
        <v>112</v>
      </c>
      <c r="Q3953" t="s">
        <v>113</v>
      </c>
    </row>
    <row r="3954" spans="1:17" x14ac:dyDescent="0.3">
      <c r="A3954" t="s">
        <v>17</v>
      </c>
      <c r="B3954">
        <v>68</v>
      </c>
      <c r="C3954" t="s">
        <v>34</v>
      </c>
      <c r="D3954" s="2">
        <v>46111</v>
      </c>
      <c r="E3954" s="3">
        <f t="shared" si="61"/>
        <v>46082</v>
      </c>
      <c r="F3954" t="s">
        <v>3278</v>
      </c>
      <c r="G3954" t="s">
        <v>122</v>
      </c>
      <c r="H3954" s="4">
        <v>1.34</v>
      </c>
      <c r="I3954" t="s">
        <v>108</v>
      </c>
      <c r="J3954" t="s">
        <v>109</v>
      </c>
      <c r="L3954" s="2">
        <v>46082</v>
      </c>
      <c r="M3954" t="s">
        <v>109</v>
      </c>
      <c r="N3954">
        <v>0</v>
      </c>
      <c r="O3954" t="s">
        <v>111</v>
      </c>
      <c r="P3954" t="s">
        <v>112</v>
      </c>
      <c r="Q3954" t="s">
        <v>113</v>
      </c>
    </row>
    <row r="3955" spans="1:17" x14ac:dyDescent="0.3">
      <c r="A3955" t="s">
        <v>17</v>
      </c>
      <c r="B3955">
        <v>68</v>
      </c>
      <c r="C3955" t="s">
        <v>34</v>
      </c>
      <c r="D3955" s="2">
        <v>46112</v>
      </c>
      <c r="E3955" s="3">
        <f t="shared" si="61"/>
        <v>46082</v>
      </c>
      <c r="F3955" t="s">
        <v>3279</v>
      </c>
      <c r="G3955" t="s">
        <v>122</v>
      </c>
      <c r="H3955" s="4">
        <v>333.61</v>
      </c>
      <c r="I3955" t="s">
        <v>108</v>
      </c>
      <c r="J3955" t="s">
        <v>109</v>
      </c>
      <c r="K3955" t="s">
        <v>1287</v>
      </c>
      <c r="L3955" s="2">
        <v>46082</v>
      </c>
      <c r="M3955" t="s">
        <v>109</v>
      </c>
      <c r="N3955">
        <v>0</v>
      </c>
      <c r="O3955" t="s">
        <v>111</v>
      </c>
      <c r="P3955" t="s">
        <v>112</v>
      </c>
      <c r="Q3955" t="s">
        <v>113</v>
      </c>
    </row>
    <row r="3956" spans="1:17" x14ac:dyDescent="0.3">
      <c r="A3956" t="s">
        <v>17</v>
      </c>
      <c r="B3956">
        <v>68</v>
      </c>
      <c r="C3956" t="s">
        <v>34</v>
      </c>
      <c r="D3956" s="2">
        <v>46112</v>
      </c>
      <c r="E3956" s="3">
        <f t="shared" si="61"/>
        <v>46082</v>
      </c>
      <c r="F3956" t="s">
        <v>3280</v>
      </c>
      <c r="G3956" t="s">
        <v>107</v>
      </c>
      <c r="H3956" s="4">
        <v>37.340000000000003</v>
      </c>
      <c r="I3956" t="s">
        <v>108</v>
      </c>
      <c r="J3956" t="s">
        <v>109</v>
      </c>
      <c r="L3956" s="2">
        <v>46082</v>
      </c>
      <c r="M3956" t="s">
        <v>109</v>
      </c>
      <c r="N3956">
        <v>0</v>
      </c>
      <c r="O3956" t="s">
        <v>111</v>
      </c>
      <c r="P3956" t="s">
        <v>112</v>
      </c>
      <c r="Q3956" t="s">
        <v>113</v>
      </c>
    </row>
    <row r="3957" spans="1:17" x14ac:dyDescent="0.3">
      <c r="A3957" t="s">
        <v>17</v>
      </c>
      <c r="B3957">
        <v>67</v>
      </c>
      <c r="C3957" t="s">
        <v>28</v>
      </c>
      <c r="D3957" s="2">
        <v>46082</v>
      </c>
      <c r="E3957" s="3">
        <f t="shared" si="61"/>
        <v>46082</v>
      </c>
      <c r="F3957" t="s">
        <v>3281</v>
      </c>
      <c r="H3957" s="4">
        <v>-2000</v>
      </c>
      <c r="I3957" t="s">
        <v>31</v>
      </c>
      <c r="J3957" t="s">
        <v>32</v>
      </c>
      <c r="K3957" t="s">
        <v>3108</v>
      </c>
      <c r="L3957" s="2">
        <v>46082</v>
      </c>
      <c r="M3957" t="s">
        <v>32</v>
      </c>
      <c r="N3957">
        <v>0</v>
      </c>
      <c r="O3957" t="s">
        <v>31</v>
      </c>
      <c r="P3957" t="s">
        <v>28</v>
      </c>
      <c r="Q3957">
        <v>0</v>
      </c>
    </row>
    <row r="3958" spans="1:17" x14ac:dyDescent="0.3">
      <c r="A3958" t="s">
        <v>17</v>
      </c>
      <c r="B3958">
        <v>67</v>
      </c>
      <c r="C3958" t="s">
        <v>28</v>
      </c>
      <c r="D3958" s="2">
        <v>46082</v>
      </c>
      <c r="E3958" s="3">
        <f t="shared" si="61"/>
        <v>46082</v>
      </c>
      <c r="F3958" t="s">
        <v>3282</v>
      </c>
      <c r="H3958" s="4">
        <v>-20000</v>
      </c>
      <c r="I3958" t="s">
        <v>31</v>
      </c>
      <c r="J3958" t="s">
        <v>32</v>
      </c>
      <c r="K3958" t="s">
        <v>2882</v>
      </c>
      <c r="L3958" s="2">
        <v>46082</v>
      </c>
      <c r="M3958" t="s">
        <v>32</v>
      </c>
      <c r="N3958">
        <v>0</v>
      </c>
      <c r="O3958" t="s">
        <v>31</v>
      </c>
      <c r="P3958" t="s">
        <v>28</v>
      </c>
      <c r="Q3958">
        <v>0</v>
      </c>
    </row>
    <row r="3959" spans="1:17" x14ac:dyDescent="0.3">
      <c r="A3959" t="s">
        <v>17</v>
      </c>
      <c r="B3959">
        <v>67</v>
      </c>
      <c r="C3959" t="s">
        <v>28</v>
      </c>
      <c r="D3959" s="2">
        <v>46090</v>
      </c>
      <c r="E3959" s="3">
        <f t="shared" si="61"/>
        <v>46082</v>
      </c>
      <c r="F3959">
        <v>1002609000</v>
      </c>
      <c r="G3959" t="s">
        <v>774</v>
      </c>
      <c r="H3959" s="4">
        <v>1565.13</v>
      </c>
      <c r="I3959" t="s">
        <v>31</v>
      </c>
      <c r="J3959" t="s">
        <v>32</v>
      </c>
      <c r="K3959" t="s">
        <v>3283</v>
      </c>
      <c r="L3959" s="2">
        <v>46082</v>
      </c>
      <c r="M3959" t="s">
        <v>32</v>
      </c>
      <c r="N3959">
        <v>0</v>
      </c>
      <c r="O3959" t="s">
        <v>31</v>
      </c>
      <c r="P3959" t="s">
        <v>28</v>
      </c>
      <c r="Q3959">
        <v>0</v>
      </c>
    </row>
    <row r="3960" spans="1:17" x14ac:dyDescent="0.3">
      <c r="A3960" t="s">
        <v>17</v>
      </c>
      <c r="B3960">
        <v>67</v>
      </c>
      <c r="C3960" t="s">
        <v>28</v>
      </c>
      <c r="D3960" s="2">
        <v>46099</v>
      </c>
      <c r="E3960" s="3">
        <f t="shared" si="61"/>
        <v>46082</v>
      </c>
      <c r="F3960" t="s">
        <v>3284</v>
      </c>
      <c r="G3960" t="s">
        <v>2766</v>
      </c>
      <c r="H3960" s="4">
        <v>4830</v>
      </c>
      <c r="I3960" t="s">
        <v>31</v>
      </c>
      <c r="J3960" t="s">
        <v>32</v>
      </c>
      <c r="K3960" t="s">
        <v>3285</v>
      </c>
      <c r="L3960" s="2">
        <v>46082</v>
      </c>
      <c r="M3960" t="s">
        <v>32</v>
      </c>
      <c r="N3960">
        <v>0</v>
      </c>
      <c r="O3960" t="s">
        <v>31</v>
      </c>
      <c r="P3960" t="s">
        <v>28</v>
      </c>
      <c r="Q3960">
        <v>0</v>
      </c>
    </row>
    <row r="3961" spans="1:17" x14ac:dyDescent="0.3">
      <c r="A3961" t="s">
        <v>17</v>
      </c>
      <c r="B3961">
        <v>67</v>
      </c>
      <c r="C3961" t="s">
        <v>28</v>
      </c>
      <c r="D3961" s="2">
        <v>46105</v>
      </c>
      <c r="E3961" s="3">
        <f t="shared" si="61"/>
        <v>46082</v>
      </c>
      <c r="F3961" t="s">
        <v>3286</v>
      </c>
      <c r="G3961" t="s">
        <v>205</v>
      </c>
      <c r="H3961" s="4">
        <v>1000</v>
      </c>
      <c r="I3961" t="s">
        <v>31</v>
      </c>
      <c r="J3961" t="s">
        <v>32</v>
      </c>
      <c r="K3961" t="s">
        <v>3287</v>
      </c>
      <c r="L3961" s="2">
        <v>46082</v>
      </c>
      <c r="M3961" t="s">
        <v>32</v>
      </c>
      <c r="N3961">
        <v>0</v>
      </c>
      <c r="O3961" t="s">
        <v>31</v>
      </c>
      <c r="P3961" t="s">
        <v>28</v>
      </c>
      <c r="Q3961">
        <v>0</v>
      </c>
    </row>
    <row r="3962" spans="1:17" x14ac:dyDescent="0.3">
      <c r="A3962" t="s">
        <v>17</v>
      </c>
      <c r="B3962">
        <v>67</v>
      </c>
      <c r="C3962" t="s">
        <v>28</v>
      </c>
      <c r="D3962" s="2">
        <v>46105</v>
      </c>
      <c r="E3962" s="3">
        <f t="shared" si="61"/>
        <v>46082</v>
      </c>
      <c r="F3962" t="s">
        <v>3286</v>
      </c>
      <c r="G3962" t="s">
        <v>205</v>
      </c>
      <c r="H3962" s="4">
        <v>9747.44</v>
      </c>
      <c r="I3962" t="s">
        <v>31</v>
      </c>
      <c r="J3962" t="s">
        <v>32</v>
      </c>
      <c r="L3962" s="2">
        <v>46082</v>
      </c>
      <c r="M3962" t="s">
        <v>32</v>
      </c>
      <c r="N3962">
        <v>0</v>
      </c>
      <c r="O3962" t="s">
        <v>31</v>
      </c>
      <c r="P3962" t="s">
        <v>28</v>
      </c>
      <c r="Q3962">
        <v>0</v>
      </c>
    </row>
    <row r="3963" spans="1:17" x14ac:dyDescent="0.3">
      <c r="A3963" t="s">
        <v>17</v>
      </c>
      <c r="B3963">
        <v>67</v>
      </c>
      <c r="C3963" t="s">
        <v>28</v>
      </c>
      <c r="D3963" s="2">
        <v>46105</v>
      </c>
      <c r="E3963" s="3">
        <f t="shared" si="61"/>
        <v>46082</v>
      </c>
      <c r="F3963" t="s">
        <v>3286</v>
      </c>
      <c r="G3963" t="s">
        <v>205</v>
      </c>
      <c r="H3963" s="4">
        <v>5000</v>
      </c>
      <c r="I3963" t="s">
        <v>31</v>
      </c>
      <c r="J3963" t="s">
        <v>32</v>
      </c>
      <c r="K3963" t="s">
        <v>3288</v>
      </c>
      <c r="L3963" s="2">
        <v>46082</v>
      </c>
      <c r="M3963" t="s">
        <v>32</v>
      </c>
      <c r="N3963">
        <v>0</v>
      </c>
      <c r="O3963" t="s">
        <v>31</v>
      </c>
      <c r="P3963" t="s">
        <v>28</v>
      </c>
      <c r="Q3963">
        <v>0</v>
      </c>
    </row>
    <row r="3964" spans="1:17" x14ac:dyDescent="0.3">
      <c r="A3964" t="s">
        <v>17</v>
      </c>
      <c r="B3964">
        <v>67</v>
      </c>
      <c r="C3964" t="s">
        <v>28</v>
      </c>
      <c r="D3964" s="2">
        <v>46105</v>
      </c>
      <c r="E3964" s="3">
        <f t="shared" si="61"/>
        <v>46082</v>
      </c>
      <c r="F3964" t="s">
        <v>3286</v>
      </c>
      <c r="G3964" t="s">
        <v>205</v>
      </c>
      <c r="H3964" s="4">
        <v>35000</v>
      </c>
      <c r="I3964" t="s">
        <v>31</v>
      </c>
      <c r="J3964" t="s">
        <v>32</v>
      </c>
      <c r="K3964" t="s">
        <v>3289</v>
      </c>
      <c r="L3964" s="2">
        <v>46082</v>
      </c>
      <c r="M3964" t="s">
        <v>32</v>
      </c>
      <c r="N3964">
        <v>0</v>
      </c>
      <c r="O3964" t="s">
        <v>31</v>
      </c>
      <c r="P3964" t="s">
        <v>28</v>
      </c>
      <c r="Q3964">
        <v>0</v>
      </c>
    </row>
    <row r="3965" spans="1:17" x14ac:dyDescent="0.3">
      <c r="A3965" t="s">
        <v>17</v>
      </c>
      <c r="B3965">
        <v>67</v>
      </c>
      <c r="C3965" t="s">
        <v>28</v>
      </c>
      <c r="D3965" s="2">
        <v>46105</v>
      </c>
      <c r="E3965" s="3">
        <f t="shared" si="61"/>
        <v>46082</v>
      </c>
      <c r="F3965" t="s">
        <v>3286</v>
      </c>
      <c r="G3965" t="s">
        <v>205</v>
      </c>
      <c r="H3965" s="4">
        <v>1000</v>
      </c>
      <c r="I3965" t="s">
        <v>31</v>
      </c>
      <c r="J3965" t="s">
        <v>32</v>
      </c>
      <c r="K3965" t="s">
        <v>3290</v>
      </c>
      <c r="L3965" s="2">
        <v>46082</v>
      </c>
      <c r="M3965" t="s">
        <v>32</v>
      </c>
      <c r="N3965">
        <v>0</v>
      </c>
      <c r="O3965" t="s">
        <v>31</v>
      </c>
      <c r="P3965" t="s">
        <v>28</v>
      </c>
      <c r="Q3965">
        <v>0</v>
      </c>
    </row>
    <row r="3966" spans="1:17" x14ac:dyDescent="0.3">
      <c r="A3966" t="s">
        <v>17</v>
      </c>
      <c r="B3966">
        <v>67</v>
      </c>
      <c r="C3966" t="s">
        <v>28</v>
      </c>
      <c r="D3966" s="2">
        <v>46105</v>
      </c>
      <c r="E3966" s="3">
        <f t="shared" si="61"/>
        <v>46082</v>
      </c>
      <c r="F3966" t="s">
        <v>3291</v>
      </c>
      <c r="G3966" t="s">
        <v>208</v>
      </c>
      <c r="H3966" s="4">
        <v>5000</v>
      </c>
      <c r="I3966" t="s">
        <v>31</v>
      </c>
      <c r="J3966" t="s">
        <v>32</v>
      </c>
      <c r="K3966" t="s">
        <v>3288</v>
      </c>
      <c r="L3966" s="2">
        <v>46082</v>
      </c>
      <c r="M3966" t="s">
        <v>32</v>
      </c>
      <c r="N3966">
        <v>0</v>
      </c>
      <c r="O3966" t="s">
        <v>31</v>
      </c>
      <c r="P3966" t="s">
        <v>28</v>
      </c>
      <c r="Q3966">
        <v>0</v>
      </c>
    </row>
    <row r="3967" spans="1:17" x14ac:dyDescent="0.3">
      <c r="A3967" t="s">
        <v>17</v>
      </c>
      <c r="B3967">
        <v>67</v>
      </c>
      <c r="C3967" t="s">
        <v>28</v>
      </c>
      <c r="D3967" s="2">
        <v>46105</v>
      </c>
      <c r="E3967" s="3">
        <f t="shared" si="61"/>
        <v>46082</v>
      </c>
      <c r="F3967" t="s">
        <v>3291</v>
      </c>
      <c r="G3967" t="s">
        <v>208</v>
      </c>
      <c r="H3967" s="4">
        <v>19000</v>
      </c>
      <c r="I3967" t="s">
        <v>31</v>
      </c>
      <c r="J3967" t="s">
        <v>32</v>
      </c>
      <c r="K3967" t="s">
        <v>3292</v>
      </c>
      <c r="L3967" s="2">
        <v>46082</v>
      </c>
      <c r="M3967" t="s">
        <v>32</v>
      </c>
      <c r="N3967">
        <v>0</v>
      </c>
      <c r="O3967" t="s">
        <v>31</v>
      </c>
      <c r="P3967" t="s">
        <v>28</v>
      </c>
      <c r="Q3967">
        <v>0</v>
      </c>
    </row>
    <row r="3968" spans="1:17" x14ac:dyDescent="0.3">
      <c r="A3968" t="s">
        <v>17</v>
      </c>
      <c r="B3968">
        <v>67</v>
      </c>
      <c r="C3968" t="s">
        <v>28</v>
      </c>
      <c r="D3968" s="2">
        <v>46105</v>
      </c>
      <c r="E3968" s="3">
        <f t="shared" si="61"/>
        <v>46082</v>
      </c>
      <c r="F3968" t="s">
        <v>3291</v>
      </c>
      <c r="G3968" t="s">
        <v>208</v>
      </c>
      <c r="H3968" s="4">
        <v>500</v>
      </c>
      <c r="I3968" t="s">
        <v>31</v>
      </c>
      <c r="J3968" t="s">
        <v>32</v>
      </c>
      <c r="K3968" t="s">
        <v>3290</v>
      </c>
      <c r="L3968" s="2">
        <v>46082</v>
      </c>
      <c r="M3968" t="s">
        <v>32</v>
      </c>
      <c r="N3968">
        <v>0</v>
      </c>
      <c r="O3968" t="s">
        <v>31</v>
      </c>
      <c r="P3968" t="s">
        <v>28</v>
      </c>
      <c r="Q3968">
        <v>0</v>
      </c>
    </row>
    <row r="3969" spans="1:17" x14ac:dyDescent="0.3">
      <c r="A3969" t="s">
        <v>17</v>
      </c>
      <c r="B3969">
        <v>67</v>
      </c>
      <c r="C3969" t="s">
        <v>28</v>
      </c>
      <c r="D3969" s="2">
        <v>46106</v>
      </c>
      <c r="E3969" s="3">
        <f t="shared" si="61"/>
        <v>46082</v>
      </c>
      <c r="F3969" t="s">
        <v>3293</v>
      </c>
      <c r="G3969" t="s">
        <v>259</v>
      </c>
      <c r="H3969" s="4">
        <v>10184.16</v>
      </c>
      <c r="I3969" t="s">
        <v>31</v>
      </c>
      <c r="J3969" t="s">
        <v>32</v>
      </c>
      <c r="K3969" t="s">
        <v>1704</v>
      </c>
      <c r="L3969" s="2">
        <v>46082</v>
      </c>
      <c r="M3969" t="s">
        <v>32</v>
      </c>
      <c r="N3969">
        <v>0</v>
      </c>
      <c r="O3969" t="s">
        <v>31</v>
      </c>
      <c r="P3969" t="s">
        <v>28</v>
      </c>
      <c r="Q3969">
        <v>0</v>
      </c>
    </row>
    <row r="3970" spans="1:17" x14ac:dyDescent="0.3">
      <c r="A3970" t="s">
        <v>17</v>
      </c>
      <c r="B3970">
        <v>67</v>
      </c>
      <c r="C3970" t="s">
        <v>28</v>
      </c>
      <c r="D3970" s="2">
        <v>46112</v>
      </c>
      <c r="E3970" s="3">
        <f t="shared" si="61"/>
        <v>46082</v>
      </c>
      <c r="F3970" t="s">
        <v>3294</v>
      </c>
      <c r="H3970" s="4">
        <v>-40000</v>
      </c>
      <c r="I3970" t="s">
        <v>31</v>
      </c>
      <c r="J3970" t="s">
        <v>32</v>
      </c>
      <c r="K3970" t="s">
        <v>3295</v>
      </c>
      <c r="L3970" s="2">
        <v>46082</v>
      </c>
      <c r="M3970" t="s">
        <v>32</v>
      </c>
      <c r="N3970">
        <v>0</v>
      </c>
      <c r="O3970" t="s">
        <v>31</v>
      </c>
      <c r="P3970" t="s">
        <v>28</v>
      </c>
      <c r="Q3970">
        <v>0</v>
      </c>
    </row>
    <row r="3971" spans="1:17" x14ac:dyDescent="0.3">
      <c r="A3971" t="s">
        <v>17</v>
      </c>
      <c r="B3971">
        <v>67</v>
      </c>
      <c r="C3971" t="s">
        <v>28</v>
      </c>
      <c r="D3971" s="2">
        <v>46112</v>
      </c>
      <c r="E3971" s="3">
        <f t="shared" ref="E3971:E4034" si="62">IF($D3971="","",DATE(YEAR($D3971),MONTH($D3971),1))</f>
        <v>46082</v>
      </c>
      <c r="F3971" t="s">
        <v>3296</v>
      </c>
      <c r="H3971" s="4">
        <v>-19000</v>
      </c>
      <c r="I3971" t="s">
        <v>31</v>
      </c>
      <c r="J3971" t="s">
        <v>32</v>
      </c>
      <c r="K3971" t="s">
        <v>3297</v>
      </c>
      <c r="L3971" s="2">
        <v>46082</v>
      </c>
      <c r="M3971" t="s">
        <v>32</v>
      </c>
      <c r="N3971">
        <v>0</v>
      </c>
      <c r="O3971" t="s">
        <v>31</v>
      </c>
      <c r="P3971" t="s">
        <v>28</v>
      </c>
      <c r="Q3971">
        <v>0</v>
      </c>
    </row>
    <row r="3972" spans="1:17" x14ac:dyDescent="0.3">
      <c r="A3972" t="s">
        <v>17</v>
      </c>
      <c r="B3972">
        <v>67</v>
      </c>
      <c r="C3972" t="s">
        <v>28</v>
      </c>
      <c r="D3972" s="2">
        <v>46096</v>
      </c>
      <c r="E3972" s="3">
        <f t="shared" si="62"/>
        <v>46082</v>
      </c>
      <c r="F3972" t="s">
        <v>3298</v>
      </c>
      <c r="H3972" s="4">
        <v>-47.6</v>
      </c>
      <c r="I3972" t="s">
        <v>31</v>
      </c>
      <c r="J3972" t="s">
        <v>60</v>
      </c>
      <c r="L3972" s="2">
        <v>46082</v>
      </c>
      <c r="M3972" t="s">
        <v>60</v>
      </c>
      <c r="N3972">
        <v>0</v>
      </c>
      <c r="O3972" t="s">
        <v>31</v>
      </c>
      <c r="P3972" t="s">
        <v>28</v>
      </c>
      <c r="Q3972">
        <v>0</v>
      </c>
    </row>
    <row r="3973" spans="1:17" x14ac:dyDescent="0.3">
      <c r="A3973" t="s">
        <v>17</v>
      </c>
      <c r="B3973">
        <v>67</v>
      </c>
      <c r="C3973" t="s">
        <v>28</v>
      </c>
      <c r="D3973" s="2">
        <v>46096</v>
      </c>
      <c r="E3973" s="3">
        <f t="shared" si="62"/>
        <v>46082</v>
      </c>
      <c r="F3973" t="s">
        <v>3298</v>
      </c>
      <c r="H3973" s="4">
        <v>-54.53</v>
      </c>
      <c r="I3973" t="s">
        <v>31</v>
      </c>
      <c r="J3973" t="s">
        <v>60</v>
      </c>
      <c r="L3973" s="2">
        <v>46082</v>
      </c>
      <c r="M3973" t="s">
        <v>60</v>
      </c>
      <c r="N3973">
        <v>0</v>
      </c>
      <c r="O3973" t="s">
        <v>31</v>
      </c>
      <c r="P3973" t="s">
        <v>28</v>
      </c>
      <c r="Q3973">
        <v>0</v>
      </c>
    </row>
    <row r="3974" spans="1:17" x14ac:dyDescent="0.3">
      <c r="A3974" t="s">
        <v>17</v>
      </c>
      <c r="B3974">
        <v>67</v>
      </c>
      <c r="C3974" t="s">
        <v>28</v>
      </c>
      <c r="D3974" s="2">
        <v>46096</v>
      </c>
      <c r="E3974" s="3">
        <f t="shared" si="62"/>
        <v>46082</v>
      </c>
      <c r="F3974" t="s">
        <v>3298</v>
      </c>
      <c r="H3974" s="4">
        <v>-102.12</v>
      </c>
      <c r="I3974" t="s">
        <v>31</v>
      </c>
      <c r="J3974" t="s">
        <v>60</v>
      </c>
      <c r="L3974" s="2">
        <v>46082</v>
      </c>
      <c r="M3974" t="s">
        <v>60</v>
      </c>
      <c r="N3974">
        <v>0</v>
      </c>
      <c r="O3974" t="s">
        <v>31</v>
      </c>
      <c r="P3974" t="s">
        <v>28</v>
      </c>
      <c r="Q3974">
        <v>0</v>
      </c>
    </row>
    <row r="3975" spans="1:17" x14ac:dyDescent="0.3">
      <c r="A3975" t="s">
        <v>17</v>
      </c>
      <c r="B3975">
        <v>67</v>
      </c>
      <c r="C3975" t="s">
        <v>28</v>
      </c>
      <c r="D3975" s="2">
        <v>46096</v>
      </c>
      <c r="E3975" s="3">
        <f t="shared" si="62"/>
        <v>46082</v>
      </c>
      <c r="F3975" t="s">
        <v>3298</v>
      </c>
      <c r="H3975" s="4">
        <v>-111.5</v>
      </c>
      <c r="I3975" t="s">
        <v>31</v>
      </c>
      <c r="J3975" t="s">
        <v>60</v>
      </c>
      <c r="L3975" s="2">
        <v>46082</v>
      </c>
      <c r="M3975" t="s">
        <v>60</v>
      </c>
      <c r="N3975">
        <v>0</v>
      </c>
      <c r="O3975" t="s">
        <v>31</v>
      </c>
      <c r="P3975" t="s">
        <v>28</v>
      </c>
      <c r="Q3975">
        <v>0</v>
      </c>
    </row>
    <row r="3976" spans="1:17" x14ac:dyDescent="0.3">
      <c r="A3976" t="s">
        <v>17</v>
      </c>
      <c r="B3976">
        <v>67</v>
      </c>
      <c r="C3976" t="s">
        <v>28</v>
      </c>
      <c r="D3976" s="2">
        <v>46096</v>
      </c>
      <c r="E3976" s="3">
        <f t="shared" si="62"/>
        <v>46082</v>
      </c>
      <c r="F3976" t="s">
        <v>3298</v>
      </c>
      <c r="H3976" s="4">
        <v>-64.09</v>
      </c>
      <c r="I3976" t="s">
        <v>31</v>
      </c>
      <c r="J3976" t="s">
        <v>60</v>
      </c>
      <c r="L3976" s="2">
        <v>46082</v>
      </c>
      <c r="M3976" t="s">
        <v>60</v>
      </c>
      <c r="N3976">
        <v>0</v>
      </c>
      <c r="O3976" t="s">
        <v>31</v>
      </c>
      <c r="P3976" t="s">
        <v>28</v>
      </c>
      <c r="Q3976">
        <v>0</v>
      </c>
    </row>
    <row r="3977" spans="1:17" x14ac:dyDescent="0.3">
      <c r="A3977" t="s">
        <v>17</v>
      </c>
      <c r="B3977">
        <v>67</v>
      </c>
      <c r="C3977" t="s">
        <v>28</v>
      </c>
      <c r="D3977" s="2">
        <v>46096</v>
      </c>
      <c r="E3977" s="3">
        <f t="shared" si="62"/>
        <v>46082</v>
      </c>
      <c r="F3977" t="s">
        <v>3298</v>
      </c>
      <c r="H3977" s="4">
        <v>-19.3</v>
      </c>
      <c r="I3977" t="s">
        <v>31</v>
      </c>
      <c r="J3977" t="s">
        <v>60</v>
      </c>
      <c r="L3977" s="2">
        <v>46082</v>
      </c>
      <c r="M3977" t="s">
        <v>60</v>
      </c>
      <c r="N3977">
        <v>0</v>
      </c>
      <c r="O3977" t="s">
        <v>31</v>
      </c>
      <c r="P3977" t="s">
        <v>28</v>
      </c>
      <c r="Q3977">
        <v>0</v>
      </c>
    </row>
    <row r="3978" spans="1:17" x14ac:dyDescent="0.3">
      <c r="A3978" t="s">
        <v>17</v>
      </c>
      <c r="B3978">
        <v>67</v>
      </c>
      <c r="C3978" t="s">
        <v>28</v>
      </c>
      <c r="D3978" s="2">
        <v>46096</v>
      </c>
      <c r="E3978" s="3">
        <f t="shared" si="62"/>
        <v>46082</v>
      </c>
      <c r="F3978" t="s">
        <v>3298</v>
      </c>
      <c r="H3978" s="4">
        <v>-16.96</v>
      </c>
      <c r="I3978" t="s">
        <v>31</v>
      </c>
      <c r="J3978" t="s">
        <v>60</v>
      </c>
      <c r="L3978" s="2">
        <v>46082</v>
      </c>
      <c r="M3978" t="s">
        <v>60</v>
      </c>
      <c r="N3978">
        <v>0</v>
      </c>
      <c r="O3978" t="s">
        <v>31</v>
      </c>
      <c r="P3978" t="s">
        <v>28</v>
      </c>
      <c r="Q3978">
        <v>0</v>
      </c>
    </row>
    <row r="3979" spans="1:17" x14ac:dyDescent="0.3">
      <c r="A3979" t="s">
        <v>17</v>
      </c>
      <c r="B3979">
        <v>67</v>
      </c>
      <c r="C3979" t="s">
        <v>28</v>
      </c>
      <c r="D3979" s="2">
        <v>46096</v>
      </c>
      <c r="E3979" s="3">
        <f t="shared" si="62"/>
        <v>46082</v>
      </c>
      <c r="F3979" t="s">
        <v>3298</v>
      </c>
      <c r="H3979" s="4">
        <v>-74.78</v>
      </c>
      <c r="I3979" t="s">
        <v>31</v>
      </c>
      <c r="J3979" t="s">
        <v>60</v>
      </c>
      <c r="L3979" s="2">
        <v>46082</v>
      </c>
      <c r="M3979" t="s">
        <v>60</v>
      </c>
      <c r="N3979">
        <v>0</v>
      </c>
      <c r="O3979" t="s">
        <v>31</v>
      </c>
      <c r="P3979" t="s">
        <v>28</v>
      </c>
      <c r="Q3979">
        <v>0</v>
      </c>
    </row>
    <row r="3980" spans="1:17" x14ac:dyDescent="0.3">
      <c r="A3980" t="s">
        <v>17</v>
      </c>
      <c r="B3980">
        <v>67</v>
      </c>
      <c r="C3980" t="s">
        <v>28</v>
      </c>
      <c r="D3980" s="2">
        <v>46112</v>
      </c>
      <c r="E3980" s="3">
        <f t="shared" si="62"/>
        <v>46082</v>
      </c>
      <c r="F3980" t="s">
        <v>3299</v>
      </c>
      <c r="H3980" s="4">
        <v>1191.25</v>
      </c>
      <c r="I3980" t="s">
        <v>31</v>
      </c>
      <c r="J3980" t="s">
        <v>60</v>
      </c>
      <c r="K3980" t="s">
        <v>2884</v>
      </c>
      <c r="L3980" s="2">
        <v>46082</v>
      </c>
      <c r="M3980" t="s">
        <v>60</v>
      </c>
      <c r="N3980">
        <v>0</v>
      </c>
      <c r="O3980" t="s">
        <v>31</v>
      </c>
      <c r="P3980" t="s">
        <v>28</v>
      </c>
      <c r="Q3980">
        <v>0</v>
      </c>
    </row>
    <row r="3981" spans="1:17" x14ac:dyDescent="0.3">
      <c r="A3981" t="s">
        <v>17</v>
      </c>
      <c r="B3981">
        <v>67</v>
      </c>
      <c r="C3981" t="s">
        <v>28</v>
      </c>
      <c r="D3981" s="2">
        <v>46112</v>
      </c>
      <c r="E3981" s="3">
        <f t="shared" si="62"/>
        <v>46082</v>
      </c>
      <c r="F3981" t="s">
        <v>3300</v>
      </c>
      <c r="H3981" s="4">
        <v>785.13</v>
      </c>
      <c r="I3981" t="s">
        <v>31</v>
      </c>
      <c r="J3981" t="s">
        <v>60</v>
      </c>
      <c r="K3981" t="s">
        <v>2887</v>
      </c>
      <c r="L3981" s="2">
        <v>46082</v>
      </c>
      <c r="M3981" t="s">
        <v>60</v>
      </c>
      <c r="N3981">
        <v>0</v>
      </c>
      <c r="O3981" t="s">
        <v>31</v>
      </c>
      <c r="P3981" t="s">
        <v>28</v>
      </c>
      <c r="Q3981">
        <v>0</v>
      </c>
    </row>
    <row r="3982" spans="1:17" x14ac:dyDescent="0.3">
      <c r="A3982" t="s">
        <v>17</v>
      </c>
      <c r="B3982">
        <v>67</v>
      </c>
      <c r="C3982" t="s">
        <v>28</v>
      </c>
      <c r="D3982" s="2">
        <v>46112</v>
      </c>
      <c r="E3982" s="3">
        <f t="shared" si="62"/>
        <v>46082</v>
      </c>
      <c r="F3982" t="s">
        <v>3301</v>
      </c>
      <c r="H3982" s="4">
        <v>862.19</v>
      </c>
      <c r="I3982" t="s">
        <v>31</v>
      </c>
      <c r="J3982" t="s">
        <v>60</v>
      </c>
      <c r="K3982" t="s">
        <v>3302</v>
      </c>
      <c r="L3982" s="2">
        <v>46082</v>
      </c>
      <c r="M3982" t="s">
        <v>60</v>
      </c>
      <c r="N3982">
        <v>0</v>
      </c>
      <c r="O3982" t="s">
        <v>31</v>
      </c>
      <c r="P3982" t="s">
        <v>28</v>
      </c>
      <c r="Q3982">
        <v>0</v>
      </c>
    </row>
    <row r="3983" spans="1:17" x14ac:dyDescent="0.3">
      <c r="A3983" t="s">
        <v>17</v>
      </c>
      <c r="B3983">
        <v>67</v>
      </c>
      <c r="C3983" t="s">
        <v>28</v>
      </c>
      <c r="D3983" s="2">
        <v>46112</v>
      </c>
      <c r="E3983" s="3">
        <f t="shared" si="62"/>
        <v>46082</v>
      </c>
      <c r="F3983" t="s">
        <v>3303</v>
      </c>
      <c r="H3983" s="4">
        <v>557.91999999999996</v>
      </c>
      <c r="I3983" t="s">
        <v>31</v>
      </c>
      <c r="J3983" t="s">
        <v>60</v>
      </c>
      <c r="K3983" t="s">
        <v>3304</v>
      </c>
      <c r="L3983" s="2">
        <v>46082</v>
      </c>
      <c r="M3983" t="s">
        <v>60</v>
      </c>
      <c r="N3983">
        <v>0</v>
      </c>
      <c r="O3983" t="s">
        <v>31</v>
      </c>
      <c r="P3983" t="s">
        <v>28</v>
      </c>
      <c r="Q3983">
        <v>0</v>
      </c>
    </row>
    <row r="3984" spans="1:17" x14ac:dyDescent="0.3">
      <c r="A3984" t="s">
        <v>17</v>
      </c>
      <c r="B3984">
        <v>67</v>
      </c>
      <c r="C3984" t="s">
        <v>28</v>
      </c>
      <c r="D3984" s="2">
        <v>46112</v>
      </c>
      <c r="E3984" s="3">
        <f t="shared" si="62"/>
        <v>46082</v>
      </c>
      <c r="F3984" t="s">
        <v>3305</v>
      </c>
      <c r="H3984" s="4">
        <v>-83.93</v>
      </c>
      <c r="I3984" t="s">
        <v>31</v>
      </c>
      <c r="J3984" t="s">
        <v>60</v>
      </c>
      <c r="L3984" s="2">
        <v>46082</v>
      </c>
      <c r="M3984" t="s">
        <v>60</v>
      </c>
      <c r="N3984">
        <v>0</v>
      </c>
      <c r="O3984" t="s">
        <v>31</v>
      </c>
      <c r="P3984" t="s">
        <v>28</v>
      </c>
      <c r="Q3984">
        <v>0</v>
      </c>
    </row>
    <row r="3985" spans="1:17" x14ac:dyDescent="0.3">
      <c r="A3985" t="s">
        <v>17</v>
      </c>
      <c r="B3985">
        <v>67</v>
      </c>
      <c r="C3985" t="s">
        <v>28</v>
      </c>
      <c r="D3985" s="2">
        <v>46112</v>
      </c>
      <c r="E3985" s="3">
        <f t="shared" si="62"/>
        <v>46082</v>
      </c>
      <c r="F3985" t="s">
        <v>3305</v>
      </c>
      <c r="H3985" s="4">
        <v>-111.5</v>
      </c>
      <c r="I3985" t="s">
        <v>31</v>
      </c>
      <c r="J3985" t="s">
        <v>60</v>
      </c>
      <c r="L3985" s="2">
        <v>46082</v>
      </c>
      <c r="M3985" t="s">
        <v>60</v>
      </c>
      <c r="N3985">
        <v>0</v>
      </c>
      <c r="O3985" t="s">
        <v>31</v>
      </c>
      <c r="P3985" t="s">
        <v>28</v>
      </c>
      <c r="Q3985">
        <v>0</v>
      </c>
    </row>
    <row r="3986" spans="1:17" x14ac:dyDescent="0.3">
      <c r="A3986" t="s">
        <v>17</v>
      </c>
      <c r="B3986">
        <v>67</v>
      </c>
      <c r="C3986" t="s">
        <v>28</v>
      </c>
      <c r="D3986" s="2">
        <v>46112</v>
      </c>
      <c r="E3986" s="3">
        <f t="shared" si="62"/>
        <v>46082</v>
      </c>
      <c r="F3986" t="s">
        <v>3305</v>
      </c>
      <c r="H3986" s="4">
        <v>-102.12</v>
      </c>
      <c r="I3986" t="s">
        <v>31</v>
      </c>
      <c r="J3986" t="s">
        <v>60</v>
      </c>
      <c r="L3986" s="2">
        <v>46082</v>
      </c>
      <c r="M3986" t="s">
        <v>60</v>
      </c>
      <c r="N3986">
        <v>0</v>
      </c>
      <c r="O3986" t="s">
        <v>31</v>
      </c>
      <c r="P3986" t="s">
        <v>28</v>
      </c>
      <c r="Q3986">
        <v>0</v>
      </c>
    </row>
    <row r="3987" spans="1:17" x14ac:dyDescent="0.3">
      <c r="A3987" t="s">
        <v>17</v>
      </c>
      <c r="B3987">
        <v>67</v>
      </c>
      <c r="C3987" t="s">
        <v>28</v>
      </c>
      <c r="D3987" s="2">
        <v>46112</v>
      </c>
      <c r="E3987" s="3">
        <f t="shared" si="62"/>
        <v>46082</v>
      </c>
      <c r="F3987" t="s">
        <v>3305</v>
      </c>
      <c r="H3987" s="4">
        <v>-54.53</v>
      </c>
      <c r="I3987" t="s">
        <v>31</v>
      </c>
      <c r="J3987" t="s">
        <v>60</v>
      </c>
      <c r="L3987" s="2">
        <v>46082</v>
      </c>
      <c r="M3987" t="s">
        <v>60</v>
      </c>
      <c r="N3987">
        <v>0</v>
      </c>
      <c r="O3987" t="s">
        <v>31</v>
      </c>
      <c r="P3987" t="s">
        <v>28</v>
      </c>
      <c r="Q3987">
        <v>0</v>
      </c>
    </row>
    <row r="3988" spans="1:17" x14ac:dyDescent="0.3">
      <c r="A3988" t="s">
        <v>17</v>
      </c>
      <c r="B3988">
        <v>67</v>
      </c>
      <c r="C3988" t="s">
        <v>28</v>
      </c>
      <c r="D3988" s="2">
        <v>46112</v>
      </c>
      <c r="E3988" s="3">
        <f t="shared" si="62"/>
        <v>46082</v>
      </c>
      <c r="F3988" t="s">
        <v>3305</v>
      </c>
      <c r="H3988" s="4">
        <v>-47.6</v>
      </c>
      <c r="I3988" t="s">
        <v>31</v>
      </c>
      <c r="J3988" t="s">
        <v>60</v>
      </c>
      <c r="L3988" s="2">
        <v>46082</v>
      </c>
      <c r="M3988" t="s">
        <v>60</v>
      </c>
      <c r="N3988">
        <v>0</v>
      </c>
      <c r="O3988" t="s">
        <v>31</v>
      </c>
      <c r="P3988" t="s">
        <v>28</v>
      </c>
      <c r="Q3988">
        <v>0</v>
      </c>
    </row>
    <row r="3989" spans="1:17" x14ac:dyDescent="0.3">
      <c r="A3989" t="s">
        <v>17</v>
      </c>
      <c r="B3989">
        <v>67</v>
      </c>
      <c r="C3989" t="s">
        <v>28</v>
      </c>
      <c r="D3989" s="2">
        <v>46112</v>
      </c>
      <c r="E3989" s="3">
        <f t="shared" si="62"/>
        <v>46082</v>
      </c>
      <c r="F3989" t="s">
        <v>3305</v>
      </c>
      <c r="H3989" s="4">
        <v>-95.69</v>
      </c>
      <c r="I3989" t="s">
        <v>31</v>
      </c>
      <c r="J3989" t="s">
        <v>60</v>
      </c>
      <c r="L3989" s="2">
        <v>46082</v>
      </c>
      <c r="M3989" t="s">
        <v>60</v>
      </c>
      <c r="N3989">
        <v>0</v>
      </c>
      <c r="O3989" t="s">
        <v>31</v>
      </c>
      <c r="P3989" t="s">
        <v>28</v>
      </c>
      <c r="Q3989">
        <v>0</v>
      </c>
    </row>
    <row r="3990" spans="1:17" x14ac:dyDescent="0.3">
      <c r="A3990" t="s">
        <v>17</v>
      </c>
      <c r="B3990">
        <v>67</v>
      </c>
      <c r="C3990" t="s">
        <v>28</v>
      </c>
      <c r="D3990" s="2">
        <v>46112</v>
      </c>
      <c r="E3990" s="3">
        <f t="shared" si="62"/>
        <v>46082</v>
      </c>
      <c r="F3990" t="s">
        <v>3305</v>
      </c>
      <c r="H3990" s="4">
        <v>-16.96</v>
      </c>
      <c r="I3990" t="s">
        <v>31</v>
      </c>
      <c r="J3990" t="s">
        <v>60</v>
      </c>
      <c r="L3990" s="2">
        <v>46082</v>
      </c>
      <c r="M3990" t="s">
        <v>60</v>
      </c>
      <c r="N3990">
        <v>0</v>
      </c>
      <c r="O3990" t="s">
        <v>31</v>
      </c>
      <c r="P3990" t="s">
        <v>28</v>
      </c>
      <c r="Q3990">
        <v>0</v>
      </c>
    </row>
    <row r="3991" spans="1:17" x14ac:dyDescent="0.3">
      <c r="A3991" t="s">
        <v>17</v>
      </c>
      <c r="B3991">
        <v>67</v>
      </c>
      <c r="C3991" t="s">
        <v>28</v>
      </c>
      <c r="D3991" s="2">
        <v>46112</v>
      </c>
      <c r="E3991" s="3">
        <f t="shared" si="62"/>
        <v>46082</v>
      </c>
      <c r="F3991" t="s">
        <v>3305</v>
      </c>
      <c r="H3991" s="4">
        <v>-19.3</v>
      </c>
      <c r="I3991" t="s">
        <v>31</v>
      </c>
      <c r="J3991" t="s">
        <v>60</v>
      </c>
      <c r="L3991" s="2">
        <v>46082</v>
      </c>
      <c r="M3991" t="s">
        <v>60</v>
      </c>
      <c r="N3991">
        <v>0</v>
      </c>
      <c r="O3991" t="s">
        <v>31</v>
      </c>
      <c r="P3991" t="s">
        <v>28</v>
      </c>
      <c r="Q3991">
        <v>0</v>
      </c>
    </row>
    <row r="3992" spans="1:17" x14ac:dyDescent="0.3">
      <c r="A3992" t="s">
        <v>17</v>
      </c>
      <c r="B3992">
        <v>67</v>
      </c>
      <c r="C3992" t="s">
        <v>28</v>
      </c>
      <c r="D3992" s="2">
        <v>46082</v>
      </c>
      <c r="E3992" s="3">
        <f t="shared" si="62"/>
        <v>46082</v>
      </c>
      <c r="F3992" t="s">
        <v>3306</v>
      </c>
      <c r="G3992" t="s">
        <v>1726</v>
      </c>
      <c r="H3992" s="4">
        <v>10000</v>
      </c>
      <c r="I3992" t="s">
        <v>21</v>
      </c>
      <c r="J3992" t="s">
        <v>74</v>
      </c>
      <c r="K3992" t="s">
        <v>3307</v>
      </c>
      <c r="L3992" s="2">
        <v>46082</v>
      </c>
      <c r="M3992" t="s">
        <v>76</v>
      </c>
      <c r="N3992" t="s">
        <v>25</v>
      </c>
      <c r="O3992" t="s">
        <v>81</v>
      </c>
      <c r="P3992" t="s">
        <v>28</v>
      </c>
      <c r="Q3992">
        <v>0</v>
      </c>
    </row>
    <row r="3993" spans="1:17" x14ac:dyDescent="0.3">
      <c r="A3993" t="s">
        <v>17</v>
      </c>
      <c r="B3993">
        <v>67</v>
      </c>
      <c r="C3993" t="s">
        <v>28</v>
      </c>
      <c r="D3993" s="2">
        <v>46085</v>
      </c>
      <c r="E3993" s="3">
        <f t="shared" si="62"/>
        <v>46082</v>
      </c>
      <c r="F3993" t="s">
        <v>3174</v>
      </c>
      <c r="G3993" t="s">
        <v>101</v>
      </c>
      <c r="H3993" s="4">
        <v>1494</v>
      </c>
      <c r="I3993" t="s">
        <v>104</v>
      </c>
      <c r="J3993" t="s">
        <v>74</v>
      </c>
      <c r="K3993" t="s">
        <v>2353</v>
      </c>
      <c r="L3993" s="2">
        <v>46082</v>
      </c>
      <c r="M3993" t="s">
        <v>76</v>
      </c>
      <c r="N3993">
        <v>0</v>
      </c>
      <c r="O3993" t="s">
        <v>104</v>
      </c>
      <c r="P3993" t="s">
        <v>28</v>
      </c>
      <c r="Q3993">
        <v>0</v>
      </c>
    </row>
    <row r="3994" spans="1:17" x14ac:dyDescent="0.3">
      <c r="A3994" t="s">
        <v>17</v>
      </c>
      <c r="B3994">
        <v>67</v>
      </c>
      <c r="C3994" t="s">
        <v>28</v>
      </c>
      <c r="D3994" s="2">
        <v>46085</v>
      </c>
      <c r="E3994" s="3">
        <f t="shared" si="62"/>
        <v>46082</v>
      </c>
      <c r="F3994" t="s">
        <v>3174</v>
      </c>
      <c r="G3994" t="s">
        <v>101</v>
      </c>
      <c r="H3994" s="4">
        <v>120</v>
      </c>
      <c r="I3994" t="s">
        <v>108</v>
      </c>
      <c r="J3994" t="s">
        <v>74</v>
      </c>
      <c r="K3994" t="s">
        <v>2700</v>
      </c>
      <c r="L3994" s="2">
        <v>46082</v>
      </c>
      <c r="M3994" t="s">
        <v>76</v>
      </c>
      <c r="N3994">
        <v>0</v>
      </c>
      <c r="O3994" t="s">
        <v>111</v>
      </c>
      <c r="P3994" t="s">
        <v>28</v>
      </c>
      <c r="Q3994">
        <v>0</v>
      </c>
    </row>
    <row r="3995" spans="1:17" x14ac:dyDescent="0.3">
      <c r="A3995" t="s">
        <v>17</v>
      </c>
      <c r="B3995">
        <v>67</v>
      </c>
      <c r="C3995" t="s">
        <v>28</v>
      </c>
      <c r="D3995" s="2">
        <v>46085</v>
      </c>
      <c r="E3995" s="3">
        <f t="shared" si="62"/>
        <v>46082</v>
      </c>
      <c r="F3995" t="s">
        <v>3174</v>
      </c>
      <c r="G3995" t="s">
        <v>101</v>
      </c>
      <c r="H3995" s="4">
        <v>99.71</v>
      </c>
      <c r="I3995" t="s">
        <v>31</v>
      </c>
      <c r="J3995" t="s">
        <v>74</v>
      </c>
      <c r="K3995" t="s">
        <v>1889</v>
      </c>
      <c r="L3995" s="2">
        <v>46082</v>
      </c>
      <c r="M3995" t="s">
        <v>76</v>
      </c>
      <c r="N3995">
        <v>0</v>
      </c>
      <c r="O3995" t="s">
        <v>31</v>
      </c>
      <c r="P3995" t="s">
        <v>28</v>
      </c>
      <c r="Q3995">
        <v>0</v>
      </c>
    </row>
    <row r="3996" spans="1:17" x14ac:dyDescent="0.3">
      <c r="A3996" t="s">
        <v>17</v>
      </c>
      <c r="B3996">
        <v>67</v>
      </c>
      <c r="C3996" t="s">
        <v>28</v>
      </c>
      <c r="D3996" s="2">
        <v>46085</v>
      </c>
      <c r="E3996" s="3">
        <f t="shared" si="62"/>
        <v>46082</v>
      </c>
      <c r="F3996" t="s">
        <v>3174</v>
      </c>
      <c r="G3996" t="s">
        <v>101</v>
      </c>
      <c r="H3996" s="4">
        <v>2159.27</v>
      </c>
      <c r="I3996" t="s">
        <v>31</v>
      </c>
      <c r="J3996" t="s">
        <v>74</v>
      </c>
      <c r="K3996" t="s">
        <v>2354</v>
      </c>
      <c r="L3996" s="2">
        <v>46082</v>
      </c>
      <c r="M3996" t="s">
        <v>76</v>
      </c>
      <c r="N3996">
        <v>0</v>
      </c>
      <c r="O3996" t="s">
        <v>31</v>
      </c>
      <c r="P3996" t="s">
        <v>28</v>
      </c>
      <c r="Q3996">
        <v>0</v>
      </c>
    </row>
    <row r="3997" spans="1:17" x14ac:dyDescent="0.3">
      <c r="A3997" t="s">
        <v>17</v>
      </c>
      <c r="B3997">
        <v>67</v>
      </c>
      <c r="C3997" t="s">
        <v>28</v>
      </c>
      <c r="D3997" s="2">
        <v>46085</v>
      </c>
      <c r="E3997" s="3">
        <f t="shared" si="62"/>
        <v>46082</v>
      </c>
      <c r="F3997">
        <v>101500337376</v>
      </c>
      <c r="G3997" t="s">
        <v>369</v>
      </c>
      <c r="H3997" s="4">
        <v>543.66999999999996</v>
      </c>
      <c r="I3997" t="s">
        <v>31</v>
      </c>
      <c r="J3997" t="s">
        <v>74</v>
      </c>
      <c r="K3997" t="s">
        <v>1488</v>
      </c>
      <c r="L3997" s="2">
        <v>46082</v>
      </c>
      <c r="M3997" t="s">
        <v>76</v>
      </c>
      <c r="N3997">
        <v>0</v>
      </c>
      <c r="O3997" t="s">
        <v>31</v>
      </c>
      <c r="P3997" t="s">
        <v>28</v>
      </c>
      <c r="Q3997">
        <v>0</v>
      </c>
    </row>
    <row r="3998" spans="1:17" x14ac:dyDescent="0.3">
      <c r="A3998" t="s">
        <v>17</v>
      </c>
      <c r="B3998">
        <v>67</v>
      </c>
      <c r="C3998" t="s">
        <v>28</v>
      </c>
      <c r="D3998" s="2">
        <v>46097</v>
      </c>
      <c r="E3998" s="3">
        <f t="shared" si="62"/>
        <v>46082</v>
      </c>
      <c r="F3998" t="s">
        <v>3156</v>
      </c>
      <c r="H3998" s="4">
        <v>24.99</v>
      </c>
      <c r="I3998" t="s">
        <v>159</v>
      </c>
      <c r="J3998" t="s">
        <v>74</v>
      </c>
      <c r="K3998" t="s">
        <v>3308</v>
      </c>
      <c r="L3998" s="2">
        <v>46082</v>
      </c>
      <c r="M3998" t="s">
        <v>76</v>
      </c>
      <c r="N3998">
        <v>0</v>
      </c>
      <c r="O3998" t="s">
        <v>159</v>
      </c>
      <c r="P3998" t="s">
        <v>28</v>
      </c>
      <c r="Q3998">
        <v>0</v>
      </c>
    </row>
    <row r="3999" spans="1:17" x14ac:dyDescent="0.3">
      <c r="A3999" t="s">
        <v>17</v>
      </c>
      <c r="B3999">
        <v>67</v>
      </c>
      <c r="C3999" t="s">
        <v>28</v>
      </c>
      <c r="D3999" s="2">
        <v>46097</v>
      </c>
      <c r="E3999" s="3">
        <f t="shared" si="62"/>
        <v>46082</v>
      </c>
      <c r="F3999" t="s">
        <v>3156</v>
      </c>
      <c r="H3999" s="4">
        <v>21.78</v>
      </c>
      <c r="I3999" t="s">
        <v>159</v>
      </c>
      <c r="J3999" t="s">
        <v>74</v>
      </c>
      <c r="K3999" t="s">
        <v>3309</v>
      </c>
      <c r="L3999" s="2">
        <v>46082</v>
      </c>
      <c r="M3999" t="s">
        <v>76</v>
      </c>
      <c r="N3999">
        <v>0</v>
      </c>
      <c r="O3999" t="s">
        <v>159</v>
      </c>
      <c r="P3999" t="s">
        <v>28</v>
      </c>
      <c r="Q3999">
        <v>0</v>
      </c>
    </row>
    <row r="4000" spans="1:17" x14ac:dyDescent="0.3">
      <c r="A4000" t="s">
        <v>17</v>
      </c>
      <c r="B4000">
        <v>67</v>
      </c>
      <c r="C4000" t="s">
        <v>28</v>
      </c>
      <c r="D4000" s="2">
        <v>46097</v>
      </c>
      <c r="E4000" s="3">
        <f t="shared" si="62"/>
        <v>46082</v>
      </c>
      <c r="F4000" t="s">
        <v>3156</v>
      </c>
      <c r="G4000" t="s">
        <v>158</v>
      </c>
      <c r="H4000" s="4">
        <v>21.78</v>
      </c>
      <c r="I4000" t="s">
        <v>159</v>
      </c>
      <c r="J4000" t="s">
        <v>74</v>
      </c>
      <c r="K4000" t="s">
        <v>3310</v>
      </c>
      <c r="L4000" s="2">
        <v>46082</v>
      </c>
      <c r="M4000" t="s">
        <v>76</v>
      </c>
      <c r="N4000">
        <v>0</v>
      </c>
      <c r="O4000" t="s">
        <v>159</v>
      </c>
      <c r="P4000" t="s">
        <v>28</v>
      </c>
      <c r="Q4000">
        <v>0</v>
      </c>
    </row>
    <row r="4001" spans="1:17" x14ac:dyDescent="0.3">
      <c r="A4001" t="s">
        <v>17</v>
      </c>
      <c r="B4001">
        <v>67</v>
      </c>
      <c r="C4001" t="s">
        <v>28</v>
      </c>
      <c r="D4001" s="2">
        <v>46112</v>
      </c>
      <c r="E4001" s="3">
        <f t="shared" si="62"/>
        <v>46082</v>
      </c>
      <c r="F4001" t="s">
        <v>3164</v>
      </c>
      <c r="H4001" s="4">
        <v>10.89</v>
      </c>
      <c r="I4001" t="s">
        <v>31</v>
      </c>
      <c r="J4001" t="s">
        <v>74</v>
      </c>
      <c r="K4001" t="s">
        <v>3311</v>
      </c>
      <c r="L4001" s="2">
        <v>46082</v>
      </c>
      <c r="M4001" t="s">
        <v>76</v>
      </c>
      <c r="N4001">
        <v>0</v>
      </c>
      <c r="O4001" t="s">
        <v>31</v>
      </c>
      <c r="P4001" t="s">
        <v>28</v>
      </c>
      <c r="Q4001">
        <v>0</v>
      </c>
    </row>
    <row r="4002" spans="1:17" x14ac:dyDescent="0.3">
      <c r="A4002" t="s">
        <v>17</v>
      </c>
      <c r="B4002">
        <v>67</v>
      </c>
      <c r="C4002" t="s">
        <v>28</v>
      </c>
      <c r="D4002" s="2">
        <v>46112</v>
      </c>
      <c r="E4002" s="3">
        <f t="shared" si="62"/>
        <v>46082</v>
      </c>
      <c r="F4002" t="s">
        <v>3164</v>
      </c>
      <c r="H4002" s="4">
        <v>16.07</v>
      </c>
      <c r="I4002" t="s">
        <v>31</v>
      </c>
      <c r="J4002" t="s">
        <v>74</v>
      </c>
      <c r="K4002" t="s">
        <v>3311</v>
      </c>
      <c r="L4002" s="2">
        <v>46082</v>
      </c>
      <c r="M4002" t="s">
        <v>76</v>
      </c>
      <c r="N4002">
        <v>0</v>
      </c>
      <c r="O4002" t="s">
        <v>31</v>
      </c>
      <c r="P4002" t="s">
        <v>28</v>
      </c>
      <c r="Q4002">
        <v>0</v>
      </c>
    </row>
    <row r="4003" spans="1:17" x14ac:dyDescent="0.3">
      <c r="A4003" t="s">
        <v>17</v>
      </c>
      <c r="B4003">
        <v>67</v>
      </c>
      <c r="C4003" t="s">
        <v>28</v>
      </c>
      <c r="D4003" s="2">
        <v>46112</v>
      </c>
      <c r="E4003" s="3">
        <f t="shared" si="62"/>
        <v>46082</v>
      </c>
      <c r="F4003" t="s">
        <v>3164</v>
      </c>
      <c r="H4003" s="4">
        <v>24.99</v>
      </c>
      <c r="I4003" t="s">
        <v>31</v>
      </c>
      <c r="J4003" t="s">
        <v>74</v>
      </c>
      <c r="K4003" t="s">
        <v>3312</v>
      </c>
      <c r="L4003" s="2">
        <v>46082</v>
      </c>
      <c r="M4003" t="s">
        <v>76</v>
      </c>
      <c r="N4003">
        <v>0</v>
      </c>
      <c r="O4003" t="s">
        <v>31</v>
      </c>
      <c r="P4003" t="s">
        <v>28</v>
      </c>
      <c r="Q4003">
        <v>0</v>
      </c>
    </row>
    <row r="4004" spans="1:17" x14ac:dyDescent="0.3">
      <c r="A4004" t="s">
        <v>17</v>
      </c>
      <c r="B4004">
        <v>67</v>
      </c>
      <c r="C4004" t="s">
        <v>28</v>
      </c>
      <c r="D4004" s="2">
        <v>46112</v>
      </c>
      <c r="E4004" s="3">
        <f t="shared" si="62"/>
        <v>46082</v>
      </c>
      <c r="F4004" t="s">
        <v>3164</v>
      </c>
      <c r="H4004" s="4">
        <v>195.98</v>
      </c>
      <c r="I4004" t="s">
        <v>31</v>
      </c>
      <c r="J4004" t="s">
        <v>74</v>
      </c>
      <c r="K4004" t="s">
        <v>247</v>
      </c>
      <c r="L4004" s="2">
        <v>46082</v>
      </c>
      <c r="M4004" t="s">
        <v>76</v>
      </c>
      <c r="N4004">
        <v>0</v>
      </c>
      <c r="O4004" t="s">
        <v>31</v>
      </c>
      <c r="P4004" t="s">
        <v>28</v>
      </c>
      <c r="Q4004">
        <v>0</v>
      </c>
    </row>
    <row r="4005" spans="1:17" x14ac:dyDescent="0.3">
      <c r="A4005" t="s">
        <v>17</v>
      </c>
      <c r="B4005">
        <v>67</v>
      </c>
      <c r="C4005" t="s">
        <v>28</v>
      </c>
      <c r="D4005" s="2">
        <v>46112</v>
      </c>
      <c r="E4005" s="3">
        <f t="shared" si="62"/>
        <v>46082</v>
      </c>
      <c r="F4005" t="s">
        <v>3164</v>
      </c>
      <c r="H4005" s="4">
        <v>217.75</v>
      </c>
      <c r="I4005" t="s">
        <v>31</v>
      </c>
      <c r="J4005" t="s">
        <v>74</v>
      </c>
      <c r="K4005" t="s">
        <v>2139</v>
      </c>
      <c r="L4005" s="2">
        <v>46082</v>
      </c>
      <c r="M4005" t="s">
        <v>76</v>
      </c>
      <c r="N4005">
        <v>0</v>
      </c>
      <c r="O4005" t="s">
        <v>31</v>
      </c>
      <c r="P4005" t="s">
        <v>28</v>
      </c>
      <c r="Q4005">
        <v>0</v>
      </c>
    </row>
    <row r="4006" spans="1:17" x14ac:dyDescent="0.3">
      <c r="A4006" t="s">
        <v>17</v>
      </c>
      <c r="B4006">
        <v>67</v>
      </c>
      <c r="C4006" t="s">
        <v>28</v>
      </c>
      <c r="D4006" s="2">
        <v>46112</v>
      </c>
      <c r="E4006" s="3">
        <f t="shared" si="62"/>
        <v>46082</v>
      </c>
      <c r="F4006" t="s">
        <v>3164</v>
      </c>
      <c r="H4006" s="4">
        <v>185.09</v>
      </c>
      <c r="I4006" t="s">
        <v>31</v>
      </c>
      <c r="J4006" t="s">
        <v>74</v>
      </c>
      <c r="K4006" t="s">
        <v>3117</v>
      </c>
      <c r="L4006" s="2">
        <v>46082</v>
      </c>
      <c r="M4006" t="s">
        <v>76</v>
      </c>
      <c r="N4006">
        <v>0</v>
      </c>
      <c r="O4006" t="s">
        <v>31</v>
      </c>
      <c r="P4006" t="s">
        <v>28</v>
      </c>
      <c r="Q4006">
        <v>0</v>
      </c>
    </row>
    <row r="4007" spans="1:17" x14ac:dyDescent="0.3">
      <c r="A4007" t="s">
        <v>17</v>
      </c>
      <c r="B4007">
        <v>67</v>
      </c>
      <c r="C4007" t="s">
        <v>28</v>
      </c>
      <c r="D4007" s="2">
        <v>46112</v>
      </c>
      <c r="E4007" s="3">
        <f t="shared" si="62"/>
        <v>46082</v>
      </c>
      <c r="F4007" t="s">
        <v>3188</v>
      </c>
      <c r="H4007" s="4">
        <v>28.05</v>
      </c>
      <c r="I4007" t="s">
        <v>47</v>
      </c>
      <c r="J4007" t="s">
        <v>74</v>
      </c>
      <c r="K4007" t="s">
        <v>3313</v>
      </c>
      <c r="L4007" s="2">
        <v>46082</v>
      </c>
      <c r="M4007" t="s">
        <v>76</v>
      </c>
      <c r="N4007">
        <v>0</v>
      </c>
      <c r="O4007" t="s">
        <v>26</v>
      </c>
      <c r="P4007" t="s">
        <v>28</v>
      </c>
      <c r="Q4007">
        <v>0</v>
      </c>
    </row>
    <row r="4008" spans="1:17" x14ac:dyDescent="0.3">
      <c r="A4008" t="s">
        <v>17</v>
      </c>
      <c r="B4008">
        <v>67</v>
      </c>
      <c r="C4008" t="s">
        <v>28</v>
      </c>
      <c r="D4008" s="2">
        <v>46112</v>
      </c>
      <c r="E4008" s="3">
        <f t="shared" si="62"/>
        <v>46082</v>
      </c>
      <c r="F4008" t="s">
        <v>3188</v>
      </c>
      <c r="H4008" s="4">
        <v>35</v>
      </c>
      <c r="I4008" t="s">
        <v>47</v>
      </c>
      <c r="J4008" t="s">
        <v>74</v>
      </c>
      <c r="K4008" t="s">
        <v>3314</v>
      </c>
      <c r="L4008" s="2">
        <v>46082</v>
      </c>
      <c r="M4008" t="s">
        <v>76</v>
      </c>
      <c r="N4008">
        <v>0</v>
      </c>
      <c r="O4008" t="s">
        <v>26</v>
      </c>
      <c r="P4008" t="s">
        <v>28</v>
      </c>
      <c r="Q4008">
        <v>0</v>
      </c>
    </row>
    <row r="4009" spans="1:17" x14ac:dyDescent="0.3">
      <c r="A4009" t="s">
        <v>17</v>
      </c>
      <c r="B4009">
        <v>67</v>
      </c>
      <c r="C4009" t="s">
        <v>28</v>
      </c>
      <c r="D4009" s="2">
        <v>46112</v>
      </c>
      <c r="E4009" s="3">
        <f t="shared" si="62"/>
        <v>46082</v>
      </c>
      <c r="F4009" t="s">
        <v>3190</v>
      </c>
      <c r="H4009" s="4">
        <v>20</v>
      </c>
      <c r="I4009" t="s">
        <v>104</v>
      </c>
      <c r="J4009" t="s">
        <v>74</v>
      </c>
      <c r="K4009" t="s">
        <v>3315</v>
      </c>
      <c r="L4009" s="2">
        <v>46082</v>
      </c>
      <c r="M4009" t="s">
        <v>76</v>
      </c>
      <c r="N4009">
        <v>0</v>
      </c>
      <c r="O4009" t="s">
        <v>104</v>
      </c>
      <c r="P4009" t="s">
        <v>28</v>
      </c>
      <c r="Q4009">
        <v>0</v>
      </c>
    </row>
    <row r="4010" spans="1:17" x14ac:dyDescent="0.3">
      <c r="A4010" t="s">
        <v>17</v>
      </c>
      <c r="B4010">
        <v>67</v>
      </c>
      <c r="C4010" t="s">
        <v>28</v>
      </c>
      <c r="D4010" s="2">
        <v>46112</v>
      </c>
      <c r="E4010" s="3">
        <f t="shared" si="62"/>
        <v>46082</v>
      </c>
      <c r="F4010" t="s">
        <v>3316</v>
      </c>
      <c r="H4010" s="4">
        <v>9.99</v>
      </c>
      <c r="I4010" t="s">
        <v>31</v>
      </c>
      <c r="J4010" t="s">
        <v>74</v>
      </c>
      <c r="K4010" t="s">
        <v>1494</v>
      </c>
      <c r="L4010" s="2">
        <v>46082</v>
      </c>
      <c r="M4010" t="s">
        <v>76</v>
      </c>
      <c r="N4010">
        <v>0</v>
      </c>
      <c r="O4010" t="s">
        <v>31</v>
      </c>
      <c r="P4010" t="s">
        <v>28</v>
      </c>
      <c r="Q4010">
        <v>0</v>
      </c>
    </row>
    <row r="4011" spans="1:17" x14ac:dyDescent="0.3">
      <c r="A4011" t="s">
        <v>17</v>
      </c>
      <c r="B4011">
        <v>67</v>
      </c>
      <c r="C4011" t="s">
        <v>28</v>
      </c>
      <c r="D4011" s="2">
        <v>46112</v>
      </c>
      <c r="E4011" s="3">
        <f t="shared" si="62"/>
        <v>46082</v>
      </c>
      <c r="F4011" t="s">
        <v>3317</v>
      </c>
      <c r="H4011" s="4">
        <v>411.58</v>
      </c>
      <c r="I4011" t="s">
        <v>31</v>
      </c>
      <c r="J4011" t="s">
        <v>74</v>
      </c>
      <c r="K4011" t="s">
        <v>1501</v>
      </c>
      <c r="L4011" s="2">
        <v>46082</v>
      </c>
      <c r="M4011" t="s">
        <v>76</v>
      </c>
      <c r="N4011">
        <v>0</v>
      </c>
      <c r="O4011" t="s">
        <v>31</v>
      </c>
      <c r="P4011" t="s">
        <v>28</v>
      </c>
      <c r="Q4011">
        <v>0</v>
      </c>
    </row>
    <row r="4012" spans="1:17" x14ac:dyDescent="0.3">
      <c r="A4012" t="s">
        <v>17</v>
      </c>
      <c r="B4012">
        <v>67</v>
      </c>
      <c r="C4012" t="s">
        <v>28</v>
      </c>
      <c r="D4012" s="2">
        <v>46112</v>
      </c>
      <c r="E4012" s="3">
        <f t="shared" si="62"/>
        <v>46082</v>
      </c>
      <c r="F4012" t="s">
        <v>3318</v>
      </c>
      <c r="H4012" s="4">
        <v>2582.46</v>
      </c>
      <c r="I4012" t="s">
        <v>31</v>
      </c>
      <c r="J4012" t="s">
        <v>74</v>
      </c>
      <c r="K4012" t="s">
        <v>1100</v>
      </c>
      <c r="L4012" s="2">
        <v>46082</v>
      </c>
      <c r="M4012" t="s">
        <v>76</v>
      </c>
      <c r="N4012">
        <v>0</v>
      </c>
      <c r="O4012" t="s">
        <v>31</v>
      </c>
      <c r="P4012" t="s">
        <v>28</v>
      </c>
      <c r="Q4012">
        <v>0</v>
      </c>
    </row>
    <row r="4013" spans="1:17" x14ac:dyDescent="0.3">
      <c r="A4013" t="s">
        <v>17</v>
      </c>
      <c r="B4013">
        <v>67</v>
      </c>
      <c r="C4013" t="s">
        <v>28</v>
      </c>
      <c r="D4013" s="2">
        <v>46112</v>
      </c>
      <c r="E4013" s="3">
        <f t="shared" si="62"/>
        <v>46082</v>
      </c>
      <c r="F4013" t="s">
        <v>3319</v>
      </c>
      <c r="H4013" s="4">
        <v>41.67</v>
      </c>
      <c r="I4013" t="s">
        <v>47</v>
      </c>
      <c r="J4013" t="s">
        <v>74</v>
      </c>
      <c r="K4013" t="s">
        <v>2150</v>
      </c>
      <c r="L4013" s="2">
        <v>46082</v>
      </c>
      <c r="M4013" t="s">
        <v>76</v>
      </c>
      <c r="N4013">
        <v>0</v>
      </c>
      <c r="O4013" t="s">
        <v>26</v>
      </c>
      <c r="P4013" t="s">
        <v>28</v>
      </c>
      <c r="Q4013">
        <v>0</v>
      </c>
    </row>
    <row r="4014" spans="1:17" x14ac:dyDescent="0.3">
      <c r="A4014" t="s">
        <v>17</v>
      </c>
      <c r="B4014">
        <v>67</v>
      </c>
      <c r="C4014" t="s">
        <v>28</v>
      </c>
      <c r="D4014" s="2">
        <v>46112</v>
      </c>
      <c r="E4014" s="3">
        <f t="shared" si="62"/>
        <v>46082</v>
      </c>
      <c r="F4014" t="s">
        <v>3320</v>
      </c>
      <c r="H4014" s="4">
        <v>18.149999999999999</v>
      </c>
      <c r="I4014" t="s">
        <v>108</v>
      </c>
      <c r="J4014" t="s">
        <v>74</v>
      </c>
      <c r="K4014" t="s">
        <v>2366</v>
      </c>
      <c r="L4014" s="2">
        <v>46082</v>
      </c>
      <c r="M4014" t="s">
        <v>76</v>
      </c>
      <c r="N4014">
        <v>0</v>
      </c>
      <c r="O4014" t="s">
        <v>111</v>
      </c>
      <c r="P4014" t="s">
        <v>28</v>
      </c>
      <c r="Q4014">
        <v>0</v>
      </c>
    </row>
    <row r="4015" spans="1:17" x14ac:dyDescent="0.3">
      <c r="A4015" t="s">
        <v>17</v>
      </c>
      <c r="B4015">
        <v>67</v>
      </c>
      <c r="C4015" t="s">
        <v>28</v>
      </c>
      <c r="D4015" s="2">
        <v>46112</v>
      </c>
      <c r="E4015" s="3">
        <f t="shared" si="62"/>
        <v>46082</v>
      </c>
      <c r="F4015" t="s">
        <v>3321</v>
      </c>
      <c r="H4015" s="4">
        <v>19.600000000000001</v>
      </c>
      <c r="I4015" t="s">
        <v>159</v>
      </c>
      <c r="J4015" t="s">
        <v>74</v>
      </c>
      <c r="K4015" t="s">
        <v>2659</v>
      </c>
      <c r="L4015" s="2">
        <v>46082</v>
      </c>
      <c r="M4015" t="s">
        <v>76</v>
      </c>
      <c r="N4015">
        <v>0</v>
      </c>
      <c r="O4015" t="s">
        <v>159</v>
      </c>
      <c r="P4015" t="s">
        <v>28</v>
      </c>
      <c r="Q4015">
        <v>0</v>
      </c>
    </row>
    <row r="4016" spans="1:17" x14ac:dyDescent="0.3">
      <c r="A4016" t="s">
        <v>17</v>
      </c>
      <c r="B4016">
        <v>67</v>
      </c>
      <c r="C4016" t="s">
        <v>28</v>
      </c>
      <c r="D4016" s="2">
        <v>46112</v>
      </c>
      <c r="E4016" s="3">
        <f t="shared" si="62"/>
        <v>46082</v>
      </c>
      <c r="F4016" t="s">
        <v>3322</v>
      </c>
      <c r="H4016" s="4">
        <v>4148.26</v>
      </c>
      <c r="I4016" t="s">
        <v>31</v>
      </c>
      <c r="J4016" t="s">
        <v>74</v>
      </c>
      <c r="K4016" t="s">
        <v>3323</v>
      </c>
      <c r="L4016" s="2">
        <v>46082</v>
      </c>
      <c r="M4016" t="s">
        <v>76</v>
      </c>
      <c r="N4016">
        <v>0</v>
      </c>
      <c r="O4016" t="s">
        <v>31</v>
      </c>
      <c r="P4016" t="s">
        <v>28</v>
      </c>
      <c r="Q4016">
        <v>0</v>
      </c>
    </row>
    <row r="4017" spans="1:17" x14ac:dyDescent="0.3">
      <c r="A4017" t="s">
        <v>17</v>
      </c>
      <c r="B4017">
        <v>67</v>
      </c>
      <c r="C4017" t="s">
        <v>28</v>
      </c>
      <c r="D4017" s="2">
        <v>46112</v>
      </c>
      <c r="E4017" s="3">
        <f t="shared" si="62"/>
        <v>46082</v>
      </c>
      <c r="F4017" t="s">
        <v>3324</v>
      </c>
      <c r="H4017" s="4">
        <v>421.69</v>
      </c>
      <c r="I4017" t="s">
        <v>31</v>
      </c>
      <c r="J4017" t="s">
        <v>74</v>
      </c>
      <c r="K4017" t="s">
        <v>3325</v>
      </c>
      <c r="L4017" s="2">
        <v>46082</v>
      </c>
      <c r="M4017" t="s">
        <v>76</v>
      </c>
      <c r="N4017">
        <v>0</v>
      </c>
      <c r="O4017" t="s">
        <v>31</v>
      </c>
      <c r="P4017" t="s">
        <v>28</v>
      </c>
      <c r="Q4017">
        <v>0</v>
      </c>
    </row>
    <row r="4018" spans="1:17" x14ac:dyDescent="0.3">
      <c r="A4018" t="s">
        <v>17</v>
      </c>
      <c r="B4018">
        <v>67</v>
      </c>
      <c r="C4018" t="s">
        <v>28</v>
      </c>
      <c r="D4018" s="2">
        <v>46112</v>
      </c>
      <c r="E4018" s="3">
        <f t="shared" si="62"/>
        <v>46082</v>
      </c>
      <c r="F4018" t="s">
        <v>3326</v>
      </c>
      <c r="H4018" s="4">
        <v>21.76</v>
      </c>
      <c r="I4018" t="s">
        <v>31</v>
      </c>
      <c r="J4018" t="s">
        <v>74</v>
      </c>
      <c r="K4018" t="s">
        <v>3327</v>
      </c>
      <c r="L4018" s="2">
        <v>46082</v>
      </c>
      <c r="M4018" t="s">
        <v>76</v>
      </c>
      <c r="N4018">
        <v>0</v>
      </c>
      <c r="O4018" t="s">
        <v>31</v>
      </c>
      <c r="P4018" t="s">
        <v>28</v>
      </c>
      <c r="Q4018">
        <v>0</v>
      </c>
    </row>
    <row r="4019" spans="1:17" x14ac:dyDescent="0.3">
      <c r="A4019" t="s">
        <v>17</v>
      </c>
      <c r="B4019">
        <v>67</v>
      </c>
      <c r="C4019" t="s">
        <v>28</v>
      </c>
      <c r="D4019" s="2">
        <v>46112</v>
      </c>
      <c r="E4019" s="3">
        <f t="shared" si="62"/>
        <v>46082</v>
      </c>
      <c r="F4019" t="s">
        <v>3328</v>
      </c>
      <c r="H4019" s="4">
        <v>24.5</v>
      </c>
      <c r="I4019" t="s">
        <v>47</v>
      </c>
      <c r="J4019" t="s">
        <v>74</v>
      </c>
      <c r="K4019" t="s">
        <v>2649</v>
      </c>
      <c r="L4019" s="2">
        <v>46082</v>
      </c>
      <c r="M4019" t="s">
        <v>76</v>
      </c>
      <c r="N4019">
        <v>0</v>
      </c>
      <c r="O4019" t="s">
        <v>26</v>
      </c>
      <c r="P4019" t="s">
        <v>28</v>
      </c>
      <c r="Q4019">
        <v>0</v>
      </c>
    </row>
    <row r="4020" spans="1:17" x14ac:dyDescent="0.3">
      <c r="A4020" t="s">
        <v>17</v>
      </c>
      <c r="B4020">
        <v>67</v>
      </c>
      <c r="C4020" t="s">
        <v>28</v>
      </c>
      <c r="D4020" s="2">
        <v>46112</v>
      </c>
      <c r="E4020" s="3">
        <f t="shared" si="62"/>
        <v>46082</v>
      </c>
      <c r="F4020" t="s">
        <v>3329</v>
      </c>
      <c r="H4020" s="4">
        <v>16.670000000000002</v>
      </c>
      <c r="I4020" t="s">
        <v>47</v>
      </c>
      <c r="J4020" t="s">
        <v>74</v>
      </c>
      <c r="K4020" t="s">
        <v>2891</v>
      </c>
      <c r="L4020" s="2">
        <v>46082</v>
      </c>
      <c r="M4020" t="s">
        <v>76</v>
      </c>
      <c r="N4020">
        <v>0</v>
      </c>
      <c r="O4020" t="s">
        <v>26</v>
      </c>
      <c r="P4020" t="s">
        <v>28</v>
      </c>
      <c r="Q4020">
        <v>0</v>
      </c>
    </row>
    <row r="4021" spans="1:17" x14ac:dyDescent="0.3">
      <c r="A4021" t="s">
        <v>17</v>
      </c>
      <c r="B4021">
        <v>67</v>
      </c>
      <c r="C4021" t="s">
        <v>28</v>
      </c>
      <c r="D4021" s="2">
        <v>46112</v>
      </c>
      <c r="E4021" s="3">
        <f t="shared" si="62"/>
        <v>46082</v>
      </c>
      <c r="F4021" t="s">
        <v>3330</v>
      </c>
      <c r="H4021" s="4">
        <v>2268.2199999999998</v>
      </c>
      <c r="I4021" t="s">
        <v>47</v>
      </c>
      <c r="J4021" t="s">
        <v>74</v>
      </c>
      <c r="K4021" t="s">
        <v>1108</v>
      </c>
      <c r="L4021" s="2">
        <v>46082</v>
      </c>
      <c r="M4021" t="s">
        <v>76</v>
      </c>
      <c r="N4021">
        <v>0</v>
      </c>
      <c r="O4021" t="s">
        <v>26</v>
      </c>
      <c r="P4021" t="s">
        <v>28</v>
      </c>
      <c r="Q4021">
        <v>0</v>
      </c>
    </row>
    <row r="4022" spans="1:17" x14ac:dyDescent="0.3">
      <c r="A4022" t="s">
        <v>17</v>
      </c>
      <c r="B4022">
        <v>67</v>
      </c>
      <c r="C4022" t="s">
        <v>28</v>
      </c>
      <c r="D4022" s="2">
        <v>46112</v>
      </c>
      <c r="E4022" s="3">
        <f t="shared" si="62"/>
        <v>46082</v>
      </c>
      <c r="F4022" t="s">
        <v>3331</v>
      </c>
      <c r="H4022" s="4">
        <v>3179.22</v>
      </c>
      <c r="I4022" t="s">
        <v>31</v>
      </c>
      <c r="J4022" t="s">
        <v>74</v>
      </c>
      <c r="K4022" t="s">
        <v>1098</v>
      </c>
      <c r="L4022" s="2">
        <v>46082</v>
      </c>
      <c r="M4022" t="s">
        <v>76</v>
      </c>
      <c r="N4022">
        <v>0</v>
      </c>
      <c r="O4022" t="s">
        <v>31</v>
      </c>
      <c r="P4022" t="s">
        <v>28</v>
      </c>
      <c r="Q4022">
        <v>0</v>
      </c>
    </row>
    <row r="4023" spans="1:17" x14ac:dyDescent="0.3">
      <c r="A4023" t="s">
        <v>17</v>
      </c>
      <c r="B4023">
        <v>68</v>
      </c>
      <c r="C4023" t="s">
        <v>34</v>
      </c>
      <c r="D4023" s="2">
        <v>46082</v>
      </c>
      <c r="E4023" s="3">
        <f t="shared" si="62"/>
        <v>46082</v>
      </c>
      <c r="F4023">
        <v>1179</v>
      </c>
      <c r="G4023" t="s">
        <v>36</v>
      </c>
      <c r="H4023" s="4">
        <v>35.85</v>
      </c>
      <c r="I4023" t="s">
        <v>31</v>
      </c>
      <c r="J4023" t="s">
        <v>37</v>
      </c>
      <c r="K4023" t="s">
        <v>3133</v>
      </c>
      <c r="L4023" s="2">
        <v>46082</v>
      </c>
      <c r="M4023" t="s">
        <v>37</v>
      </c>
      <c r="N4023">
        <v>0</v>
      </c>
      <c r="O4023" t="s">
        <v>31</v>
      </c>
      <c r="P4023" t="s">
        <v>34</v>
      </c>
      <c r="Q4023">
        <v>0</v>
      </c>
    </row>
    <row r="4024" spans="1:17" x14ac:dyDescent="0.3">
      <c r="A4024" t="s">
        <v>17</v>
      </c>
      <c r="B4024">
        <v>68</v>
      </c>
      <c r="C4024" t="s">
        <v>34</v>
      </c>
      <c r="D4024" s="2">
        <v>46082</v>
      </c>
      <c r="E4024" s="3">
        <f t="shared" si="62"/>
        <v>46082</v>
      </c>
      <c r="F4024">
        <v>1179</v>
      </c>
      <c r="G4024" t="s">
        <v>36</v>
      </c>
      <c r="H4024" s="4">
        <v>5.33</v>
      </c>
      <c r="I4024" t="s">
        <v>31</v>
      </c>
      <c r="J4024" t="s">
        <v>37</v>
      </c>
      <c r="K4024" t="s">
        <v>1276</v>
      </c>
      <c r="L4024" s="2">
        <v>46082</v>
      </c>
      <c r="M4024" t="s">
        <v>37</v>
      </c>
      <c r="N4024">
        <v>0</v>
      </c>
      <c r="O4024" t="s">
        <v>31</v>
      </c>
      <c r="P4024" t="s">
        <v>34</v>
      </c>
      <c r="Q4024">
        <v>0</v>
      </c>
    </row>
    <row r="4025" spans="1:17" x14ac:dyDescent="0.3">
      <c r="A4025" t="s">
        <v>17</v>
      </c>
      <c r="B4025">
        <v>68</v>
      </c>
      <c r="C4025" t="s">
        <v>34</v>
      </c>
      <c r="D4025" s="2">
        <v>46082</v>
      </c>
      <c r="E4025" s="3">
        <f t="shared" si="62"/>
        <v>46082</v>
      </c>
      <c r="F4025">
        <v>1179</v>
      </c>
      <c r="G4025" t="s">
        <v>36</v>
      </c>
      <c r="H4025" s="4">
        <v>25</v>
      </c>
      <c r="I4025" t="s">
        <v>31</v>
      </c>
      <c r="J4025" t="s">
        <v>37</v>
      </c>
      <c r="K4025" t="s">
        <v>3134</v>
      </c>
      <c r="L4025" s="2">
        <v>46082</v>
      </c>
      <c r="M4025" t="s">
        <v>37</v>
      </c>
      <c r="N4025">
        <v>0</v>
      </c>
      <c r="O4025" t="s">
        <v>31</v>
      </c>
      <c r="P4025" t="s">
        <v>34</v>
      </c>
      <c r="Q4025">
        <v>0</v>
      </c>
    </row>
    <row r="4026" spans="1:17" x14ac:dyDescent="0.3">
      <c r="A4026" t="s">
        <v>17</v>
      </c>
      <c r="B4026">
        <v>68</v>
      </c>
      <c r="C4026" t="s">
        <v>34</v>
      </c>
      <c r="D4026" s="2">
        <v>46082</v>
      </c>
      <c r="E4026" s="3">
        <f t="shared" si="62"/>
        <v>46082</v>
      </c>
      <c r="F4026" t="s">
        <v>3235</v>
      </c>
      <c r="G4026" t="s">
        <v>40</v>
      </c>
      <c r="H4026" s="4">
        <v>333.7</v>
      </c>
      <c r="I4026" t="s">
        <v>31</v>
      </c>
      <c r="J4026" t="s">
        <v>37</v>
      </c>
      <c r="K4026" t="s">
        <v>3332</v>
      </c>
      <c r="L4026" s="2">
        <v>46082</v>
      </c>
      <c r="M4026" t="s">
        <v>37</v>
      </c>
      <c r="N4026">
        <v>0</v>
      </c>
      <c r="O4026" t="s">
        <v>31</v>
      </c>
      <c r="P4026" t="s">
        <v>34</v>
      </c>
      <c r="Q4026">
        <v>0</v>
      </c>
    </row>
    <row r="4027" spans="1:17" x14ac:dyDescent="0.3">
      <c r="A4027" t="s">
        <v>17</v>
      </c>
      <c r="B4027">
        <v>68</v>
      </c>
      <c r="C4027" t="s">
        <v>34</v>
      </c>
      <c r="D4027" s="2">
        <v>46082</v>
      </c>
      <c r="E4027" s="3">
        <f t="shared" si="62"/>
        <v>46082</v>
      </c>
      <c r="F4027" t="s">
        <v>3333</v>
      </c>
      <c r="H4027" s="4">
        <v>-333.7</v>
      </c>
      <c r="I4027" t="s">
        <v>31</v>
      </c>
      <c r="J4027" t="s">
        <v>37</v>
      </c>
      <c r="K4027" t="s">
        <v>3138</v>
      </c>
      <c r="L4027" s="2">
        <v>46082</v>
      </c>
      <c r="M4027" t="s">
        <v>37</v>
      </c>
      <c r="N4027">
        <v>0</v>
      </c>
      <c r="O4027" t="s">
        <v>31</v>
      </c>
      <c r="P4027" t="s">
        <v>34</v>
      </c>
      <c r="Q4027">
        <v>0</v>
      </c>
    </row>
    <row r="4028" spans="1:17" x14ac:dyDescent="0.3">
      <c r="A4028" t="s">
        <v>17</v>
      </c>
      <c r="B4028">
        <v>68</v>
      </c>
      <c r="C4028" t="s">
        <v>34</v>
      </c>
      <c r="D4028" s="2">
        <v>46112</v>
      </c>
      <c r="E4028" s="3">
        <f t="shared" si="62"/>
        <v>46082</v>
      </c>
      <c r="F4028" t="s">
        <v>3334</v>
      </c>
      <c r="H4028" s="4">
        <v>259.94</v>
      </c>
      <c r="I4028" t="s">
        <v>31</v>
      </c>
      <c r="J4028" t="s">
        <v>37</v>
      </c>
      <c r="K4028" t="s">
        <v>3335</v>
      </c>
      <c r="L4028" s="2">
        <v>46082</v>
      </c>
      <c r="M4028" t="s">
        <v>37</v>
      </c>
      <c r="N4028">
        <v>0</v>
      </c>
      <c r="O4028" t="s">
        <v>31</v>
      </c>
      <c r="P4028" t="s">
        <v>34</v>
      </c>
      <c r="Q4028">
        <v>0</v>
      </c>
    </row>
    <row r="4029" spans="1:17" x14ac:dyDescent="0.3">
      <c r="A4029" t="s">
        <v>17</v>
      </c>
      <c r="B4029">
        <v>65</v>
      </c>
      <c r="C4029" t="s">
        <v>54</v>
      </c>
      <c r="D4029" s="2">
        <v>46095</v>
      </c>
      <c r="E4029" s="3">
        <f t="shared" si="62"/>
        <v>46082</v>
      </c>
      <c r="F4029">
        <v>42889722</v>
      </c>
      <c r="G4029" t="s">
        <v>154</v>
      </c>
      <c r="H4029" s="4">
        <v>10.62</v>
      </c>
      <c r="I4029" t="s">
        <v>31</v>
      </c>
      <c r="J4029" t="s">
        <v>155</v>
      </c>
      <c r="K4029" t="s">
        <v>1742</v>
      </c>
      <c r="L4029" s="2">
        <v>46082</v>
      </c>
      <c r="M4029" t="s">
        <v>155</v>
      </c>
      <c r="N4029">
        <v>0</v>
      </c>
      <c r="O4029" t="s">
        <v>31</v>
      </c>
      <c r="P4029" t="s">
        <v>54</v>
      </c>
      <c r="Q4029">
        <v>0</v>
      </c>
    </row>
    <row r="4030" spans="1:17" x14ac:dyDescent="0.3">
      <c r="A4030" t="s">
        <v>17</v>
      </c>
      <c r="B4030">
        <v>65</v>
      </c>
      <c r="C4030" t="s">
        <v>54</v>
      </c>
      <c r="D4030" s="2">
        <v>46095</v>
      </c>
      <c r="E4030" s="3">
        <f t="shared" si="62"/>
        <v>46082</v>
      </c>
      <c r="F4030">
        <v>42889722</v>
      </c>
      <c r="G4030" t="s">
        <v>154</v>
      </c>
      <c r="H4030" s="4">
        <v>30.61</v>
      </c>
      <c r="I4030" t="s">
        <v>31</v>
      </c>
      <c r="J4030" t="s">
        <v>155</v>
      </c>
      <c r="K4030" t="s">
        <v>2379</v>
      </c>
      <c r="L4030" s="2">
        <v>46082</v>
      </c>
      <c r="M4030" t="s">
        <v>155</v>
      </c>
      <c r="N4030">
        <v>0</v>
      </c>
      <c r="O4030" t="s">
        <v>31</v>
      </c>
      <c r="P4030" t="s">
        <v>54</v>
      </c>
      <c r="Q4030">
        <v>0</v>
      </c>
    </row>
    <row r="4031" spans="1:17" x14ac:dyDescent="0.3">
      <c r="A4031" t="s">
        <v>17</v>
      </c>
      <c r="B4031">
        <v>65</v>
      </c>
      <c r="C4031" t="s">
        <v>54</v>
      </c>
      <c r="D4031" s="2">
        <v>46095</v>
      </c>
      <c r="E4031" s="3">
        <f t="shared" si="62"/>
        <v>46082</v>
      </c>
      <c r="F4031">
        <v>42889722</v>
      </c>
      <c r="G4031" t="s">
        <v>154</v>
      </c>
      <c r="H4031" s="4">
        <v>721.98</v>
      </c>
      <c r="I4031" t="s">
        <v>31</v>
      </c>
      <c r="J4031" t="s">
        <v>155</v>
      </c>
      <c r="K4031" t="s">
        <v>2156</v>
      </c>
      <c r="L4031" s="2">
        <v>46082</v>
      </c>
      <c r="M4031" t="s">
        <v>155</v>
      </c>
      <c r="N4031">
        <v>0</v>
      </c>
      <c r="O4031" t="s">
        <v>31</v>
      </c>
      <c r="P4031" t="s">
        <v>54</v>
      </c>
      <c r="Q4031">
        <v>0</v>
      </c>
    </row>
    <row r="4032" spans="1:17" x14ac:dyDescent="0.3">
      <c r="A4032" t="s">
        <v>17</v>
      </c>
      <c r="B4032">
        <v>65</v>
      </c>
      <c r="C4032" t="s">
        <v>54</v>
      </c>
      <c r="D4032" s="2">
        <v>46112</v>
      </c>
      <c r="E4032" s="3">
        <f t="shared" si="62"/>
        <v>46082</v>
      </c>
      <c r="F4032" t="s">
        <v>3237</v>
      </c>
      <c r="H4032" s="4">
        <v>-606</v>
      </c>
      <c r="I4032" t="s">
        <v>31</v>
      </c>
      <c r="J4032" t="s">
        <v>155</v>
      </c>
      <c r="L4032" s="2">
        <v>46082</v>
      </c>
      <c r="M4032" t="s">
        <v>155</v>
      </c>
      <c r="N4032">
        <v>0</v>
      </c>
      <c r="O4032" t="s">
        <v>31</v>
      </c>
      <c r="P4032" t="s">
        <v>54</v>
      </c>
      <c r="Q4032">
        <v>0</v>
      </c>
    </row>
    <row r="4033" spans="1:17" x14ac:dyDescent="0.3">
      <c r="A4033" t="s">
        <v>17</v>
      </c>
      <c r="B4033">
        <v>67</v>
      </c>
      <c r="C4033" t="s">
        <v>28</v>
      </c>
      <c r="D4033" s="2">
        <v>46112</v>
      </c>
      <c r="E4033" s="3">
        <f t="shared" si="62"/>
        <v>46082</v>
      </c>
      <c r="F4033" t="s">
        <v>3336</v>
      </c>
      <c r="H4033" s="4">
        <v>175</v>
      </c>
      <c r="I4033" t="s">
        <v>108</v>
      </c>
      <c r="J4033" t="s">
        <v>352</v>
      </c>
      <c r="K4033" t="s">
        <v>3140</v>
      </c>
      <c r="L4033" s="2">
        <v>46082</v>
      </c>
      <c r="M4033" t="s">
        <v>352</v>
      </c>
      <c r="N4033">
        <v>0</v>
      </c>
      <c r="O4033" t="s">
        <v>111</v>
      </c>
      <c r="P4033" t="s">
        <v>28</v>
      </c>
      <c r="Q4033">
        <v>0</v>
      </c>
    </row>
    <row r="4034" spans="1:17" x14ac:dyDescent="0.3">
      <c r="A4034" t="s">
        <v>17</v>
      </c>
      <c r="B4034">
        <v>68</v>
      </c>
      <c r="C4034" t="s">
        <v>34</v>
      </c>
      <c r="D4034" s="2">
        <v>46112</v>
      </c>
      <c r="E4034" s="3">
        <f t="shared" si="62"/>
        <v>46082</v>
      </c>
      <c r="F4034" t="s">
        <v>3337</v>
      </c>
      <c r="H4034" s="4">
        <v>21470</v>
      </c>
      <c r="I4034" t="s">
        <v>116</v>
      </c>
      <c r="J4034" t="s">
        <v>767</v>
      </c>
      <c r="K4034" t="s">
        <v>3338</v>
      </c>
      <c r="L4034" s="2">
        <v>46082</v>
      </c>
      <c r="M4034" t="s">
        <v>767</v>
      </c>
      <c r="N4034">
        <v>0</v>
      </c>
      <c r="O4034" t="s">
        <v>116</v>
      </c>
      <c r="P4034" t="s">
        <v>34</v>
      </c>
      <c r="Q4034">
        <v>0</v>
      </c>
    </row>
    <row r="4035" spans="1:17" x14ac:dyDescent="0.3">
      <c r="A4035" t="s">
        <v>17</v>
      </c>
      <c r="B4035">
        <v>68</v>
      </c>
      <c r="C4035" t="s">
        <v>34</v>
      </c>
      <c r="D4035" s="2">
        <v>46112</v>
      </c>
      <c r="E4035" s="3">
        <f t="shared" ref="E4035:E4098" si="63">IF($D4035="","",DATE(YEAR($D4035),MONTH($D4035),1))</f>
        <v>46082</v>
      </c>
      <c r="F4035" t="s">
        <v>3339</v>
      </c>
      <c r="H4035" s="4">
        <v>-77520.350000000006</v>
      </c>
      <c r="I4035" t="s">
        <v>21</v>
      </c>
      <c r="J4035" t="s">
        <v>726</v>
      </c>
      <c r="K4035" t="s">
        <v>3340</v>
      </c>
      <c r="L4035" s="2">
        <v>46082</v>
      </c>
      <c r="M4035" t="s">
        <v>726</v>
      </c>
      <c r="N4035" t="s">
        <v>25</v>
      </c>
      <c r="O4035" t="s">
        <v>81</v>
      </c>
      <c r="P4035" t="s">
        <v>34</v>
      </c>
      <c r="Q4035">
        <v>0</v>
      </c>
    </row>
    <row r="4036" spans="1:17" x14ac:dyDescent="0.3">
      <c r="A4036" t="s">
        <v>17</v>
      </c>
      <c r="B4036">
        <v>67</v>
      </c>
      <c r="C4036" t="s">
        <v>28</v>
      </c>
      <c r="D4036" s="2">
        <v>46085</v>
      </c>
      <c r="E4036" s="3">
        <f t="shared" si="63"/>
        <v>46082</v>
      </c>
      <c r="F4036" t="s">
        <v>3174</v>
      </c>
      <c r="G4036" t="s">
        <v>101</v>
      </c>
      <c r="H4036" s="4">
        <v>1.5</v>
      </c>
      <c r="I4036" t="s">
        <v>31</v>
      </c>
      <c r="J4036" t="s">
        <v>64</v>
      </c>
      <c r="K4036" t="s">
        <v>1166</v>
      </c>
      <c r="L4036" s="2">
        <v>46082</v>
      </c>
      <c r="M4036" t="s">
        <v>64</v>
      </c>
      <c r="N4036">
        <v>0</v>
      </c>
      <c r="O4036" t="s">
        <v>31</v>
      </c>
      <c r="P4036" t="s">
        <v>28</v>
      </c>
      <c r="Q4036">
        <v>0</v>
      </c>
    </row>
    <row r="4037" spans="1:17" x14ac:dyDescent="0.3">
      <c r="A4037" t="s">
        <v>17</v>
      </c>
      <c r="B4037">
        <v>67</v>
      </c>
      <c r="C4037" t="s">
        <v>28</v>
      </c>
      <c r="D4037" s="2">
        <v>46085</v>
      </c>
      <c r="E4037" s="3">
        <f t="shared" si="63"/>
        <v>46082</v>
      </c>
      <c r="F4037" t="s">
        <v>3174</v>
      </c>
      <c r="G4037" t="s">
        <v>101</v>
      </c>
      <c r="H4037" s="4">
        <v>1.48</v>
      </c>
      <c r="I4037" t="s">
        <v>31</v>
      </c>
      <c r="J4037" t="s">
        <v>64</v>
      </c>
      <c r="K4037" t="s">
        <v>1166</v>
      </c>
      <c r="L4037" s="2">
        <v>46082</v>
      </c>
      <c r="M4037" t="s">
        <v>64</v>
      </c>
      <c r="N4037">
        <v>0</v>
      </c>
      <c r="O4037" t="s">
        <v>31</v>
      </c>
      <c r="P4037" t="s">
        <v>28</v>
      </c>
      <c r="Q4037">
        <v>0</v>
      </c>
    </row>
    <row r="4038" spans="1:17" x14ac:dyDescent="0.3">
      <c r="A4038" t="s">
        <v>17</v>
      </c>
      <c r="B4038">
        <v>69</v>
      </c>
      <c r="C4038" t="s">
        <v>297</v>
      </c>
      <c r="D4038" s="2">
        <v>46112</v>
      </c>
      <c r="E4038" s="3">
        <f t="shared" si="63"/>
        <v>46082</v>
      </c>
      <c r="F4038" t="s">
        <v>3341</v>
      </c>
      <c r="H4038" s="4">
        <v>27.49</v>
      </c>
      <c r="I4038" t="s">
        <v>108</v>
      </c>
      <c r="J4038" t="s">
        <v>360</v>
      </c>
      <c r="L4038" s="2">
        <v>46082</v>
      </c>
      <c r="M4038" t="s">
        <v>361</v>
      </c>
      <c r="N4038">
        <v>0</v>
      </c>
      <c r="O4038" t="s">
        <v>111</v>
      </c>
      <c r="P4038" t="s">
        <v>297</v>
      </c>
      <c r="Q4038">
        <v>0</v>
      </c>
    </row>
    <row r="4039" spans="1:17" x14ac:dyDescent="0.3">
      <c r="A4039" t="s">
        <v>17</v>
      </c>
      <c r="B4039">
        <v>69</v>
      </c>
      <c r="C4039" t="s">
        <v>297</v>
      </c>
      <c r="D4039" s="2">
        <v>46112</v>
      </c>
      <c r="E4039" s="3">
        <f t="shared" si="63"/>
        <v>46082</v>
      </c>
      <c r="F4039" t="s">
        <v>3341</v>
      </c>
      <c r="H4039" s="4">
        <v>24.41</v>
      </c>
      <c r="I4039" t="s">
        <v>31</v>
      </c>
      <c r="J4039" t="s">
        <v>360</v>
      </c>
      <c r="L4039" s="2">
        <v>46082</v>
      </c>
      <c r="M4039" t="s">
        <v>361</v>
      </c>
      <c r="N4039">
        <v>0</v>
      </c>
      <c r="O4039" t="s">
        <v>31</v>
      </c>
      <c r="P4039" t="s">
        <v>297</v>
      </c>
      <c r="Q4039">
        <v>0</v>
      </c>
    </row>
    <row r="4040" spans="1:17" x14ac:dyDescent="0.3">
      <c r="A4040" t="s">
        <v>17</v>
      </c>
      <c r="B4040">
        <v>69</v>
      </c>
      <c r="C4040" t="s">
        <v>297</v>
      </c>
      <c r="D4040" s="2">
        <v>46112</v>
      </c>
      <c r="E4040" s="3">
        <f t="shared" si="63"/>
        <v>46082</v>
      </c>
      <c r="F4040" t="s">
        <v>3341</v>
      </c>
      <c r="H4040" s="4">
        <v>58.03</v>
      </c>
      <c r="I4040" t="s">
        <v>31</v>
      </c>
      <c r="J4040" t="s">
        <v>349</v>
      </c>
      <c r="L4040" s="2">
        <v>46082</v>
      </c>
      <c r="M4040" t="s">
        <v>350</v>
      </c>
      <c r="N4040">
        <v>0</v>
      </c>
      <c r="O4040" t="s">
        <v>31</v>
      </c>
      <c r="P4040" t="s">
        <v>297</v>
      </c>
      <c r="Q4040">
        <v>0</v>
      </c>
    </row>
    <row r="4041" spans="1:17" x14ac:dyDescent="0.3">
      <c r="A4041" t="s">
        <v>17</v>
      </c>
      <c r="B4041">
        <v>69</v>
      </c>
      <c r="C4041" t="s">
        <v>297</v>
      </c>
      <c r="D4041" s="2">
        <v>46112</v>
      </c>
      <c r="E4041" s="3">
        <f t="shared" si="63"/>
        <v>46082</v>
      </c>
      <c r="F4041" t="s">
        <v>3341</v>
      </c>
      <c r="H4041" s="4">
        <v>238.77</v>
      </c>
      <c r="I4041" t="s">
        <v>137</v>
      </c>
      <c r="J4041" t="s">
        <v>349</v>
      </c>
      <c r="L4041" s="2">
        <v>46082</v>
      </c>
      <c r="M4041" t="s">
        <v>350</v>
      </c>
      <c r="N4041" t="s">
        <v>141</v>
      </c>
      <c r="O4041" t="s">
        <v>141</v>
      </c>
      <c r="P4041" t="s">
        <v>297</v>
      </c>
      <c r="Q4041">
        <v>0</v>
      </c>
    </row>
    <row r="4042" spans="1:17" x14ac:dyDescent="0.3">
      <c r="A4042" t="s">
        <v>17</v>
      </c>
      <c r="B4042">
        <v>69</v>
      </c>
      <c r="C4042" t="s">
        <v>297</v>
      </c>
      <c r="D4042" s="2">
        <v>46112</v>
      </c>
      <c r="E4042" s="3">
        <f t="shared" si="63"/>
        <v>46082</v>
      </c>
      <c r="F4042" t="s">
        <v>3341</v>
      </c>
      <c r="H4042" s="4">
        <v>3581.09</v>
      </c>
      <c r="I4042" t="s">
        <v>31</v>
      </c>
      <c r="J4042" t="s">
        <v>346</v>
      </c>
      <c r="L4042" s="2">
        <v>46082</v>
      </c>
      <c r="M4042" t="s">
        <v>347</v>
      </c>
      <c r="N4042">
        <v>0</v>
      </c>
      <c r="O4042" t="s">
        <v>31</v>
      </c>
      <c r="P4042" t="s">
        <v>297</v>
      </c>
      <c r="Q4042">
        <v>0</v>
      </c>
    </row>
    <row r="4043" spans="1:17" x14ac:dyDescent="0.3">
      <c r="A4043" t="s">
        <v>17</v>
      </c>
      <c r="B4043">
        <v>69</v>
      </c>
      <c r="C4043" t="s">
        <v>297</v>
      </c>
      <c r="D4043" s="2">
        <v>46112</v>
      </c>
      <c r="E4043" s="3">
        <f t="shared" si="63"/>
        <v>46082</v>
      </c>
      <c r="F4043" t="s">
        <v>3341</v>
      </c>
      <c r="H4043" s="4">
        <v>149.81</v>
      </c>
      <c r="I4043" t="s">
        <v>47</v>
      </c>
      <c r="J4043" t="s">
        <v>346</v>
      </c>
      <c r="L4043" s="2">
        <v>46082</v>
      </c>
      <c r="M4043" t="s">
        <v>347</v>
      </c>
      <c r="N4043">
        <v>0</v>
      </c>
      <c r="O4043" t="s">
        <v>26</v>
      </c>
      <c r="P4043" t="s">
        <v>297</v>
      </c>
      <c r="Q4043">
        <v>0</v>
      </c>
    </row>
    <row r="4044" spans="1:17" x14ac:dyDescent="0.3">
      <c r="A4044" t="s">
        <v>17</v>
      </c>
      <c r="B4044">
        <v>69</v>
      </c>
      <c r="C4044" t="s">
        <v>297</v>
      </c>
      <c r="D4044" s="2">
        <v>46112</v>
      </c>
      <c r="E4044" s="3">
        <f t="shared" si="63"/>
        <v>46082</v>
      </c>
      <c r="F4044" t="s">
        <v>3341</v>
      </c>
      <c r="H4044" s="4">
        <v>33.57</v>
      </c>
      <c r="I4044" t="s">
        <v>348</v>
      </c>
      <c r="J4044" t="s">
        <v>346</v>
      </c>
      <c r="L4044" s="2">
        <v>46082</v>
      </c>
      <c r="M4044" t="s">
        <v>347</v>
      </c>
      <c r="N4044">
        <v>0</v>
      </c>
      <c r="O4044" t="s">
        <v>348</v>
      </c>
      <c r="P4044" t="s">
        <v>297</v>
      </c>
      <c r="Q4044">
        <v>0</v>
      </c>
    </row>
    <row r="4045" spans="1:17" x14ac:dyDescent="0.3">
      <c r="A4045" t="s">
        <v>17</v>
      </c>
      <c r="B4045">
        <v>69</v>
      </c>
      <c r="C4045" t="s">
        <v>297</v>
      </c>
      <c r="D4045" s="2">
        <v>46112</v>
      </c>
      <c r="E4045" s="3">
        <f t="shared" si="63"/>
        <v>46082</v>
      </c>
      <c r="F4045" t="s">
        <v>3341</v>
      </c>
      <c r="H4045" s="4">
        <v>216.66</v>
      </c>
      <c r="I4045" t="s">
        <v>104</v>
      </c>
      <c r="J4045" t="s">
        <v>346</v>
      </c>
      <c r="L4045" s="2">
        <v>46082</v>
      </c>
      <c r="M4045" t="s">
        <v>347</v>
      </c>
      <c r="N4045">
        <v>0</v>
      </c>
      <c r="O4045" t="s">
        <v>104</v>
      </c>
      <c r="P4045" t="s">
        <v>297</v>
      </c>
      <c r="Q4045">
        <v>0</v>
      </c>
    </row>
    <row r="4046" spans="1:17" x14ac:dyDescent="0.3">
      <c r="A4046" t="s">
        <v>17</v>
      </c>
      <c r="B4046">
        <v>69</v>
      </c>
      <c r="C4046" t="s">
        <v>297</v>
      </c>
      <c r="D4046" s="2">
        <v>46112</v>
      </c>
      <c r="E4046" s="3">
        <f t="shared" si="63"/>
        <v>46082</v>
      </c>
      <c r="F4046" t="s">
        <v>3341</v>
      </c>
      <c r="H4046" s="4">
        <v>190.18</v>
      </c>
      <c r="I4046" t="s">
        <v>108</v>
      </c>
      <c r="J4046" t="s">
        <v>346</v>
      </c>
      <c r="L4046" s="2">
        <v>46082</v>
      </c>
      <c r="M4046" t="s">
        <v>347</v>
      </c>
      <c r="N4046">
        <v>0</v>
      </c>
      <c r="O4046" t="s">
        <v>111</v>
      </c>
      <c r="P4046" t="s">
        <v>297</v>
      </c>
      <c r="Q4046">
        <v>0</v>
      </c>
    </row>
    <row r="4047" spans="1:17" x14ac:dyDescent="0.3">
      <c r="A4047" t="s">
        <v>17</v>
      </c>
      <c r="B4047">
        <v>69</v>
      </c>
      <c r="C4047" t="s">
        <v>297</v>
      </c>
      <c r="D4047" s="2">
        <v>46112</v>
      </c>
      <c r="E4047" s="3">
        <f t="shared" si="63"/>
        <v>46082</v>
      </c>
      <c r="F4047" t="s">
        <v>3341</v>
      </c>
      <c r="H4047" s="4">
        <v>274.3</v>
      </c>
      <c r="I4047" t="s">
        <v>21</v>
      </c>
      <c r="J4047" t="s">
        <v>346</v>
      </c>
      <c r="L4047" s="2">
        <v>46082</v>
      </c>
      <c r="M4047" t="s">
        <v>347</v>
      </c>
      <c r="N4047" t="s">
        <v>25</v>
      </c>
      <c r="O4047" t="s">
        <v>81</v>
      </c>
      <c r="P4047" t="s">
        <v>297</v>
      </c>
      <c r="Q4047">
        <v>0</v>
      </c>
    </row>
    <row r="4048" spans="1:17" x14ac:dyDescent="0.3">
      <c r="A4048" t="s">
        <v>17</v>
      </c>
      <c r="B4048">
        <v>69</v>
      </c>
      <c r="C4048" t="s">
        <v>297</v>
      </c>
      <c r="D4048" s="2">
        <v>46112</v>
      </c>
      <c r="E4048" s="3">
        <f t="shared" si="63"/>
        <v>46082</v>
      </c>
      <c r="F4048" t="s">
        <v>3341</v>
      </c>
      <c r="H4048" s="4">
        <v>113.67</v>
      </c>
      <c r="I4048" t="s">
        <v>137</v>
      </c>
      <c r="J4048" t="s">
        <v>346</v>
      </c>
      <c r="L4048" s="2">
        <v>46082</v>
      </c>
      <c r="M4048" t="s">
        <v>347</v>
      </c>
      <c r="N4048" t="s">
        <v>141</v>
      </c>
      <c r="O4048" t="s">
        <v>141</v>
      </c>
      <c r="P4048" t="s">
        <v>297</v>
      </c>
      <c r="Q4048">
        <v>0</v>
      </c>
    </row>
    <row r="4049" spans="1:17" x14ac:dyDescent="0.3">
      <c r="A4049" t="s">
        <v>17</v>
      </c>
      <c r="B4049">
        <v>69</v>
      </c>
      <c r="C4049" t="s">
        <v>297</v>
      </c>
      <c r="D4049" s="2">
        <v>46112</v>
      </c>
      <c r="E4049" s="3">
        <f t="shared" si="63"/>
        <v>46082</v>
      </c>
      <c r="F4049" t="s">
        <v>3341</v>
      </c>
      <c r="H4049" s="4">
        <v>66.72</v>
      </c>
      <c r="I4049" t="s">
        <v>159</v>
      </c>
      <c r="J4049" t="s">
        <v>346</v>
      </c>
      <c r="L4049" s="2">
        <v>46082</v>
      </c>
      <c r="M4049" t="s">
        <v>347</v>
      </c>
      <c r="N4049">
        <v>0</v>
      </c>
      <c r="O4049" t="s">
        <v>159</v>
      </c>
      <c r="P4049" t="s">
        <v>297</v>
      </c>
      <c r="Q4049">
        <v>0</v>
      </c>
    </row>
    <row r="4050" spans="1:17" x14ac:dyDescent="0.3">
      <c r="A4050" t="s">
        <v>17</v>
      </c>
      <c r="B4050">
        <v>69</v>
      </c>
      <c r="C4050" t="s">
        <v>297</v>
      </c>
      <c r="D4050" s="2">
        <v>46112</v>
      </c>
      <c r="E4050" s="3">
        <f t="shared" si="63"/>
        <v>46082</v>
      </c>
      <c r="F4050" t="s">
        <v>3342</v>
      </c>
      <c r="H4050" s="4">
        <v>1954.72</v>
      </c>
      <c r="I4050" t="s">
        <v>31</v>
      </c>
      <c r="J4050" t="s">
        <v>299</v>
      </c>
      <c r="K4050" t="s">
        <v>300</v>
      </c>
      <c r="L4050" s="2">
        <v>46082</v>
      </c>
      <c r="M4050" t="s">
        <v>301</v>
      </c>
      <c r="N4050">
        <v>0</v>
      </c>
      <c r="O4050" t="s">
        <v>31</v>
      </c>
      <c r="P4050" t="s">
        <v>297</v>
      </c>
      <c r="Q4050">
        <v>0</v>
      </c>
    </row>
    <row r="4051" spans="1:17" x14ac:dyDescent="0.3">
      <c r="A4051" t="s">
        <v>17</v>
      </c>
      <c r="B4051">
        <v>65</v>
      </c>
      <c r="C4051" t="s">
        <v>54</v>
      </c>
      <c r="D4051" s="2">
        <v>46112</v>
      </c>
      <c r="E4051" s="3">
        <f t="shared" si="63"/>
        <v>46082</v>
      </c>
      <c r="F4051" t="s">
        <v>3237</v>
      </c>
      <c r="H4051" s="4">
        <v>23940.66</v>
      </c>
      <c r="I4051" t="s">
        <v>31</v>
      </c>
      <c r="J4051" t="s">
        <v>296</v>
      </c>
      <c r="L4051" s="2">
        <v>46082</v>
      </c>
      <c r="M4051" t="s">
        <v>296</v>
      </c>
      <c r="N4051">
        <v>0</v>
      </c>
      <c r="O4051" t="s">
        <v>31</v>
      </c>
      <c r="P4051" t="s">
        <v>54</v>
      </c>
      <c r="Q4051">
        <v>0</v>
      </c>
    </row>
    <row r="4052" spans="1:17" x14ac:dyDescent="0.3">
      <c r="A4052" t="s">
        <v>17</v>
      </c>
      <c r="B4052">
        <v>65</v>
      </c>
      <c r="C4052" t="s">
        <v>54</v>
      </c>
      <c r="D4052" s="2">
        <v>46112</v>
      </c>
      <c r="E4052" s="3">
        <f t="shared" si="63"/>
        <v>46082</v>
      </c>
      <c r="F4052" t="s">
        <v>3237</v>
      </c>
      <c r="H4052" s="4">
        <v>606</v>
      </c>
      <c r="I4052" t="s">
        <v>31</v>
      </c>
      <c r="J4052" t="s">
        <v>296</v>
      </c>
      <c r="L4052" s="2">
        <v>46082</v>
      </c>
      <c r="M4052" t="s">
        <v>296</v>
      </c>
      <c r="N4052">
        <v>0</v>
      </c>
      <c r="O4052" t="s">
        <v>31</v>
      </c>
      <c r="P4052" t="s">
        <v>54</v>
      </c>
      <c r="Q4052">
        <v>0</v>
      </c>
    </row>
    <row r="4053" spans="1:17" x14ac:dyDescent="0.3">
      <c r="A4053" t="s">
        <v>17</v>
      </c>
      <c r="B4053">
        <v>67</v>
      </c>
      <c r="C4053" t="s">
        <v>28</v>
      </c>
      <c r="D4053" s="2">
        <v>46113</v>
      </c>
      <c r="E4053" s="3">
        <f t="shared" si="63"/>
        <v>46113</v>
      </c>
      <c r="F4053">
        <v>21784</v>
      </c>
      <c r="G4053" t="s">
        <v>52</v>
      </c>
      <c r="H4053" s="4">
        <v>18.899999999999999</v>
      </c>
      <c r="I4053" t="s">
        <v>31</v>
      </c>
      <c r="J4053" t="s">
        <v>48</v>
      </c>
      <c r="K4053" t="s">
        <v>1339</v>
      </c>
      <c r="L4053" s="2">
        <v>46113</v>
      </c>
      <c r="M4053" t="s">
        <v>50</v>
      </c>
      <c r="N4053">
        <v>0</v>
      </c>
      <c r="O4053" t="s">
        <v>31</v>
      </c>
      <c r="P4053" t="s">
        <v>28</v>
      </c>
      <c r="Q4053">
        <v>0</v>
      </c>
    </row>
    <row r="4054" spans="1:17" x14ac:dyDescent="0.3">
      <c r="A4054" t="s">
        <v>17</v>
      </c>
      <c r="B4054">
        <v>67</v>
      </c>
      <c r="C4054" t="s">
        <v>28</v>
      </c>
      <c r="D4054" s="2">
        <v>46113</v>
      </c>
      <c r="E4054" s="3">
        <f t="shared" si="63"/>
        <v>46113</v>
      </c>
      <c r="F4054">
        <v>21784</v>
      </c>
      <c r="G4054" t="s">
        <v>52</v>
      </c>
      <c r="H4054" s="4">
        <v>400</v>
      </c>
      <c r="I4054" t="s">
        <v>31</v>
      </c>
      <c r="J4054" t="s">
        <v>48</v>
      </c>
      <c r="K4054" t="s">
        <v>1340</v>
      </c>
      <c r="L4054" s="2">
        <v>46113</v>
      </c>
      <c r="M4054" t="s">
        <v>50</v>
      </c>
      <c r="N4054">
        <v>0</v>
      </c>
      <c r="O4054" t="s">
        <v>31</v>
      </c>
      <c r="P4054" t="s">
        <v>28</v>
      </c>
      <c r="Q4054">
        <v>0</v>
      </c>
    </row>
    <row r="4055" spans="1:17" x14ac:dyDescent="0.3">
      <c r="A4055" t="s">
        <v>17</v>
      </c>
      <c r="B4055">
        <v>67</v>
      </c>
      <c r="C4055" t="s">
        <v>28</v>
      </c>
      <c r="D4055" s="2">
        <v>46113</v>
      </c>
      <c r="E4055" s="3">
        <f t="shared" si="63"/>
        <v>46113</v>
      </c>
      <c r="F4055">
        <v>21784</v>
      </c>
      <c r="G4055" t="s">
        <v>52</v>
      </c>
      <c r="H4055" s="4">
        <v>9</v>
      </c>
      <c r="I4055" t="s">
        <v>31</v>
      </c>
      <c r="J4055" t="s">
        <v>48</v>
      </c>
      <c r="K4055" t="s">
        <v>1341</v>
      </c>
      <c r="L4055" s="2">
        <v>46113</v>
      </c>
      <c r="M4055" t="s">
        <v>50</v>
      </c>
      <c r="N4055">
        <v>0</v>
      </c>
      <c r="O4055" t="s">
        <v>31</v>
      </c>
      <c r="P4055" t="s">
        <v>28</v>
      </c>
      <c r="Q4055">
        <v>0</v>
      </c>
    </row>
    <row r="4056" spans="1:17" x14ac:dyDescent="0.3">
      <c r="A4056" t="s">
        <v>17</v>
      </c>
      <c r="B4056">
        <v>67</v>
      </c>
      <c r="C4056" t="s">
        <v>28</v>
      </c>
      <c r="D4056" s="2">
        <v>46113</v>
      </c>
      <c r="E4056" s="3">
        <f t="shared" si="63"/>
        <v>46113</v>
      </c>
      <c r="F4056">
        <v>21784</v>
      </c>
      <c r="G4056" t="s">
        <v>52</v>
      </c>
      <c r="H4056" s="4">
        <v>125</v>
      </c>
      <c r="I4056" t="s">
        <v>31</v>
      </c>
      <c r="J4056" t="s">
        <v>48</v>
      </c>
      <c r="K4056" t="s">
        <v>1342</v>
      </c>
      <c r="L4056" s="2">
        <v>46113</v>
      </c>
      <c r="M4056" t="s">
        <v>50</v>
      </c>
      <c r="N4056">
        <v>0</v>
      </c>
      <c r="O4056" t="s">
        <v>31</v>
      </c>
      <c r="P4056" t="s">
        <v>28</v>
      </c>
      <c r="Q4056">
        <v>0</v>
      </c>
    </row>
    <row r="4057" spans="1:17" x14ac:dyDescent="0.3">
      <c r="A4057" t="s">
        <v>17</v>
      </c>
      <c r="B4057">
        <v>67</v>
      </c>
      <c r="C4057" t="s">
        <v>28</v>
      </c>
      <c r="D4057" s="2">
        <v>46113</v>
      </c>
      <c r="E4057" s="3">
        <f t="shared" si="63"/>
        <v>46113</v>
      </c>
      <c r="F4057">
        <v>21784</v>
      </c>
      <c r="G4057" t="s">
        <v>52</v>
      </c>
      <c r="H4057" s="4">
        <v>2000</v>
      </c>
      <c r="I4057" t="s">
        <v>31</v>
      </c>
      <c r="J4057" t="s">
        <v>48</v>
      </c>
      <c r="K4057" t="s">
        <v>3343</v>
      </c>
      <c r="L4057" s="2">
        <v>46113</v>
      </c>
      <c r="M4057" t="s">
        <v>50</v>
      </c>
      <c r="N4057">
        <v>0</v>
      </c>
      <c r="O4057" t="s">
        <v>31</v>
      </c>
      <c r="P4057" t="s">
        <v>28</v>
      </c>
      <c r="Q4057">
        <v>0</v>
      </c>
    </row>
    <row r="4058" spans="1:17" x14ac:dyDescent="0.3">
      <c r="A4058" t="s">
        <v>17</v>
      </c>
      <c r="B4058">
        <v>65</v>
      </c>
      <c r="C4058" t="s">
        <v>54</v>
      </c>
      <c r="D4058" s="2">
        <v>46113</v>
      </c>
      <c r="E4058" s="3">
        <f t="shared" si="63"/>
        <v>46113</v>
      </c>
      <c r="F4058" t="s">
        <v>3344</v>
      </c>
      <c r="G4058" t="s">
        <v>40</v>
      </c>
      <c r="H4058" s="4">
        <v>31017.18</v>
      </c>
      <c r="I4058" t="s">
        <v>31</v>
      </c>
      <c r="J4058" t="s">
        <v>55</v>
      </c>
      <c r="K4058" t="s">
        <v>3345</v>
      </c>
      <c r="L4058" s="2">
        <v>46113</v>
      </c>
      <c r="M4058" t="s">
        <v>55</v>
      </c>
      <c r="N4058">
        <v>0</v>
      </c>
      <c r="O4058" t="s">
        <v>31</v>
      </c>
      <c r="P4058" t="s">
        <v>54</v>
      </c>
      <c r="Q4058">
        <v>0</v>
      </c>
    </row>
    <row r="4059" spans="1:17" x14ac:dyDescent="0.3">
      <c r="A4059" t="s">
        <v>17</v>
      </c>
      <c r="B4059">
        <v>68</v>
      </c>
      <c r="C4059" t="s">
        <v>34</v>
      </c>
      <c r="D4059" s="2">
        <v>46113</v>
      </c>
      <c r="E4059" s="3">
        <f t="shared" si="63"/>
        <v>46113</v>
      </c>
      <c r="F4059" t="s">
        <v>3346</v>
      </c>
      <c r="G4059" t="s">
        <v>122</v>
      </c>
      <c r="H4059" s="4">
        <v>2.04</v>
      </c>
      <c r="I4059" t="s">
        <v>108</v>
      </c>
      <c r="J4059" t="s">
        <v>109</v>
      </c>
      <c r="L4059" s="2">
        <v>46113</v>
      </c>
      <c r="M4059" t="s">
        <v>109</v>
      </c>
      <c r="N4059">
        <v>0</v>
      </c>
      <c r="O4059" t="s">
        <v>111</v>
      </c>
      <c r="P4059" t="s">
        <v>112</v>
      </c>
      <c r="Q4059" t="s">
        <v>113</v>
      </c>
    </row>
    <row r="4060" spans="1:17" x14ac:dyDescent="0.3">
      <c r="A4060" t="s">
        <v>17</v>
      </c>
      <c r="B4060">
        <v>68</v>
      </c>
      <c r="C4060" t="s">
        <v>34</v>
      </c>
      <c r="D4060" s="2">
        <v>46113</v>
      </c>
      <c r="E4060" s="3">
        <f t="shared" si="63"/>
        <v>46113</v>
      </c>
      <c r="F4060" t="s">
        <v>3346</v>
      </c>
      <c r="G4060" t="s">
        <v>122</v>
      </c>
      <c r="H4060" s="4">
        <v>17.5</v>
      </c>
      <c r="I4060" t="s">
        <v>108</v>
      </c>
      <c r="J4060" t="s">
        <v>109</v>
      </c>
      <c r="L4060" s="2">
        <v>46113</v>
      </c>
      <c r="M4060" t="s">
        <v>109</v>
      </c>
      <c r="N4060">
        <v>0</v>
      </c>
      <c r="O4060" t="s">
        <v>111</v>
      </c>
      <c r="P4060" t="s">
        <v>112</v>
      </c>
      <c r="Q4060" t="s">
        <v>113</v>
      </c>
    </row>
    <row r="4061" spans="1:17" x14ac:dyDescent="0.3">
      <c r="A4061" t="s">
        <v>17</v>
      </c>
      <c r="B4061">
        <v>68</v>
      </c>
      <c r="C4061" t="s">
        <v>34</v>
      </c>
      <c r="D4061" s="2">
        <v>46113</v>
      </c>
      <c r="E4061" s="3">
        <f t="shared" si="63"/>
        <v>46113</v>
      </c>
      <c r="F4061" t="s">
        <v>3346</v>
      </c>
      <c r="G4061" t="s">
        <v>122</v>
      </c>
      <c r="H4061" s="4">
        <v>1.34</v>
      </c>
      <c r="I4061" t="s">
        <v>108</v>
      </c>
      <c r="J4061" t="s">
        <v>109</v>
      </c>
      <c r="L4061" s="2">
        <v>46113</v>
      </c>
      <c r="M4061" t="s">
        <v>109</v>
      </c>
      <c r="N4061">
        <v>0</v>
      </c>
      <c r="O4061" t="s">
        <v>111</v>
      </c>
      <c r="P4061" t="s">
        <v>112</v>
      </c>
      <c r="Q4061" t="s">
        <v>113</v>
      </c>
    </row>
    <row r="4062" spans="1:17" x14ac:dyDescent="0.3">
      <c r="A4062" t="s">
        <v>17</v>
      </c>
      <c r="B4062">
        <v>68</v>
      </c>
      <c r="C4062" t="s">
        <v>34</v>
      </c>
      <c r="D4062" s="2">
        <v>46113</v>
      </c>
      <c r="E4062" s="3">
        <f t="shared" si="63"/>
        <v>46113</v>
      </c>
      <c r="F4062" t="s">
        <v>3347</v>
      </c>
      <c r="G4062" t="s">
        <v>122</v>
      </c>
      <c r="H4062" s="4">
        <v>3.44</v>
      </c>
      <c r="I4062" t="s">
        <v>108</v>
      </c>
      <c r="J4062" t="s">
        <v>109</v>
      </c>
      <c r="L4062" s="2">
        <v>46113</v>
      </c>
      <c r="M4062" t="s">
        <v>109</v>
      </c>
      <c r="N4062">
        <v>0</v>
      </c>
      <c r="O4062" t="s">
        <v>111</v>
      </c>
      <c r="P4062" t="s">
        <v>112</v>
      </c>
      <c r="Q4062" t="s">
        <v>113</v>
      </c>
    </row>
    <row r="4063" spans="1:17" x14ac:dyDescent="0.3">
      <c r="A4063" t="s">
        <v>17</v>
      </c>
      <c r="B4063">
        <v>68</v>
      </c>
      <c r="C4063" t="s">
        <v>34</v>
      </c>
      <c r="D4063" s="2">
        <v>46113</v>
      </c>
      <c r="E4063" s="3">
        <f t="shared" si="63"/>
        <v>46113</v>
      </c>
      <c r="F4063" t="s">
        <v>3347</v>
      </c>
      <c r="G4063" t="s">
        <v>122</v>
      </c>
      <c r="H4063" s="4">
        <v>17.5</v>
      </c>
      <c r="I4063" t="s">
        <v>108</v>
      </c>
      <c r="J4063" t="s">
        <v>109</v>
      </c>
      <c r="L4063" s="2">
        <v>46113</v>
      </c>
      <c r="M4063" t="s">
        <v>109</v>
      </c>
      <c r="N4063">
        <v>0</v>
      </c>
      <c r="O4063" t="s">
        <v>111</v>
      </c>
      <c r="P4063" t="s">
        <v>112</v>
      </c>
      <c r="Q4063" t="s">
        <v>113</v>
      </c>
    </row>
    <row r="4064" spans="1:17" x14ac:dyDescent="0.3">
      <c r="A4064" t="s">
        <v>17</v>
      </c>
      <c r="B4064">
        <v>68</v>
      </c>
      <c r="C4064" t="s">
        <v>34</v>
      </c>
      <c r="D4064" s="2">
        <v>46113</v>
      </c>
      <c r="E4064" s="3">
        <f t="shared" si="63"/>
        <v>46113</v>
      </c>
      <c r="F4064" t="s">
        <v>3347</v>
      </c>
      <c r="G4064" t="s">
        <v>122</v>
      </c>
      <c r="H4064" s="4">
        <v>1.34</v>
      </c>
      <c r="I4064" t="s">
        <v>108</v>
      </c>
      <c r="J4064" t="s">
        <v>109</v>
      </c>
      <c r="L4064" s="2">
        <v>46113</v>
      </c>
      <c r="M4064" t="s">
        <v>109</v>
      </c>
      <c r="N4064">
        <v>0</v>
      </c>
      <c r="O4064" t="s">
        <v>111</v>
      </c>
      <c r="P4064" t="s">
        <v>112</v>
      </c>
      <c r="Q4064" t="s">
        <v>113</v>
      </c>
    </row>
    <row r="4065" spans="1:17" x14ac:dyDescent="0.3">
      <c r="A4065" t="s">
        <v>17</v>
      </c>
      <c r="B4065">
        <v>68</v>
      </c>
      <c r="C4065" t="s">
        <v>34</v>
      </c>
      <c r="D4065" s="2">
        <v>46113</v>
      </c>
      <c r="E4065" s="3">
        <f t="shared" si="63"/>
        <v>46113</v>
      </c>
      <c r="F4065" t="s">
        <v>3348</v>
      </c>
      <c r="G4065" t="s">
        <v>291</v>
      </c>
      <c r="H4065" s="4">
        <v>353.94</v>
      </c>
      <c r="I4065" t="s">
        <v>47</v>
      </c>
      <c r="J4065" t="s">
        <v>109</v>
      </c>
      <c r="L4065" s="2">
        <v>46113</v>
      </c>
      <c r="M4065" t="s">
        <v>109</v>
      </c>
      <c r="N4065">
        <v>0</v>
      </c>
      <c r="O4065" t="s">
        <v>26</v>
      </c>
      <c r="P4065" t="s">
        <v>112</v>
      </c>
      <c r="Q4065" t="s">
        <v>113</v>
      </c>
    </row>
    <row r="4066" spans="1:17" x14ac:dyDescent="0.3">
      <c r="A4066" t="s">
        <v>17</v>
      </c>
      <c r="B4066">
        <v>68</v>
      </c>
      <c r="C4066" t="s">
        <v>34</v>
      </c>
      <c r="D4066" s="2">
        <v>46113</v>
      </c>
      <c r="E4066" s="3">
        <f t="shared" si="63"/>
        <v>46113</v>
      </c>
      <c r="F4066" t="s">
        <v>3348</v>
      </c>
      <c r="G4066" t="s">
        <v>291</v>
      </c>
      <c r="H4066" s="4">
        <v>86.64</v>
      </c>
      <c r="I4066" t="s">
        <v>47</v>
      </c>
      <c r="J4066" t="s">
        <v>109</v>
      </c>
      <c r="K4066" t="s">
        <v>3349</v>
      </c>
      <c r="L4066" s="2">
        <v>46113</v>
      </c>
      <c r="M4066" t="s">
        <v>109</v>
      </c>
      <c r="N4066">
        <v>0</v>
      </c>
      <c r="O4066" t="s">
        <v>26</v>
      </c>
      <c r="P4066" t="s">
        <v>112</v>
      </c>
      <c r="Q4066" t="s">
        <v>113</v>
      </c>
    </row>
    <row r="4067" spans="1:17" x14ac:dyDescent="0.3">
      <c r="A4067" t="s">
        <v>17</v>
      </c>
      <c r="B4067">
        <v>68</v>
      </c>
      <c r="C4067" t="s">
        <v>34</v>
      </c>
      <c r="D4067" s="2">
        <v>46113</v>
      </c>
      <c r="E4067" s="3">
        <f t="shared" si="63"/>
        <v>46113</v>
      </c>
      <c r="F4067" t="s">
        <v>3348</v>
      </c>
      <c r="G4067" t="s">
        <v>291</v>
      </c>
      <c r="H4067" s="4">
        <v>56.64</v>
      </c>
      <c r="I4067" t="s">
        <v>47</v>
      </c>
      <c r="J4067" t="s">
        <v>109</v>
      </c>
      <c r="L4067" s="2">
        <v>46113</v>
      </c>
      <c r="M4067" t="s">
        <v>109</v>
      </c>
      <c r="N4067">
        <v>0</v>
      </c>
      <c r="O4067" t="s">
        <v>26</v>
      </c>
      <c r="P4067" t="s">
        <v>112</v>
      </c>
      <c r="Q4067" t="s">
        <v>113</v>
      </c>
    </row>
    <row r="4068" spans="1:17" x14ac:dyDescent="0.3">
      <c r="A4068" t="s">
        <v>17</v>
      </c>
      <c r="B4068">
        <v>67</v>
      </c>
      <c r="C4068" t="s">
        <v>28</v>
      </c>
      <c r="D4068" s="2">
        <v>46113</v>
      </c>
      <c r="E4068" s="3">
        <f t="shared" si="63"/>
        <v>46113</v>
      </c>
      <c r="F4068" t="s">
        <v>3350</v>
      </c>
      <c r="G4068" t="s">
        <v>1726</v>
      </c>
      <c r="H4068" s="4">
        <v>10000</v>
      </c>
      <c r="I4068" t="s">
        <v>21</v>
      </c>
      <c r="J4068" t="s">
        <v>74</v>
      </c>
      <c r="K4068" t="s">
        <v>3351</v>
      </c>
      <c r="L4068" s="2">
        <v>46113</v>
      </c>
      <c r="M4068" t="s">
        <v>76</v>
      </c>
      <c r="N4068" t="s">
        <v>25</v>
      </c>
      <c r="O4068" t="s">
        <v>81</v>
      </c>
      <c r="P4068" t="s">
        <v>28</v>
      </c>
      <c r="Q4068">
        <v>0</v>
      </c>
    </row>
    <row r="4069" spans="1:17" x14ac:dyDescent="0.3">
      <c r="A4069" t="s">
        <v>17</v>
      </c>
      <c r="B4069">
        <v>68</v>
      </c>
      <c r="C4069" t="s">
        <v>34</v>
      </c>
      <c r="D4069" s="2">
        <v>46113</v>
      </c>
      <c r="E4069" s="3">
        <f t="shared" si="63"/>
        <v>46113</v>
      </c>
      <c r="F4069" t="s">
        <v>3352</v>
      </c>
      <c r="G4069" t="s">
        <v>43</v>
      </c>
      <c r="H4069" s="4">
        <v>270.8</v>
      </c>
      <c r="I4069" t="s">
        <v>31</v>
      </c>
      <c r="J4069" t="s">
        <v>37</v>
      </c>
      <c r="K4069" t="s">
        <v>1734</v>
      </c>
      <c r="L4069" s="2">
        <v>46113</v>
      </c>
      <c r="M4069" t="s">
        <v>37</v>
      </c>
      <c r="N4069">
        <v>0</v>
      </c>
      <c r="O4069" t="s">
        <v>31</v>
      </c>
      <c r="P4069" t="s">
        <v>34</v>
      </c>
      <c r="Q4069">
        <v>0</v>
      </c>
    </row>
    <row r="4070" spans="1:17" x14ac:dyDescent="0.3">
      <c r="A4070" t="s">
        <v>17</v>
      </c>
      <c r="B4070">
        <v>68</v>
      </c>
      <c r="C4070" t="s">
        <v>34</v>
      </c>
      <c r="D4070" s="2">
        <v>46113</v>
      </c>
      <c r="E4070" s="3">
        <f t="shared" si="63"/>
        <v>46113</v>
      </c>
      <c r="F4070" t="s">
        <v>3344</v>
      </c>
      <c r="G4070" t="s">
        <v>40</v>
      </c>
      <c r="H4070" s="4">
        <v>259.94</v>
      </c>
      <c r="I4070" t="s">
        <v>31</v>
      </c>
      <c r="J4070" t="s">
        <v>37</v>
      </c>
      <c r="K4070" t="s">
        <v>3353</v>
      </c>
      <c r="L4070" s="2">
        <v>46113</v>
      </c>
      <c r="M4070" t="s">
        <v>37</v>
      </c>
      <c r="N4070">
        <v>0</v>
      </c>
      <c r="O4070" t="s">
        <v>31</v>
      </c>
      <c r="P4070" t="s">
        <v>34</v>
      </c>
      <c r="Q4070">
        <v>0</v>
      </c>
    </row>
    <row r="4071" spans="1:17" x14ac:dyDescent="0.3">
      <c r="A4071" t="s">
        <v>17</v>
      </c>
      <c r="B4071">
        <v>68</v>
      </c>
      <c r="C4071" t="s">
        <v>34</v>
      </c>
      <c r="D4071" s="2">
        <v>46113</v>
      </c>
      <c r="E4071" s="3">
        <f t="shared" si="63"/>
        <v>46113</v>
      </c>
      <c r="F4071" t="s">
        <v>3354</v>
      </c>
      <c r="H4071" s="4">
        <v>-259.94</v>
      </c>
      <c r="I4071" t="s">
        <v>31</v>
      </c>
      <c r="J4071" t="s">
        <v>37</v>
      </c>
      <c r="K4071" t="s">
        <v>3335</v>
      </c>
      <c r="L4071" s="2">
        <v>46113</v>
      </c>
      <c r="M4071" t="s">
        <v>37</v>
      </c>
      <c r="N4071">
        <v>0</v>
      </c>
      <c r="O4071" t="s">
        <v>31</v>
      </c>
      <c r="P4071" t="s">
        <v>34</v>
      </c>
      <c r="Q4071">
        <v>0</v>
      </c>
    </row>
    <row r="4072" spans="1:17" x14ac:dyDescent="0.3">
      <c r="A4072" t="s">
        <v>17</v>
      </c>
      <c r="B4072">
        <v>68</v>
      </c>
      <c r="C4072" t="s">
        <v>34</v>
      </c>
      <c r="D4072" s="2">
        <v>46114</v>
      </c>
      <c r="E4072" s="3">
        <f t="shared" si="63"/>
        <v>46113</v>
      </c>
      <c r="F4072" t="s">
        <v>3355</v>
      </c>
      <c r="H4072" s="4">
        <v>0</v>
      </c>
      <c r="I4072" t="s">
        <v>21</v>
      </c>
      <c r="J4072" t="s">
        <v>79</v>
      </c>
      <c r="K4072" t="s">
        <v>320</v>
      </c>
      <c r="L4072" s="2">
        <v>46113</v>
      </c>
      <c r="M4072" t="s">
        <v>79</v>
      </c>
      <c r="N4072" t="s">
        <v>25</v>
      </c>
      <c r="O4072" t="s">
        <v>81</v>
      </c>
      <c r="P4072" t="s">
        <v>34</v>
      </c>
      <c r="Q4072">
        <v>0</v>
      </c>
    </row>
    <row r="4073" spans="1:17" x14ac:dyDescent="0.3">
      <c r="A4073" t="s">
        <v>17</v>
      </c>
      <c r="B4073">
        <v>68</v>
      </c>
      <c r="C4073" t="s">
        <v>34</v>
      </c>
      <c r="D4073" s="2">
        <v>46114</v>
      </c>
      <c r="E4073" s="3">
        <f t="shared" si="63"/>
        <v>46113</v>
      </c>
      <c r="F4073" t="s">
        <v>3356</v>
      </c>
      <c r="G4073" t="s">
        <v>122</v>
      </c>
      <c r="H4073" s="4">
        <v>20.57</v>
      </c>
      <c r="I4073" t="s">
        <v>108</v>
      </c>
      <c r="J4073" t="s">
        <v>109</v>
      </c>
      <c r="K4073" t="s">
        <v>1457</v>
      </c>
      <c r="L4073" s="2">
        <v>46113</v>
      </c>
      <c r="M4073" t="s">
        <v>109</v>
      </c>
      <c r="N4073">
        <v>0</v>
      </c>
      <c r="O4073" t="s">
        <v>111</v>
      </c>
      <c r="P4073" t="s">
        <v>112</v>
      </c>
      <c r="Q4073" t="s">
        <v>113</v>
      </c>
    </row>
    <row r="4074" spans="1:17" x14ac:dyDescent="0.3">
      <c r="A4074" t="s">
        <v>17</v>
      </c>
      <c r="B4074">
        <v>64</v>
      </c>
      <c r="C4074" t="s">
        <v>83</v>
      </c>
      <c r="D4074" s="2">
        <v>46115</v>
      </c>
      <c r="E4074" s="3">
        <f t="shared" si="63"/>
        <v>46113</v>
      </c>
      <c r="F4074" t="s">
        <v>3357</v>
      </c>
      <c r="H4074" s="4">
        <v>7.08</v>
      </c>
      <c r="I4074" t="s">
        <v>21</v>
      </c>
      <c r="J4074" t="s">
        <v>91</v>
      </c>
      <c r="K4074" t="s">
        <v>3358</v>
      </c>
      <c r="L4074" s="2">
        <v>46113</v>
      </c>
      <c r="M4074" t="s">
        <v>93</v>
      </c>
      <c r="N4074" t="s">
        <v>25</v>
      </c>
      <c r="O4074" t="s">
        <v>81</v>
      </c>
      <c r="P4074" t="s">
        <v>83</v>
      </c>
      <c r="Q4074">
        <v>0</v>
      </c>
    </row>
    <row r="4075" spans="1:17" x14ac:dyDescent="0.3">
      <c r="A4075" t="s">
        <v>17</v>
      </c>
      <c r="B4075">
        <v>64</v>
      </c>
      <c r="C4075" t="s">
        <v>83</v>
      </c>
      <c r="D4075" s="2">
        <v>46115</v>
      </c>
      <c r="E4075" s="3">
        <f t="shared" si="63"/>
        <v>46113</v>
      </c>
      <c r="F4075" t="s">
        <v>3359</v>
      </c>
      <c r="H4075" s="4">
        <v>41.88</v>
      </c>
      <c r="I4075" t="s">
        <v>31</v>
      </c>
      <c r="J4075" t="s">
        <v>91</v>
      </c>
      <c r="K4075" t="s">
        <v>3360</v>
      </c>
      <c r="L4075" s="2">
        <v>46113</v>
      </c>
      <c r="M4075" t="s">
        <v>93</v>
      </c>
      <c r="N4075">
        <v>0</v>
      </c>
      <c r="O4075" t="s">
        <v>31</v>
      </c>
      <c r="P4075" t="s">
        <v>83</v>
      </c>
      <c r="Q4075">
        <v>0</v>
      </c>
    </row>
    <row r="4076" spans="1:17" x14ac:dyDescent="0.3">
      <c r="A4076" t="s">
        <v>17</v>
      </c>
      <c r="B4076">
        <v>64</v>
      </c>
      <c r="C4076" t="s">
        <v>83</v>
      </c>
      <c r="D4076" s="2">
        <v>46115</v>
      </c>
      <c r="E4076" s="3">
        <f t="shared" si="63"/>
        <v>46113</v>
      </c>
      <c r="F4076" t="s">
        <v>3359</v>
      </c>
      <c r="H4076" s="4">
        <v>28.98</v>
      </c>
      <c r="I4076" t="s">
        <v>31</v>
      </c>
      <c r="J4076" t="s">
        <v>91</v>
      </c>
      <c r="K4076" t="s">
        <v>2192</v>
      </c>
      <c r="L4076" s="2">
        <v>46113</v>
      </c>
      <c r="M4076" t="s">
        <v>93</v>
      </c>
      <c r="N4076">
        <v>0</v>
      </c>
      <c r="O4076" t="s">
        <v>31</v>
      </c>
      <c r="P4076" t="s">
        <v>83</v>
      </c>
      <c r="Q4076">
        <v>0</v>
      </c>
    </row>
    <row r="4077" spans="1:17" x14ac:dyDescent="0.3">
      <c r="A4077" t="s">
        <v>17</v>
      </c>
      <c r="B4077">
        <v>64</v>
      </c>
      <c r="C4077" t="s">
        <v>83</v>
      </c>
      <c r="D4077" s="2">
        <v>46115</v>
      </c>
      <c r="E4077" s="3">
        <f t="shared" si="63"/>
        <v>46113</v>
      </c>
      <c r="F4077" t="s">
        <v>3359</v>
      </c>
      <c r="H4077" s="4">
        <v>105.95</v>
      </c>
      <c r="I4077" t="s">
        <v>31</v>
      </c>
      <c r="J4077" t="s">
        <v>91</v>
      </c>
      <c r="K4077" t="s">
        <v>1201</v>
      </c>
      <c r="L4077" s="2">
        <v>46113</v>
      </c>
      <c r="M4077" t="s">
        <v>93</v>
      </c>
      <c r="N4077">
        <v>0</v>
      </c>
      <c r="O4077" t="s">
        <v>31</v>
      </c>
      <c r="P4077" t="s">
        <v>83</v>
      </c>
      <c r="Q4077">
        <v>0</v>
      </c>
    </row>
    <row r="4078" spans="1:17" x14ac:dyDescent="0.3">
      <c r="A4078" t="s">
        <v>17</v>
      </c>
      <c r="B4078">
        <v>64</v>
      </c>
      <c r="C4078" t="s">
        <v>83</v>
      </c>
      <c r="D4078" s="2">
        <v>46115</v>
      </c>
      <c r="E4078" s="3">
        <f t="shared" si="63"/>
        <v>46113</v>
      </c>
      <c r="F4078" t="s">
        <v>3359</v>
      </c>
      <c r="H4078" s="4">
        <v>30.8</v>
      </c>
      <c r="I4078" t="s">
        <v>31</v>
      </c>
      <c r="J4078" t="s">
        <v>91</v>
      </c>
      <c r="K4078" t="s">
        <v>1201</v>
      </c>
      <c r="L4078" s="2">
        <v>46113</v>
      </c>
      <c r="M4078" t="s">
        <v>93</v>
      </c>
      <c r="N4078">
        <v>0</v>
      </c>
      <c r="O4078" t="s">
        <v>31</v>
      </c>
      <c r="P4078" t="s">
        <v>83</v>
      </c>
      <c r="Q4078">
        <v>0</v>
      </c>
    </row>
    <row r="4079" spans="1:17" x14ac:dyDescent="0.3">
      <c r="A4079" t="s">
        <v>17</v>
      </c>
      <c r="B4079">
        <v>64</v>
      </c>
      <c r="C4079" t="s">
        <v>83</v>
      </c>
      <c r="D4079" s="2">
        <v>46115</v>
      </c>
      <c r="E4079" s="3">
        <f t="shared" si="63"/>
        <v>46113</v>
      </c>
      <c r="F4079" t="s">
        <v>3359</v>
      </c>
      <c r="H4079" s="4">
        <v>28.98</v>
      </c>
      <c r="I4079" t="s">
        <v>31</v>
      </c>
      <c r="J4079" t="s">
        <v>91</v>
      </c>
      <c r="K4079" t="s">
        <v>2192</v>
      </c>
      <c r="L4079" s="2">
        <v>46113</v>
      </c>
      <c r="M4079" t="s">
        <v>93</v>
      </c>
      <c r="N4079">
        <v>0</v>
      </c>
      <c r="O4079" t="s">
        <v>31</v>
      </c>
      <c r="P4079" t="s">
        <v>83</v>
      </c>
      <c r="Q4079">
        <v>0</v>
      </c>
    </row>
    <row r="4080" spans="1:17" x14ac:dyDescent="0.3">
      <c r="A4080" t="s">
        <v>17</v>
      </c>
      <c r="B4080">
        <v>63</v>
      </c>
      <c r="C4080" t="s">
        <v>18</v>
      </c>
      <c r="D4080" s="2">
        <v>46115</v>
      </c>
      <c r="E4080" s="3">
        <f t="shared" si="63"/>
        <v>46113</v>
      </c>
      <c r="F4080">
        <v>849134</v>
      </c>
      <c r="G4080" t="s">
        <v>125</v>
      </c>
      <c r="H4080" s="4">
        <v>55</v>
      </c>
      <c r="I4080" t="s">
        <v>47</v>
      </c>
      <c r="J4080" t="s">
        <v>22</v>
      </c>
      <c r="K4080" t="s">
        <v>1791</v>
      </c>
      <c r="L4080" s="2">
        <v>46113</v>
      </c>
      <c r="M4080" t="s">
        <v>24</v>
      </c>
      <c r="N4080">
        <v>0</v>
      </c>
      <c r="O4080" t="s">
        <v>26</v>
      </c>
      <c r="P4080" t="s">
        <v>18</v>
      </c>
      <c r="Q4080" t="s">
        <v>27</v>
      </c>
    </row>
    <row r="4081" spans="1:17" x14ac:dyDescent="0.3">
      <c r="A4081" t="s">
        <v>17</v>
      </c>
      <c r="B4081">
        <v>63</v>
      </c>
      <c r="C4081" t="s">
        <v>18</v>
      </c>
      <c r="D4081" s="2">
        <v>46115</v>
      </c>
      <c r="E4081" s="3">
        <f t="shared" si="63"/>
        <v>46113</v>
      </c>
      <c r="F4081">
        <v>849134</v>
      </c>
      <c r="G4081" t="s">
        <v>125</v>
      </c>
      <c r="H4081" s="4">
        <v>275</v>
      </c>
      <c r="I4081" t="s">
        <v>47</v>
      </c>
      <c r="J4081" t="s">
        <v>22</v>
      </c>
      <c r="K4081" t="s">
        <v>3361</v>
      </c>
      <c r="L4081" s="2">
        <v>46113</v>
      </c>
      <c r="M4081" t="s">
        <v>24</v>
      </c>
      <c r="N4081">
        <v>0</v>
      </c>
      <c r="O4081" t="s">
        <v>26</v>
      </c>
      <c r="P4081" t="s">
        <v>18</v>
      </c>
      <c r="Q4081" t="s">
        <v>27</v>
      </c>
    </row>
    <row r="4082" spans="1:17" x14ac:dyDescent="0.3">
      <c r="A4082" t="s">
        <v>17</v>
      </c>
      <c r="B4082">
        <v>67</v>
      </c>
      <c r="C4082" t="s">
        <v>28</v>
      </c>
      <c r="D4082" s="2">
        <v>46115</v>
      </c>
      <c r="E4082" s="3">
        <f t="shared" si="63"/>
        <v>46113</v>
      </c>
      <c r="F4082" t="s">
        <v>3362</v>
      </c>
      <c r="G4082" t="s">
        <v>67</v>
      </c>
      <c r="H4082" s="4">
        <v>586.48</v>
      </c>
      <c r="I4082" t="s">
        <v>31</v>
      </c>
      <c r="J4082" t="s">
        <v>68</v>
      </c>
      <c r="K4082" t="s">
        <v>3221</v>
      </c>
      <c r="L4082" s="2">
        <v>46113</v>
      </c>
      <c r="M4082" t="s">
        <v>68</v>
      </c>
      <c r="N4082">
        <v>0</v>
      </c>
      <c r="O4082" t="s">
        <v>31</v>
      </c>
      <c r="P4082" t="s">
        <v>28</v>
      </c>
      <c r="Q4082">
        <v>0</v>
      </c>
    </row>
    <row r="4083" spans="1:17" x14ac:dyDescent="0.3">
      <c r="A4083" t="s">
        <v>17</v>
      </c>
      <c r="B4083">
        <v>64</v>
      </c>
      <c r="C4083" t="s">
        <v>83</v>
      </c>
      <c r="D4083" s="2">
        <v>46116</v>
      </c>
      <c r="E4083" s="3">
        <f t="shared" si="63"/>
        <v>46113</v>
      </c>
      <c r="F4083" t="s">
        <v>3363</v>
      </c>
      <c r="H4083" s="4">
        <v>3397.48</v>
      </c>
      <c r="I4083" t="s">
        <v>47</v>
      </c>
      <c r="J4083" t="s">
        <v>91</v>
      </c>
      <c r="K4083" t="s">
        <v>3364</v>
      </c>
      <c r="L4083" s="2">
        <v>46113</v>
      </c>
      <c r="M4083" t="s">
        <v>93</v>
      </c>
      <c r="N4083">
        <v>0</v>
      </c>
      <c r="O4083" t="s">
        <v>26</v>
      </c>
      <c r="P4083" t="s">
        <v>83</v>
      </c>
      <c r="Q4083">
        <v>0</v>
      </c>
    </row>
    <row r="4084" spans="1:17" x14ac:dyDescent="0.3">
      <c r="A4084" t="s">
        <v>17</v>
      </c>
      <c r="B4084">
        <v>64</v>
      </c>
      <c r="C4084" t="s">
        <v>83</v>
      </c>
      <c r="D4084" s="2">
        <v>46116</v>
      </c>
      <c r="E4084" s="3">
        <f t="shared" si="63"/>
        <v>46113</v>
      </c>
      <c r="F4084" t="s">
        <v>3363</v>
      </c>
      <c r="H4084" s="4">
        <v>3.47</v>
      </c>
      <c r="I4084" t="s">
        <v>47</v>
      </c>
      <c r="J4084" t="s">
        <v>91</v>
      </c>
      <c r="K4084" t="s">
        <v>3365</v>
      </c>
      <c r="L4084" s="2">
        <v>46113</v>
      </c>
      <c r="M4084" t="s">
        <v>93</v>
      </c>
      <c r="N4084">
        <v>0</v>
      </c>
      <c r="O4084" t="s">
        <v>26</v>
      </c>
      <c r="P4084" t="s">
        <v>83</v>
      </c>
      <c r="Q4084">
        <v>0</v>
      </c>
    </row>
    <row r="4085" spans="1:17" x14ac:dyDescent="0.3">
      <c r="A4085" t="s">
        <v>17</v>
      </c>
      <c r="B4085">
        <v>64</v>
      </c>
      <c r="C4085" t="s">
        <v>83</v>
      </c>
      <c r="D4085" s="2">
        <v>46116</v>
      </c>
      <c r="E4085" s="3">
        <f t="shared" si="63"/>
        <v>46113</v>
      </c>
      <c r="F4085" t="s">
        <v>3363</v>
      </c>
      <c r="H4085" s="4">
        <v>81.430000000000007</v>
      </c>
      <c r="I4085" t="s">
        <v>47</v>
      </c>
      <c r="J4085" t="s">
        <v>91</v>
      </c>
      <c r="K4085" t="s">
        <v>3366</v>
      </c>
      <c r="L4085" s="2">
        <v>46113</v>
      </c>
      <c r="M4085" t="s">
        <v>93</v>
      </c>
      <c r="N4085">
        <v>0</v>
      </c>
      <c r="O4085" t="s">
        <v>26</v>
      </c>
      <c r="P4085" t="s">
        <v>83</v>
      </c>
      <c r="Q4085">
        <v>0</v>
      </c>
    </row>
    <row r="4086" spans="1:17" x14ac:dyDescent="0.3">
      <c r="A4086" t="s">
        <v>17</v>
      </c>
      <c r="B4086">
        <v>64</v>
      </c>
      <c r="C4086" t="s">
        <v>83</v>
      </c>
      <c r="D4086" s="2">
        <v>46116</v>
      </c>
      <c r="E4086" s="3">
        <f t="shared" si="63"/>
        <v>46113</v>
      </c>
      <c r="F4086" t="s">
        <v>3363</v>
      </c>
      <c r="H4086" s="4">
        <v>115.51</v>
      </c>
      <c r="I4086" t="s">
        <v>47</v>
      </c>
      <c r="J4086" t="s">
        <v>91</v>
      </c>
      <c r="K4086" t="s">
        <v>3367</v>
      </c>
      <c r="L4086" s="2">
        <v>46113</v>
      </c>
      <c r="M4086" t="s">
        <v>93</v>
      </c>
      <c r="N4086">
        <v>0</v>
      </c>
      <c r="O4086" t="s">
        <v>26</v>
      </c>
      <c r="P4086" t="s">
        <v>83</v>
      </c>
      <c r="Q4086">
        <v>0</v>
      </c>
    </row>
    <row r="4087" spans="1:17" x14ac:dyDescent="0.3">
      <c r="A4087" t="s">
        <v>17</v>
      </c>
      <c r="B4087">
        <v>64</v>
      </c>
      <c r="C4087" t="s">
        <v>83</v>
      </c>
      <c r="D4087" s="2">
        <v>46116</v>
      </c>
      <c r="E4087" s="3">
        <f t="shared" si="63"/>
        <v>46113</v>
      </c>
      <c r="F4087" t="s">
        <v>3363</v>
      </c>
      <c r="H4087" s="4">
        <v>85.48</v>
      </c>
      <c r="I4087" t="s">
        <v>47</v>
      </c>
      <c r="J4087" t="s">
        <v>91</v>
      </c>
      <c r="K4087" t="s">
        <v>644</v>
      </c>
      <c r="L4087" s="2">
        <v>46113</v>
      </c>
      <c r="M4087" t="s">
        <v>93</v>
      </c>
      <c r="N4087">
        <v>0</v>
      </c>
      <c r="O4087" t="s">
        <v>26</v>
      </c>
      <c r="P4087" t="s">
        <v>83</v>
      </c>
      <c r="Q4087">
        <v>0</v>
      </c>
    </row>
    <row r="4088" spans="1:17" x14ac:dyDescent="0.3">
      <c r="A4088" t="s">
        <v>17</v>
      </c>
      <c r="B4088">
        <v>64</v>
      </c>
      <c r="C4088" t="s">
        <v>83</v>
      </c>
      <c r="D4088" s="2">
        <v>46116</v>
      </c>
      <c r="E4088" s="3">
        <f t="shared" si="63"/>
        <v>46113</v>
      </c>
      <c r="F4088" t="s">
        <v>3363</v>
      </c>
      <c r="H4088" s="4">
        <v>292.24</v>
      </c>
      <c r="I4088" t="s">
        <v>47</v>
      </c>
      <c r="J4088" t="s">
        <v>91</v>
      </c>
      <c r="K4088" t="s">
        <v>3368</v>
      </c>
      <c r="L4088" s="2">
        <v>46113</v>
      </c>
      <c r="M4088" t="s">
        <v>93</v>
      </c>
      <c r="N4088">
        <v>0</v>
      </c>
      <c r="O4088" t="s">
        <v>26</v>
      </c>
      <c r="P4088" t="s">
        <v>83</v>
      </c>
      <c r="Q4088">
        <v>0</v>
      </c>
    </row>
    <row r="4089" spans="1:17" x14ac:dyDescent="0.3">
      <c r="A4089" t="s">
        <v>17</v>
      </c>
      <c r="B4089">
        <v>64</v>
      </c>
      <c r="C4089" t="s">
        <v>83</v>
      </c>
      <c r="D4089" s="2">
        <v>46116</v>
      </c>
      <c r="E4089" s="3">
        <f t="shared" si="63"/>
        <v>46113</v>
      </c>
      <c r="F4089" t="s">
        <v>3363</v>
      </c>
      <c r="H4089" s="4">
        <v>583.33000000000004</v>
      </c>
      <c r="I4089" t="s">
        <v>47</v>
      </c>
      <c r="J4089" t="s">
        <v>91</v>
      </c>
      <c r="K4089" t="s">
        <v>3366</v>
      </c>
      <c r="L4089" s="2">
        <v>46113</v>
      </c>
      <c r="M4089" t="s">
        <v>93</v>
      </c>
      <c r="N4089">
        <v>0</v>
      </c>
      <c r="O4089" t="s">
        <v>26</v>
      </c>
      <c r="P4089" t="s">
        <v>83</v>
      </c>
      <c r="Q4089">
        <v>0</v>
      </c>
    </row>
    <row r="4090" spans="1:17" x14ac:dyDescent="0.3">
      <c r="A4090" t="s">
        <v>17</v>
      </c>
      <c r="B4090">
        <v>64</v>
      </c>
      <c r="C4090" t="s">
        <v>83</v>
      </c>
      <c r="D4090" s="2">
        <v>46116</v>
      </c>
      <c r="E4090" s="3">
        <f t="shared" si="63"/>
        <v>46113</v>
      </c>
      <c r="F4090" t="s">
        <v>3363</v>
      </c>
      <c r="H4090" s="4">
        <v>19.41</v>
      </c>
      <c r="I4090" t="s">
        <v>47</v>
      </c>
      <c r="J4090" t="s">
        <v>91</v>
      </c>
      <c r="K4090" t="s">
        <v>3369</v>
      </c>
      <c r="L4090" s="2">
        <v>46113</v>
      </c>
      <c r="M4090" t="s">
        <v>93</v>
      </c>
      <c r="N4090">
        <v>0</v>
      </c>
      <c r="O4090" t="s">
        <v>26</v>
      </c>
      <c r="P4090" t="s">
        <v>83</v>
      </c>
      <c r="Q4090">
        <v>0</v>
      </c>
    </row>
    <row r="4091" spans="1:17" x14ac:dyDescent="0.3">
      <c r="A4091" t="s">
        <v>17</v>
      </c>
      <c r="B4091">
        <v>64</v>
      </c>
      <c r="C4091" t="s">
        <v>83</v>
      </c>
      <c r="D4091" s="2">
        <v>46116</v>
      </c>
      <c r="E4091" s="3">
        <f t="shared" si="63"/>
        <v>46113</v>
      </c>
      <c r="F4091" t="s">
        <v>3363</v>
      </c>
      <c r="H4091" s="4">
        <v>142.08000000000001</v>
      </c>
      <c r="I4091" t="s">
        <v>47</v>
      </c>
      <c r="J4091" t="s">
        <v>91</v>
      </c>
      <c r="K4091" t="s">
        <v>3368</v>
      </c>
      <c r="L4091" s="2">
        <v>46113</v>
      </c>
      <c r="M4091" t="s">
        <v>93</v>
      </c>
      <c r="N4091">
        <v>0</v>
      </c>
      <c r="O4091" t="s">
        <v>26</v>
      </c>
      <c r="P4091" t="s">
        <v>83</v>
      </c>
      <c r="Q4091">
        <v>0</v>
      </c>
    </row>
    <row r="4092" spans="1:17" x14ac:dyDescent="0.3">
      <c r="A4092" t="s">
        <v>17</v>
      </c>
      <c r="B4092">
        <v>64</v>
      </c>
      <c r="C4092" t="s">
        <v>83</v>
      </c>
      <c r="D4092" s="2">
        <v>46116</v>
      </c>
      <c r="E4092" s="3">
        <f t="shared" si="63"/>
        <v>46113</v>
      </c>
      <c r="F4092" t="s">
        <v>3363</v>
      </c>
      <c r="H4092" s="4">
        <v>1039.5899999999999</v>
      </c>
      <c r="I4092" t="s">
        <v>47</v>
      </c>
      <c r="J4092" t="s">
        <v>91</v>
      </c>
      <c r="K4092" t="s">
        <v>3370</v>
      </c>
      <c r="L4092" s="2">
        <v>46113</v>
      </c>
      <c r="M4092" t="s">
        <v>93</v>
      </c>
      <c r="N4092">
        <v>0</v>
      </c>
      <c r="O4092" t="s">
        <v>26</v>
      </c>
      <c r="P4092" t="s">
        <v>83</v>
      </c>
      <c r="Q4092">
        <v>0</v>
      </c>
    </row>
    <row r="4093" spans="1:17" x14ac:dyDescent="0.3">
      <c r="A4093" t="s">
        <v>17</v>
      </c>
      <c r="B4093">
        <v>64</v>
      </c>
      <c r="C4093" t="s">
        <v>83</v>
      </c>
      <c r="D4093" s="2">
        <v>46116</v>
      </c>
      <c r="E4093" s="3">
        <f t="shared" si="63"/>
        <v>46113</v>
      </c>
      <c r="F4093" t="s">
        <v>3363</v>
      </c>
      <c r="H4093" s="4">
        <v>99.79</v>
      </c>
      <c r="I4093" t="s">
        <v>47</v>
      </c>
      <c r="J4093" t="s">
        <v>530</v>
      </c>
      <c r="K4093" t="s">
        <v>3371</v>
      </c>
      <c r="L4093" s="2">
        <v>46113</v>
      </c>
      <c r="M4093" t="s">
        <v>531</v>
      </c>
      <c r="N4093">
        <v>0</v>
      </c>
      <c r="O4093" t="s">
        <v>26</v>
      </c>
      <c r="P4093" t="s">
        <v>83</v>
      </c>
      <c r="Q4093">
        <v>0</v>
      </c>
    </row>
    <row r="4094" spans="1:17" x14ac:dyDescent="0.3">
      <c r="A4094" t="s">
        <v>17</v>
      </c>
      <c r="B4094">
        <v>64</v>
      </c>
      <c r="C4094" t="s">
        <v>83</v>
      </c>
      <c r="D4094" s="2">
        <v>46116</v>
      </c>
      <c r="E4094" s="3">
        <f t="shared" si="63"/>
        <v>46113</v>
      </c>
      <c r="F4094" t="s">
        <v>3363</v>
      </c>
      <c r="H4094" s="4">
        <v>100</v>
      </c>
      <c r="I4094" t="s">
        <v>47</v>
      </c>
      <c r="J4094" t="s">
        <v>530</v>
      </c>
      <c r="K4094" t="s">
        <v>3372</v>
      </c>
      <c r="L4094" s="2">
        <v>46113</v>
      </c>
      <c r="M4094" t="s">
        <v>531</v>
      </c>
      <c r="N4094">
        <v>0</v>
      </c>
      <c r="O4094" t="s">
        <v>26</v>
      </c>
      <c r="P4094" t="s">
        <v>83</v>
      </c>
      <c r="Q4094">
        <v>0</v>
      </c>
    </row>
    <row r="4095" spans="1:17" x14ac:dyDescent="0.3">
      <c r="A4095" t="s">
        <v>17</v>
      </c>
      <c r="B4095">
        <v>64</v>
      </c>
      <c r="C4095" t="s">
        <v>83</v>
      </c>
      <c r="D4095" s="2">
        <v>46116</v>
      </c>
      <c r="E4095" s="3">
        <f t="shared" si="63"/>
        <v>46113</v>
      </c>
      <c r="F4095" t="s">
        <v>3363</v>
      </c>
      <c r="H4095" s="4">
        <v>5</v>
      </c>
      <c r="I4095" t="s">
        <v>47</v>
      </c>
      <c r="J4095" t="s">
        <v>530</v>
      </c>
      <c r="K4095" t="s">
        <v>3373</v>
      </c>
      <c r="L4095" s="2">
        <v>46113</v>
      </c>
      <c r="M4095" t="s">
        <v>531</v>
      </c>
      <c r="N4095">
        <v>0</v>
      </c>
      <c r="O4095" t="s">
        <v>26</v>
      </c>
      <c r="P4095" t="s">
        <v>83</v>
      </c>
      <c r="Q4095">
        <v>0</v>
      </c>
    </row>
    <row r="4096" spans="1:17" x14ac:dyDescent="0.3">
      <c r="A4096" t="s">
        <v>17</v>
      </c>
      <c r="B4096">
        <v>64</v>
      </c>
      <c r="C4096" t="s">
        <v>83</v>
      </c>
      <c r="D4096" s="2">
        <v>46116</v>
      </c>
      <c r="E4096" s="3">
        <f t="shared" si="63"/>
        <v>46113</v>
      </c>
      <c r="F4096" t="s">
        <v>3363</v>
      </c>
      <c r="H4096" s="4">
        <v>96.99</v>
      </c>
      <c r="I4096" t="s">
        <v>47</v>
      </c>
      <c r="J4096" t="s">
        <v>87</v>
      </c>
      <c r="K4096" t="s">
        <v>3374</v>
      </c>
      <c r="L4096" s="2">
        <v>46113</v>
      </c>
      <c r="M4096" t="s">
        <v>89</v>
      </c>
      <c r="N4096">
        <v>0</v>
      </c>
      <c r="O4096" t="s">
        <v>26</v>
      </c>
      <c r="P4096" t="s">
        <v>83</v>
      </c>
      <c r="Q4096">
        <v>0</v>
      </c>
    </row>
    <row r="4097" spans="1:17" x14ac:dyDescent="0.3">
      <c r="A4097" t="s">
        <v>17</v>
      </c>
      <c r="B4097">
        <v>64</v>
      </c>
      <c r="C4097" t="s">
        <v>83</v>
      </c>
      <c r="D4097" s="2">
        <v>46116</v>
      </c>
      <c r="E4097" s="3">
        <f t="shared" si="63"/>
        <v>46113</v>
      </c>
      <c r="F4097" t="s">
        <v>3363</v>
      </c>
      <c r="H4097" s="4">
        <v>35.979999999999997</v>
      </c>
      <c r="I4097" t="s">
        <v>47</v>
      </c>
      <c r="J4097" t="s">
        <v>87</v>
      </c>
      <c r="K4097" t="s">
        <v>3375</v>
      </c>
      <c r="L4097" s="2">
        <v>46113</v>
      </c>
      <c r="M4097" t="s">
        <v>89</v>
      </c>
      <c r="N4097">
        <v>0</v>
      </c>
      <c r="O4097" t="s">
        <v>26</v>
      </c>
      <c r="P4097" t="s">
        <v>83</v>
      </c>
      <c r="Q4097">
        <v>0</v>
      </c>
    </row>
    <row r="4098" spans="1:17" x14ac:dyDescent="0.3">
      <c r="A4098" t="s">
        <v>17</v>
      </c>
      <c r="B4098">
        <v>64</v>
      </c>
      <c r="C4098" t="s">
        <v>83</v>
      </c>
      <c r="D4098" s="2">
        <v>46116</v>
      </c>
      <c r="E4098" s="3">
        <f t="shared" si="63"/>
        <v>46113</v>
      </c>
      <c r="F4098" t="s">
        <v>3363</v>
      </c>
      <c r="H4098" s="4">
        <v>46.29</v>
      </c>
      <c r="I4098" t="s">
        <v>47</v>
      </c>
      <c r="J4098" t="s">
        <v>87</v>
      </c>
      <c r="K4098" t="s">
        <v>3376</v>
      </c>
      <c r="L4098" s="2">
        <v>46113</v>
      </c>
      <c r="M4098" t="s">
        <v>89</v>
      </c>
      <c r="N4098">
        <v>0</v>
      </c>
      <c r="O4098" t="s">
        <v>26</v>
      </c>
      <c r="P4098" t="s">
        <v>83</v>
      </c>
      <c r="Q4098">
        <v>0</v>
      </c>
    </row>
    <row r="4099" spans="1:17" x14ac:dyDescent="0.3">
      <c r="A4099" t="s">
        <v>17</v>
      </c>
      <c r="B4099">
        <v>64</v>
      </c>
      <c r="C4099" t="s">
        <v>83</v>
      </c>
      <c r="D4099" s="2">
        <v>46116</v>
      </c>
      <c r="E4099" s="3">
        <f t="shared" ref="E4099:E4162" si="64">IF($D4099="","",DATE(YEAR($D4099),MONTH($D4099),1))</f>
        <v>46113</v>
      </c>
      <c r="F4099" t="s">
        <v>3363</v>
      </c>
      <c r="H4099" s="4">
        <v>114.35</v>
      </c>
      <c r="I4099" t="s">
        <v>47</v>
      </c>
      <c r="J4099" t="s">
        <v>87</v>
      </c>
      <c r="K4099" t="s">
        <v>3377</v>
      </c>
      <c r="L4099" s="2">
        <v>46113</v>
      </c>
      <c r="M4099" t="s">
        <v>89</v>
      </c>
      <c r="N4099">
        <v>0</v>
      </c>
      <c r="O4099" t="s">
        <v>26</v>
      </c>
      <c r="P4099" t="s">
        <v>83</v>
      </c>
      <c r="Q4099">
        <v>0</v>
      </c>
    </row>
    <row r="4100" spans="1:17" x14ac:dyDescent="0.3">
      <c r="A4100" t="s">
        <v>17</v>
      </c>
      <c r="B4100">
        <v>64</v>
      </c>
      <c r="C4100" t="s">
        <v>83</v>
      </c>
      <c r="D4100" s="2">
        <v>46116</v>
      </c>
      <c r="E4100" s="3">
        <f t="shared" si="64"/>
        <v>46113</v>
      </c>
      <c r="F4100" t="s">
        <v>3363</v>
      </c>
      <c r="H4100" s="4">
        <v>20.79</v>
      </c>
      <c r="I4100" t="s">
        <v>47</v>
      </c>
      <c r="J4100" t="s">
        <v>87</v>
      </c>
      <c r="K4100" t="s">
        <v>3378</v>
      </c>
      <c r="L4100" s="2">
        <v>46113</v>
      </c>
      <c r="M4100" t="s">
        <v>89</v>
      </c>
      <c r="N4100">
        <v>0</v>
      </c>
      <c r="O4100" t="s">
        <v>26</v>
      </c>
      <c r="P4100" t="s">
        <v>83</v>
      </c>
      <c r="Q4100">
        <v>0</v>
      </c>
    </row>
    <row r="4101" spans="1:17" x14ac:dyDescent="0.3">
      <c r="A4101" t="s">
        <v>17</v>
      </c>
      <c r="B4101">
        <v>64</v>
      </c>
      <c r="C4101" t="s">
        <v>83</v>
      </c>
      <c r="D4101" s="2">
        <v>46116</v>
      </c>
      <c r="E4101" s="3">
        <f t="shared" si="64"/>
        <v>46113</v>
      </c>
      <c r="F4101" t="s">
        <v>3363</v>
      </c>
      <c r="H4101" s="4">
        <v>20.79</v>
      </c>
      <c r="I4101" t="s">
        <v>47</v>
      </c>
      <c r="J4101" t="s">
        <v>87</v>
      </c>
      <c r="K4101" t="s">
        <v>3379</v>
      </c>
      <c r="L4101" s="2">
        <v>46113</v>
      </c>
      <c r="M4101" t="s">
        <v>89</v>
      </c>
      <c r="N4101">
        <v>0</v>
      </c>
      <c r="O4101" t="s">
        <v>26</v>
      </c>
      <c r="P4101" t="s">
        <v>83</v>
      </c>
      <c r="Q4101">
        <v>0</v>
      </c>
    </row>
    <row r="4102" spans="1:17" x14ac:dyDescent="0.3">
      <c r="A4102" t="s">
        <v>17</v>
      </c>
      <c r="B4102">
        <v>64</v>
      </c>
      <c r="C4102" t="s">
        <v>83</v>
      </c>
      <c r="D4102" s="2">
        <v>46116</v>
      </c>
      <c r="E4102" s="3">
        <f t="shared" si="64"/>
        <v>46113</v>
      </c>
      <c r="F4102" t="s">
        <v>3363</v>
      </c>
      <c r="H4102" s="4">
        <v>96.94</v>
      </c>
      <c r="I4102" t="s">
        <v>47</v>
      </c>
      <c r="J4102" t="s">
        <v>87</v>
      </c>
      <c r="K4102" t="s">
        <v>3380</v>
      </c>
      <c r="L4102" s="2">
        <v>46113</v>
      </c>
      <c r="M4102" t="s">
        <v>89</v>
      </c>
      <c r="N4102">
        <v>0</v>
      </c>
      <c r="O4102" t="s">
        <v>26</v>
      </c>
      <c r="P4102" t="s">
        <v>83</v>
      </c>
      <c r="Q4102">
        <v>0</v>
      </c>
    </row>
    <row r="4103" spans="1:17" x14ac:dyDescent="0.3">
      <c r="A4103" t="s">
        <v>17</v>
      </c>
      <c r="B4103">
        <v>68</v>
      </c>
      <c r="C4103" t="s">
        <v>34</v>
      </c>
      <c r="D4103" s="2">
        <v>46116</v>
      </c>
      <c r="E4103" s="3">
        <f t="shared" si="64"/>
        <v>46113</v>
      </c>
      <c r="F4103" t="s">
        <v>3363</v>
      </c>
      <c r="G4103" t="s">
        <v>1227</v>
      </c>
      <c r="H4103" s="4">
        <v>97.5</v>
      </c>
      <c r="I4103" t="s">
        <v>47</v>
      </c>
      <c r="J4103" t="s">
        <v>79</v>
      </c>
      <c r="K4103" t="s">
        <v>3381</v>
      </c>
      <c r="L4103" s="2">
        <v>46113</v>
      </c>
      <c r="M4103" t="s">
        <v>79</v>
      </c>
      <c r="N4103">
        <v>0</v>
      </c>
      <c r="O4103" t="s">
        <v>26</v>
      </c>
      <c r="P4103" t="s">
        <v>34</v>
      </c>
      <c r="Q4103">
        <v>0</v>
      </c>
    </row>
    <row r="4104" spans="1:17" x14ac:dyDescent="0.3">
      <c r="A4104" t="s">
        <v>17</v>
      </c>
      <c r="B4104">
        <v>68</v>
      </c>
      <c r="C4104" t="s">
        <v>34</v>
      </c>
      <c r="D4104" s="2">
        <v>46116</v>
      </c>
      <c r="E4104" s="3">
        <f t="shared" si="64"/>
        <v>46113</v>
      </c>
      <c r="F4104" t="s">
        <v>3363</v>
      </c>
      <c r="G4104" t="s">
        <v>1227</v>
      </c>
      <c r="H4104" s="4">
        <v>165.4</v>
      </c>
      <c r="I4104" t="s">
        <v>47</v>
      </c>
      <c r="J4104" t="s">
        <v>79</v>
      </c>
      <c r="K4104" t="s">
        <v>3382</v>
      </c>
      <c r="L4104" s="2">
        <v>46113</v>
      </c>
      <c r="M4104" t="s">
        <v>79</v>
      </c>
      <c r="N4104">
        <v>0</v>
      </c>
      <c r="O4104" t="s">
        <v>26</v>
      </c>
      <c r="P4104" t="s">
        <v>34</v>
      </c>
      <c r="Q4104">
        <v>0</v>
      </c>
    </row>
    <row r="4105" spans="1:17" x14ac:dyDescent="0.3">
      <c r="A4105" t="s">
        <v>17</v>
      </c>
      <c r="B4105">
        <v>68</v>
      </c>
      <c r="C4105" t="s">
        <v>34</v>
      </c>
      <c r="D4105" s="2">
        <v>46116</v>
      </c>
      <c r="E4105" s="3">
        <f t="shared" si="64"/>
        <v>46113</v>
      </c>
      <c r="F4105" t="s">
        <v>3363</v>
      </c>
      <c r="G4105" t="s">
        <v>1227</v>
      </c>
      <c r="H4105" s="4">
        <v>211.99</v>
      </c>
      <c r="I4105" t="s">
        <v>47</v>
      </c>
      <c r="J4105" t="s">
        <v>79</v>
      </c>
      <c r="K4105" t="s">
        <v>3383</v>
      </c>
      <c r="L4105" s="2">
        <v>46113</v>
      </c>
      <c r="M4105" t="s">
        <v>79</v>
      </c>
      <c r="N4105">
        <v>0</v>
      </c>
      <c r="O4105" t="s">
        <v>26</v>
      </c>
      <c r="P4105" t="s">
        <v>34</v>
      </c>
      <c r="Q4105">
        <v>0</v>
      </c>
    </row>
    <row r="4106" spans="1:17" x14ac:dyDescent="0.3">
      <c r="A4106" t="s">
        <v>17</v>
      </c>
      <c r="B4106">
        <v>68</v>
      </c>
      <c r="C4106" t="s">
        <v>34</v>
      </c>
      <c r="D4106" s="2">
        <v>46116</v>
      </c>
      <c r="E4106" s="3">
        <f t="shared" si="64"/>
        <v>46113</v>
      </c>
      <c r="F4106" t="s">
        <v>3363</v>
      </c>
      <c r="G4106" t="s">
        <v>1227</v>
      </c>
      <c r="H4106" s="4">
        <v>36.21</v>
      </c>
      <c r="I4106" t="s">
        <v>47</v>
      </c>
      <c r="J4106" t="s">
        <v>79</v>
      </c>
      <c r="K4106" t="s">
        <v>3384</v>
      </c>
      <c r="L4106" s="2">
        <v>46113</v>
      </c>
      <c r="M4106" t="s">
        <v>79</v>
      </c>
      <c r="N4106">
        <v>0</v>
      </c>
      <c r="O4106" t="s">
        <v>26</v>
      </c>
      <c r="P4106" t="s">
        <v>34</v>
      </c>
      <c r="Q4106">
        <v>0</v>
      </c>
    </row>
    <row r="4107" spans="1:17" x14ac:dyDescent="0.3">
      <c r="A4107" t="s">
        <v>17</v>
      </c>
      <c r="B4107">
        <v>68</v>
      </c>
      <c r="C4107" t="s">
        <v>34</v>
      </c>
      <c r="D4107" s="2">
        <v>46116</v>
      </c>
      <c r="E4107" s="3">
        <f t="shared" si="64"/>
        <v>46113</v>
      </c>
      <c r="F4107" t="s">
        <v>3385</v>
      </c>
      <c r="G4107" t="s">
        <v>1251</v>
      </c>
      <c r="H4107" s="4">
        <v>200</v>
      </c>
      <c r="I4107" t="s">
        <v>21</v>
      </c>
      <c r="J4107" t="s">
        <v>79</v>
      </c>
      <c r="K4107" t="s">
        <v>3386</v>
      </c>
      <c r="L4107" s="2">
        <v>46113</v>
      </c>
      <c r="M4107" t="s">
        <v>79</v>
      </c>
      <c r="N4107" t="s">
        <v>25</v>
      </c>
      <c r="O4107" t="s">
        <v>81</v>
      </c>
      <c r="P4107" t="s">
        <v>34</v>
      </c>
      <c r="Q4107">
        <v>0</v>
      </c>
    </row>
    <row r="4108" spans="1:17" x14ac:dyDescent="0.3">
      <c r="A4108" t="s">
        <v>17</v>
      </c>
      <c r="B4108">
        <v>68</v>
      </c>
      <c r="C4108" t="s">
        <v>34</v>
      </c>
      <c r="D4108" s="2">
        <v>46116</v>
      </c>
      <c r="E4108" s="3">
        <f t="shared" si="64"/>
        <v>46113</v>
      </c>
      <c r="F4108" t="s">
        <v>3385</v>
      </c>
      <c r="G4108" t="s">
        <v>1251</v>
      </c>
      <c r="H4108" s="4">
        <v>-200</v>
      </c>
      <c r="I4108" t="s">
        <v>21</v>
      </c>
      <c r="J4108" t="s">
        <v>79</v>
      </c>
      <c r="K4108" t="s">
        <v>3386</v>
      </c>
      <c r="L4108" s="2">
        <v>46113</v>
      </c>
      <c r="M4108" t="s">
        <v>79</v>
      </c>
      <c r="N4108" t="s">
        <v>25</v>
      </c>
      <c r="O4108" t="s">
        <v>81</v>
      </c>
      <c r="P4108" t="s">
        <v>34</v>
      </c>
      <c r="Q4108">
        <v>0</v>
      </c>
    </row>
    <row r="4109" spans="1:17" x14ac:dyDescent="0.3">
      <c r="A4109" t="s">
        <v>17</v>
      </c>
      <c r="B4109">
        <v>68</v>
      </c>
      <c r="C4109" t="s">
        <v>34</v>
      </c>
      <c r="D4109" s="2">
        <v>46116</v>
      </c>
      <c r="E4109" s="3">
        <f t="shared" si="64"/>
        <v>46113</v>
      </c>
      <c r="F4109" t="s">
        <v>3387</v>
      </c>
      <c r="H4109" s="4">
        <v>235</v>
      </c>
      <c r="I4109" t="s">
        <v>31</v>
      </c>
      <c r="J4109" t="s">
        <v>79</v>
      </c>
      <c r="K4109" t="s">
        <v>3388</v>
      </c>
      <c r="L4109" s="2">
        <v>46113</v>
      </c>
      <c r="M4109" t="s">
        <v>79</v>
      </c>
      <c r="N4109">
        <v>0</v>
      </c>
      <c r="O4109" t="s">
        <v>31</v>
      </c>
      <c r="P4109" t="s">
        <v>34</v>
      </c>
      <c r="Q4109">
        <v>0</v>
      </c>
    </row>
    <row r="4110" spans="1:17" x14ac:dyDescent="0.3">
      <c r="A4110" t="s">
        <v>17</v>
      </c>
      <c r="B4110">
        <v>68</v>
      </c>
      <c r="C4110" t="s">
        <v>34</v>
      </c>
      <c r="D4110" s="2">
        <v>46116</v>
      </c>
      <c r="E4110" s="3">
        <f t="shared" si="64"/>
        <v>46113</v>
      </c>
      <c r="F4110" t="s">
        <v>3387</v>
      </c>
      <c r="G4110" t="s">
        <v>101</v>
      </c>
      <c r="H4110" s="4">
        <v>195.98</v>
      </c>
      <c r="I4110" t="s">
        <v>31</v>
      </c>
      <c r="J4110" t="s">
        <v>79</v>
      </c>
      <c r="K4110" t="s">
        <v>1590</v>
      </c>
      <c r="L4110" s="2">
        <v>46113</v>
      </c>
      <c r="M4110" t="s">
        <v>79</v>
      </c>
      <c r="N4110">
        <v>0</v>
      </c>
      <c r="O4110" t="s">
        <v>31</v>
      </c>
      <c r="P4110" t="s">
        <v>34</v>
      </c>
      <c r="Q4110">
        <v>0</v>
      </c>
    </row>
    <row r="4111" spans="1:17" x14ac:dyDescent="0.3">
      <c r="A4111" t="s">
        <v>17</v>
      </c>
      <c r="B4111">
        <v>67</v>
      </c>
      <c r="C4111" t="s">
        <v>28</v>
      </c>
      <c r="D4111" s="2">
        <v>46116</v>
      </c>
      <c r="E4111" s="3">
        <f t="shared" si="64"/>
        <v>46113</v>
      </c>
      <c r="F4111" t="s">
        <v>3387</v>
      </c>
      <c r="G4111" t="s">
        <v>101</v>
      </c>
      <c r="H4111" s="4">
        <v>100</v>
      </c>
      <c r="I4111" t="s">
        <v>108</v>
      </c>
      <c r="J4111" t="s">
        <v>74</v>
      </c>
      <c r="K4111" t="s">
        <v>2700</v>
      </c>
      <c r="L4111" s="2">
        <v>46113</v>
      </c>
      <c r="M4111" t="s">
        <v>76</v>
      </c>
      <c r="N4111">
        <v>0</v>
      </c>
      <c r="O4111" t="s">
        <v>111</v>
      </c>
      <c r="P4111" t="s">
        <v>28</v>
      </c>
      <c r="Q4111">
        <v>0</v>
      </c>
    </row>
    <row r="4112" spans="1:17" x14ac:dyDescent="0.3">
      <c r="A4112" t="s">
        <v>17</v>
      </c>
      <c r="B4112">
        <v>67</v>
      </c>
      <c r="C4112" t="s">
        <v>28</v>
      </c>
      <c r="D4112" s="2">
        <v>46116</v>
      </c>
      <c r="E4112" s="3">
        <f t="shared" si="64"/>
        <v>46113</v>
      </c>
      <c r="F4112" t="s">
        <v>3387</v>
      </c>
      <c r="G4112" t="s">
        <v>101</v>
      </c>
      <c r="H4112" s="4">
        <v>290</v>
      </c>
      <c r="I4112" t="s">
        <v>108</v>
      </c>
      <c r="J4112" t="s">
        <v>74</v>
      </c>
      <c r="K4112" t="s">
        <v>2700</v>
      </c>
      <c r="L4112" s="2">
        <v>46113</v>
      </c>
      <c r="M4112" t="s">
        <v>76</v>
      </c>
      <c r="N4112">
        <v>0</v>
      </c>
      <c r="O4112" t="s">
        <v>111</v>
      </c>
      <c r="P4112" t="s">
        <v>28</v>
      </c>
      <c r="Q4112">
        <v>0</v>
      </c>
    </row>
    <row r="4113" spans="1:17" x14ac:dyDescent="0.3">
      <c r="A4113" t="s">
        <v>17</v>
      </c>
      <c r="B4113">
        <v>67</v>
      </c>
      <c r="C4113" t="s">
        <v>28</v>
      </c>
      <c r="D4113" s="2">
        <v>46116</v>
      </c>
      <c r="E4113" s="3">
        <f t="shared" si="64"/>
        <v>46113</v>
      </c>
      <c r="F4113" t="s">
        <v>3387</v>
      </c>
      <c r="G4113" t="s">
        <v>101</v>
      </c>
      <c r="H4113" s="4">
        <v>1494</v>
      </c>
      <c r="I4113" t="s">
        <v>104</v>
      </c>
      <c r="J4113" t="s">
        <v>74</v>
      </c>
      <c r="K4113" t="s">
        <v>1489</v>
      </c>
      <c r="L4113" s="2">
        <v>46113</v>
      </c>
      <c r="M4113" t="s">
        <v>76</v>
      </c>
      <c r="N4113">
        <v>0</v>
      </c>
      <c r="O4113" t="s">
        <v>104</v>
      </c>
      <c r="P4113" t="s">
        <v>28</v>
      </c>
      <c r="Q4113">
        <v>0</v>
      </c>
    </row>
    <row r="4114" spans="1:17" x14ac:dyDescent="0.3">
      <c r="A4114" t="s">
        <v>17</v>
      </c>
      <c r="B4114">
        <v>67</v>
      </c>
      <c r="C4114" t="s">
        <v>28</v>
      </c>
      <c r="D4114" s="2">
        <v>46116</v>
      </c>
      <c r="E4114" s="3">
        <f t="shared" si="64"/>
        <v>46113</v>
      </c>
      <c r="F4114" t="s">
        <v>3387</v>
      </c>
      <c r="G4114" t="s">
        <v>101</v>
      </c>
      <c r="H4114" s="4">
        <v>543.5</v>
      </c>
      <c r="I4114" t="s">
        <v>31</v>
      </c>
      <c r="J4114" t="s">
        <v>74</v>
      </c>
      <c r="K4114" t="s">
        <v>1722</v>
      </c>
      <c r="L4114" s="2">
        <v>46113</v>
      </c>
      <c r="M4114" t="s">
        <v>76</v>
      </c>
      <c r="N4114">
        <v>0</v>
      </c>
      <c r="O4114" t="s">
        <v>31</v>
      </c>
      <c r="P4114" t="s">
        <v>28</v>
      </c>
      <c r="Q4114">
        <v>0</v>
      </c>
    </row>
    <row r="4115" spans="1:17" x14ac:dyDescent="0.3">
      <c r="A4115" t="s">
        <v>17</v>
      </c>
      <c r="B4115">
        <v>67</v>
      </c>
      <c r="C4115" t="s">
        <v>28</v>
      </c>
      <c r="D4115" s="2">
        <v>46116</v>
      </c>
      <c r="E4115" s="3">
        <f t="shared" si="64"/>
        <v>46113</v>
      </c>
      <c r="F4115" t="s">
        <v>3387</v>
      </c>
      <c r="G4115" t="s">
        <v>101</v>
      </c>
      <c r="H4115" s="4">
        <v>20.16</v>
      </c>
      <c r="I4115" t="s">
        <v>31</v>
      </c>
      <c r="J4115" t="s">
        <v>74</v>
      </c>
      <c r="K4115" t="s">
        <v>3389</v>
      </c>
      <c r="L4115" s="2">
        <v>46113</v>
      </c>
      <c r="M4115" t="s">
        <v>76</v>
      </c>
      <c r="N4115">
        <v>0</v>
      </c>
      <c r="O4115" t="s">
        <v>31</v>
      </c>
      <c r="P4115" t="s">
        <v>28</v>
      </c>
      <c r="Q4115">
        <v>0</v>
      </c>
    </row>
    <row r="4116" spans="1:17" x14ac:dyDescent="0.3">
      <c r="A4116" t="s">
        <v>17</v>
      </c>
      <c r="B4116">
        <v>67</v>
      </c>
      <c r="C4116" t="s">
        <v>28</v>
      </c>
      <c r="D4116" s="2">
        <v>46116</v>
      </c>
      <c r="E4116" s="3">
        <f t="shared" si="64"/>
        <v>46113</v>
      </c>
      <c r="F4116" t="s">
        <v>3387</v>
      </c>
      <c r="G4116" t="s">
        <v>101</v>
      </c>
      <c r="H4116" s="4">
        <v>136.09</v>
      </c>
      <c r="I4116" t="s">
        <v>31</v>
      </c>
      <c r="J4116" t="s">
        <v>74</v>
      </c>
      <c r="K4116" t="s">
        <v>3389</v>
      </c>
      <c r="L4116" s="2">
        <v>46113</v>
      </c>
      <c r="M4116" t="s">
        <v>76</v>
      </c>
      <c r="N4116">
        <v>0</v>
      </c>
      <c r="O4116" t="s">
        <v>31</v>
      </c>
      <c r="P4116" t="s">
        <v>28</v>
      </c>
      <c r="Q4116">
        <v>0</v>
      </c>
    </row>
    <row r="4117" spans="1:17" x14ac:dyDescent="0.3">
      <c r="A4117" t="s">
        <v>17</v>
      </c>
      <c r="B4117">
        <v>67</v>
      </c>
      <c r="C4117" t="s">
        <v>28</v>
      </c>
      <c r="D4117" s="2">
        <v>46116</v>
      </c>
      <c r="E4117" s="3">
        <f t="shared" si="64"/>
        <v>46113</v>
      </c>
      <c r="F4117" t="s">
        <v>3387</v>
      </c>
      <c r="G4117" t="s">
        <v>101</v>
      </c>
      <c r="H4117" s="4">
        <v>2159.27</v>
      </c>
      <c r="I4117" t="s">
        <v>31</v>
      </c>
      <c r="J4117" t="s">
        <v>74</v>
      </c>
      <c r="K4117" t="s">
        <v>2354</v>
      </c>
      <c r="L4117" s="2">
        <v>46113</v>
      </c>
      <c r="M4117" t="s">
        <v>76</v>
      </c>
      <c r="N4117">
        <v>0</v>
      </c>
      <c r="O4117" t="s">
        <v>31</v>
      </c>
      <c r="P4117" t="s">
        <v>28</v>
      </c>
      <c r="Q4117">
        <v>0</v>
      </c>
    </row>
    <row r="4118" spans="1:17" x14ac:dyDescent="0.3">
      <c r="A4118" t="s">
        <v>17</v>
      </c>
      <c r="B4118">
        <v>67</v>
      </c>
      <c r="C4118" t="s">
        <v>28</v>
      </c>
      <c r="D4118" s="2">
        <v>46116</v>
      </c>
      <c r="E4118" s="3">
        <f t="shared" si="64"/>
        <v>46113</v>
      </c>
      <c r="F4118" t="s">
        <v>3387</v>
      </c>
      <c r="G4118" t="s">
        <v>101</v>
      </c>
      <c r="H4118" s="4">
        <v>54.36</v>
      </c>
      <c r="I4118" t="s">
        <v>47</v>
      </c>
      <c r="J4118" t="s">
        <v>64</v>
      </c>
      <c r="K4118" t="s">
        <v>1166</v>
      </c>
      <c r="L4118" s="2">
        <v>46113</v>
      </c>
      <c r="M4118" t="s">
        <v>64</v>
      </c>
      <c r="N4118">
        <v>0</v>
      </c>
      <c r="O4118" t="s">
        <v>26</v>
      </c>
      <c r="P4118" t="s">
        <v>28</v>
      </c>
      <c r="Q4118">
        <v>0</v>
      </c>
    </row>
    <row r="4119" spans="1:17" x14ac:dyDescent="0.3">
      <c r="A4119" t="s">
        <v>17</v>
      </c>
      <c r="B4119">
        <v>67</v>
      </c>
      <c r="C4119" t="s">
        <v>28</v>
      </c>
      <c r="D4119" s="2">
        <v>46116</v>
      </c>
      <c r="E4119" s="3">
        <f t="shared" si="64"/>
        <v>46113</v>
      </c>
      <c r="F4119" t="s">
        <v>3363</v>
      </c>
      <c r="H4119" s="4">
        <v>1.5</v>
      </c>
      <c r="I4119" t="s">
        <v>47</v>
      </c>
      <c r="J4119" t="s">
        <v>64</v>
      </c>
      <c r="K4119" t="s">
        <v>3390</v>
      </c>
      <c r="L4119" s="2">
        <v>46113</v>
      </c>
      <c r="M4119" t="s">
        <v>64</v>
      </c>
      <c r="N4119">
        <v>0</v>
      </c>
      <c r="O4119" t="s">
        <v>26</v>
      </c>
      <c r="P4119" t="s">
        <v>28</v>
      </c>
      <c r="Q4119">
        <v>0</v>
      </c>
    </row>
    <row r="4120" spans="1:17" x14ac:dyDescent="0.3">
      <c r="A4120" t="s">
        <v>17</v>
      </c>
      <c r="B4120">
        <v>67</v>
      </c>
      <c r="C4120" t="s">
        <v>28</v>
      </c>
      <c r="D4120" s="2">
        <v>46116</v>
      </c>
      <c r="E4120" s="3">
        <f t="shared" si="64"/>
        <v>46113</v>
      </c>
      <c r="F4120" t="s">
        <v>3363</v>
      </c>
      <c r="H4120" s="4">
        <v>1.46</v>
      </c>
      <c r="I4120" t="s">
        <v>47</v>
      </c>
      <c r="J4120" t="s">
        <v>64</v>
      </c>
      <c r="K4120" t="s">
        <v>3390</v>
      </c>
      <c r="L4120" s="2">
        <v>46113</v>
      </c>
      <c r="M4120" t="s">
        <v>64</v>
      </c>
      <c r="N4120">
        <v>0</v>
      </c>
      <c r="O4120" t="s">
        <v>26</v>
      </c>
      <c r="P4120" t="s">
        <v>28</v>
      </c>
      <c r="Q4120">
        <v>0</v>
      </c>
    </row>
    <row r="4121" spans="1:17" x14ac:dyDescent="0.3">
      <c r="A4121" t="s">
        <v>17</v>
      </c>
      <c r="B4121">
        <v>67</v>
      </c>
      <c r="C4121" t="s">
        <v>28</v>
      </c>
      <c r="D4121" s="2">
        <v>46116</v>
      </c>
      <c r="E4121" s="3">
        <f t="shared" si="64"/>
        <v>46113</v>
      </c>
      <c r="F4121" t="s">
        <v>3363</v>
      </c>
      <c r="H4121" s="4">
        <v>0.54</v>
      </c>
      <c r="I4121" t="s">
        <v>47</v>
      </c>
      <c r="J4121" t="s">
        <v>64</v>
      </c>
      <c r="K4121" t="s">
        <v>3390</v>
      </c>
      <c r="L4121" s="2">
        <v>46113</v>
      </c>
      <c r="M4121" t="s">
        <v>64</v>
      </c>
      <c r="N4121">
        <v>0</v>
      </c>
      <c r="O4121" t="s">
        <v>26</v>
      </c>
      <c r="P4121" t="s">
        <v>28</v>
      </c>
      <c r="Q4121">
        <v>0</v>
      </c>
    </row>
    <row r="4122" spans="1:17" x14ac:dyDescent="0.3">
      <c r="A4122" t="s">
        <v>17</v>
      </c>
      <c r="B4122">
        <v>67</v>
      </c>
      <c r="C4122" t="s">
        <v>28</v>
      </c>
      <c r="D4122" s="2">
        <v>46116</v>
      </c>
      <c r="E4122" s="3">
        <f t="shared" si="64"/>
        <v>46113</v>
      </c>
      <c r="F4122" t="s">
        <v>3363</v>
      </c>
      <c r="H4122" s="4">
        <v>50.96</v>
      </c>
      <c r="I4122" t="s">
        <v>47</v>
      </c>
      <c r="J4122" t="s">
        <v>64</v>
      </c>
      <c r="K4122" t="s">
        <v>3390</v>
      </c>
      <c r="L4122" s="2">
        <v>46113</v>
      </c>
      <c r="M4122" t="s">
        <v>64</v>
      </c>
      <c r="N4122">
        <v>0</v>
      </c>
      <c r="O4122" t="s">
        <v>26</v>
      </c>
      <c r="P4122" t="s">
        <v>28</v>
      </c>
      <c r="Q4122">
        <v>0</v>
      </c>
    </row>
    <row r="4123" spans="1:17" x14ac:dyDescent="0.3">
      <c r="A4123" t="s">
        <v>17</v>
      </c>
      <c r="B4123">
        <v>67</v>
      </c>
      <c r="C4123" t="s">
        <v>28</v>
      </c>
      <c r="D4123" s="2">
        <v>46116</v>
      </c>
      <c r="E4123" s="3">
        <f t="shared" si="64"/>
        <v>46113</v>
      </c>
      <c r="F4123" t="s">
        <v>3363</v>
      </c>
      <c r="H4123" s="4">
        <v>2.48</v>
      </c>
      <c r="I4123" t="s">
        <v>47</v>
      </c>
      <c r="J4123" t="s">
        <v>64</v>
      </c>
      <c r="K4123" t="s">
        <v>3390</v>
      </c>
      <c r="L4123" s="2">
        <v>46113</v>
      </c>
      <c r="M4123" t="s">
        <v>64</v>
      </c>
      <c r="N4123">
        <v>0</v>
      </c>
      <c r="O4123" t="s">
        <v>26</v>
      </c>
      <c r="P4123" t="s">
        <v>28</v>
      </c>
      <c r="Q4123">
        <v>0</v>
      </c>
    </row>
    <row r="4124" spans="1:17" x14ac:dyDescent="0.3">
      <c r="A4124" t="s">
        <v>17</v>
      </c>
      <c r="B4124">
        <v>67</v>
      </c>
      <c r="C4124" t="s">
        <v>28</v>
      </c>
      <c r="D4124" s="2">
        <v>46116</v>
      </c>
      <c r="E4124" s="3">
        <f t="shared" si="64"/>
        <v>46113</v>
      </c>
      <c r="F4124" t="s">
        <v>3363</v>
      </c>
      <c r="H4124" s="4">
        <v>0.69</v>
      </c>
      <c r="I4124" t="s">
        <v>47</v>
      </c>
      <c r="J4124" t="s">
        <v>64</v>
      </c>
      <c r="K4124" t="s">
        <v>3391</v>
      </c>
      <c r="L4124" s="2">
        <v>46113</v>
      </c>
      <c r="M4124" t="s">
        <v>64</v>
      </c>
      <c r="N4124">
        <v>0</v>
      </c>
      <c r="O4124" t="s">
        <v>26</v>
      </c>
      <c r="P4124" t="s">
        <v>28</v>
      </c>
      <c r="Q4124">
        <v>0</v>
      </c>
    </row>
    <row r="4125" spans="1:17" x14ac:dyDescent="0.3">
      <c r="A4125" t="s">
        <v>17</v>
      </c>
      <c r="B4125">
        <v>67</v>
      </c>
      <c r="C4125" t="s">
        <v>28</v>
      </c>
      <c r="D4125" s="2">
        <v>46116</v>
      </c>
      <c r="E4125" s="3">
        <f t="shared" si="64"/>
        <v>46113</v>
      </c>
      <c r="F4125" t="s">
        <v>3363</v>
      </c>
      <c r="H4125" s="4">
        <v>0.05</v>
      </c>
      <c r="I4125" t="s">
        <v>47</v>
      </c>
      <c r="J4125" t="s">
        <v>64</v>
      </c>
      <c r="K4125" t="s">
        <v>3391</v>
      </c>
      <c r="L4125" s="2">
        <v>46113</v>
      </c>
      <c r="M4125" t="s">
        <v>64</v>
      </c>
      <c r="N4125">
        <v>0</v>
      </c>
      <c r="O4125" t="s">
        <v>26</v>
      </c>
      <c r="P4125" t="s">
        <v>28</v>
      </c>
      <c r="Q4125">
        <v>0</v>
      </c>
    </row>
    <row r="4126" spans="1:17" x14ac:dyDescent="0.3">
      <c r="A4126" t="s">
        <v>17</v>
      </c>
      <c r="B4126">
        <v>67</v>
      </c>
      <c r="C4126" t="s">
        <v>28</v>
      </c>
      <c r="D4126" s="2">
        <v>46116</v>
      </c>
      <c r="E4126" s="3">
        <f t="shared" si="64"/>
        <v>46113</v>
      </c>
      <c r="F4126" t="s">
        <v>3363</v>
      </c>
      <c r="H4126" s="4">
        <v>1.22</v>
      </c>
      <c r="I4126" t="s">
        <v>47</v>
      </c>
      <c r="J4126" t="s">
        <v>64</v>
      </c>
      <c r="K4126" t="s">
        <v>3391</v>
      </c>
      <c r="L4126" s="2">
        <v>46113</v>
      </c>
      <c r="M4126" t="s">
        <v>64</v>
      </c>
      <c r="N4126">
        <v>0</v>
      </c>
      <c r="O4126" t="s">
        <v>26</v>
      </c>
      <c r="P4126" t="s">
        <v>28</v>
      </c>
      <c r="Q4126">
        <v>0</v>
      </c>
    </row>
    <row r="4127" spans="1:17" x14ac:dyDescent="0.3">
      <c r="A4127" t="s">
        <v>17</v>
      </c>
      <c r="B4127">
        <v>67</v>
      </c>
      <c r="C4127" t="s">
        <v>28</v>
      </c>
      <c r="D4127" s="2">
        <v>46116</v>
      </c>
      <c r="E4127" s="3">
        <f t="shared" si="64"/>
        <v>46113</v>
      </c>
      <c r="F4127" t="s">
        <v>3363</v>
      </c>
      <c r="H4127" s="4">
        <v>1.73</v>
      </c>
      <c r="I4127" t="s">
        <v>47</v>
      </c>
      <c r="J4127" t="s">
        <v>64</v>
      </c>
      <c r="K4127" t="s">
        <v>3391</v>
      </c>
      <c r="L4127" s="2">
        <v>46113</v>
      </c>
      <c r="M4127" t="s">
        <v>64</v>
      </c>
      <c r="N4127">
        <v>0</v>
      </c>
      <c r="O4127" t="s">
        <v>26</v>
      </c>
      <c r="P4127" t="s">
        <v>28</v>
      </c>
      <c r="Q4127">
        <v>0</v>
      </c>
    </row>
    <row r="4128" spans="1:17" x14ac:dyDescent="0.3">
      <c r="A4128" t="s">
        <v>17</v>
      </c>
      <c r="B4128">
        <v>67</v>
      </c>
      <c r="C4128" t="s">
        <v>28</v>
      </c>
      <c r="D4128" s="2">
        <v>46116</v>
      </c>
      <c r="E4128" s="3">
        <f t="shared" si="64"/>
        <v>46113</v>
      </c>
      <c r="F4128" t="s">
        <v>3363</v>
      </c>
      <c r="H4128" s="4">
        <v>0.31</v>
      </c>
      <c r="I4128" t="s">
        <v>47</v>
      </c>
      <c r="J4128" t="s">
        <v>64</v>
      </c>
      <c r="K4128" t="s">
        <v>3390</v>
      </c>
      <c r="L4128" s="2">
        <v>46113</v>
      </c>
      <c r="M4128" t="s">
        <v>64</v>
      </c>
      <c r="N4128">
        <v>0</v>
      </c>
      <c r="O4128" t="s">
        <v>26</v>
      </c>
      <c r="P4128" t="s">
        <v>28</v>
      </c>
      <c r="Q4128">
        <v>0</v>
      </c>
    </row>
    <row r="4129" spans="1:17" x14ac:dyDescent="0.3">
      <c r="A4129" t="s">
        <v>17</v>
      </c>
      <c r="B4129">
        <v>67</v>
      </c>
      <c r="C4129" t="s">
        <v>28</v>
      </c>
      <c r="D4129" s="2">
        <v>46116</v>
      </c>
      <c r="E4129" s="3">
        <f t="shared" si="64"/>
        <v>46113</v>
      </c>
      <c r="F4129" t="s">
        <v>3363</v>
      </c>
      <c r="H4129" s="4">
        <v>1.72</v>
      </c>
      <c r="I4129" t="s">
        <v>47</v>
      </c>
      <c r="J4129" t="s">
        <v>64</v>
      </c>
      <c r="K4129" t="s">
        <v>3390</v>
      </c>
      <c r="L4129" s="2">
        <v>46113</v>
      </c>
      <c r="M4129" t="s">
        <v>64</v>
      </c>
      <c r="N4129">
        <v>0</v>
      </c>
      <c r="O4129" t="s">
        <v>26</v>
      </c>
      <c r="P4129" t="s">
        <v>28</v>
      </c>
      <c r="Q4129">
        <v>0</v>
      </c>
    </row>
    <row r="4130" spans="1:17" x14ac:dyDescent="0.3">
      <c r="A4130" t="s">
        <v>17</v>
      </c>
      <c r="B4130">
        <v>67</v>
      </c>
      <c r="C4130" t="s">
        <v>28</v>
      </c>
      <c r="D4130" s="2">
        <v>46116</v>
      </c>
      <c r="E4130" s="3">
        <f t="shared" si="64"/>
        <v>46113</v>
      </c>
      <c r="F4130" t="s">
        <v>3363</v>
      </c>
      <c r="H4130" s="4">
        <v>1.28</v>
      </c>
      <c r="I4130" t="s">
        <v>47</v>
      </c>
      <c r="J4130" t="s">
        <v>64</v>
      </c>
      <c r="K4130" t="s">
        <v>3390</v>
      </c>
      <c r="L4130" s="2">
        <v>46113</v>
      </c>
      <c r="M4130" t="s">
        <v>64</v>
      </c>
      <c r="N4130">
        <v>0</v>
      </c>
      <c r="O4130" t="s">
        <v>26</v>
      </c>
      <c r="P4130" t="s">
        <v>28</v>
      </c>
      <c r="Q4130">
        <v>0</v>
      </c>
    </row>
    <row r="4131" spans="1:17" x14ac:dyDescent="0.3">
      <c r="A4131" t="s">
        <v>17</v>
      </c>
      <c r="B4131">
        <v>67</v>
      </c>
      <c r="C4131" t="s">
        <v>28</v>
      </c>
      <c r="D4131" s="2">
        <v>46116</v>
      </c>
      <c r="E4131" s="3">
        <f t="shared" si="64"/>
        <v>46113</v>
      </c>
      <c r="F4131" t="s">
        <v>3363</v>
      </c>
      <c r="H4131" s="4">
        <v>0.31</v>
      </c>
      <c r="I4131" t="s">
        <v>47</v>
      </c>
      <c r="J4131" t="s">
        <v>64</v>
      </c>
      <c r="K4131" t="s">
        <v>3390</v>
      </c>
      <c r="L4131" s="2">
        <v>46113</v>
      </c>
      <c r="M4131" t="s">
        <v>64</v>
      </c>
      <c r="N4131">
        <v>0</v>
      </c>
      <c r="O4131" t="s">
        <v>26</v>
      </c>
      <c r="P4131" t="s">
        <v>28</v>
      </c>
      <c r="Q4131">
        <v>0</v>
      </c>
    </row>
    <row r="4132" spans="1:17" x14ac:dyDescent="0.3">
      <c r="A4132" t="s">
        <v>17</v>
      </c>
      <c r="B4132">
        <v>67</v>
      </c>
      <c r="C4132" t="s">
        <v>28</v>
      </c>
      <c r="D4132" s="2">
        <v>46116</v>
      </c>
      <c r="E4132" s="3">
        <f t="shared" si="64"/>
        <v>46113</v>
      </c>
      <c r="F4132" t="s">
        <v>3363</v>
      </c>
      <c r="H4132" s="4">
        <v>2.13</v>
      </c>
      <c r="I4132" t="s">
        <v>47</v>
      </c>
      <c r="J4132" t="s">
        <v>64</v>
      </c>
      <c r="K4132" t="s">
        <v>3391</v>
      </c>
      <c r="L4132" s="2">
        <v>46113</v>
      </c>
      <c r="M4132" t="s">
        <v>64</v>
      </c>
      <c r="N4132">
        <v>0</v>
      </c>
      <c r="O4132" t="s">
        <v>26</v>
      </c>
      <c r="P4132" t="s">
        <v>28</v>
      </c>
      <c r="Q4132">
        <v>0</v>
      </c>
    </row>
    <row r="4133" spans="1:17" x14ac:dyDescent="0.3">
      <c r="A4133" t="s">
        <v>17</v>
      </c>
      <c r="B4133">
        <v>67</v>
      </c>
      <c r="C4133" t="s">
        <v>28</v>
      </c>
      <c r="D4133" s="2">
        <v>46116</v>
      </c>
      <c r="E4133" s="3">
        <f t="shared" si="64"/>
        <v>46113</v>
      </c>
      <c r="F4133" t="s">
        <v>3363</v>
      </c>
      <c r="H4133" s="4">
        <v>0.28999999999999998</v>
      </c>
      <c r="I4133" t="s">
        <v>47</v>
      </c>
      <c r="J4133" t="s">
        <v>64</v>
      </c>
      <c r="K4133" t="s">
        <v>3391</v>
      </c>
      <c r="L4133" s="2">
        <v>46113</v>
      </c>
      <c r="M4133" t="s">
        <v>64</v>
      </c>
      <c r="N4133">
        <v>0</v>
      </c>
      <c r="O4133" t="s">
        <v>26</v>
      </c>
      <c r="P4133" t="s">
        <v>28</v>
      </c>
      <c r="Q4133">
        <v>0</v>
      </c>
    </row>
    <row r="4134" spans="1:17" x14ac:dyDescent="0.3">
      <c r="A4134" t="s">
        <v>17</v>
      </c>
      <c r="B4134">
        <v>67</v>
      </c>
      <c r="C4134" t="s">
        <v>28</v>
      </c>
      <c r="D4134" s="2">
        <v>46116</v>
      </c>
      <c r="E4134" s="3">
        <f t="shared" si="64"/>
        <v>46113</v>
      </c>
      <c r="F4134" t="s">
        <v>3363</v>
      </c>
      <c r="H4134" s="4">
        <v>4.38</v>
      </c>
      <c r="I4134" t="s">
        <v>47</v>
      </c>
      <c r="J4134" t="s">
        <v>64</v>
      </c>
      <c r="K4134" t="s">
        <v>3390</v>
      </c>
      <c r="L4134" s="2">
        <v>46113</v>
      </c>
      <c r="M4134" t="s">
        <v>64</v>
      </c>
      <c r="N4134">
        <v>0</v>
      </c>
      <c r="O4134" t="s">
        <v>26</v>
      </c>
      <c r="P4134" t="s">
        <v>28</v>
      </c>
      <c r="Q4134">
        <v>0</v>
      </c>
    </row>
    <row r="4135" spans="1:17" x14ac:dyDescent="0.3">
      <c r="A4135" t="s">
        <v>17</v>
      </c>
      <c r="B4135">
        <v>67</v>
      </c>
      <c r="C4135" t="s">
        <v>28</v>
      </c>
      <c r="D4135" s="2">
        <v>46116</v>
      </c>
      <c r="E4135" s="3">
        <f t="shared" si="64"/>
        <v>46113</v>
      </c>
      <c r="F4135" t="s">
        <v>3363</v>
      </c>
      <c r="H4135" s="4">
        <v>8.75</v>
      </c>
      <c r="I4135" t="s">
        <v>47</v>
      </c>
      <c r="J4135" t="s">
        <v>64</v>
      </c>
      <c r="K4135" t="s">
        <v>3391</v>
      </c>
      <c r="L4135" s="2">
        <v>46113</v>
      </c>
      <c r="M4135" t="s">
        <v>64</v>
      </c>
      <c r="N4135">
        <v>0</v>
      </c>
      <c r="O4135" t="s">
        <v>26</v>
      </c>
      <c r="P4135" t="s">
        <v>28</v>
      </c>
      <c r="Q4135">
        <v>0</v>
      </c>
    </row>
    <row r="4136" spans="1:17" x14ac:dyDescent="0.3">
      <c r="A4136" t="s">
        <v>17</v>
      </c>
      <c r="B4136">
        <v>67</v>
      </c>
      <c r="C4136" t="s">
        <v>28</v>
      </c>
      <c r="D4136" s="2">
        <v>46116</v>
      </c>
      <c r="E4136" s="3">
        <f t="shared" si="64"/>
        <v>46113</v>
      </c>
      <c r="F4136" t="s">
        <v>3363</v>
      </c>
      <c r="H4136" s="4">
        <v>15.59</v>
      </c>
      <c r="I4136" t="s">
        <v>47</v>
      </c>
      <c r="J4136" t="s">
        <v>64</v>
      </c>
      <c r="K4136" t="s">
        <v>3391</v>
      </c>
      <c r="L4136" s="2">
        <v>46113</v>
      </c>
      <c r="M4136" t="s">
        <v>64</v>
      </c>
      <c r="N4136">
        <v>0</v>
      </c>
      <c r="O4136" t="s">
        <v>26</v>
      </c>
      <c r="P4136" t="s">
        <v>28</v>
      </c>
      <c r="Q4136">
        <v>0</v>
      </c>
    </row>
    <row r="4137" spans="1:17" x14ac:dyDescent="0.3">
      <c r="A4137" t="s">
        <v>17</v>
      </c>
      <c r="B4137">
        <v>64</v>
      </c>
      <c r="C4137" t="s">
        <v>83</v>
      </c>
      <c r="D4137" s="2">
        <v>46117</v>
      </c>
      <c r="E4137" s="3">
        <f t="shared" si="64"/>
        <v>46113</v>
      </c>
      <c r="F4137" t="s">
        <v>3392</v>
      </c>
      <c r="H4137" s="4">
        <v>0.66</v>
      </c>
      <c r="I4137" t="s">
        <v>108</v>
      </c>
      <c r="J4137" t="s">
        <v>91</v>
      </c>
      <c r="K4137" t="s">
        <v>3393</v>
      </c>
      <c r="L4137" s="2">
        <v>46113</v>
      </c>
      <c r="M4137" t="s">
        <v>93</v>
      </c>
      <c r="N4137">
        <v>0</v>
      </c>
      <c r="O4137" t="s">
        <v>111</v>
      </c>
      <c r="P4137" t="s">
        <v>83</v>
      </c>
      <c r="Q4137">
        <v>0</v>
      </c>
    </row>
    <row r="4138" spans="1:17" x14ac:dyDescent="0.3">
      <c r="A4138" t="s">
        <v>17</v>
      </c>
      <c r="B4138">
        <v>64</v>
      </c>
      <c r="C4138" t="s">
        <v>83</v>
      </c>
      <c r="D4138" s="2">
        <v>46117</v>
      </c>
      <c r="E4138" s="3">
        <f t="shared" si="64"/>
        <v>46113</v>
      </c>
      <c r="F4138" t="s">
        <v>3392</v>
      </c>
      <c r="H4138" s="4">
        <v>12.3</v>
      </c>
      <c r="I4138" t="s">
        <v>108</v>
      </c>
      <c r="J4138" t="s">
        <v>91</v>
      </c>
      <c r="K4138" t="s">
        <v>3394</v>
      </c>
      <c r="L4138" s="2">
        <v>46113</v>
      </c>
      <c r="M4138" t="s">
        <v>93</v>
      </c>
      <c r="N4138">
        <v>0</v>
      </c>
      <c r="O4138" t="s">
        <v>111</v>
      </c>
      <c r="P4138" t="s">
        <v>83</v>
      </c>
      <c r="Q4138">
        <v>0</v>
      </c>
    </row>
    <row r="4139" spans="1:17" x14ac:dyDescent="0.3">
      <c r="A4139" t="s">
        <v>17</v>
      </c>
      <c r="B4139">
        <v>64</v>
      </c>
      <c r="C4139" t="s">
        <v>83</v>
      </c>
      <c r="D4139" s="2">
        <v>46117</v>
      </c>
      <c r="E4139" s="3">
        <f t="shared" si="64"/>
        <v>46113</v>
      </c>
      <c r="F4139" t="s">
        <v>3392</v>
      </c>
      <c r="H4139" s="4">
        <v>13.38</v>
      </c>
      <c r="I4139" t="s">
        <v>108</v>
      </c>
      <c r="J4139" t="s">
        <v>91</v>
      </c>
      <c r="K4139" t="s">
        <v>3395</v>
      </c>
      <c r="L4139" s="2">
        <v>46113</v>
      </c>
      <c r="M4139" t="s">
        <v>93</v>
      </c>
      <c r="N4139">
        <v>0</v>
      </c>
      <c r="O4139" t="s">
        <v>111</v>
      </c>
      <c r="P4139" t="s">
        <v>83</v>
      </c>
      <c r="Q4139">
        <v>0</v>
      </c>
    </row>
    <row r="4140" spans="1:17" x14ac:dyDescent="0.3">
      <c r="A4140" t="s">
        <v>17</v>
      </c>
      <c r="B4140">
        <v>64</v>
      </c>
      <c r="C4140" t="s">
        <v>83</v>
      </c>
      <c r="D4140" s="2">
        <v>46117</v>
      </c>
      <c r="E4140" s="3">
        <f t="shared" si="64"/>
        <v>46113</v>
      </c>
      <c r="F4140" t="s">
        <v>3392</v>
      </c>
      <c r="H4140" s="4">
        <v>3.3</v>
      </c>
      <c r="I4140" t="s">
        <v>108</v>
      </c>
      <c r="J4140" t="s">
        <v>91</v>
      </c>
      <c r="K4140" t="s">
        <v>3393</v>
      </c>
      <c r="L4140" s="2">
        <v>46113</v>
      </c>
      <c r="M4140" t="s">
        <v>93</v>
      </c>
      <c r="N4140">
        <v>0</v>
      </c>
      <c r="O4140" t="s">
        <v>111</v>
      </c>
      <c r="P4140" t="s">
        <v>83</v>
      </c>
      <c r="Q4140">
        <v>0</v>
      </c>
    </row>
    <row r="4141" spans="1:17" x14ac:dyDescent="0.3">
      <c r="A4141" t="s">
        <v>17</v>
      </c>
      <c r="B4141">
        <v>64</v>
      </c>
      <c r="C4141" t="s">
        <v>83</v>
      </c>
      <c r="D4141" s="2">
        <v>46117</v>
      </c>
      <c r="E4141" s="3">
        <f t="shared" si="64"/>
        <v>46113</v>
      </c>
      <c r="F4141" t="s">
        <v>3392</v>
      </c>
      <c r="H4141" s="4">
        <v>8.2100000000000009</v>
      </c>
      <c r="I4141" t="s">
        <v>108</v>
      </c>
      <c r="J4141" t="s">
        <v>91</v>
      </c>
      <c r="K4141" t="s">
        <v>3396</v>
      </c>
      <c r="L4141" s="2">
        <v>46113</v>
      </c>
      <c r="M4141" t="s">
        <v>93</v>
      </c>
      <c r="N4141">
        <v>0</v>
      </c>
      <c r="O4141" t="s">
        <v>111</v>
      </c>
      <c r="P4141" t="s">
        <v>83</v>
      </c>
      <c r="Q4141">
        <v>0</v>
      </c>
    </row>
    <row r="4142" spans="1:17" x14ac:dyDescent="0.3">
      <c r="A4142" t="s">
        <v>17</v>
      </c>
      <c r="B4142">
        <v>64</v>
      </c>
      <c r="C4142" t="s">
        <v>83</v>
      </c>
      <c r="D4142" s="2">
        <v>46117</v>
      </c>
      <c r="E4142" s="3">
        <f t="shared" si="64"/>
        <v>46113</v>
      </c>
      <c r="F4142" t="s">
        <v>3392</v>
      </c>
      <c r="H4142" s="4">
        <v>1.64</v>
      </c>
      <c r="I4142" t="s">
        <v>108</v>
      </c>
      <c r="J4142" t="s">
        <v>91</v>
      </c>
      <c r="K4142" t="s">
        <v>3396</v>
      </c>
      <c r="L4142" s="2">
        <v>46113</v>
      </c>
      <c r="M4142" t="s">
        <v>93</v>
      </c>
      <c r="N4142">
        <v>0</v>
      </c>
      <c r="O4142" t="s">
        <v>111</v>
      </c>
      <c r="P4142" t="s">
        <v>83</v>
      </c>
      <c r="Q4142">
        <v>0</v>
      </c>
    </row>
    <row r="4143" spans="1:17" x14ac:dyDescent="0.3">
      <c r="A4143" t="s">
        <v>17</v>
      </c>
      <c r="B4143">
        <v>64</v>
      </c>
      <c r="C4143" t="s">
        <v>83</v>
      </c>
      <c r="D4143" s="2">
        <v>46117</v>
      </c>
      <c r="E4143" s="3">
        <f t="shared" si="64"/>
        <v>46113</v>
      </c>
      <c r="F4143" t="s">
        <v>3392</v>
      </c>
      <c r="H4143" s="4">
        <v>18.190000000000001</v>
      </c>
      <c r="I4143" t="s">
        <v>108</v>
      </c>
      <c r="J4143" t="s">
        <v>91</v>
      </c>
      <c r="K4143" t="s">
        <v>3395</v>
      </c>
      <c r="L4143" s="2">
        <v>46113</v>
      </c>
      <c r="M4143" t="s">
        <v>93</v>
      </c>
      <c r="N4143">
        <v>0</v>
      </c>
      <c r="O4143" t="s">
        <v>111</v>
      </c>
      <c r="P4143" t="s">
        <v>83</v>
      </c>
      <c r="Q4143">
        <v>0</v>
      </c>
    </row>
    <row r="4144" spans="1:17" x14ac:dyDescent="0.3">
      <c r="A4144" t="s">
        <v>17</v>
      </c>
      <c r="B4144">
        <v>64</v>
      </c>
      <c r="C4144" t="s">
        <v>83</v>
      </c>
      <c r="D4144" s="2">
        <v>46117</v>
      </c>
      <c r="E4144" s="3">
        <f t="shared" si="64"/>
        <v>46113</v>
      </c>
      <c r="F4144" t="s">
        <v>3392</v>
      </c>
      <c r="H4144" s="4">
        <v>63.47</v>
      </c>
      <c r="I4144" t="s">
        <v>108</v>
      </c>
      <c r="J4144" t="s">
        <v>91</v>
      </c>
      <c r="K4144" t="s">
        <v>3397</v>
      </c>
      <c r="L4144" s="2">
        <v>46113</v>
      </c>
      <c r="M4144" t="s">
        <v>93</v>
      </c>
      <c r="N4144">
        <v>0</v>
      </c>
      <c r="O4144" t="s">
        <v>111</v>
      </c>
      <c r="P4144" t="s">
        <v>83</v>
      </c>
      <c r="Q4144">
        <v>0</v>
      </c>
    </row>
    <row r="4145" spans="1:17" x14ac:dyDescent="0.3">
      <c r="A4145" t="s">
        <v>17</v>
      </c>
      <c r="B4145">
        <v>64</v>
      </c>
      <c r="C4145" t="s">
        <v>83</v>
      </c>
      <c r="D4145" s="2">
        <v>46117</v>
      </c>
      <c r="E4145" s="3">
        <f t="shared" si="64"/>
        <v>46113</v>
      </c>
      <c r="F4145" t="s">
        <v>3392</v>
      </c>
      <c r="H4145" s="4">
        <v>23.78</v>
      </c>
      <c r="I4145" t="s">
        <v>108</v>
      </c>
      <c r="J4145" t="s">
        <v>84</v>
      </c>
      <c r="K4145" t="s">
        <v>3398</v>
      </c>
      <c r="L4145" s="2">
        <v>46113</v>
      </c>
      <c r="M4145" t="s">
        <v>86</v>
      </c>
      <c r="N4145">
        <v>0</v>
      </c>
      <c r="O4145" t="s">
        <v>111</v>
      </c>
      <c r="P4145" t="s">
        <v>83</v>
      </c>
      <c r="Q4145">
        <v>0</v>
      </c>
    </row>
    <row r="4146" spans="1:17" x14ac:dyDescent="0.3">
      <c r="A4146" t="s">
        <v>17</v>
      </c>
      <c r="B4146">
        <v>64</v>
      </c>
      <c r="C4146" t="s">
        <v>83</v>
      </c>
      <c r="D4146" s="2">
        <v>46117</v>
      </c>
      <c r="E4146" s="3">
        <f t="shared" si="64"/>
        <v>46113</v>
      </c>
      <c r="F4146" t="s">
        <v>3392</v>
      </c>
      <c r="H4146" s="4">
        <v>8.2100000000000009</v>
      </c>
      <c r="I4146" t="s">
        <v>108</v>
      </c>
      <c r="J4146" t="s">
        <v>84</v>
      </c>
      <c r="K4146" t="s">
        <v>3398</v>
      </c>
      <c r="L4146" s="2">
        <v>46113</v>
      </c>
      <c r="M4146" t="s">
        <v>86</v>
      </c>
      <c r="N4146">
        <v>0</v>
      </c>
      <c r="O4146" t="s">
        <v>111</v>
      </c>
      <c r="P4146" t="s">
        <v>83</v>
      </c>
      <c r="Q4146">
        <v>0</v>
      </c>
    </row>
    <row r="4147" spans="1:17" x14ac:dyDescent="0.3">
      <c r="A4147" t="s">
        <v>17</v>
      </c>
      <c r="B4147">
        <v>64</v>
      </c>
      <c r="C4147" t="s">
        <v>83</v>
      </c>
      <c r="D4147" s="2">
        <v>46117</v>
      </c>
      <c r="E4147" s="3">
        <f t="shared" si="64"/>
        <v>46113</v>
      </c>
      <c r="F4147" t="s">
        <v>3392</v>
      </c>
      <c r="H4147" s="4">
        <v>1.0900000000000001</v>
      </c>
      <c r="I4147" t="s">
        <v>108</v>
      </c>
      <c r="J4147" t="s">
        <v>84</v>
      </c>
      <c r="K4147" t="s">
        <v>3398</v>
      </c>
      <c r="L4147" s="2">
        <v>46113</v>
      </c>
      <c r="M4147" t="s">
        <v>86</v>
      </c>
      <c r="N4147">
        <v>0</v>
      </c>
      <c r="O4147" t="s">
        <v>111</v>
      </c>
      <c r="P4147" t="s">
        <v>83</v>
      </c>
      <c r="Q4147">
        <v>0</v>
      </c>
    </row>
    <row r="4148" spans="1:17" x14ac:dyDescent="0.3">
      <c r="A4148" t="s">
        <v>17</v>
      </c>
      <c r="B4148">
        <v>64</v>
      </c>
      <c r="C4148" t="s">
        <v>83</v>
      </c>
      <c r="D4148" s="2">
        <v>46117</v>
      </c>
      <c r="E4148" s="3">
        <f t="shared" si="64"/>
        <v>46113</v>
      </c>
      <c r="F4148" t="s">
        <v>3392</v>
      </c>
      <c r="H4148" s="4">
        <v>18.079999999999998</v>
      </c>
      <c r="I4148" t="s">
        <v>108</v>
      </c>
      <c r="J4148" t="s">
        <v>84</v>
      </c>
      <c r="K4148" t="s">
        <v>3398</v>
      </c>
      <c r="L4148" s="2">
        <v>46113</v>
      </c>
      <c r="M4148" t="s">
        <v>86</v>
      </c>
      <c r="N4148">
        <v>0</v>
      </c>
      <c r="O4148" t="s">
        <v>111</v>
      </c>
      <c r="P4148" t="s">
        <v>83</v>
      </c>
      <c r="Q4148">
        <v>0</v>
      </c>
    </row>
    <row r="4149" spans="1:17" x14ac:dyDescent="0.3">
      <c r="A4149" t="s">
        <v>17</v>
      </c>
      <c r="B4149">
        <v>64</v>
      </c>
      <c r="C4149" t="s">
        <v>83</v>
      </c>
      <c r="D4149" s="2">
        <v>46117</v>
      </c>
      <c r="E4149" s="3">
        <f t="shared" si="64"/>
        <v>46113</v>
      </c>
      <c r="F4149" t="s">
        <v>3392</v>
      </c>
      <c r="H4149" s="4">
        <v>180.76</v>
      </c>
      <c r="I4149" t="s">
        <v>108</v>
      </c>
      <c r="J4149" t="s">
        <v>84</v>
      </c>
      <c r="K4149" t="s">
        <v>3398</v>
      </c>
      <c r="L4149" s="2">
        <v>46113</v>
      </c>
      <c r="M4149" t="s">
        <v>86</v>
      </c>
      <c r="N4149">
        <v>0</v>
      </c>
      <c r="O4149" t="s">
        <v>111</v>
      </c>
      <c r="P4149" t="s">
        <v>83</v>
      </c>
      <c r="Q4149">
        <v>0</v>
      </c>
    </row>
    <row r="4150" spans="1:17" x14ac:dyDescent="0.3">
      <c r="A4150" t="s">
        <v>17</v>
      </c>
      <c r="B4150">
        <v>64</v>
      </c>
      <c r="C4150" t="s">
        <v>83</v>
      </c>
      <c r="D4150" s="2">
        <v>46117</v>
      </c>
      <c r="E4150" s="3">
        <f t="shared" si="64"/>
        <v>46113</v>
      </c>
      <c r="F4150" t="s">
        <v>3392</v>
      </c>
      <c r="H4150" s="4">
        <v>10.85</v>
      </c>
      <c r="I4150" t="s">
        <v>108</v>
      </c>
      <c r="J4150" t="s">
        <v>84</v>
      </c>
      <c r="K4150" t="s">
        <v>3398</v>
      </c>
      <c r="L4150" s="2">
        <v>46113</v>
      </c>
      <c r="M4150" t="s">
        <v>86</v>
      </c>
      <c r="N4150">
        <v>0</v>
      </c>
      <c r="O4150" t="s">
        <v>111</v>
      </c>
      <c r="P4150" t="s">
        <v>83</v>
      </c>
      <c r="Q4150">
        <v>0</v>
      </c>
    </row>
    <row r="4151" spans="1:17" x14ac:dyDescent="0.3">
      <c r="A4151" t="s">
        <v>17</v>
      </c>
      <c r="B4151">
        <v>64</v>
      </c>
      <c r="C4151" t="s">
        <v>83</v>
      </c>
      <c r="D4151" s="2">
        <v>46117</v>
      </c>
      <c r="E4151" s="3">
        <f t="shared" si="64"/>
        <v>46113</v>
      </c>
      <c r="F4151" t="s">
        <v>3392</v>
      </c>
      <c r="H4151" s="4">
        <v>1.0900000000000001</v>
      </c>
      <c r="I4151" t="s">
        <v>108</v>
      </c>
      <c r="J4151" t="s">
        <v>84</v>
      </c>
      <c r="K4151" t="s">
        <v>3398</v>
      </c>
      <c r="L4151" s="2">
        <v>46113</v>
      </c>
      <c r="M4151" t="s">
        <v>86</v>
      </c>
      <c r="N4151">
        <v>0</v>
      </c>
      <c r="O4151" t="s">
        <v>111</v>
      </c>
      <c r="P4151" t="s">
        <v>83</v>
      </c>
      <c r="Q4151">
        <v>0</v>
      </c>
    </row>
    <row r="4152" spans="1:17" x14ac:dyDescent="0.3">
      <c r="A4152" t="s">
        <v>17</v>
      </c>
      <c r="B4152">
        <v>64</v>
      </c>
      <c r="C4152" t="s">
        <v>83</v>
      </c>
      <c r="D4152" s="2">
        <v>46117</v>
      </c>
      <c r="E4152" s="3">
        <f t="shared" si="64"/>
        <v>46113</v>
      </c>
      <c r="F4152" t="s">
        <v>3392</v>
      </c>
      <c r="H4152" s="4">
        <v>18.079999999999998</v>
      </c>
      <c r="I4152" t="s">
        <v>108</v>
      </c>
      <c r="J4152" t="s">
        <v>84</v>
      </c>
      <c r="K4152" t="s">
        <v>3398</v>
      </c>
      <c r="L4152" s="2">
        <v>46113</v>
      </c>
      <c r="M4152" t="s">
        <v>86</v>
      </c>
      <c r="N4152">
        <v>0</v>
      </c>
      <c r="O4152" t="s">
        <v>111</v>
      </c>
      <c r="P4152" t="s">
        <v>83</v>
      </c>
      <c r="Q4152">
        <v>0</v>
      </c>
    </row>
    <row r="4153" spans="1:17" x14ac:dyDescent="0.3">
      <c r="A4153" t="s">
        <v>17</v>
      </c>
      <c r="B4153">
        <v>64</v>
      </c>
      <c r="C4153" t="s">
        <v>83</v>
      </c>
      <c r="D4153" s="2">
        <v>46117</v>
      </c>
      <c r="E4153" s="3">
        <f t="shared" si="64"/>
        <v>46113</v>
      </c>
      <c r="F4153" t="s">
        <v>3392</v>
      </c>
      <c r="H4153" s="4">
        <v>180.75</v>
      </c>
      <c r="I4153" t="s">
        <v>108</v>
      </c>
      <c r="J4153" t="s">
        <v>84</v>
      </c>
      <c r="K4153" t="s">
        <v>3398</v>
      </c>
      <c r="L4153" s="2">
        <v>46113</v>
      </c>
      <c r="M4153" t="s">
        <v>86</v>
      </c>
      <c r="N4153">
        <v>0</v>
      </c>
      <c r="O4153" t="s">
        <v>111</v>
      </c>
      <c r="P4153" t="s">
        <v>83</v>
      </c>
      <c r="Q4153">
        <v>0</v>
      </c>
    </row>
    <row r="4154" spans="1:17" x14ac:dyDescent="0.3">
      <c r="A4154" t="s">
        <v>17</v>
      </c>
      <c r="B4154">
        <v>64</v>
      </c>
      <c r="C4154" t="s">
        <v>83</v>
      </c>
      <c r="D4154" s="2">
        <v>46117</v>
      </c>
      <c r="E4154" s="3">
        <f t="shared" si="64"/>
        <v>46113</v>
      </c>
      <c r="F4154" t="s">
        <v>3392</v>
      </c>
      <c r="H4154" s="4">
        <v>1.29</v>
      </c>
      <c r="I4154" t="s">
        <v>108</v>
      </c>
      <c r="J4154" t="s">
        <v>84</v>
      </c>
      <c r="K4154" t="s">
        <v>3398</v>
      </c>
      <c r="L4154" s="2">
        <v>46113</v>
      </c>
      <c r="M4154" t="s">
        <v>86</v>
      </c>
      <c r="N4154">
        <v>0</v>
      </c>
      <c r="O4154" t="s">
        <v>111</v>
      </c>
      <c r="P4154" t="s">
        <v>83</v>
      </c>
      <c r="Q4154">
        <v>0</v>
      </c>
    </row>
    <row r="4155" spans="1:17" x14ac:dyDescent="0.3">
      <c r="A4155" t="s">
        <v>17</v>
      </c>
      <c r="B4155">
        <v>64</v>
      </c>
      <c r="C4155" t="s">
        <v>83</v>
      </c>
      <c r="D4155" s="2">
        <v>46117</v>
      </c>
      <c r="E4155" s="3">
        <f t="shared" si="64"/>
        <v>46113</v>
      </c>
      <c r="F4155" t="s">
        <v>3392</v>
      </c>
      <c r="H4155" s="4">
        <v>21.55</v>
      </c>
      <c r="I4155" t="s">
        <v>108</v>
      </c>
      <c r="J4155" t="s">
        <v>84</v>
      </c>
      <c r="K4155" t="s">
        <v>3398</v>
      </c>
      <c r="L4155" s="2">
        <v>46113</v>
      </c>
      <c r="M4155" t="s">
        <v>86</v>
      </c>
      <c r="N4155">
        <v>0</v>
      </c>
      <c r="O4155" t="s">
        <v>111</v>
      </c>
      <c r="P4155" t="s">
        <v>83</v>
      </c>
      <c r="Q4155">
        <v>0</v>
      </c>
    </row>
    <row r="4156" spans="1:17" x14ac:dyDescent="0.3">
      <c r="A4156" t="s">
        <v>17</v>
      </c>
      <c r="B4156">
        <v>64</v>
      </c>
      <c r="C4156" t="s">
        <v>83</v>
      </c>
      <c r="D4156" s="2">
        <v>46117</v>
      </c>
      <c r="E4156" s="3">
        <f t="shared" si="64"/>
        <v>46113</v>
      </c>
      <c r="F4156" t="s">
        <v>3392</v>
      </c>
      <c r="H4156" s="4">
        <v>215.49</v>
      </c>
      <c r="I4156" t="s">
        <v>108</v>
      </c>
      <c r="J4156" t="s">
        <v>84</v>
      </c>
      <c r="K4156" t="s">
        <v>3398</v>
      </c>
      <c r="L4156" s="2">
        <v>46113</v>
      </c>
      <c r="M4156" t="s">
        <v>86</v>
      </c>
      <c r="N4156">
        <v>0</v>
      </c>
      <c r="O4156" t="s">
        <v>111</v>
      </c>
      <c r="P4156" t="s">
        <v>83</v>
      </c>
      <c r="Q4156">
        <v>0</v>
      </c>
    </row>
    <row r="4157" spans="1:17" x14ac:dyDescent="0.3">
      <c r="A4157" t="s">
        <v>17</v>
      </c>
      <c r="B4157">
        <v>64</v>
      </c>
      <c r="C4157" t="s">
        <v>83</v>
      </c>
      <c r="D4157" s="2">
        <v>46117</v>
      </c>
      <c r="E4157" s="3">
        <f t="shared" si="64"/>
        <v>46113</v>
      </c>
      <c r="F4157" t="s">
        <v>3392</v>
      </c>
      <c r="H4157" s="4">
        <v>10.85</v>
      </c>
      <c r="I4157" t="s">
        <v>108</v>
      </c>
      <c r="J4157" t="s">
        <v>84</v>
      </c>
      <c r="K4157" t="s">
        <v>3398</v>
      </c>
      <c r="L4157" s="2">
        <v>46113</v>
      </c>
      <c r="M4157" t="s">
        <v>86</v>
      </c>
      <c r="N4157">
        <v>0</v>
      </c>
      <c r="O4157" t="s">
        <v>111</v>
      </c>
      <c r="P4157" t="s">
        <v>83</v>
      </c>
      <c r="Q4157">
        <v>0</v>
      </c>
    </row>
    <row r="4158" spans="1:17" x14ac:dyDescent="0.3">
      <c r="A4158" t="s">
        <v>17</v>
      </c>
      <c r="B4158">
        <v>64</v>
      </c>
      <c r="C4158" t="s">
        <v>83</v>
      </c>
      <c r="D4158" s="2">
        <v>46117</v>
      </c>
      <c r="E4158" s="3">
        <f t="shared" si="64"/>
        <v>46113</v>
      </c>
      <c r="F4158" t="s">
        <v>3392</v>
      </c>
      <c r="H4158" s="4">
        <v>1.0900000000000001</v>
      </c>
      <c r="I4158" t="s">
        <v>108</v>
      </c>
      <c r="J4158" t="s">
        <v>84</v>
      </c>
      <c r="K4158" t="s">
        <v>3398</v>
      </c>
      <c r="L4158" s="2">
        <v>46113</v>
      </c>
      <c r="M4158" t="s">
        <v>86</v>
      </c>
      <c r="N4158">
        <v>0</v>
      </c>
      <c r="O4158" t="s">
        <v>111</v>
      </c>
      <c r="P4158" t="s">
        <v>83</v>
      </c>
      <c r="Q4158">
        <v>0</v>
      </c>
    </row>
    <row r="4159" spans="1:17" x14ac:dyDescent="0.3">
      <c r="A4159" t="s">
        <v>17</v>
      </c>
      <c r="B4159">
        <v>64</v>
      </c>
      <c r="C4159" t="s">
        <v>83</v>
      </c>
      <c r="D4159" s="2">
        <v>46117</v>
      </c>
      <c r="E4159" s="3">
        <f t="shared" si="64"/>
        <v>46113</v>
      </c>
      <c r="F4159" t="s">
        <v>3392</v>
      </c>
      <c r="H4159" s="4">
        <v>18.079999999999998</v>
      </c>
      <c r="I4159" t="s">
        <v>108</v>
      </c>
      <c r="J4159" t="s">
        <v>84</v>
      </c>
      <c r="K4159" t="s">
        <v>3398</v>
      </c>
      <c r="L4159" s="2">
        <v>46113</v>
      </c>
      <c r="M4159" t="s">
        <v>86</v>
      </c>
      <c r="N4159">
        <v>0</v>
      </c>
      <c r="O4159" t="s">
        <v>111</v>
      </c>
      <c r="P4159" t="s">
        <v>83</v>
      </c>
      <c r="Q4159">
        <v>0</v>
      </c>
    </row>
    <row r="4160" spans="1:17" x14ac:dyDescent="0.3">
      <c r="A4160" t="s">
        <v>17</v>
      </c>
      <c r="B4160">
        <v>64</v>
      </c>
      <c r="C4160" t="s">
        <v>83</v>
      </c>
      <c r="D4160" s="2">
        <v>46117</v>
      </c>
      <c r="E4160" s="3">
        <f t="shared" si="64"/>
        <v>46113</v>
      </c>
      <c r="F4160" t="s">
        <v>3392</v>
      </c>
      <c r="H4160" s="4">
        <v>180.75</v>
      </c>
      <c r="I4160" t="s">
        <v>108</v>
      </c>
      <c r="J4160" t="s">
        <v>84</v>
      </c>
      <c r="K4160" t="s">
        <v>3398</v>
      </c>
      <c r="L4160" s="2">
        <v>46113</v>
      </c>
      <c r="M4160" t="s">
        <v>86</v>
      </c>
      <c r="N4160">
        <v>0</v>
      </c>
      <c r="O4160" t="s">
        <v>111</v>
      </c>
      <c r="P4160" t="s">
        <v>83</v>
      </c>
      <c r="Q4160">
        <v>0</v>
      </c>
    </row>
    <row r="4161" spans="1:17" x14ac:dyDescent="0.3">
      <c r="A4161" t="s">
        <v>17</v>
      </c>
      <c r="B4161">
        <v>64</v>
      </c>
      <c r="C4161" t="s">
        <v>83</v>
      </c>
      <c r="D4161" s="2">
        <v>46117</v>
      </c>
      <c r="E4161" s="3">
        <f t="shared" si="64"/>
        <v>46113</v>
      </c>
      <c r="F4161" t="s">
        <v>3392</v>
      </c>
      <c r="H4161" s="4">
        <v>43.78</v>
      </c>
      <c r="I4161" t="s">
        <v>108</v>
      </c>
      <c r="J4161" t="s">
        <v>87</v>
      </c>
      <c r="K4161" t="s">
        <v>3399</v>
      </c>
      <c r="L4161" s="2">
        <v>46113</v>
      </c>
      <c r="M4161" t="s">
        <v>89</v>
      </c>
      <c r="N4161">
        <v>0</v>
      </c>
      <c r="O4161" t="s">
        <v>111</v>
      </c>
      <c r="P4161" t="s">
        <v>83</v>
      </c>
      <c r="Q4161">
        <v>0</v>
      </c>
    </row>
    <row r="4162" spans="1:17" x14ac:dyDescent="0.3">
      <c r="A4162" t="s">
        <v>17</v>
      </c>
      <c r="B4162">
        <v>64</v>
      </c>
      <c r="C4162" t="s">
        <v>83</v>
      </c>
      <c r="D4162" s="2">
        <v>46117</v>
      </c>
      <c r="E4162" s="3">
        <f t="shared" si="64"/>
        <v>46113</v>
      </c>
      <c r="F4162" t="s">
        <v>3392</v>
      </c>
      <c r="H4162" s="4">
        <v>7.69</v>
      </c>
      <c r="I4162" t="s">
        <v>108</v>
      </c>
      <c r="J4162" t="s">
        <v>87</v>
      </c>
      <c r="K4162" t="s">
        <v>3400</v>
      </c>
      <c r="L4162" s="2">
        <v>46113</v>
      </c>
      <c r="M4162" t="s">
        <v>89</v>
      </c>
      <c r="N4162">
        <v>0</v>
      </c>
      <c r="O4162" t="s">
        <v>111</v>
      </c>
      <c r="P4162" t="s">
        <v>83</v>
      </c>
      <c r="Q4162">
        <v>0</v>
      </c>
    </row>
    <row r="4163" spans="1:17" x14ac:dyDescent="0.3">
      <c r="A4163" t="s">
        <v>17</v>
      </c>
      <c r="B4163">
        <v>64</v>
      </c>
      <c r="C4163" t="s">
        <v>83</v>
      </c>
      <c r="D4163" s="2">
        <v>46117</v>
      </c>
      <c r="E4163" s="3">
        <f t="shared" ref="E4163:E4226" si="65">IF($D4163="","",DATE(YEAR($D4163),MONTH($D4163),1))</f>
        <v>46113</v>
      </c>
      <c r="F4163" t="s">
        <v>3392</v>
      </c>
      <c r="H4163" s="4">
        <v>55.01</v>
      </c>
      <c r="I4163" t="s">
        <v>108</v>
      </c>
      <c r="J4163" t="s">
        <v>87</v>
      </c>
      <c r="K4163" t="s">
        <v>3401</v>
      </c>
      <c r="L4163" s="2">
        <v>46113</v>
      </c>
      <c r="M4163" t="s">
        <v>89</v>
      </c>
      <c r="N4163">
        <v>0</v>
      </c>
      <c r="O4163" t="s">
        <v>111</v>
      </c>
      <c r="P4163" t="s">
        <v>83</v>
      </c>
      <c r="Q4163">
        <v>0</v>
      </c>
    </row>
    <row r="4164" spans="1:17" x14ac:dyDescent="0.3">
      <c r="A4164" t="s">
        <v>17</v>
      </c>
      <c r="B4164">
        <v>64</v>
      </c>
      <c r="C4164" t="s">
        <v>83</v>
      </c>
      <c r="D4164" s="2">
        <v>46117</v>
      </c>
      <c r="E4164" s="3">
        <f t="shared" si="65"/>
        <v>46113</v>
      </c>
      <c r="F4164" t="s">
        <v>3392</v>
      </c>
      <c r="H4164" s="4">
        <v>220.22</v>
      </c>
      <c r="I4164" t="s">
        <v>108</v>
      </c>
      <c r="J4164" t="s">
        <v>87</v>
      </c>
      <c r="K4164" t="s">
        <v>3402</v>
      </c>
      <c r="L4164" s="2">
        <v>46113</v>
      </c>
      <c r="M4164" t="s">
        <v>89</v>
      </c>
      <c r="N4164">
        <v>0</v>
      </c>
      <c r="O4164" t="s">
        <v>111</v>
      </c>
      <c r="P4164" t="s">
        <v>83</v>
      </c>
      <c r="Q4164">
        <v>0</v>
      </c>
    </row>
    <row r="4165" spans="1:17" x14ac:dyDescent="0.3">
      <c r="A4165" t="s">
        <v>17</v>
      </c>
      <c r="B4165">
        <v>64</v>
      </c>
      <c r="C4165" t="s">
        <v>83</v>
      </c>
      <c r="D4165" s="2">
        <v>46117</v>
      </c>
      <c r="E4165" s="3">
        <f t="shared" si="65"/>
        <v>46113</v>
      </c>
      <c r="F4165" t="s">
        <v>3392</v>
      </c>
      <c r="H4165" s="4">
        <v>76.94</v>
      </c>
      <c r="I4165" t="s">
        <v>108</v>
      </c>
      <c r="J4165" t="s">
        <v>87</v>
      </c>
      <c r="K4165" t="s">
        <v>3401</v>
      </c>
      <c r="L4165" s="2">
        <v>46113</v>
      </c>
      <c r="M4165" t="s">
        <v>89</v>
      </c>
      <c r="N4165">
        <v>0</v>
      </c>
      <c r="O4165" t="s">
        <v>111</v>
      </c>
      <c r="P4165" t="s">
        <v>83</v>
      </c>
      <c r="Q4165">
        <v>0</v>
      </c>
    </row>
    <row r="4166" spans="1:17" x14ac:dyDescent="0.3">
      <c r="A4166" t="s">
        <v>17</v>
      </c>
      <c r="B4166">
        <v>64</v>
      </c>
      <c r="C4166" t="s">
        <v>83</v>
      </c>
      <c r="D4166" s="2">
        <v>46117</v>
      </c>
      <c r="E4166" s="3">
        <f t="shared" si="65"/>
        <v>46113</v>
      </c>
      <c r="F4166" t="s">
        <v>3392</v>
      </c>
      <c r="H4166" s="4">
        <v>28.53</v>
      </c>
      <c r="I4166" t="s">
        <v>108</v>
      </c>
      <c r="J4166" t="s">
        <v>87</v>
      </c>
      <c r="K4166" t="s">
        <v>3403</v>
      </c>
      <c r="L4166" s="2">
        <v>46113</v>
      </c>
      <c r="M4166" t="s">
        <v>89</v>
      </c>
      <c r="N4166">
        <v>0</v>
      </c>
      <c r="O4166" t="s">
        <v>111</v>
      </c>
      <c r="P4166" t="s">
        <v>83</v>
      </c>
      <c r="Q4166">
        <v>0</v>
      </c>
    </row>
    <row r="4167" spans="1:17" x14ac:dyDescent="0.3">
      <c r="A4167" t="s">
        <v>17</v>
      </c>
      <c r="B4167">
        <v>64</v>
      </c>
      <c r="C4167" t="s">
        <v>83</v>
      </c>
      <c r="D4167" s="2">
        <v>46117</v>
      </c>
      <c r="E4167" s="3">
        <f t="shared" si="65"/>
        <v>46113</v>
      </c>
      <c r="F4167" t="s">
        <v>3392</v>
      </c>
      <c r="H4167" s="4">
        <v>28.52</v>
      </c>
      <c r="I4167" t="s">
        <v>108</v>
      </c>
      <c r="J4167" t="s">
        <v>87</v>
      </c>
      <c r="K4167" t="s">
        <v>3404</v>
      </c>
      <c r="L4167" s="2">
        <v>46113</v>
      </c>
      <c r="M4167" t="s">
        <v>89</v>
      </c>
      <c r="N4167">
        <v>0</v>
      </c>
      <c r="O4167" t="s">
        <v>111</v>
      </c>
      <c r="P4167" t="s">
        <v>83</v>
      </c>
      <c r="Q4167">
        <v>0</v>
      </c>
    </row>
    <row r="4168" spans="1:17" x14ac:dyDescent="0.3">
      <c r="A4168" t="s">
        <v>17</v>
      </c>
      <c r="B4168">
        <v>64</v>
      </c>
      <c r="C4168" t="s">
        <v>83</v>
      </c>
      <c r="D4168" s="2">
        <v>46117</v>
      </c>
      <c r="E4168" s="3">
        <f t="shared" si="65"/>
        <v>46113</v>
      </c>
      <c r="F4168" t="s">
        <v>3392</v>
      </c>
      <c r="H4168" s="4">
        <v>92</v>
      </c>
      <c r="I4168" t="s">
        <v>108</v>
      </c>
      <c r="J4168" t="s">
        <v>511</v>
      </c>
      <c r="K4168" t="s">
        <v>3405</v>
      </c>
      <c r="L4168" s="2">
        <v>46113</v>
      </c>
      <c r="M4168" t="s">
        <v>513</v>
      </c>
      <c r="N4168">
        <v>0</v>
      </c>
      <c r="O4168" t="s">
        <v>111</v>
      </c>
      <c r="P4168" t="s">
        <v>83</v>
      </c>
      <c r="Q4168">
        <v>0</v>
      </c>
    </row>
    <row r="4169" spans="1:17" x14ac:dyDescent="0.3">
      <c r="A4169" t="s">
        <v>17</v>
      </c>
      <c r="B4169">
        <v>67</v>
      </c>
      <c r="C4169" t="s">
        <v>28</v>
      </c>
      <c r="D4169" s="2">
        <v>46117</v>
      </c>
      <c r="E4169" s="3">
        <f t="shared" si="65"/>
        <v>46113</v>
      </c>
      <c r="F4169" t="s">
        <v>3392</v>
      </c>
      <c r="H4169" s="4">
        <v>0.18</v>
      </c>
      <c r="I4169" t="s">
        <v>108</v>
      </c>
      <c r="J4169" t="s">
        <v>64</v>
      </c>
      <c r="K4169" t="s">
        <v>3406</v>
      </c>
      <c r="L4169" s="2">
        <v>46113</v>
      </c>
      <c r="M4169" t="s">
        <v>64</v>
      </c>
      <c r="N4169">
        <v>0</v>
      </c>
      <c r="O4169" t="s">
        <v>111</v>
      </c>
      <c r="P4169" t="s">
        <v>28</v>
      </c>
      <c r="Q4169">
        <v>0</v>
      </c>
    </row>
    <row r="4170" spans="1:17" x14ac:dyDescent="0.3">
      <c r="A4170" t="s">
        <v>17</v>
      </c>
      <c r="B4170">
        <v>67</v>
      </c>
      <c r="C4170" t="s">
        <v>28</v>
      </c>
      <c r="D4170" s="2">
        <v>46117</v>
      </c>
      <c r="E4170" s="3">
        <f t="shared" si="65"/>
        <v>46113</v>
      </c>
      <c r="F4170" t="s">
        <v>3392</v>
      </c>
      <c r="H4170" s="4">
        <v>0.12</v>
      </c>
      <c r="I4170" t="s">
        <v>108</v>
      </c>
      <c r="J4170" t="s">
        <v>64</v>
      </c>
      <c r="K4170" t="s">
        <v>3406</v>
      </c>
      <c r="L4170" s="2">
        <v>46113</v>
      </c>
      <c r="M4170" t="s">
        <v>64</v>
      </c>
      <c r="N4170">
        <v>0</v>
      </c>
      <c r="O4170" t="s">
        <v>111</v>
      </c>
      <c r="P4170" t="s">
        <v>28</v>
      </c>
      <c r="Q4170">
        <v>0</v>
      </c>
    </row>
    <row r="4171" spans="1:17" x14ac:dyDescent="0.3">
      <c r="A4171" t="s">
        <v>17</v>
      </c>
      <c r="B4171">
        <v>67</v>
      </c>
      <c r="C4171" t="s">
        <v>28</v>
      </c>
      <c r="D4171" s="2">
        <v>46117</v>
      </c>
      <c r="E4171" s="3">
        <f t="shared" si="65"/>
        <v>46113</v>
      </c>
      <c r="F4171" t="s">
        <v>3392</v>
      </c>
      <c r="H4171" s="4">
        <v>0.02</v>
      </c>
      <c r="I4171" t="s">
        <v>108</v>
      </c>
      <c r="J4171" t="s">
        <v>64</v>
      </c>
      <c r="K4171" t="s">
        <v>3406</v>
      </c>
      <c r="L4171" s="2">
        <v>46113</v>
      </c>
      <c r="M4171" t="s">
        <v>64</v>
      </c>
      <c r="N4171">
        <v>0</v>
      </c>
      <c r="O4171" t="s">
        <v>111</v>
      </c>
      <c r="P4171" t="s">
        <v>28</v>
      </c>
      <c r="Q4171">
        <v>0</v>
      </c>
    </row>
    <row r="4172" spans="1:17" x14ac:dyDescent="0.3">
      <c r="A4172" t="s">
        <v>17</v>
      </c>
      <c r="B4172">
        <v>67</v>
      </c>
      <c r="C4172" t="s">
        <v>28</v>
      </c>
      <c r="D4172" s="2">
        <v>46117</v>
      </c>
      <c r="E4172" s="3">
        <f t="shared" si="65"/>
        <v>46113</v>
      </c>
      <c r="F4172" t="s">
        <v>3392</v>
      </c>
      <c r="H4172" s="4">
        <v>0.27</v>
      </c>
      <c r="I4172" t="s">
        <v>108</v>
      </c>
      <c r="J4172" t="s">
        <v>64</v>
      </c>
      <c r="K4172" t="s">
        <v>3406</v>
      </c>
      <c r="L4172" s="2">
        <v>46113</v>
      </c>
      <c r="M4172" t="s">
        <v>64</v>
      </c>
      <c r="N4172">
        <v>0</v>
      </c>
      <c r="O4172" t="s">
        <v>111</v>
      </c>
      <c r="P4172" t="s">
        <v>28</v>
      </c>
      <c r="Q4172">
        <v>0</v>
      </c>
    </row>
    <row r="4173" spans="1:17" x14ac:dyDescent="0.3">
      <c r="A4173" t="s">
        <v>17</v>
      </c>
      <c r="B4173">
        <v>67</v>
      </c>
      <c r="C4173" t="s">
        <v>28</v>
      </c>
      <c r="D4173" s="2">
        <v>46118</v>
      </c>
      <c r="E4173" s="3">
        <f t="shared" si="65"/>
        <v>46113</v>
      </c>
      <c r="F4173">
        <v>639595375900</v>
      </c>
      <c r="G4173" t="s">
        <v>2953</v>
      </c>
      <c r="H4173" s="4">
        <v>119.97</v>
      </c>
      <c r="I4173" t="s">
        <v>31</v>
      </c>
      <c r="J4173" t="s">
        <v>48</v>
      </c>
      <c r="K4173" t="s">
        <v>3407</v>
      </c>
      <c r="L4173" s="2">
        <v>46113</v>
      </c>
      <c r="M4173" t="s">
        <v>50</v>
      </c>
      <c r="N4173">
        <v>0</v>
      </c>
      <c r="O4173" t="s">
        <v>31</v>
      </c>
      <c r="P4173" t="s">
        <v>28</v>
      </c>
      <c r="Q4173">
        <v>0</v>
      </c>
    </row>
    <row r="4174" spans="1:17" x14ac:dyDescent="0.3">
      <c r="A4174" t="s">
        <v>17</v>
      </c>
      <c r="B4174">
        <v>63</v>
      </c>
      <c r="C4174" t="s">
        <v>18</v>
      </c>
      <c r="D4174" s="2">
        <v>46118</v>
      </c>
      <c r="E4174" s="3">
        <f t="shared" si="65"/>
        <v>46113</v>
      </c>
      <c r="F4174" t="s">
        <v>3408</v>
      </c>
      <c r="G4174" t="s">
        <v>2245</v>
      </c>
      <c r="H4174" s="4">
        <v>50</v>
      </c>
      <c r="I4174" t="s">
        <v>47</v>
      </c>
      <c r="J4174" t="s">
        <v>272</v>
      </c>
      <c r="K4174" t="s">
        <v>2974</v>
      </c>
      <c r="L4174" s="2">
        <v>46113</v>
      </c>
      <c r="M4174" t="s">
        <v>272</v>
      </c>
      <c r="N4174">
        <v>0</v>
      </c>
      <c r="O4174" t="s">
        <v>26</v>
      </c>
      <c r="P4174" t="s">
        <v>18</v>
      </c>
      <c r="Q4174" t="s">
        <v>274</v>
      </c>
    </row>
    <row r="4175" spans="1:17" x14ac:dyDescent="0.3">
      <c r="A4175" t="s">
        <v>17</v>
      </c>
      <c r="B4175">
        <v>63</v>
      </c>
      <c r="C4175" t="s">
        <v>18</v>
      </c>
      <c r="D4175" s="2">
        <v>46118</v>
      </c>
      <c r="E4175" s="3">
        <f t="shared" si="65"/>
        <v>46113</v>
      </c>
      <c r="F4175" t="s">
        <v>3408</v>
      </c>
      <c r="G4175" t="s">
        <v>2245</v>
      </c>
      <c r="H4175" s="4">
        <v>50</v>
      </c>
      <c r="I4175" t="s">
        <v>47</v>
      </c>
      <c r="J4175" t="s">
        <v>272</v>
      </c>
      <c r="K4175" t="s">
        <v>2974</v>
      </c>
      <c r="L4175" s="2">
        <v>46113</v>
      </c>
      <c r="M4175" t="s">
        <v>272</v>
      </c>
      <c r="N4175">
        <v>0</v>
      </c>
      <c r="O4175" t="s">
        <v>26</v>
      </c>
      <c r="P4175" t="s">
        <v>18</v>
      </c>
      <c r="Q4175" t="s">
        <v>274</v>
      </c>
    </row>
    <row r="4176" spans="1:17" x14ac:dyDescent="0.3">
      <c r="A4176" t="s">
        <v>17</v>
      </c>
      <c r="B4176">
        <v>63</v>
      </c>
      <c r="C4176" t="s">
        <v>18</v>
      </c>
      <c r="D4176" s="2">
        <v>46118</v>
      </c>
      <c r="E4176" s="3">
        <f t="shared" si="65"/>
        <v>46113</v>
      </c>
      <c r="F4176" t="s">
        <v>3408</v>
      </c>
      <c r="G4176" t="s">
        <v>2245</v>
      </c>
      <c r="H4176" s="4">
        <v>39</v>
      </c>
      <c r="I4176" t="s">
        <v>47</v>
      </c>
      <c r="J4176" t="s">
        <v>272</v>
      </c>
      <c r="K4176" t="s">
        <v>2395</v>
      </c>
      <c r="L4176" s="2">
        <v>46113</v>
      </c>
      <c r="M4176" t="s">
        <v>272</v>
      </c>
      <c r="N4176">
        <v>0</v>
      </c>
      <c r="O4176" t="s">
        <v>26</v>
      </c>
      <c r="P4176" t="s">
        <v>18</v>
      </c>
      <c r="Q4176" t="s">
        <v>274</v>
      </c>
    </row>
    <row r="4177" spans="1:17" x14ac:dyDescent="0.3">
      <c r="A4177" t="s">
        <v>17</v>
      </c>
      <c r="B4177">
        <v>63</v>
      </c>
      <c r="C4177" t="s">
        <v>18</v>
      </c>
      <c r="D4177" s="2">
        <v>46118</v>
      </c>
      <c r="E4177" s="3">
        <f t="shared" si="65"/>
        <v>46113</v>
      </c>
      <c r="F4177" t="s">
        <v>3408</v>
      </c>
      <c r="G4177" t="s">
        <v>2245</v>
      </c>
      <c r="H4177" s="4">
        <v>250</v>
      </c>
      <c r="I4177" t="s">
        <v>47</v>
      </c>
      <c r="J4177" t="s">
        <v>272</v>
      </c>
      <c r="K4177" t="s">
        <v>2974</v>
      </c>
      <c r="L4177" s="2">
        <v>46113</v>
      </c>
      <c r="M4177" t="s">
        <v>272</v>
      </c>
      <c r="N4177">
        <v>0</v>
      </c>
      <c r="O4177" t="s">
        <v>26</v>
      </c>
      <c r="P4177" t="s">
        <v>18</v>
      </c>
      <c r="Q4177" t="s">
        <v>274</v>
      </c>
    </row>
    <row r="4178" spans="1:17" x14ac:dyDescent="0.3">
      <c r="A4178" t="s">
        <v>17</v>
      </c>
      <c r="B4178">
        <v>63</v>
      </c>
      <c r="C4178" t="s">
        <v>18</v>
      </c>
      <c r="D4178" s="2">
        <v>46118</v>
      </c>
      <c r="E4178" s="3">
        <f t="shared" si="65"/>
        <v>46113</v>
      </c>
      <c r="F4178" t="s">
        <v>3408</v>
      </c>
      <c r="G4178" t="s">
        <v>2245</v>
      </c>
      <c r="H4178" s="4">
        <v>250</v>
      </c>
      <c r="I4178" t="s">
        <v>47</v>
      </c>
      <c r="J4178" t="s">
        <v>272</v>
      </c>
      <c r="K4178" t="s">
        <v>2974</v>
      </c>
      <c r="L4178" s="2">
        <v>46113</v>
      </c>
      <c r="M4178" t="s">
        <v>272</v>
      </c>
      <c r="N4178">
        <v>0</v>
      </c>
      <c r="O4178" t="s">
        <v>26</v>
      </c>
      <c r="P4178" t="s">
        <v>18</v>
      </c>
      <c r="Q4178" t="s">
        <v>274</v>
      </c>
    </row>
    <row r="4179" spans="1:17" x14ac:dyDescent="0.3">
      <c r="A4179" t="s">
        <v>17</v>
      </c>
      <c r="B4179">
        <v>63</v>
      </c>
      <c r="C4179" t="s">
        <v>18</v>
      </c>
      <c r="D4179" s="2">
        <v>46118</v>
      </c>
      <c r="E4179" s="3">
        <f t="shared" si="65"/>
        <v>46113</v>
      </c>
      <c r="F4179" t="s">
        <v>3408</v>
      </c>
      <c r="G4179" t="s">
        <v>2245</v>
      </c>
      <c r="H4179" s="4">
        <v>39</v>
      </c>
      <c r="I4179" t="s">
        <v>47</v>
      </c>
      <c r="J4179" t="s">
        <v>272</v>
      </c>
      <c r="K4179" t="s">
        <v>2396</v>
      </c>
      <c r="L4179" s="2">
        <v>46113</v>
      </c>
      <c r="M4179" t="s">
        <v>272</v>
      </c>
      <c r="N4179">
        <v>0</v>
      </c>
      <c r="O4179" t="s">
        <v>26</v>
      </c>
      <c r="P4179" t="s">
        <v>18</v>
      </c>
      <c r="Q4179" t="s">
        <v>274</v>
      </c>
    </row>
    <row r="4180" spans="1:17" x14ac:dyDescent="0.3">
      <c r="A4180" t="s">
        <v>17</v>
      </c>
      <c r="B4180">
        <v>63</v>
      </c>
      <c r="C4180" t="s">
        <v>18</v>
      </c>
      <c r="D4180" s="2">
        <v>46118</v>
      </c>
      <c r="E4180" s="3">
        <f t="shared" si="65"/>
        <v>46113</v>
      </c>
      <c r="F4180" t="s">
        <v>3408</v>
      </c>
      <c r="G4180" t="s">
        <v>2245</v>
      </c>
      <c r="H4180" s="4">
        <v>50</v>
      </c>
      <c r="I4180" t="s">
        <v>47</v>
      </c>
      <c r="J4180" t="s">
        <v>272</v>
      </c>
      <c r="K4180" t="s">
        <v>2974</v>
      </c>
      <c r="L4180" s="2">
        <v>46113</v>
      </c>
      <c r="M4180" t="s">
        <v>272</v>
      </c>
      <c r="N4180">
        <v>0</v>
      </c>
      <c r="O4180" t="s">
        <v>26</v>
      </c>
      <c r="P4180" t="s">
        <v>18</v>
      </c>
      <c r="Q4180" t="s">
        <v>274</v>
      </c>
    </row>
    <row r="4181" spans="1:17" x14ac:dyDescent="0.3">
      <c r="A4181" t="s">
        <v>17</v>
      </c>
      <c r="B4181">
        <v>63</v>
      </c>
      <c r="C4181" t="s">
        <v>18</v>
      </c>
      <c r="D4181" s="2">
        <v>46118</v>
      </c>
      <c r="E4181" s="3">
        <f t="shared" si="65"/>
        <v>46113</v>
      </c>
      <c r="F4181" t="s">
        <v>3408</v>
      </c>
      <c r="G4181" t="s">
        <v>2245</v>
      </c>
      <c r="H4181" s="4">
        <v>13</v>
      </c>
      <c r="I4181" t="s">
        <v>47</v>
      </c>
      <c r="J4181" t="s">
        <v>272</v>
      </c>
      <c r="K4181" t="s">
        <v>2397</v>
      </c>
      <c r="L4181" s="2">
        <v>46113</v>
      </c>
      <c r="M4181" t="s">
        <v>272</v>
      </c>
      <c r="N4181">
        <v>0</v>
      </c>
      <c r="O4181" t="s">
        <v>26</v>
      </c>
      <c r="P4181" t="s">
        <v>18</v>
      </c>
      <c r="Q4181" t="s">
        <v>274</v>
      </c>
    </row>
    <row r="4182" spans="1:17" x14ac:dyDescent="0.3">
      <c r="A4182" t="s">
        <v>17</v>
      </c>
      <c r="B4182">
        <v>68</v>
      </c>
      <c r="C4182" t="s">
        <v>34</v>
      </c>
      <c r="D4182" s="2">
        <v>46118</v>
      </c>
      <c r="E4182" s="3">
        <f t="shared" si="65"/>
        <v>46113</v>
      </c>
      <c r="F4182" t="s">
        <v>3409</v>
      </c>
      <c r="G4182" t="s">
        <v>122</v>
      </c>
      <c r="H4182" s="4">
        <v>1.48</v>
      </c>
      <c r="I4182" t="s">
        <v>108</v>
      </c>
      <c r="J4182" t="s">
        <v>109</v>
      </c>
      <c r="K4182" t="s">
        <v>3410</v>
      </c>
      <c r="L4182" s="2">
        <v>46113</v>
      </c>
      <c r="M4182" t="s">
        <v>109</v>
      </c>
      <c r="N4182">
        <v>0</v>
      </c>
      <c r="O4182" t="s">
        <v>111</v>
      </c>
      <c r="P4182" t="s">
        <v>112</v>
      </c>
      <c r="Q4182" t="s">
        <v>113</v>
      </c>
    </row>
    <row r="4183" spans="1:17" x14ac:dyDescent="0.3">
      <c r="A4183" t="s">
        <v>17</v>
      </c>
      <c r="B4183">
        <v>68</v>
      </c>
      <c r="C4183" t="s">
        <v>34</v>
      </c>
      <c r="D4183" s="2">
        <v>46118</v>
      </c>
      <c r="E4183" s="3">
        <f t="shared" si="65"/>
        <v>46113</v>
      </c>
      <c r="F4183" t="s">
        <v>3409</v>
      </c>
      <c r="G4183" t="s">
        <v>122</v>
      </c>
      <c r="H4183" s="4">
        <v>17.5</v>
      </c>
      <c r="I4183" t="s">
        <v>108</v>
      </c>
      <c r="J4183" t="s">
        <v>109</v>
      </c>
      <c r="K4183" t="s">
        <v>3410</v>
      </c>
      <c r="L4183" s="2">
        <v>46113</v>
      </c>
      <c r="M4183" t="s">
        <v>109</v>
      </c>
      <c r="N4183">
        <v>0</v>
      </c>
      <c r="O4183" t="s">
        <v>111</v>
      </c>
      <c r="P4183" t="s">
        <v>112</v>
      </c>
      <c r="Q4183" t="s">
        <v>113</v>
      </c>
    </row>
    <row r="4184" spans="1:17" x14ac:dyDescent="0.3">
      <c r="A4184" t="s">
        <v>17</v>
      </c>
      <c r="B4184">
        <v>68</v>
      </c>
      <c r="C4184" t="s">
        <v>34</v>
      </c>
      <c r="D4184" s="2">
        <v>46118</v>
      </c>
      <c r="E4184" s="3">
        <f t="shared" si="65"/>
        <v>46113</v>
      </c>
      <c r="F4184" t="s">
        <v>3409</v>
      </c>
      <c r="G4184" t="s">
        <v>122</v>
      </c>
      <c r="H4184" s="4">
        <v>1.34</v>
      </c>
      <c r="I4184" t="s">
        <v>108</v>
      </c>
      <c r="J4184" t="s">
        <v>109</v>
      </c>
      <c r="K4184" t="s">
        <v>3410</v>
      </c>
      <c r="L4184" s="2">
        <v>46113</v>
      </c>
      <c r="M4184" t="s">
        <v>109</v>
      </c>
      <c r="N4184">
        <v>0</v>
      </c>
      <c r="O4184" t="s">
        <v>111</v>
      </c>
      <c r="P4184" t="s">
        <v>112</v>
      </c>
      <c r="Q4184" t="s">
        <v>113</v>
      </c>
    </row>
    <row r="4185" spans="1:17" x14ac:dyDescent="0.3">
      <c r="A4185" t="s">
        <v>17</v>
      </c>
      <c r="B4185">
        <v>68</v>
      </c>
      <c r="C4185" t="s">
        <v>34</v>
      </c>
      <c r="D4185" s="2">
        <v>46118</v>
      </c>
      <c r="E4185" s="3">
        <f t="shared" si="65"/>
        <v>46113</v>
      </c>
      <c r="F4185" t="s">
        <v>3411</v>
      </c>
      <c r="G4185" t="s">
        <v>107</v>
      </c>
      <c r="H4185" s="4">
        <v>8.83</v>
      </c>
      <c r="I4185" t="s">
        <v>31</v>
      </c>
      <c r="J4185" t="s">
        <v>109</v>
      </c>
      <c r="K4185" t="s">
        <v>1429</v>
      </c>
      <c r="L4185" s="2">
        <v>46113</v>
      </c>
      <c r="M4185" t="s">
        <v>109</v>
      </c>
      <c r="N4185">
        <v>0</v>
      </c>
      <c r="O4185" t="s">
        <v>31</v>
      </c>
      <c r="P4185" t="s">
        <v>112</v>
      </c>
      <c r="Q4185" t="s">
        <v>113</v>
      </c>
    </row>
    <row r="4186" spans="1:17" x14ac:dyDescent="0.3">
      <c r="A4186" t="s">
        <v>17</v>
      </c>
      <c r="B4186">
        <v>68</v>
      </c>
      <c r="C4186" t="s">
        <v>34</v>
      </c>
      <c r="D4186" s="2">
        <v>46118</v>
      </c>
      <c r="E4186" s="3">
        <f t="shared" si="65"/>
        <v>46113</v>
      </c>
      <c r="F4186" t="s">
        <v>3411</v>
      </c>
      <c r="G4186" t="s">
        <v>107</v>
      </c>
      <c r="H4186" s="4">
        <v>-5.61</v>
      </c>
      <c r="I4186" t="s">
        <v>31</v>
      </c>
      <c r="J4186" t="s">
        <v>109</v>
      </c>
      <c r="K4186" t="s">
        <v>3412</v>
      </c>
      <c r="L4186" s="2">
        <v>46113</v>
      </c>
      <c r="M4186" t="s">
        <v>109</v>
      </c>
      <c r="N4186">
        <v>0</v>
      </c>
      <c r="O4186" t="s">
        <v>31</v>
      </c>
      <c r="P4186" t="s">
        <v>112</v>
      </c>
      <c r="Q4186" t="s">
        <v>113</v>
      </c>
    </row>
    <row r="4187" spans="1:17" x14ac:dyDescent="0.3">
      <c r="A4187" t="s">
        <v>17</v>
      </c>
      <c r="B4187">
        <v>68</v>
      </c>
      <c r="C4187" t="s">
        <v>34</v>
      </c>
      <c r="D4187" s="2">
        <v>46118</v>
      </c>
      <c r="E4187" s="3">
        <f t="shared" si="65"/>
        <v>46113</v>
      </c>
      <c r="F4187" t="s">
        <v>3411</v>
      </c>
      <c r="G4187" t="s">
        <v>107</v>
      </c>
      <c r="H4187" s="4">
        <v>-21.33</v>
      </c>
      <c r="I4187" t="s">
        <v>31</v>
      </c>
      <c r="J4187" t="s">
        <v>109</v>
      </c>
      <c r="L4187" s="2">
        <v>46113</v>
      </c>
      <c r="M4187" t="s">
        <v>109</v>
      </c>
      <c r="N4187">
        <v>0</v>
      </c>
      <c r="O4187" t="s">
        <v>31</v>
      </c>
      <c r="P4187" t="s">
        <v>112</v>
      </c>
      <c r="Q4187" t="s">
        <v>113</v>
      </c>
    </row>
    <row r="4188" spans="1:17" x14ac:dyDescent="0.3">
      <c r="A4188" t="s">
        <v>17</v>
      </c>
      <c r="B4188">
        <v>68</v>
      </c>
      <c r="C4188" t="s">
        <v>34</v>
      </c>
      <c r="D4188" s="2">
        <v>46118</v>
      </c>
      <c r="E4188" s="3">
        <f t="shared" si="65"/>
        <v>46113</v>
      </c>
      <c r="F4188" t="s">
        <v>3411</v>
      </c>
      <c r="G4188" t="s">
        <v>107</v>
      </c>
      <c r="H4188" s="4">
        <v>56.14</v>
      </c>
      <c r="I4188" t="s">
        <v>31</v>
      </c>
      <c r="J4188" t="s">
        <v>109</v>
      </c>
      <c r="K4188" t="s">
        <v>3413</v>
      </c>
      <c r="L4188" s="2">
        <v>46113</v>
      </c>
      <c r="M4188" t="s">
        <v>109</v>
      </c>
      <c r="N4188">
        <v>0</v>
      </c>
      <c r="O4188" t="s">
        <v>31</v>
      </c>
      <c r="P4188" t="s">
        <v>112</v>
      </c>
      <c r="Q4188" t="s">
        <v>113</v>
      </c>
    </row>
    <row r="4189" spans="1:17" x14ac:dyDescent="0.3">
      <c r="A4189" t="s">
        <v>17</v>
      </c>
      <c r="B4189">
        <v>66</v>
      </c>
      <c r="C4189" t="s">
        <v>134</v>
      </c>
      <c r="D4189" s="2">
        <v>46119</v>
      </c>
      <c r="E4189" s="3">
        <f t="shared" si="65"/>
        <v>46113</v>
      </c>
      <c r="F4189">
        <v>202600281</v>
      </c>
      <c r="G4189" t="s">
        <v>458</v>
      </c>
      <c r="H4189" s="4">
        <v>56.66</v>
      </c>
      <c r="I4189" t="s">
        <v>104</v>
      </c>
      <c r="J4189" t="s">
        <v>138</v>
      </c>
      <c r="K4189" t="s">
        <v>3414</v>
      </c>
      <c r="L4189" s="2">
        <v>46113</v>
      </c>
      <c r="M4189" t="s">
        <v>140</v>
      </c>
      <c r="N4189">
        <v>0</v>
      </c>
      <c r="O4189" t="s">
        <v>104</v>
      </c>
      <c r="P4189" t="s">
        <v>134</v>
      </c>
      <c r="Q4189">
        <v>0</v>
      </c>
    </row>
    <row r="4190" spans="1:17" x14ac:dyDescent="0.3">
      <c r="A4190" t="s">
        <v>17</v>
      </c>
      <c r="B4190">
        <v>66</v>
      </c>
      <c r="C4190" t="s">
        <v>134</v>
      </c>
      <c r="D4190" s="2">
        <v>46119</v>
      </c>
      <c r="E4190" s="3">
        <f t="shared" si="65"/>
        <v>46113</v>
      </c>
      <c r="F4190">
        <v>202600281</v>
      </c>
      <c r="G4190" t="s">
        <v>458</v>
      </c>
      <c r="H4190" s="4">
        <v>186.77</v>
      </c>
      <c r="I4190" t="s">
        <v>104</v>
      </c>
      <c r="J4190" t="s">
        <v>138</v>
      </c>
      <c r="K4190" t="s">
        <v>3415</v>
      </c>
      <c r="L4190" s="2">
        <v>46113</v>
      </c>
      <c r="M4190" t="s">
        <v>140</v>
      </c>
      <c r="N4190">
        <v>0</v>
      </c>
      <c r="O4190" t="s">
        <v>104</v>
      </c>
      <c r="P4190" t="s">
        <v>134</v>
      </c>
      <c r="Q4190">
        <v>0</v>
      </c>
    </row>
    <row r="4191" spans="1:17" x14ac:dyDescent="0.3">
      <c r="A4191" t="s">
        <v>17</v>
      </c>
      <c r="B4191">
        <v>67</v>
      </c>
      <c r="C4191" t="s">
        <v>28</v>
      </c>
      <c r="D4191" s="2">
        <v>46120</v>
      </c>
      <c r="E4191" s="3">
        <f t="shared" si="65"/>
        <v>46113</v>
      </c>
      <c r="F4191" t="s">
        <v>3416</v>
      </c>
      <c r="G4191" t="s">
        <v>119</v>
      </c>
      <c r="H4191" s="4">
        <v>560</v>
      </c>
      <c r="I4191" t="s">
        <v>31</v>
      </c>
      <c r="J4191" t="s">
        <v>68</v>
      </c>
      <c r="K4191" t="s">
        <v>3230</v>
      </c>
      <c r="L4191" s="2">
        <v>46113</v>
      </c>
      <c r="M4191" t="s">
        <v>68</v>
      </c>
      <c r="N4191">
        <v>0</v>
      </c>
      <c r="O4191" t="s">
        <v>31</v>
      </c>
      <c r="P4191" t="s">
        <v>28</v>
      </c>
      <c r="Q4191">
        <v>0</v>
      </c>
    </row>
    <row r="4192" spans="1:17" x14ac:dyDescent="0.3">
      <c r="A4192" t="s">
        <v>17</v>
      </c>
      <c r="B4192">
        <v>68</v>
      </c>
      <c r="C4192" t="s">
        <v>34</v>
      </c>
      <c r="D4192" s="2">
        <v>46120</v>
      </c>
      <c r="E4192" s="3">
        <f t="shared" si="65"/>
        <v>46113</v>
      </c>
      <c r="F4192" t="s">
        <v>3036</v>
      </c>
      <c r="G4192" t="s">
        <v>491</v>
      </c>
      <c r="H4192" s="4">
        <v>-1073.46</v>
      </c>
      <c r="I4192" t="s">
        <v>21</v>
      </c>
      <c r="J4192" t="s">
        <v>79</v>
      </c>
      <c r="K4192" t="s">
        <v>2289</v>
      </c>
      <c r="L4192" s="2">
        <v>46113</v>
      </c>
      <c r="M4192" t="s">
        <v>79</v>
      </c>
      <c r="N4192" t="s">
        <v>25</v>
      </c>
      <c r="O4192" t="s">
        <v>81</v>
      </c>
      <c r="P4192" t="s">
        <v>34</v>
      </c>
      <c r="Q4192">
        <v>0</v>
      </c>
    </row>
    <row r="4193" spans="1:17" x14ac:dyDescent="0.3">
      <c r="A4193" t="s">
        <v>17</v>
      </c>
      <c r="B4193">
        <v>68</v>
      </c>
      <c r="C4193" t="s">
        <v>34</v>
      </c>
      <c r="D4193" s="2">
        <v>46120</v>
      </c>
      <c r="E4193" s="3">
        <f t="shared" si="65"/>
        <v>46113</v>
      </c>
      <c r="F4193" t="s">
        <v>3417</v>
      </c>
      <c r="G4193" t="s">
        <v>122</v>
      </c>
      <c r="H4193" s="4">
        <v>12.31</v>
      </c>
      <c r="I4193" t="s">
        <v>108</v>
      </c>
      <c r="J4193" t="s">
        <v>109</v>
      </c>
      <c r="K4193" t="s">
        <v>3418</v>
      </c>
      <c r="L4193" s="2">
        <v>46113</v>
      </c>
      <c r="M4193" t="s">
        <v>109</v>
      </c>
      <c r="N4193">
        <v>0</v>
      </c>
      <c r="O4193" t="s">
        <v>111</v>
      </c>
      <c r="P4193" t="s">
        <v>112</v>
      </c>
      <c r="Q4193" t="s">
        <v>113</v>
      </c>
    </row>
    <row r="4194" spans="1:17" x14ac:dyDescent="0.3">
      <c r="A4194" t="s">
        <v>17</v>
      </c>
      <c r="B4194">
        <v>68</v>
      </c>
      <c r="C4194" t="s">
        <v>34</v>
      </c>
      <c r="D4194" s="2">
        <v>46120</v>
      </c>
      <c r="E4194" s="3">
        <f t="shared" si="65"/>
        <v>46113</v>
      </c>
      <c r="F4194" t="s">
        <v>3417</v>
      </c>
      <c r="G4194" t="s">
        <v>122</v>
      </c>
      <c r="H4194" s="4">
        <v>0.24</v>
      </c>
      <c r="I4194" t="s">
        <v>108</v>
      </c>
      <c r="J4194" t="s">
        <v>109</v>
      </c>
      <c r="K4194" t="s">
        <v>1436</v>
      </c>
      <c r="L4194" s="2">
        <v>46113</v>
      </c>
      <c r="M4194" t="s">
        <v>109</v>
      </c>
      <c r="N4194">
        <v>0</v>
      </c>
      <c r="O4194" t="s">
        <v>111</v>
      </c>
      <c r="P4194" t="s">
        <v>112</v>
      </c>
      <c r="Q4194" t="s">
        <v>113</v>
      </c>
    </row>
    <row r="4195" spans="1:17" x14ac:dyDescent="0.3">
      <c r="A4195" t="s">
        <v>17</v>
      </c>
      <c r="B4195">
        <v>68</v>
      </c>
      <c r="C4195" t="s">
        <v>34</v>
      </c>
      <c r="D4195" s="2">
        <v>46120</v>
      </c>
      <c r="E4195" s="3">
        <f t="shared" si="65"/>
        <v>46113</v>
      </c>
      <c r="F4195" t="s">
        <v>3417</v>
      </c>
      <c r="G4195" t="s">
        <v>122</v>
      </c>
      <c r="H4195" s="4">
        <v>53.5</v>
      </c>
      <c r="I4195" t="s">
        <v>108</v>
      </c>
      <c r="J4195" t="s">
        <v>109</v>
      </c>
      <c r="K4195" t="s">
        <v>1681</v>
      </c>
      <c r="L4195" s="2">
        <v>46113</v>
      </c>
      <c r="M4195" t="s">
        <v>109</v>
      </c>
      <c r="N4195">
        <v>0</v>
      </c>
      <c r="O4195" t="s">
        <v>111</v>
      </c>
      <c r="P4195" t="s">
        <v>112</v>
      </c>
      <c r="Q4195" t="s">
        <v>113</v>
      </c>
    </row>
    <row r="4196" spans="1:17" x14ac:dyDescent="0.3">
      <c r="A4196" t="s">
        <v>17</v>
      </c>
      <c r="B4196">
        <v>68</v>
      </c>
      <c r="C4196" t="s">
        <v>34</v>
      </c>
      <c r="D4196" s="2">
        <v>46120</v>
      </c>
      <c r="E4196" s="3">
        <f t="shared" si="65"/>
        <v>46113</v>
      </c>
      <c r="F4196" t="s">
        <v>3419</v>
      </c>
      <c r="G4196" t="s">
        <v>122</v>
      </c>
      <c r="H4196" s="4">
        <v>21.05</v>
      </c>
      <c r="I4196" t="s">
        <v>108</v>
      </c>
      <c r="J4196" t="s">
        <v>109</v>
      </c>
      <c r="L4196" s="2">
        <v>46113</v>
      </c>
      <c r="M4196" t="s">
        <v>109</v>
      </c>
      <c r="N4196">
        <v>0</v>
      </c>
      <c r="O4196" t="s">
        <v>111</v>
      </c>
      <c r="P4196" t="s">
        <v>112</v>
      </c>
      <c r="Q4196" t="s">
        <v>113</v>
      </c>
    </row>
    <row r="4197" spans="1:17" x14ac:dyDescent="0.3">
      <c r="A4197" t="s">
        <v>17</v>
      </c>
      <c r="B4197">
        <v>68</v>
      </c>
      <c r="C4197" t="s">
        <v>34</v>
      </c>
      <c r="D4197" s="2">
        <v>46120</v>
      </c>
      <c r="E4197" s="3">
        <f t="shared" si="65"/>
        <v>46113</v>
      </c>
      <c r="F4197" t="s">
        <v>3420</v>
      </c>
      <c r="G4197" t="s">
        <v>122</v>
      </c>
      <c r="H4197" s="4">
        <v>3.44</v>
      </c>
      <c r="I4197" t="s">
        <v>108</v>
      </c>
      <c r="J4197" t="s">
        <v>109</v>
      </c>
      <c r="L4197" s="2">
        <v>46113</v>
      </c>
      <c r="M4197" t="s">
        <v>109</v>
      </c>
      <c r="N4197">
        <v>0</v>
      </c>
      <c r="O4197" t="s">
        <v>111</v>
      </c>
      <c r="P4197" t="s">
        <v>112</v>
      </c>
      <c r="Q4197" t="s">
        <v>113</v>
      </c>
    </row>
    <row r="4198" spans="1:17" x14ac:dyDescent="0.3">
      <c r="A4198" t="s">
        <v>17</v>
      </c>
      <c r="B4198">
        <v>68</v>
      </c>
      <c r="C4198" t="s">
        <v>34</v>
      </c>
      <c r="D4198" s="2">
        <v>46120</v>
      </c>
      <c r="E4198" s="3">
        <f t="shared" si="65"/>
        <v>46113</v>
      </c>
      <c r="F4198" t="s">
        <v>3420</v>
      </c>
      <c r="G4198" t="s">
        <v>122</v>
      </c>
      <c r="H4198" s="4">
        <v>17.5</v>
      </c>
      <c r="I4198" t="s">
        <v>108</v>
      </c>
      <c r="J4198" t="s">
        <v>109</v>
      </c>
      <c r="L4198" s="2">
        <v>46113</v>
      </c>
      <c r="M4198" t="s">
        <v>109</v>
      </c>
      <c r="N4198">
        <v>0</v>
      </c>
      <c r="O4198" t="s">
        <v>111</v>
      </c>
      <c r="P4198" t="s">
        <v>112</v>
      </c>
      <c r="Q4198" t="s">
        <v>113</v>
      </c>
    </row>
    <row r="4199" spans="1:17" x14ac:dyDescent="0.3">
      <c r="A4199" t="s">
        <v>17</v>
      </c>
      <c r="B4199">
        <v>68</v>
      </c>
      <c r="C4199" t="s">
        <v>34</v>
      </c>
      <c r="D4199" s="2">
        <v>46120</v>
      </c>
      <c r="E4199" s="3">
        <f t="shared" si="65"/>
        <v>46113</v>
      </c>
      <c r="F4199" t="s">
        <v>3420</v>
      </c>
      <c r="G4199" t="s">
        <v>122</v>
      </c>
      <c r="H4199" s="4">
        <v>1.34</v>
      </c>
      <c r="I4199" t="s">
        <v>108</v>
      </c>
      <c r="J4199" t="s">
        <v>109</v>
      </c>
      <c r="K4199" t="s">
        <v>1457</v>
      </c>
      <c r="L4199" s="2">
        <v>46113</v>
      </c>
      <c r="M4199" t="s">
        <v>109</v>
      </c>
      <c r="N4199">
        <v>0</v>
      </c>
      <c r="O4199" t="s">
        <v>111</v>
      </c>
      <c r="P4199" t="s">
        <v>112</v>
      </c>
      <c r="Q4199" t="s">
        <v>113</v>
      </c>
    </row>
    <row r="4200" spans="1:17" x14ac:dyDescent="0.3">
      <c r="A4200" t="s">
        <v>17</v>
      </c>
      <c r="B4200">
        <v>68</v>
      </c>
      <c r="C4200" t="s">
        <v>34</v>
      </c>
      <c r="D4200" s="2">
        <v>46120</v>
      </c>
      <c r="E4200" s="3">
        <f t="shared" si="65"/>
        <v>46113</v>
      </c>
      <c r="F4200" t="s">
        <v>3421</v>
      </c>
      <c r="G4200" t="s">
        <v>122</v>
      </c>
      <c r="H4200" s="4">
        <v>22.51</v>
      </c>
      <c r="I4200" t="s">
        <v>108</v>
      </c>
      <c r="J4200" t="s">
        <v>109</v>
      </c>
      <c r="L4200" s="2">
        <v>46113</v>
      </c>
      <c r="M4200" t="s">
        <v>109</v>
      </c>
      <c r="N4200">
        <v>0</v>
      </c>
      <c r="O4200" t="s">
        <v>111</v>
      </c>
      <c r="P4200" t="s">
        <v>112</v>
      </c>
      <c r="Q4200" t="s">
        <v>113</v>
      </c>
    </row>
    <row r="4201" spans="1:17" x14ac:dyDescent="0.3">
      <c r="A4201" t="s">
        <v>17</v>
      </c>
      <c r="B4201">
        <v>68</v>
      </c>
      <c r="C4201" t="s">
        <v>34</v>
      </c>
      <c r="D4201" s="2">
        <v>46120</v>
      </c>
      <c r="E4201" s="3">
        <f t="shared" si="65"/>
        <v>46113</v>
      </c>
      <c r="F4201" t="s">
        <v>3422</v>
      </c>
      <c r="G4201" t="s">
        <v>122</v>
      </c>
      <c r="H4201" s="4">
        <v>1712.87</v>
      </c>
      <c r="I4201" t="s">
        <v>108</v>
      </c>
      <c r="J4201" t="s">
        <v>109</v>
      </c>
      <c r="K4201" t="s">
        <v>388</v>
      </c>
      <c r="L4201" s="2">
        <v>46113</v>
      </c>
      <c r="M4201" t="s">
        <v>109</v>
      </c>
      <c r="N4201">
        <v>0</v>
      </c>
      <c r="O4201" t="s">
        <v>111</v>
      </c>
      <c r="P4201" t="s">
        <v>112</v>
      </c>
      <c r="Q4201" t="s">
        <v>113</v>
      </c>
    </row>
    <row r="4202" spans="1:17" x14ac:dyDescent="0.3">
      <c r="A4202" t="s">
        <v>17</v>
      </c>
      <c r="B4202">
        <v>68</v>
      </c>
      <c r="C4202" t="s">
        <v>34</v>
      </c>
      <c r="D4202" s="2">
        <v>46120</v>
      </c>
      <c r="E4202" s="3">
        <f t="shared" si="65"/>
        <v>46113</v>
      </c>
      <c r="F4202" t="s">
        <v>3423</v>
      </c>
      <c r="G4202" t="s">
        <v>122</v>
      </c>
      <c r="H4202" s="4">
        <v>20.32</v>
      </c>
      <c r="I4202" t="s">
        <v>108</v>
      </c>
      <c r="J4202" t="s">
        <v>109</v>
      </c>
      <c r="L4202" s="2">
        <v>46113</v>
      </c>
      <c r="M4202" t="s">
        <v>109</v>
      </c>
      <c r="N4202">
        <v>0</v>
      </c>
      <c r="O4202" t="s">
        <v>111</v>
      </c>
      <c r="P4202" t="s">
        <v>112</v>
      </c>
      <c r="Q4202" t="s">
        <v>113</v>
      </c>
    </row>
    <row r="4203" spans="1:17" x14ac:dyDescent="0.3">
      <c r="A4203" t="s">
        <v>17</v>
      </c>
      <c r="B4203">
        <v>67</v>
      </c>
      <c r="C4203" t="s">
        <v>28</v>
      </c>
      <c r="D4203" s="2">
        <v>46120</v>
      </c>
      <c r="E4203" s="3">
        <f t="shared" si="65"/>
        <v>46113</v>
      </c>
      <c r="F4203" t="s">
        <v>3424</v>
      </c>
      <c r="H4203" s="4">
        <v>2000</v>
      </c>
      <c r="I4203" t="s">
        <v>116</v>
      </c>
      <c r="J4203" t="s">
        <v>64</v>
      </c>
      <c r="K4203" t="s">
        <v>2717</v>
      </c>
      <c r="L4203" s="2">
        <v>46113</v>
      </c>
      <c r="M4203" t="s">
        <v>64</v>
      </c>
      <c r="N4203">
        <v>0</v>
      </c>
      <c r="O4203" t="s">
        <v>116</v>
      </c>
      <c r="P4203" t="s">
        <v>28</v>
      </c>
      <c r="Q4203">
        <v>0</v>
      </c>
    </row>
    <row r="4204" spans="1:17" x14ac:dyDescent="0.3">
      <c r="A4204" t="s">
        <v>17</v>
      </c>
      <c r="B4204">
        <v>63</v>
      </c>
      <c r="C4204" t="s">
        <v>18</v>
      </c>
      <c r="D4204" s="2">
        <v>46121</v>
      </c>
      <c r="E4204" s="3">
        <f t="shared" si="65"/>
        <v>46113</v>
      </c>
      <c r="F4204">
        <v>849558</v>
      </c>
      <c r="G4204" t="s">
        <v>125</v>
      </c>
      <c r="H4204" s="4">
        <v>45</v>
      </c>
      <c r="I4204" t="s">
        <v>47</v>
      </c>
      <c r="J4204" t="s">
        <v>22</v>
      </c>
      <c r="K4204" t="s">
        <v>3425</v>
      </c>
      <c r="L4204" s="2">
        <v>46113</v>
      </c>
      <c r="M4204" t="s">
        <v>24</v>
      </c>
      <c r="N4204">
        <v>0</v>
      </c>
      <c r="O4204" t="s">
        <v>26</v>
      </c>
      <c r="P4204" t="s">
        <v>18</v>
      </c>
      <c r="Q4204" t="s">
        <v>27</v>
      </c>
    </row>
    <row r="4205" spans="1:17" x14ac:dyDescent="0.3">
      <c r="A4205" t="s">
        <v>17</v>
      </c>
      <c r="B4205">
        <v>63</v>
      </c>
      <c r="C4205" t="s">
        <v>18</v>
      </c>
      <c r="D4205" s="2">
        <v>46121</v>
      </c>
      <c r="E4205" s="3">
        <f t="shared" si="65"/>
        <v>46113</v>
      </c>
      <c r="F4205">
        <v>849558</v>
      </c>
      <c r="G4205" t="s">
        <v>125</v>
      </c>
      <c r="H4205" s="4">
        <v>225</v>
      </c>
      <c r="I4205" t="s">
        <v>47</v>
      </c>
      <c r="J4205" t="s">
        <v>22</v>
      </c>
      <c r="K4205" t="s">
        <v>3426</v>
      </c>
      <c r="L4205" s="2">
        <v>46113</v>
      </c>
      <c r="M4205" t="s">
        <v>24</v>
      </c>
      <c r="N4205">
        <v>0</v>
      </c>
      <c r="O4205" t="s">
        <v>26</v>
      </c>
      <c r="P4205" t="s">
        <v>18</v>
      </c>
      <c r="Q4205" t="s">
        <v>27</v>
      </c>
    </row>
    <row r="4206" spans="1:17" x14ac:dyDescent="0.3">
      <c r="A4206" t="s">
        <v>17</v>
      </c>
      <c r="B4206">
        <v>67</v>
      </c>
      <c r="C4206" t="s">
        <v>28</v>
      </c>
      <c r="D4206" s="2">
        <v>46122</v>
      </c>
      <c r="E4206" s="3">
        <f t="shared" si="65"/>
        <v>46113</v>
      </c>
      <c r="F4206" t="s">
        <v>3427</v>
      </c>
      <c r="G4206" t="s">
        <v>67</v>
      </c>
      <c r="H4206" s="4">
        <v>319.58</v>
      </c>
      <c r="I4206" t="s">
        <v>31</v>
      </c>
      <c r="J4206" t="s">
        <v>68</v>
      </c>
      <c r="K4206" t="s">
        <v>3221</v>
      </c>
      <c r="L4206" s="2">
        <v>46113</v>
      </c>
      <c r="M4206" t="s">
        <v>68</v>
      </c>
      <c r="N4206">
        <v>0</v>
      </c>
      <c r="O4206" t="s">
        <v>31</v>
      </c>
      <c r="P4206" t="s">
        <v>28</v>
      </c>
      <c r="Q4206">
        <v>0</v>
      </c>
    </row>
    <row r="4207" spans="1:17" x14ac:dyDescent="0.3">
      <c r="A4207" t="s">
        <v>17</v>
      </c>
      <c r="B4207">
        <v>68</v>
      </c>
      <c r="C4207" t="s">
        <v>34</v>
      </c>
      <c r="D4207" s="2">
        <v>46122</v>
      </c>
      <c r="E4207" s="3">
        <f t="shared" si="65"/>
        <v>46113</v>
      </c>
      <c r="F4207">
        <v>17905</v>
      </c>
      <c r="G4207" t="s">
        <v>131</v>
      </c>
      <c r="H4207" s="4">
        <v>84.31</v>
      </c>
      <c r="I4207" t="s">
        <v>31</v>
      </c>
      <c r="J4207" t="s">
        <v>79</v>
      </c>
      <c r="K4207" t="s">
        <v>1276</v>
      </c>
      <c r="L4207" s="2">
        <v>46113</v>
      </c>
      <c r="M4207" t="s">
        <v>79</v>
      </c>
      <c r="N4207">
        <v>0</v>
      </c>
      <c r="O4207" t="s">
        <v>31</v>
      </c>
      <c r="P4207" t="s">
        <v>34</v>
      </c>
      <c r="Q4207">
        <v>0</v>
      </c>
    </row>
    <row r="4208" spans="1:17" x14ac:dyDescent="0.3">
      <c r="A4208" t="s">
        <v>17</v>
      </c>
      <c r="B4208">
        <v>68</v>
      </c>
      <c r="C4208" t="s">
        <v>34</v>
      </c>
      <c r="D4208" s="2">
        <v>46122</v>
      </c>
      <c r="E4208" s="3">
        <f t="shared" si="65"/>
        <v>46113</v>
      </c>
      <c r="F4208">
        <v>17905</v>
      </c>
      <c r="G4208" t="s">
        <v>131</v>
      </c>
      <c r="H4208" s="4">
        <v>950</v>
      </c>
      <c r="I4208" t="s">
        <v>31</v>
      </c>
      <c r="J4208" t="s">
        <v>79</v>
      </c>
      <c r="K4208" t="s">
        <v>1406</v>
      </c>
      <c r="L4208" s="2">
        <v>46113</v>
      </c>
      <c r="M4208" t="s">
        <v>79</v>
      </c>
      <c r="N4208">
        <v>0</v>
      </c>
      <c r="O4208" t="s">
        <v>31</v>
      </c>
      <c r="P4208" t="s">
        <v>34</v>
      </c>
      <c r="Q4208">
        <v>0</v>
      </c>
    </row>
    <row r="4209" spans="1:17" x14ac:dyDescent="0.3">
      <c r="A4209" t="s">
        <v>17</v>
      </c>
      <c r="B4209">
        <v>64</v>
      </c>
      <c r="C4209" t="s">
        <v>83</v>
      </c>
      <c r="D4209" s="2">
        <v>46125</v>
      </c>
      <c r="E4209" s="3">
        <f t="shared" si="65"/>
        <v>46113</v>
      </c>
      <c r="F4209" t="s">
        <v>3428</v>
      </c>
      <c r="H4209" s="4">
        <v>115.8</v>
      </c>
      <c r="I4209" t="s">
        <v>31</v>
      </c>
      <c r="J4209" t="s">
        <v>91</v>
      </c>
      <c r="K4209" t="s">
        <v>3429</v>
      </c>
      <c r="L4209" s="2">
        <v>46113</v>
      </c>
      <c r="M4209" t="s">
        <v>93</v>
      </c>
      <c r="N4209">
        <v>0</v>
      </c>
      <c r="O4209" t="s">
        <v>31</v>
      </c>
      <c r="P4209" t="s">
        <v>83</v>
      </c>
      <c r="Q4209">
        <v>0</v>
      </c>
    </row>
    <row r="4210" spans="1:17" x14ac:dyDescent="0.3">
      <c r="A4210" t="s">
        <v>17</v>
      </c>
      <c r="B4210">
        <v>64</v>
      </c>
      <c r="C4210" t="s">
        <v>83</v>
      </c>
      <c r="D4210" s="2">
        <v>46125</v>
      </c>
      <c r="E4210" s="3">
        <f t="shared" si="65"/>
        <v>46113</v>
      </c>
      <c r="F4210" t="s">
        <v>3428</v>
      </c>
      <c r="H4210" s="4">
        <v>20.96</v>
      </c>
      <c r="I4210" t="s">
        <v>31</v>
      </c>
      <c r="J4210" t="s">
        <v>91</v>
      </c>
      <c r="K4210" t="s">
        <v>3430</v>
      </c>
      <c r="L4210" s="2">
        <v>46113</v>
      </c>
      <c r="M4210" t="s">
        <v>93</v>
      </c>
      <c r="N4210">
        <v>0</v>
      </c>
      <c r="O4210" t="s">
        <v>31</v>
      </c>
      <c r="P4210" t="s">
        <v>83</v>
      </c>
      <c r="Q4210">
        <v>0</v>
      </c>
    </row>
    <row r="4211" spans="1:17" x14ac:dyDescent="0.3">
      <c r="A4211" t="s">
        <v>17</v>
      </c>
      <c r="B4211">
        <v>67</v>
      </c>
      <c r="C4211" t="s">
        <v>28</v>
      </c>
      <c r="D4211" s="2">
        <v>46125</v>
      </c>
      <c r="E4211" s="3">
        <f t="shared" si="65"/>
        <v>46113</v>
      </c>
      <c r="F4211">
        <v>31667</v>
      </c>
      <c r="G4211" t="s">
        <v>673</v>
      </c>
      <c r="H4211" s="4">
        <v>24100</v>
      </c>
      <c r="I4211" t="s">
        <v>47</v>
      </c>
      <c r="J4211" t="s">
        <v>48</v>
      </c>
      <c r="K4211" t="s">
        <v>3431</v>
      </c>
      <c r="L4211" s="2">
        <v>46113</v>
      </c>
      <c r="M4211" t="s">
        <v>50</v>
      </c>
      <c r="N4211">
        <v>0</v>
      </c>
      <c r="O4211" t="s">
        <v>26</v>
      </c>
      <c r="P4211" t="s">
        <v>28</v>
      </c>
      <c r="Q4211">
        <v>0</v>
      </c>
    </row>
    <row r="4212" spans="1:17" x14ac:dyDescent="0.3">
      <c r="A4212" t="s">
        <v>17</v>
      </c>
      <c r="B4212">
        <v>68</v>
      </c>
      <c r="C4212" t="s">
        <v>34</v>
      </c>
      <c r="D4212" s="2">
        <v>46125</v>
      </c>
      <c r="E4212" s="3">
        <f t="shared" si="65"/>
        <v>46113</v>
      </c>
      <c r="F4212" t="s">
        <v>3432</v>
      </c>
      <c r="G4212" t="s">
        <v>122</v>
      </c>
      <c r="H4212" s="4">
        <v>51.51</v>
      </c>
      <c r="I4212" t="s">
        <v>108</v>
      </c>
      <c r="J4212" t="s">
        <v>109</v>
      </c>
      <c r="K4212" t="s">
        <v>2776</v>
      </c>
      <c r="L4212" s="2">
        <v>46113</v>
      </c>
      <c r="M4212" t="s">
        <v>109</v>
      </c>
      <c r="N4212">
        <v>0</v>
      </c>
      <c r="O4212" t="s">
        <v>111</v>
      </c>
      <c r="P4212" t="s">
        <v>112</v>
      </c>
      <c r="Q4212" t="s">
        <v>113</v>
      </c>
    </row>
    <row r="4213" spans="1:17" x14ac:dyDescent="0.3">
      <c r="A4213" t="s">
        <v>17</v>
      </c>
      <c r="B4213">
        <v>68</v>
      </c>
      <c r="C4213" t="s">
        <v>34</v>
      </c>
      <c r="D4213" s="2">
        <v>46125</v>
      </c>
      <c r="E4213" s="3">
        <f t="shared" si="65"/>
        <v>46113</v>
      </c>
      <c r="F4213" t="s">
        <v>3433</v>
      </c>
      <c r="G4213" t="s">
        <v>1281</v>
      </c>
      <c r="H4213" s="4">
        <v>95.6</v>
      </c>
      <c r="I4213" t="s">
        <v>108</v>
      </c>
      <c r="J4213" t="s">
        <v>109</v>
      </c>
      <c r="K4213" t="s">
        <v>3080</v>
      </c>
      <c r="L4213" s="2">
        <v>46113</v>
      </c>
      <c r="M4213" t="s">
        <v>109</v>
      </c>
      <c r="N4213">
        <v>0</v>
      </c>
      <c r="O4213" t="s">
        <v>111</v>
      </c>
      <c r="P4213" t="s">
        <v>112</v>
      </c>
      <c r="Q4213" t="s">
        <v>113</v>
      </c>
    </row>
    <row r="4214" spans="1:17" x14ac:dyDescent="0.3">
      <c r="A4214" t="s">
        <v>17</v>
      </c>
      <c r="B4214">
        <v>68</v>
      </c>
      <c r="C4214" t="s">
        <v>34</v>
      </c>
      <c r="D4214" s="2">
        <v>46125</v>
      </c>
      <c r="E4214" s="3">
        <f t="shared" si="65"/>
        <v>46113</v>
      </c>
      <c r="F4214" t="s">
        <v>3434</v>
      </c>
      <c r="G4214" t="s">
        <v>122</v>
      </c>
      <c r="H4214" s="4">
        <v>20.16</v>
      </c>
      <c r="I4214" t="s">
        <v>108</v>
      </c>
      <c r="J4214" t="s">
        <v>109</v>
      </c>
      <c r="K4214" t="s">
        <v>3435</v>
      </c>
      <c r="L4214" s="2">
        <v>46113</v>
      </c>
      <c r="M4214" t="s">
        <v>109</v>
      </c>
      <c r="N4214">
        <v>0</v>
      </c>
      <c r="O4214" t="s">
        <v>111</v>
      </c>
      <c r="P4214" t="s">
        <v>112</v>
      </c>
      <c r="Q4214" t="s">
        <v>113</v>
      </c>
    </row>
    <row r="4215" spans="1:17" x14ac:dyDescent="0.3">
      <c r="A4215" t="s">
        <v>17</v>
      </c>
      <c r="B4215">
        <v>68</v>
      </c>
      <c r="C4215" t="s">
        <v>34</v>
      </c>
      <c r="D4215" s="2">
        <v>46125</v>
      </c>
      <c r="E4215" s="3">
        <f t="shared" si="65"/>
        <v>46113</v>
      </c>
      <c r="F4215" t="s">
        <v>3436</v>
      </c>
      <c r="G4215" t="s">
        <v>107</v>
      </c>
      <c r="H4215" s="4">
        <v>74.989999999999995</v>
      </c>
      <c r="I4215" t="s">
        <v>31</v>
      </c>
      <c r="J4215" t="s">
        <v>109</v>
      </c>
      <c r="K4215" t="s">
        <v>3437</v>
      </c>
      <c r="L4215" s="2">
        <v>46113</v>
      </c>
      <c r="M4215" t="s">
        <v>109</v>
      </c>
      <c r="N4215">
        <v>0</v>
      </c>
      <c r="O4215" t="s">
        <v>31</v>
      </c>
      <c r="P4215" t="s">
        <v>112</v>
      </c>
      <c r="Q4215" t="s">
        <v>113</v>
      </c>
    </row>
    <row r="4216" spans="1:17" x14ac:dyDescent="0.3">
      <c r="A4216" t="s">
        <v>17</v>
      </c>
      <c r="B4216">
        <v>68</v>
      </c>
      <c r="C4216" t="s">
        <v>34</v>
      </c>
      <c r="D4216" s="2">
        <v>46125</v>
      </c>
      <c r="E4216" s="3">
        <f t="shared" si="65"/>
        <v>46113</v>
      </c>
      <c r="F4216" t="s">
        <v>3438</v>
      </c>
      <c r="G4216" t="s">
        <v>107</v>
      </c>
      <c r="H4216" s="4">
        <v>29.74</v>
      </c>
      <c r="I4216" t="s">
        <v>31</v>
      </c>
      <c r="J4216" t="s">
        <v>109</v>
      </c>
      <c r="K4216" t="s">
        <v>3439</v>
      </c>
      <c r="L4216" s="2">
        <v>46113</v>
      </c>
      <c r="M4216" t="s">
        <v>109</v>
      </c>
      <c r="N4216">
        <v>0</v>
      </c>
      <c r="O4216" t="s">
        <v>31</v>
      </c>
      <c r="P4216" t="s">
        <v>112</v>
      </c>
      <c r="Q4216" t="s">
        <v>113</v>
      </c>
    </row>
    <row r="4217" spans="1:17" x14ac:dyDescent="0.3">
      <c r="A4217" t="s">
        <v>17</v>
      </c>
      <c r="B4217">
        <v>68</v>
      </c>
      <c r="C4217" t="s">
        <v>34</v>
      </c>
      <c r="D4217" s="2">
        <v>46126</v>
      </c>
      <c r="E4217" s="3">
        <f t="shared" si="65"/>
        <v>46113</v>
      </c>
      <c r="F4217" t="s">
        <v>3440</v>
      </c>
      <c r="G4217" t="s">
        <v>122</v>
      </c>
      <c r="H4217" s="4">
        <v>49.5</v>
      </c>
      <c r="I4217" t="s">
        <v>108</v>
      </c>
      <c r="J4217" t="s">
        <v>109</v>
      </c>
      <c r="K4217" t="s">
        <v>1450</v>
      </c>
      <c r="L4217" s="2">
        <v>46113</v>
      </c>
      <c r="M4217" t="s">
        <v>109</v>
      </c>
      <c r="N4217">
        <v>0</v>
      </c>
      <c r="O4217" t="s">
        <v>111</v>
      </c>
      <c r="P4217" t="s">
        <v>112</v>
      </c>
      <c r="Q4217" t="s">
        <v>113</v>
      </c>
    </row>
    <row r="4218" spans="1:17" x14ac:dyDescent="0.3">
      <c r="A4218" t="s">
        <v>17</v>
      </c>
      <c r="B4218">
        <v>68</v>
      </c>
      <c r="C4218" t="s">
        <v>34</v>
      </c>
      <c r="D4218" s="2">
        <v>46126</v>
      </c>
      <c r="E4218" s="3">
        <f t="shared" si="65"/>
        <v>46113</v>
      </c>
      <c r="F4218" t="s">
        <v>3440</v>
      </c>
      <c r="G4218" t="s">
        <v>122</v>
      </c>
      <c r="H4218" s="4">
        <v>17.5</v>
      </c>
      <c r="I4218" t="s">
        <v>108</v>
      </c>
      <c r="J4218" t="s">
        <v>109</v>
      </c>
      <c r="K4218" t="s">
        <v>3441</v>
      </c>
      <c r="L4218" s="2">
        <v>46113</v>
      </c>
      <c r="M4218" t="s">
        <v>109</v>
      </c>
      <c r="N4218">
        <v>0</v>
      </c>
      <c r="O4218" t="s">
        <v>111</v>
      </c>
      <c r="P4218" t="s">
        <v>112</v>
      </c>
      <c r="Q4218" t="s">
        <v>113</v>
      </c>
    </row>
    <row r="4219" spans="1:17" x14ac:dyDescent="0.3">
      <c r="A4219" t="s">
        <v>17</v>
      </c>
      <c r="B4219">
        <v>68</v>
      </c>
      <c r="C4219" t="s">
        <v>34</v>
      </c>
      <c r="D4219" s="2">
        <v>46126</v>
      </c>
      <c r="E4219" s="3">
        <f t="shared" si="65"/>
        <v>46113</v>
      </c>
      <c r="F4219" t="s">
        <v>3440</v>
      </c>
      <c r="G4219" t="s">
        <v>122</v>
      </c>
      <c r="H4219" s="4">
        <v>1.34</v>
      </c>
      <c r="I4219" t="s">
        <v>108</v>
      </c>
      <c r="J4219" t="s">
        <v>109</v>
      </c>
      <c r="K4219" t="s">
        <v>2579</v>
      </c>
      <c r="L4219" s="2">
        <v>46113</v>
      </c>
      <c r="M4219" t="s">
        <v>109</v>
      </c>
      <c r="N4219">
        <v>0</v>
      </c>
      <c r="O4219" t="s">
        <v>111</v>
      </c>
      <c r="P4219" t="s">
        <v>112</v>
      </c>
      <c r="Q4219" t="s">
        <v>113</v>
      </c>
    </row>
    <row r="4220" spans="1:17" x14ac:dyDescent="0.3">
      <c r="A4220" t="s">
        <v>17</v>
      </c>
      <c r="B4220">
        <v>65</v>
      </c>
      <c r="C4220" t="s">
        <v>54</v>
      </c>
      <c r="D4220" s="2">
        <v>46126</v>
      </c>
      <c r="E4220" s="3">
        <f t="shared" si="65"/>
        <v>46113</v>
      </c>
      <c r="F4220">
        <v>43056063</v>
      </c>
      <c r="G4220" t="s">
        <v>154</v>
      </c>
      <c r="H4220" s="4">
        <v>761.51</v>
      </c>
      <c r="I4220" t="s">
        <v>31</v>
      </c>
      <c r="J4220" t="s">
        <v>155</v>
      </c>
      <c r="K4220" t="s">
        <v>2156</v>
      </c>
      <c r="L4220" s="2">
        <v>46113</v>
      </c>
      <c r="M4220" t="s">
        <v>155</v>
      </c>
      <c r="N4220">
        <v>0</v>
      </c>
      <c r="O4220" t="s">
        <v>31</v>
      </c>
      <c r="P4220" t="s">
        <v>54</v>
      </c>
      <c r="Q4220">
        <v>0</v>
      </c>
    </row>
    <row r="4221" spans="1:17" x14ac:dyDescent="0.3">
      <c r="A4221" t="s">
        <v>17</v>
      </c>
      <c r="B4221">
        <v>67</v>
      </c>
      <c r="C4221" t="s">
        <v>28</v>
      </c>
      <c r="D4221" s="2">
        <v>46127</v>
      </c>
      <c r="E4221" s="3">
        <f t="shared" si="65"/>
        <v>46113</v>
      </c>
      <c r="F4221" t="s">
        <v>3442</v>
      </c>
      <c r="G4221" t="s">
        <v>119</v>
      </c>
      <c r="H4221" s="4">
        <v>1402.5</v>
      </c>
      <c r="I4221" t="s">
        <v>31</v>
      </c>
      <c r="J4221" t="s">
        <v>68</v>
      </c>
      <c r="K4221" t="s">
        <v>1387</v>
      </c>
      <c r="L4221" s="2">
        <v>46113</v>
      </c>
      <c r="M4221" t="s">
        <v>68</v>
      </c>
      <c r="N4221">
        <v>0</v>
      </c>
      <c r="O4221" t="s">
        <v>31</v>
      </c>
      <c r="P4221" t="s">
        <v>28</v>
      </c>
      <c r="Q4221">
        <v>0</v>
      </c>
    </row>
    <row r="4222" spans="1:17" x14ac:dyDescent="0.3">
      <c r="A4222" t="s">
        <v>17</v>
      </c>
      <c r="B4222">
        <v>66</v>
      </c>
      <c r="C4222" t="s">
        <v>134</v>
      </c>
      <c r="D4222" s="2">
        <v>46127</v>
      </c>
      <c r="E4222" s="3">
        <f t="shared" si="65"/>
        <v>46113</v>
      </c>
      <c r="F4222">
        <v>202600312</v>
      </c>
      <c r="G4222" t="s">
        <v>458</v>
      </c>
      <c r="H4222" s="4">
        <v>174.87</v>
      </c>
      <c r="I4222" t="s">
        <v>104</v>
      </c>
      <c r="J4222" t="s">
        <v>138</v>
      </c>
      <c r="K4222" t="s">
        <v>3443</v>
      </c>
      <c r="L4222" s="2">
        <v>46113</v>
      </c>
      <c r="M4222" t="s">
        <v>140</v>
      </c>
      <c r="N4222">
        <v>0</v>
      </c>
      <c r="O4222" t="s">
        <v>104</v>
      </c>
      <c r="P4222" t="s">
        <v>134</v>
      </c>
      <c r="Q4222">
        <v>0</v>
      </c>
    </row>
    <row r="4223" spans="1:17" x14ac:dyDescent="0.3">
      <c r="A4223" t="s">
        <v>17</v>
      </c>
      <c r="B4223">
        <v>66</v>
      </c>
      <c r="C4223" t="s">
        <v>134</v>
      </c>
      <c r="D4223" s="2">
        <v>46127</v>
      </c>
      <c r="E4223" s="3">
        <f t="shared" si="65"/>
        <v>46113</v>
      </c>
      <c r="F4223" t="s">
        <v>3444</v>
      </c>
      <c r="G4223" t="s">
        <v>136</v>
      </c>
      <c r="H4223" s="4">
        <v>54.4</v>
      </c>
      <c r="I4223" t="s">
        <v>108</v>
      </c>
      <c r="J4223" t="s">
        <v>223</v>
      </c>
      <c r="K4223" t="s">
        <v>3445</v>
      </c>
      <c r="L4223" s="2">
        <v>46113</v>
      </c>
      <c r="M4223" t="s">
        <v>223</v>
      </c>
      <c r="N4223">
        <v>0</v>
      </c>
      <c r="O4223" t="s">
        <v>111</v>
      </c>
      <c r="P4223" t="s">
        <v>134</v>
      </c>
      <c r="Q4223">
        <v>0</v>
      </c>
    </row>
    <row r="4224" spans="1:17" x14ac:dyDescent="0.3">
      <c r="A4224" t="s">
        <v>17</v>
      </c>
      <c r="B4224">
        <v>66</v>
      </c>
      <c r="C4224" t="s">
        <v>134</v>
      </c>
      <c r="D4224" s="2">
        <v>46127</v>
      </c>
      <c r="E4224" s="3">
        <f t="shared" si="65"/>
        <v>46113</v>
      </c>
      <c r="F4224" t="s">
        <v>3444</v>
      </c>
      <c r="G4224" t="s">
        <v>136</v>
      </c>
      <c r="H4224" s="4">
        <v>76</v>
      </c>
      <c r="I4224" t="s">
        <v>108</v>
      </c>
      <c r="J4224" t="s">
        <v>223</v>
      </c>
      <c r="K4224" t="s">
        <v>3446</v>
      </c>
      <c r="L4224" s="2">
        <v>46113</v>
      </c>
      <c r="M4224" t="s">
        <v>223</v>
      </c>
      <c r="N4224">
        <v>0</v>
      </c>
      <c r="O4224" t="s">
        <v>111</v>
      </c>
      <c r="P4224" t="s">
        <v>134</v>
      </c>
      <c r="Q4224">
        <v>0</v>
      </c>
    </row>
    <row r="4225" spans="1:17" x14ac:dyDescent="0.3">
      <c r="A4225" t="s">
        <v>17</v>
      </c>
      <c r="B4225">
        <v>66</v>
      </c>
      <c r="C4225" t="s">
        <v>134</v>
      </c>
      <c r="D4225" s="2">
        <v>46127</v>
      </c>
      <c r="E4225" s="3">
        <f t="shared" si="65"/>
        <v>46113</v>
      </c>
      <c r="F4225" t="s">
        <v>3444</v>
      </c>
      <c r="G4225" t="s">
        <v>136</v>
      </c>
      <c r="H4225" s="4">
        <v>75.8</v>
      </c>
      <c r="I4225" t="s">
        <v>108</v>
      </c>
      <c r="J4225" t="s">
        <v>223</v>
      </c>
      <c r="K4225" t="s">
        <v>3447</v>
      </c>
      <c r="L4225" s="2">
        <v>46113</v>
      </c>
      <c r="M4225" t="s">
        <v>223</v>
      </c>
      <c r="N4225">
        <v>0</v>
      </c>
      <c r="O4225" t="s">
        <v>111</v>
      </c>
      <c r="P4225" t="s">
        <v>134</v>
      </c>
      <c r="Q4225">
        <v>0</v>
      </c>
    </row>
    <row r="4226" spans="1:17" x14ac:dyDescent="0.3">
      <c r="A4226" t="s">
        <v>17</v>
      </c>
      <c r="B4226">
        <v>66</v>
      </c>
      <c r="C4226" t="s">
        <v>134</v>
      </c>
      <c r="D4226" s="2">
        <v>46127</v>
      </c>
      <c r="E4226" s="3">
        <f t="shared" si="65"/>
        <v>46113</v>
      </c>
      <c r="F4226" t="s">
        <v>3444</v>
      </c>
      <c r="G4226" t="s">
        <v>136</v>
      </c>
      <c r="H4226" s="4">
        <v>89.2</v>
      </c>
      <c r="I4226" t="s">
        <v>108</v>
      </c>
      <c r="J4226" t="s">
        <v>223</v>
      </c>
      <c r="K4226" t="s">
        <v>3448</v>
      </c>
      <c r="L4226" s="2">
        <v>46113</v>
      </c>
      <c r="M4226" t="s">
        <v>223</v>
      </c>
      <c r="N4226">
        <v>0</v>
      </c>
      <c r="O4226" t="s">
        <v>111</v>
      </c>
      <c r="P4226" t="s">
        <v>134</v>
      </c>
      <c r="Q4226">
        <v>0</v>
      </c>
    </row>
    <row r="4227" spans="1:17" x14ac:dyDescent="0.3">
      <c r="A4227" t="s">
        <v>17</v>
      </c>
      <c r="B4227">
        <v>66</v>
      </c>
      <c r="C4227" t="s">
        <v>134</v>
      </c>
      <c r="D4227" s="2">
        <v>46127</v>
      </c>
      <c r="E4227" s="3">
        <f t="shared" ref="E4227:E4290" si="66">IF($D4227="","",DATE(YEAR($D4227),MONTH($D4227),1))</f>
        <v>46113</v>
      </c>
      <c r="F4227" t="s">
        <v>3444</v>
      </c>
      <c r="G4227" t="s">
        <v>136</v>
      </c>
      <c r="H4227" s="4">
        <v>79.400000000000006</v>
      </c>
      <c r="I4227" t="s">
        <v>108</v>
      </c>
      <c r="J4227" t="s">
        <v>223</v>
      </c>
      <c r="K4227" t="s">
        <v>3449</v>
      </c>
      <c r="L4227" s="2">
        <v>46113</v>
      </c>
      <c r="M4227" t="s">
        <v>223</v>
      </c>
      <c r="N4227">
        <v>0</v>
      </c>
      <c r="O4227" t="s">
        <v>111</v>
      </c>
      <c r="P4227" t="s">
        <v>134</v>
      </c>
      <c r="Q4227">
        <v>0</v>
      </c>
    </row>
    <row r="4228" spans="1:17" x14ac:dyDescent="0.3">
      <c r="A4228" t="s">
        <v>17</v>
      </c>
      <c r="B4228">
        <v>66</v>
      </c>
      <c r="C4228" t="s">
        <v>134</v>
      </c>
      <c r="D4228" s="2">
        <v>46127</v>
      </c>
      <c r="E4228" s="3">
        <f t="shared" si="66"/>
        <v>46113</v>
      </c>
      <c r="F4228" t="s">
        <v>3444</v>
      </c>
      <c r="G4228" t="s">
        <v>136</v>
      </c>
      <c r="H4228" s="4">
        <v>79.400000000000006</v>
      </c>
      <c r="I4228" t="s">
        <v>108</v>
      </c>
      <c r="J4228" t="s">
        <v>223</v>
      </c>
      <c r="K4228" t="s">
        <v>3450</v>
      </c>
      <c r="L4228" s="2">
        <v>46113</v>
      </c>
      <c r="M4228" t="s">
        <v>223</v>
      </c>
      <c r="N4228">
        <v>0</v>
      </c>
      <c r="O4228" t="s">
        <v>111</v>
      </c>
      <c r="P4228" t="s">
        <v>134</v>
      </c>
      <c r="Q4228">
        <v>0</v>
      </c>
    </row>
    <row r="4229" spans="1:17" x14ac:dyDescent="0.3">
      <c r="A4229" t="s">
        <v>17</v>
      </c>
      <c r="B4229">
        <v>66</v>
      </c>
      <c r="C4229" t="s">
        <v>134</v>
      </c>
      <c r="D4229" s="2">
        <v>46127</v>
      </c>
      <c r="E4229" s="3">
        <f t="shared" si="66"/>
        <v>46113</v>
      </c>
      <c r="F4229" t="s">
        <v>3444</v>
      </c>
      <c r="G4229" t="s">
        <v>136</v>
      </c>
      <c r="H4229" s="4">
        <v>107.8</v>
      </c>
      <c r="I4229" t="s">
        <v>108</v>
      </c>
      <c r="J4229" t="s">
        <v>223</v>
      </c>
      <c r="K4229" t="s">
        <v>3451</v>
      </c>
      <c r="L4229" s="2">
        <v>46113</v>
      </c>
      <c r="M4229" t="s">
        <v>223</v>
      </c>
      <c r="N4229">
        <v>0</v>
      </c>
      <c r="O4229" t="s">
        <v>111</v>
      </c>
      <c r="P4229" t="s">
        <v>134</v>
      </c>
      <c r="Q4229">
        <v>0</v>
      </c>
    </row>
    <row r="4230" spans="1:17" x14ac:dyDescent="0.3">
      <c r="A4230" t="s">
        <v>17</v>
      </c>
      <c r="B4230">
        <v>66</v>
      </c>
      <c r="C4230" t="s">
        <v>134</v>
      </c>
      <c r="D4230" s="2">
        <v>46127</v>
      </c>
      <c r="E4230" s="3">
        <f t="shared" si="66"/>
        <v>46113</v>
      </c>
      <c r="F4230" t="s">
        <v>3444</v>
      </c>
      <c r="G4230" t="s">
        <v>136</v>
      </c>
      <c r="H4230" s="4">
        <v>107.8</v>
      </c>
      <c r="I4230" t="s">
        <v>108</v>
      </c>
      <c r="J4230" t="s">
        <v>223</v>
      </c>
      <c r="K4230" t="s">
        <v>3452</v>
      </c>
      <c r="L4230" s="2">
        <v>46113</v>
      </c>
      <c r="M4230" t="s">
        <v>223</v>
      </c>
      <c r="N4230">
        <v>0</v>
      </c>
      <c r="O4230" t="s">
        <v>111</v>
      </c>
      <c r="P4230" t="s">
        <v>134</v>
      </c>
      <c r="Q4230">
        <v>0</v>
      </c>
    </row>
    <row r="4231" spans="1:17" x14ac:dyDescent="0.3">
      <c r="A4231" t="s">
        <v>17</v>
      </c>
      <c r="B4231">
        <v>68</v>
      </c>
      <c r="C4231" t="s">
        <v>34</v>
      </c>
      <c r="D4231" s="2">
        <v>46127</v>
      </c>
      <c r="E4231" s="3">
        <f t="shared" si="66"/>
        <v>46113</v>
      </c>
      <c r="F4231" t="s">
        <v>3453</v>
      </c>
      <c r="G4231" t="s">
        <v>122</v>
      </c>
      <c r="H4231" s="4">
        <v>19.809999999999999</v>
      </c>
      <c r="I4231" t="s">
        <v>108</v>
      </c>
      <c r="J4231" t="s">
        <v>109</v>
      </c>
      <c r="K4231" t="s">
        <v>2321</v>
      </c>
      <c r="L4231" s="2">
        <v>46113</v>
      </c>
      <c r="M4231" t="s">
        <v>109</v>
      </c>
      <c r="N4231">
        <v>0</v>
      </c>
      <c r="O4231" t="s">
        <v>111</v>
      </c>
      <c r="P4231" t="s">
        <v>112</v>
      </c>
      <c r="Q4231" t="s">
        <v>113</v>
      </c>
    </row>
    <row r="4232" spans="1:17" x14ac:dyDescent="0.3">
      <c r="A4232" t="s">
        <v>17</v>
      </c>
      <c r="B4232">
        <v>68</v>
      </c>
      <c r="C4232" t="s">
        <v>34</v>
      </c>
      <c r="D4232" s="2">
        <v>46127</v>
      </c>
      <c r="E4232" s="3">
        <f t="shared" si="66"/>
        <v>46113</v>
      </c>
      <c r="F4232" t="s">
        <v>3454</v>
      </c>
      <c r="G4232" t="s">
        <v>122</v>
      </c>
      <c r="H4232" s="4">
        <v>30.72</v>
      </c>
      <c r="I4232" t="s">
        <v>108</v>
      </c>
      <c r="J4232" t="s">
        <v>109</v>
      </c>
      <c r="K4232" t="s">
        <v>3455</v>
      </c>
      <c r="L4232" s="2">
        <v>46113</v>
      </c>
      <c r="M4232" t="s">
        <v>109</v>
      </c>
      <c r="N4232">
        <v>0</v>
      </c>
      <c r="O4232" t="s">
        <v>111</v>
      </c>
      <c r="P4232" t="s">
        <v>112</v>
      </c>
      <c r="Q4232" t="s">
        <v>113</v>
      </c>
    </row>
    <row r="4233" spans="1:17" x14ac:dyDescent="0.3">
      <c r="A4233" t="s">
        <v>17</v>
      </c>
      <c r="B4233">
        <v>68</v>
      </c>
      <c r="C4233" t="s">
        <v>34</v>
      </c>
      <c r="D4233" s="2">
        <v>46127</v>
      </c>
      <c r="E4233" s="3">
        <f t="shared" si="66"/>
        <v>46113</v>
      </c>
      <c r="F4233" t="s">
        <v>3456</v>
      </c>
      <c r="G4233" t="s">
        <v>122</v>
      </c>
      <c r="H4233" s="4">
        <v>19.68</v>
      </c>
      <c r="I4233" t="s">
        <v>108</v>
      </c>
      <c r="J4233" t="s">
        <v>109</v>
      </c>
      <c r="K4233" t="s">
        <v>3063</v>
      </c>
      <c r="L4233" s="2">
        <v>46113</v>
      </c>
      <c r="M4233" t="s">
        <v>109</v>
      </c>
      <c r="N4233">
        <v>0</v>
      </c>
      <c r="O4233" t="s">
        <v>111</v>
      </c>
      <c r="P4233" t="s">
        <v>112</v>
      </c>
      <c r="Q4233" t="s">
        <v>113</v>
      </c>
    </row>
    <row r="4234" spans="1:17" x14ac:dyDescent="0.3">
      <c r="A4234" t="s">
        <v>17</v>
      </c>
      <c r="B4234">
        <v>68</v>
      </c>
      <c r="C4234" t="s">
        <v>34</v>
      </c>
      <c r="D4234" s="2">
        <v>46127</v>
      </c>
      <c r="E4234" s="3">
        <f t="shared" si="66"/>
        <v>46113</v>
      </c>
      <c r="F4234" t="s">
        <v>3457</v>
      </c>
      <c r="G4234" t="s">
        <v>122</v>
      </c>
      <c r="H4234" s="4">
        <v>22.28</v>
      </c>
      <c r="I4234" t="s">
        <v>108</v>
      </c>
      <c r="J4234" t="s">
        <v>109</v>
      </c>
      <c r="K4234" t="s">
        <v>2330</v>
      </c>
      <c r="L4234" s="2">
        <v>46113</v>
      </c>
      <c r="M4234" t="s">
        <v>109</v>
      </c>
      <c r="N4234">
        <v>0</v>
      </c>
      <c r="O4234" t="s">
        <v>111</v>
      </c>
      <c r="P4234" t="s">
        <v>112</v>
      </c>
      <c r="Q4234" t="s">
        <v>113</v>
      </c>
    </row>
    <row r="4235" spans="1:17" x14ac:dyDescent="0.3">
      <c r="A4235" t="s">
        <v>17</v>
      </c>
      <c r="B4235">
        <v>68</v>
      </c>
      <c r="C4235" t="s">
        <v>34</v>
      </c>
      <c r="D4235" s="2">
        <v>46127</v>
      </c>
      <c r="E4235" s="3">
        <f t="shared" si="66"/>
        <v>46113</v>
      </c>
      <c r="F4235" t="s">
        <v>3458</v>
      </c>
      <c r="G4235" t="s">
        <v>122</v>
      </c>
      <c r="H4235" s="4">
        <v>871.75</v>
      </c>
      <c r="I4235" t="s">
        <v>108</v>
      </c>
      <c r="J4235" t="s">
        <v>109</v>
      </c>
      <c r="K4235" t="s">
        <v>388</v>
      </c>
      <c r="L4235" s="2">
        <v>46113</v>
      </c>
      <c r="M4235" t="s">
        <v>109</v>
      </c>
      <c r="N4235">
        <v>0</v>
      </c>
      <c r="O4235" t="s">
        <v>111</v>
      </c>
      <c r="P4235" t="s">
        <v>112</v>
      </c>
      <c r="Q4235" t="s">
        <v>113</v>
      </c>
    </row>
    <row r="4236" spans="1:17" x14ac:dyDescent="0.3">
      <c r="A4236" t="s">
        <v>17</v>
      </c>
      <c r="B4236">
        <v>68</v>
      </c>
      <c r="C4236" t="s">
        <v>34</v>
      </c>
      <c r="D4236" s="2">
        <v>46127</v>
      </c>
      <c r="E4236" s="3">
        <f t="shared" si="66"/>
        <v>46113</v>
      </c>
      <c r="F4236" t="s">
        <v>3459</v>
      </c>
      <c r="G4236" t="s">
        <v>122</v>
      </c>
      <c r="H4236" s="4">
        <v>22.3</v>
      </c>
      <c r="I4236" t="s">
        <v>108</v>
      </c>
      <c r="J4236" t="s">
        <v>109</v>
      </c>
      <c r="K4236" t="s">
        <v>2330</v>
      </c>
      <c r="L4236" s="2">
        <v>46113</v>
      </c>
      <c r="M4236" t="s">
        <v>109</v>
      </c>
      <c r="N4236">
        <v>0</v>
      </c>
      <c r="O4236" t="s">
        <v>111</v>
      </c>
      <c r="P4236" t="s">
        <v>112</v>
      </c>
      <c r="Q4236" t="s">
        <v>113</v>
      </c>
    </row>
    <row r="4237" spans="1:17" x14ac:dyDescent="0.3">
      <c r="A4237" t="s">
        <v>17</v>
      </c>
      <c r="B4237">
        <v>67</v>
      </c>
      <c r="C4237" t="s">
        <v>28</v>
      </c>
      <c r="D4237" s="2">
        <v>46127</v>
      </c>
      <c r="E4237" s="3">
        <f t="shared" si="66"/>
        <v>46113</v>
      </c>
      <c r="F4237" t="s">
        <v>3460</v>
      </c>
      <c r="H4237" s="4">
        <v>-16.96</v>
      </c>
      <c r="I4237" t="s">
        <v>31</v>
      </c>
      <c r="J4237" t="s">
        <v>60</v>
      </c>
      <c r="L4237" s="2">
        <v>46113</v>
      </c>
      <c r="M4237" t="s">
        <v>60</v>
      </c>
      <c r="N4237">
        <v>0</v>
      </c>
      <c r="O4237" t="s">
        <v>31</v>
      </c>
      <c r="P4237" t="s">
        <v>28</v>
      </c>
      <c r="Q4237">
        <v>0</v>
      </c>
    </row>
    <row r="4238" spans="1:17" x14ac:dyDescent="0.3">
      <c r="A4238" t="s">
        <v>17</v>
      </c>
      <c r="B4238">
        <v>67</v>
      </c>
      <c r="C4238" t="s">
        <v>28</v>
      </c>
      <c r="D4238" s="2">
        <v>46127</v>
      </c>
      <c r="E4238" s="3">
        <f t="shared" si="66"/>
        <v>46113</v>
      </c>
      <c r="F4238" t="s">
        <v>3460</v>
      </c>
      <c r="H4238" s="4">
        <v>-97.68</v>
      </c>
      <c r="I4238" t="s">
        <v>31</v>
      </c>
      <c r="J4238" t="s">
        <v>60</v>
      </c>
      <c r="L4238" s="2">
        <v>46113</v>
      </c>
      <c r="M4238" t="s">
        <v>60</v>
      </c>
      <c r="N4238">
        <v>0</v>
      </c>
      <c r="O4238" t="s">
        <v>31</v>
      </c>
      <c r="P4238" t="s">
        <v>28</v>
      </c>
      <c r="Q4238">
        <v>0</v>
      </c>
    </row>
    <row r="4239" spans="1:17" x14ac:dyDescent="0.3">
      <c r="A4239" t="s">
        <v>17</v>
      </c>
      <c r="B4239">
        <v>67</v>
      </c>
      <c r="C4239" t="s">
        <v>28</v>
      </c>
      <c r="D4239" s="2">
        <v>46127</v>
      </c>
      <c r="E4239" s="3">
        <f t="shared" si="66"/>
        <v>46113</v>
      </c>
      <c r="F4239" t="s">
        <v>3460</v>
      </c>
      <c r="H4239" s="4">
        <v>-47.6</v>
      </c>
      <c r="I4239" t="s">
        <v>31</v>
      </c>
      <c r="J4239" t="s">
        <v>60</v>
      </c>
      <c r="L4239" s="2">
        <v>46113</v>
      </c>
      <c r="M4239" t="s">
        <v>60</v>
      </c>
      <c r="N4239">
        <v>0</v>
      </c>
      <c r="O4239" t="s">
        <v>31</v>
      </c>
      <c r="P4239" t="s">
        <v>28</v>
      </c>
      <c r="Q4239">
        <v>0</v>
      </c>
    </row>
    <row r="4240" spans="1:17" x14ac:dyDescent="0.3">
      <c r="A4240" t="s">
        <v>17</v>
      </c>
      <c r="B4240">
        <v>67</v>
      </c>
      <c r="C4240" t="s">
        <v>28</v>
      </c>
      <c r="D4240" s="2">
        <v>46127</v>
      </c>
      <c r="E4240" s="3">
        <f t="shared" si="66"/>
        <v>46113</v>
      </c>
      <c r="F4240" t="s">
        <v>3460</v>
      </c>
      <c r="H4240" s="4">
        <v>-54.53</v>
      </c>
      <c r="I4240" t="s">
        <v>31</v>
      </c>
      <c r="J4240" t="s">
        <v>60</v>
      </c>
      <c r="L4240" s="2">
        <v>46113</v>
      </c>
      <c r="M4240" t="s">
        <v>60</v>
      </c>
      <c r="N4240">
        <v>0</v>
      </c>
      <c r="O4240" t="s">
        <v>31</v>
      </c>
      <c r="P4240" t="s">
        <v>28</v>
      </c>
      <c r="Q4240">
        <v>0</v>
      </c>
    </row>
    <row r="4241" spans="1:17" x14ac:dyDescent="0.3">
      <c r="A4241" t="s">
        <v>17</v>
      </c>
      <c r="B4241">
        <v>67</v>
      </c>
      <c r="C4241" t="s">
        <v>28</v>
      </c>
      <c r="D4241" s="2">
        <v>46127</v>
      </c>
      <c r="E4241" s="3">
        <f t="shared" si="66"/>
        <v>46113</v>
      </c>
      <c r="F4241" t="s">
        <v>3460</v>
      </c>
      <c r="H4241" s="4">
        <v>-102.12</v>
      </c>
      <c r="I4241" t="s">
        <v>31</v>
      </c>
      <c r="J4241" t="s">
        <v>60</v>
      </c>
      <c r="L4241" s="2">
        <v>46113</v>
      </c>
      <c r="M4241" t="s">
        <v>60</v>
      </c>
      <c r="N4241">
        <v>0</v>
      </c>
      <c r="O4241" t="s">
        <v>31</v>
      </c>
      <c r="P4241" t="s">
        <v>28</v>
      </c>
      <c r="Q4241">
        <v>0</v>
      </c>
    </row>
    <row r="4242" spans="1:17" x14ac:dyDescent="0.3">
      <c r="A4242" t="s">
        <v>17</v>
      </c>
      <c r="B4242">
        <v>67</v>
      </c>
      <c r="C4242" t="s">
        <v>28</v>
      </c>
      <c r="D4242" s="2">
        <v>46127</v>
      </c>
      <c r="E4242" s="3">
        <f t="shared" si="66"/>
        <v>46113</v>
      </c>
      <c r="F4242" t="s">
        <v>3460</v>
      </c>
      <c r="H4242" s="4">
        <v>-106.82</v>
      </c>
      <c r="I4242" t="s">
        <v>31</v>
      </c>
      <c r="J4242" t="s">
        <v>60</v>
      </c>
      <c r="L4242" s="2">
        <v>46113</v>
      </c>
      <c r="M4242" t="s">
        <v>60</v>
      </c>
      <c r="N4242">
        <v>0</v>
      </c>
      <c r="O4242" t="s">
        <v>31</v>
      </c>
      <c r="P4242" t="s">
        <v>28</v>
      </c>
      <c r="Q4242">
        <v>0</v>
      </c>
    </row>
    <row r="4243" spans="1:17" x14ac:dyDescent="0.3">
      <c r="A4243" t="s">
        <v>17</v>
      </c>
      <c r="B4243">
        <v>67</v>
      </c>
      <c r="C4243" t="s">
        <v>28</v>
      </c>
      <c r="D4243" s="2">
        <v>46127</v>
      </c>
      <c r="E4243" s="3">
        <f t="shared" si="66"/>
        <v>46113</v>
      </c>
      <c r="F4243" t="s">
        <v>3460</v>
      </c>
      <c r="H4243" s="4">
        <v>-83.93</v>
      </c>
      <c r="I4243" t="s">
        <v>31</v>
      </c>
      <c r="J4243" t="s">
        <v>60</v>
      </c>
      <c r="L4243" s="2">
        <v>46113</v>
      </c>
      <c r="M4243" t="s">
        <v>60</v>
      </c>
      <c r="N4243">
        <v>0</v>
      </c>
      <c r="O4243" t="s">
        <v>31</v>
      </c>
      <c r="P4243" t="s">
        <v>28</v>
      </c>
      <c r="Q4243">
        <v>0</v>
      </c>
    </row>
    <row r="4244" spans="1:17" x14ac:dyDescent="0.3">
      <c r="A4244" t="s">
        <v>17</v>
      </c>
      <c r="B4244">
        <v>67</v>
      </c>
      <c r="C4244" t="s">
        <v>28</v>
      </c>
      <c r="D4244" s="2">
        <v>46127</v>
      </c>
      <c r="E4244" s="3">
        <f t="shared" si="66"/>
        <v>46113</v>
      </c>
      <c r="F4244" t="s">
        <v>3460</v>
      </c>
      <c r="H4244" s="4">
        <v>-19.3</v>
      </c>
      <c r="I4244" t="s">
        <v>31</v>
      </c>
      <c r="J4244" t="s">
        <v>60</v>
      </c>
      <c r="L4244" s="2">
        <v>46113</v>
      </c>
      <c r="M4244" t="s">
        <v>60</v>
      </c>
      <c r="N4244">
        <v>0</v>
      </c>
      <c r="O4244" t="s">
        <v>31</v>
      </c>
      <c r="P4244" t="s">
        <v>28</v>
      </c>
      <c r="Q4244">
        <v>0</v>
      </c>
    </row>
    <row r="4245" spans="1:17" x14ac:dyDescent="0.3">
      <c r="A4245" t="s">
        <v>17</v>
      </c>
      <c r="B4245">
        <v>67</v>
      </c>
      <c r="C4245" t="s">
        <v>28</v>
      </c>
      <c r="D4245" s="2">
        <v>46127</v>
      </c>
      <c r="E4245" s="3">
        <f t="shared" si="66"/>
        <v>46113</v>
      </c>
      <c r="F4245" t="s">
        <v>3461</v>
      </c>
      <c r="H4245" s="4">
        <v>253.64</v>
      </c>
      <c r="I4245" t="s">
        <v>31</v>
      </c>
      <c r="J4245" t="s">
        <v>64</v>
      </c>
      <c r="K4245" t="s">
        <v>168</v>
      </c>
      <c r="L4245" s="2">
        <v>46113</v>
      </c>
      <c r="M4245" t="s">
        <v>64</v>
      </c>
      <c r="N4245">
        <v>0</v>
      </c>
      <c r="O4245" t="s">
        <v>31</v>
      </c>
      <c r="P4245" t="s">
        <v>28</v>
      </c>
      <c r="Q4245">
        <v>0</v>
      </c>
    </row>
    <row r="4246" spans="1:17" x14ac:dyDescent="0.3">
      <c r="A4246" t="s">
        <v>17</v>
      </c>
      <c r="B4246">
        <v>67</v>
      </c>
      <c r="C4246" t="s">
        <v>28</v>
      </c>
      <c r="D4246" s="2">
        <v>46128</v>
      </c>
      <c r="E4246" s="3">
        <f t="shared" si="66"/>
        <v>46113</v>
      </c>
      <c r="F4246">
        <v>7374.2619999999997</v>
      </c>
      <c r="G4246" t="s">
        <v>439</v>
      </c>
      <c r="H4246" s="4">
        <v>2500</v>
      </c>
      <c r="I4246" t="s">
        <v>31</v>
      </c>
      <c r="J4246" t="s">
        <v>48</v>
      </c>
      <c r="K4246" t="s">
        <v>3462</v>
      </c>
      <c r="L4246" s="2">
        <v>46113</v>
      </c>
      <c r="M4246" t="s">
        <v>50</v>
      </c>
      <c r="N4246">
        <v>0</v>
      </c>
      <c r="O4246" t="s">
        <v>31</v>
      </c>
      <c r="P4246" t="s">
        <v>28</v>
      </c>
      <c r="Q4246">
        <v>0</v>
      </c>
    </row>
    <row r="4247" spans="1:17" x14ac:dyDescent="0.3">
      <c r="A4247" t="s">
        <v>17</v>
      </c>
      <c r="B4247">
        <v>68</v>
      </c>
      <c r="C4247" t="s">
        <v>34</v>
      </c>
      <c r="D4247" s="2">
        <v>46129</v>
      </c>
      <c r="E4247" s="3">
        <f t="shared" si="66"/>
        <v>46113</v>
      </c>
      <c r="F4247" t="s">
        <v>3463</v>
      </c>
      <c r="G4247" t="s">
        <v>122</v>
      </c>
      <c r="H4247" s="4">
        <v>17.5</v>
      </c>
      <c r="I4247" t="s">
        <v>108</v>
      </c>
      <c r="J4247" t="s">
        <v>109</v>
      </c>
      <c r="K4247" t="s">
        <v>3464</v>
      </c>
      <c r="L4247" s="2">
        <v>46113</v>
      </c>
      <c r="M4247" t="s">
        <v>109</v>
      </c>
      <c r="N4247">
        <v>0</v>
      </c>
      <c r="O4247" t="s">
        <v>111</v>
      </c>
      <c r="P4247" t="s">
        <v>112</v>
      </c>
      <c r="Q4247" t="s">
        <v>113</v>
      </c>
    </row>
    <row r="4248" spans="1:17" x14ac:dyDescent="0.3">
      <c r="A4248" t="s">
        <v>17</v>
      </c>
      <c r="B4248">
        <v>68</v>
      </c>
      <c r="C4248" t="s">
        <v>34</v>
      </c>
      <c r="D4248" s="2">
        <v>46129</v>
      </c>
      <c r="E4248" s="3">
        <f t="shared" si="66"/>
        <v>46113</v>
      </c>
      <c r="F4248" t="s">
        <v>3463</v>
      </c>
      <c r="G4248" t="s">
        <v>122</v>
      </c>
      <c r="H4248" s="4">
        <v>1.34</v>
      </c>
      <c r="I4248" t="s">
        <v>108</v>
      </c>
      <c r="J4248" t="s">
        <v>109</v>
      </c>
      <c r="K4248" t="s">
        <v>2579</v>
      </c>
      <c r="L4248" s="2">
        <v>46113</v>
      </c>
      <c r="M4248" t="s">
        <v>109</v>
      </c>
      <c r="N4248">
        <v>0</v>
      </c>
      <c r="O4248" t="s">
        <v>111</v>
      </c>
      <c r="P4248" t="s">
        <v>112</v>
      </c>
      <c r="Q4248" t="s">
        <v>113</v>
      </c>
    </row>
    <row r="4249" spans="1:17" x14ac:dyDescent="0.3">
      <c r="A4249" t="s">
        <v>17</v>
      </c>
      <c r="B4249">
        <v>68</v>
      </c>
      <c r="C4249" t="s">
        <v>34</v>
      </c>
      <c r="D4249" s="2">
        <v>46129</v>
      </c>
      <c r="E4249" s="3">
        <f t="shared" si="66"/>
        <v>46113</v>
      </c>
      <c r="F4249" t="s">
        <v>3463</v>
      </c>
      <c r="G4249" t="s">
        <v>122</v>
      </c>
      <c r="H4249" s="4">
        <v>0.24</v>
      </c>
      <c r="I4249" t="s">
        <v>108</v>
      </c>
      <c r="J4249" t="s">
        <v>109</v>
      </c>
      <c r="K4249" t="s">
        <v>1276</v>
      </c>
      <c r="L4249" s="2">
        <v>46113</v>
      </c>
      <c r="M4249" t="s">
        <v>109</v>
      </c>
      <c r="N4249">
        <v>0</v>
      </c>
      <c r="O4249" t="s">
        <v>111</v>
      </c>
      <c r="P4249" t="s">
        <v>112</v>
      </c>
      <c r="Q4249" t="s">
        <v>113</v>
      </c>
    </row>
    <row r="4250" spans="1:17" x14ac:dyDescent="0.3">
      <c r="A4250" t="s">
        <v>17</v>
      </c>
      <c r="B4250">
        <v>68</v>
      </c>
      <c r="C4250" t="s">
        <v>34</v>
      </c>
      <c r="D4250" s="2">
        <v>46132</v>
      </c>
      <c r="E4250" s="3">
        <f t="shared" si="66"/>
        <v>46113</v>
      </c>
      <c r="F4250" t="s">
        <v>3465</v>
      </c>
      <c r="G4250" t="s">
        <v>122</v>
      </c>
      <c r="H4250" s="4">
        <v>19.29</v>
      </c>
      <c r="I4250" t="s">
        <v>108</v>
      </c>
      <c r="J4250" t="s">
        <v>109</v>
      </c>
      <c r="K4250" t="s">
        <v>3466</v>
      </c>
      <c r="L4250" s="2">
        <v>46113</v>
      </c>
      <c r="M4250" t="s">
        <v>109</v>
      </c>
      <c r="N4250">
        <v>0</v>
      </c>
      <c r="O4250" t="s">
        <v>111</v>
      </c>
      <c r="P4250" t="s">
        <v>112</v>
      </c>
      <c r="Q4250" t="s">
        <v>113</v>
      </c>
    </row>
    <row r="4251" spans="1:17" x14ac:dyDescent="0.3">
      <c r="A4251" t="s">
        <v>17</v>
      </c>
      <c r="B4251">
        <v>68</v>
      </c>
      <c r="C4251" t="s">
        <v>34</v>
      </c>
      <c r="D4251" s="2">
        <v>46132</v>
      </c>
      <c r="E4251" s="3">
        <f t="shared" si="66"/>
        <v>46113</v>
      </c>
      <c r="F4251" t="s">
        <v>3467</v>
      </c>
      <c r="G4251" t="s">
        <v>122</v>
      </c>
      <c r="H4251" s="4">
        <v>30.72</v>
      </c>
      <c r="I4251" t="s">
        <v>108</v>
      </c>
      <c r="J4251" t="s">
        <v>109</v>
      </c>
      <c r="K4251" t="s">
        <v>2776</v>
      </c>
      <c r="L4251" s="2">
        <v>46113</v>
      </c>
      <c r="M4251" t="s">
        <v>109</v>
      </c>
      <c r="N4251">
        <v>0</v>
      </c>
      <c r="O4251" t="s">
        <v>111</v>
      </c>
      <c r="P4251" t="s">
        <v>112</v>
      </c>
      <c r="Q4251" t="s">
        <v>113</v>
      </c>
    </row>
    <row r="4252" spans="1:17" x14ac:dyDescent="0.3">
      <c r="A4252" t="s">
        <v>17</v>
      </c>
      <c r="B4252">
        <v>66</v>
      </c>
      <c r="C4252" t="s">
        <v>134</v>
      </c>
      <c r="D4252" s="2">
        <v>46133</v>
      </c>
      <c r="E4252" s="3">
        <f t="shared" si="66"/>
        <v>46113</v>
      </c>
      <c r="F4252" t="s">
        <v>3468</v>
      </c>
      <c r="G4252" t="s">
        <v>136</v>
      </c>
      <c r="H4252" s="4">
        <v>2638.44</v>
      </c>
      <c r="I4252" t="s">
        <v>31</v>
      </c>
      <c r="J4252" t="s">
        <v>223</v>
      </c>
      <c r="K4252" t="s">
        <v>3469</v>
      </c>
      <c r="L4252" s="2">
        <v>46113</v>
      </c>
      <c r="M4252" t="s">
        <v>223</v>
      </c>
      <c r="N4252">
        <v>0</v>
      </c>
      <c r="O4252" t="s">
        <v>111</v>
      </c>
      <c r="P4252" t="s">
        <v>134</v>
      </c>
      <c r="Q4252">
        <v>0</v>
      </c>
    </row>
    <row r="4253" spans="1:17" x14ac:dyDescent="0.3">
      <c r="A4253" t="s">
        <v>17</v>
      </c>
      <c r="B4253">
        <v>68</v>
      </c>
      <c r="C4253" t="s">
        <v>34</v>
      </c>
      <c r="D4253" s="2">
        <v>46133</v>
      </c>
      <c r="E4253" s="3">
        <f t="shared" si="66"/>
        <v>46113</v>
      </c>
      <c r="F4253" t="s">
        <v>3470</v>
      </c>
      <c r="G4253" t="s">
        <v>122</v>
      </c>
      <c r="H4253" s="4">
        <v>42.6</v>
      </c>
      <c r="I4253" t="s">
        <v>108</v>
      </c>
      <c r="J4253" t="s">
        <v>109</v>
      </c>
      <c r="K4253" t="s">
        <v>2776</v>
      </c>
      <c r="L4253" s="2">
        <v>46113</v>
      </c>
      <c r="M4253" t="s">
        <v>109</v>
      </c>
      <c r="N4253">
        <v>0</v>
      </c>
      <c r="O4253" t="s">
        <v>111</v>
      </c>
      <c r="P4253" t="s">
        <v>112</v>
      </c>
      <c r="Q4253" t="s">
        <v>113</v>
      </c>
    </row>
    <row r="4254" spans="1:17" x14ac:dyDescent="0.3">
      <c r="A4254" t="s">
        <v>17</v>
      </c>
      <c r="B4254">
        <v>64</v>
      </c>
      <c r="C4254" t="s">
        <v>83</v>
      </c>
      <c r="D4254" s="2">
        <v>46134</v>
      </c>
      <c r="E4254" s="3">
        <f t="shared" si="66"/>
        <v>46113</v>
      </c>
      <c r="F4254" t="s">
        <v>3471</v>
      </c>
      <c r="H4254" s="4">
        <v>29.96</v>
      </c>
      <c r="I4254" t="s">
        <v>47</v>
      </c>
      <c r="J4254" t="s">
        <v>87</v>
      </c>
      <c r="K4254" t="s">
        <v>3472</v>
      </c>
      <c r="L4254" s="2">
        <v>46113</v>
      </c>
      <c r="M4254" t="s">
        <v>89</v>
      </c>
      <c r="N4254">
        <v>0</v>
      </c>
      <c r="O4254" t="s">
        <v>26</v>
      </c>
      <c r="P4254" t="s">
        <v>83</v>
      </c>
      <c r="Q4254">
        <v>0</v>
      </c>
    </row>
    <row r="4255" spans="1:17" x14ac:dyDescent="0.3">
      <c r="A4255" t="s">
        <v>17</v>
      </c>
      <c r="B4255">
        <v>67</v>
      </c>
      <c r="C4255" t="s">
        <v>28</v>
      </c>
      <c r="D4255" s="2">
        <v>46134</v>
      </c>
      <c r="E4255" s="3">
        <f t="shared" si="66"/>
        <v>46113</v>
      </c>
      <c r="F4255" t="s">
        <v>3473</v>
      </c>
      <c r="G4255" t="s">
        <v>119</v>
      </c>
      <c r="H4255" s="4">
        <v>821.25</v>
      </c>
      <c r="I4255" t="s">
        <v>31</v>
      </c>
      <c r="J4255" t="s">
        <v>68</v>
      </c>
      <c r="K4255" t="s">
        <v>3474</v>
      </c>
      <c r="L4255" s="2">
        <v>46113</v>
      </c>
      <c r="M4255" t="s">
        <v>68</v>
      </c>
      <c r="N4255">
        <v>0</v>
      </c>
      <c r="O4255" t="s">
        <v>31</v>
      </c>
      <c r="P4255" t="s">
        <v>28</v>
      </c>
      <c r="Q4255">
        <v>0</v>
      </c>
    </row>
    <row r="4256" spans="1:17" x14ac:dyDescent="0.3">
      <c r="A4256" t="s">
        <v>17</v>
      </c>
      <c r="B4256">
        <v>66</v>
      </c>
      <c r="C4256" t="s">
        <v>134</v>
      </c>
      <c r="D4256" s="2">
        <v>46134</v>
      </c>
      <c r="E4256" s="3">
        <f t="shared" si="66"/>
        <v>46113</v>
      </c>
      <c r="F4256" t="s">
        <v>3475</v>
      </c>
      <c r="G4256" t="s">
        <v>863</v>
      </c>
      <c r="H4256" s="4">
        <v>154.80000000000001</v>
      </c>
      <c r="I4256" t="s">
        <v>21</v>
      </c>
      <c r="J4256" t="s">
        <v>223</v>
      </c>
      <c r="K4256" t="s">
        <v>3476</v>
      </c>
      <c r="L4256" s="2">
        <v>46113</v>
      </c>
      <c r="M4256" t="s">
        <v>223</v>
      </c>
      <c r="N4256" t="s">
        <v>25</v>
      </c>
      <c r="O4256" t="s">
        <v>111</v>
      </c>
      <c r="P4256" t="s">
        <v>134</v>
      </c>
      <c r="Q4256">
        <v>0</v>
      </c>
    </row>
    <row r="4257" spans="1:17" x14ac:dyDescent="0.3">
      <c r="A4257" t="s">
        <v>17</v>
      </c>
      <c r="B4257">
        <v>68</v>
      </c>
      <c r="C4257" t="s">
        <v>34</v>
      </c>
      <c r="D4257" s="2">
        <v>46134</v>
      </c>
      <c r="E4257" s="3">
        <f t="shared" si="66"/>
        <v>46113</v>
      </c>
      <c r="F4257" t="s">
        <v>3477</v>
      </c>
      <c r="G4257" t="s">
        <v>122</v>
      </c>
      <c r="H4257" s="4">
        <v>19.37</v>
      </c>
      <c r="I4257" t="s">
        <v>108</v>
      </c>
      <c r="J4257" t="s">
        <v>109</v>
      </c>
      <c r="K4257" t="s">
        <v>2321</v>
      </c>
      <c r="L4257" s="2">
        <v>46113</v>
      </c>
      <c r="M4257" t="s">
        <v>109</v>
      </c>
      <c r="N4257">
        <v>0</v>
      </c>
      <c r="O4257" t="s">
        <v>111</v>
      </c>
      <c r="P4257" t="s">
        <v>112</v>
      </c>
      <c r="Q4257" t="s">
        <v>113</v>
      </c>
    </row>
    <row r="4258" spans="1:17" x14ac:dyDescent="0.3">
      <c r="A4258" t="s">
        <v>17</v>
      </c>
      <c r="B4258">
        <v>68</v>
      </c>
      <c r="C4258" t="s">
        <v>34</v>
      </c>
      <c r="D4258" s="2">
        <v>46134</v>
      </c>
      <c r="E4258" s="3">
        <f t="shared" si="66"/>
        <v>46113</v>
      </c>
      <c r="F4258" t="s">
        <v>3478</v>
      </c>
      <c r="G4258" t="s">
        <v>122</v>
      </c>
      <c r="H4258" s="4">
        <v>193.31</v>
      </c>
      <c r="I4258" t="s">
        <v>108</v>
      </c>
      <c r="J4258" t="s">
        <v>109</v>
      </c>
      <c r="K4258" t="s">
        <v>662</v>
      </c>
      <c r="L4258" s="2">
        <v>46113</v>
      </c>
      <c r="M4258" t="s">
        <v>109</v>
      </c>
      <c r="N4258">
        <v>0</v>
      </c>
      <c r="O4258" t="s">
        <v>111</v>
      </c>
      <c r="P4258" t="s">
        <v>112</v>
      </c>
      <c r="Q4258" t="s">
        <v>113</v>
      </c>
    </row>
    <row r="4259" spans="1:17" x14ac:dyDescent="0.3">
      <c r="A4259" t="s">
        <v>17</v>
      </c>
      <c r="B4259">
        <v>68</v>
      </c>
      <c r="C4259" t="s">
        <v>34</v>
      </c>
      <c r="D4259" s="2">
        <v>46134</v>
      </c>
      <c r="E4259" s="3">
        <f t="shared" si="66"/>
        <v>46113</v>
      </c>
      <c r="F4259" t="s">
        <v>3479</v>
      </c>
      <c r="G4259" t="s">
        <v>122</v>
      </c>
      <c r="H4259" s="4">
        <v>1227.44</v>
      </c>
      <c r="I4259" t="s">
        <v>108</v>
      </c>
      <c r="J4259" t="s">
        <v>109</v>
      </c>
      <c r="K4259" t="s">
        <v>388</v>
      </c>
      <c r="L4259" s="2">
        <v>46113</v>
      </c>
      <c r="M4259" t="s">
        <v>109</v>
      </c>
      <c r="N4259">
        <v>0</v>
      </c>
      <c r="O4259" t="s">
        <v>111</v>
      </c>
      <c r="P4259" t="s">
        <v>112</v>
      </c>
      <c r="Q4259" t="s">
        <v>113</v>
      </c>
    </row>
    <row r="4260" spans="1:17" x14ac:dyDescent="0.3">
      <c r="A4260" t="s">
        <v>17</v>
      </c>
      <c r="B4260">
        <v>68</v>
      </c>
      <c r="C4260" t="s">
        <v>34</v>
      </c>
      <c r="D4260" s="2">
        <v>46135</v>
      </c>
      <c r="E4260" s="3">
        <f t="shared" si="66"/>
        <v>46113</v>
      </c>
      <c r="F4260" t="s">
        <v>3480</v>
      </c>
      <c r="G4260" t="s">
        <v>122</v>
      </c>
      <c r="H4260" s="4">
        <v>24.55</v>
      </c>
      <c r="I4260" t="s">
        <v>108</v>
      </c>
      <c r="J4260" t="s">
        <v>109</v>
      </c>
      <c r="K4260" t="s">
        <v>2776</v>
      </c>
      <c r="L4260" s="2">
        <v>46113</v>
      </c>
      <c r="M4260" t="s">
        <v>109</v>
      </c>
      <c r="N4260">
        <v>0</v>
      </c>
      <c r="O4260" t="s">
        <v>111</v>
      </c>
      <c r="P4260" t="s">
        <v>112</v>
      </c>
      <c r="Q4260" t="s">
        <v>113</v>
      </c>
    </row>
    <row r="4261" spans="1:17" x14ac:dyDescent="0.3">
      <c r="A4261" t="s">
        <v>17</v>
      </c>
      <c r="B4261">
        <v>67</v>
      </c>
      <c r="C4261" t="s">
        <v>28</v>
      </c>
      <c r="D4261" s="2">
        <v>46136</v>
      </c>
      <c r="E4261" s="3">
        <f t="shared" si="66"/>
        <v>46113</v>
      </c>
      <c r="F4261" t="s">
        <v>3481</v>
      </c>
      <c r="G4261" t="s">
        <v>67</v>
      </c>
      <c r="H4261" s="4">
        <v>468.51</v>
      </c>
      <c r="I4261" t="s">
        <v>31</v>
      </c>
      <c r="J4261" t="s">
        <v>68</v>
      </c>
      <c r="K4261" t="s">
        <v>3221</v>
      </c>
      <c r="L4261" s="2">
        <v>46113</v>
      </c>
      <c r="M4261" t="s">
        <v>68</v>
      </c>
      <c r="N4261">
        <v>0</v>
      </c>
      <c r="O4261" t="s">
        <v>31</v>
      </c>
      <c r="P4261" t="s">
        <v>28</v>
      </c>
      <c r="Q4261">
        <v>0</v>
      </c>
    </row>
    <row r="4262" spans="1:17" x14ac:dyDescent="0.3">
      <c r="A4262" t="s">
        <v>17</v>
      </c>
      <c r="B4262">
        <v>67</v>
      </c>
      <c r="C4262" t="s">
        <v>28</v>
      </c>
      <c r="D4262" s="2">
        <v>46136</v>
      </c>
      <c r="E4262" s="3">
        <f t="shared" si="66"/>
        <v>46113</v>
      </c>
      <c r="F4262" t="s">
        <v>3482</v>
      </c>
      <c r="G4262" t="s">
        <v>208</v>
      </c>
      <c r="H4262" s="4">
        <v>500</v>
      </c>
      <c r="I4262" t="s">
        <v>31</v>
      </c>
      <c r="J4262" t="s">
        <v>32</v>
      </c>
      <c r="K4262" t="s">
        <v>3483</v>
      </c>
      <c r="L4262" s="2">
        <v>46113</v>
      </c>
      <c r="M4262" t="s">
        <v>32</v>
      </c>
      <c r="N4262">
        <v>0</v>
      </c>
      <c r="O4262" t="s">
        <v>31</v>
      </c>
      <c r="P4262" t="s">
        <v>28</v>
      </c>
      <c r="Q4262">
        <v>0</v>
      </c>
    </row>
    <row r="4263" spans="1:17" x14ac:dyDescent="0.3">
      <c r="A4263" t="s">
        <v>17</v>
      </c>
      <c r="B4263">
        <v>67</v>
      </c>
      <c r="C4263" t="s">
        <v>28</v>
      </c>
      <c r="D4263" s="2">
        <v>46136</v>
      </c>
      <c r="E4263" s="3">
        <f t="shared" si="66"/>
        <v>46113</v>
      </c>
      <c r="F4263" t="s">
        <v>3484</v>
      </c>
      <c r="G4263" t="s">
        <v>205</v>
      </c>
      <c r="H4263" s="4">
        <v>1000</v>
      </c>
      <c r="I4263" t="s">
        <v>31</v>
      </c>
      <c r="J4263" t="s">
        <v>32</v>
      </c>
      <c r="K4263" t="s">
        <v>3483</v>
      </c>
      <c r="L4263" s="2">
        <v>46113</v>
      </c>
      <c r="M4263" t="s">
        <v>32</v>
      </c>
      <c r="N4263">
        <v>0</v>
      </c>
      <c r="O4263" t="s">
        <v>31</v>
      </c>
      <c r="P4263" t="s">
        <v>28</v>
      </c>
      <c r="Q4263">
        <v>0</v>
      </c>
    </row>
    <row r="4264" spans="1:17" x14ac:dyDescent="0.3">
      <c r="A4264" t="s">
        <v>17</v>
      </c>
      <c r="B4264">
        <v>67</v>
      </c>
      <c r="C4264" t="s">
        <v>28</v>
      </c>
      <c r="D4264" s="2">
        <v>46136</v>
      </c>
      <c r="E4264" s="3">
        <f t="shared" si="66"/>
        <v>46113</v>
      </c>
      <c r="F4264" t="s">
        <v>3485</v>
      </c>
      <c r="H4264" s="4">
        <v>-6.51</v>
      </c>
      <c r="I4264" t="s">
        <v>31</v>
      </c>
      <c r="J4264" t="s">
        <v>60</v>
      </c>
      <c r="L4264" s="2">
        <v>46113</v>
      </c>
      <c r="M4264" t="s">
        <v>60</v>
      </c>
      <c r="N4264">
        <v>0</v>
      </c>
      <c r="O4264" t="s">
        <v>31</v>
      </c>
      <c r="P4264" t="s">
        <v>28</v>
      </c>
      <c r="Q4264">
        <v>0</v>
      </c>
    </row>
    <row r="4265" spans="1:17" x14ac:dyDescent="0.3">
      <c r="A4265" t="s">
        <v>17</v>
      </c>
      <c r="B4265">
        <v>67</v>
      </c>
      <c r="C4265" t="s">
        <v>28</v>
      </c>
      <c r="D4265" s="2">
        <v>46136</v>
      </c>
      <c r="E4265" s="3">
        <f t="shared" si="66"/>
        <v>46113</v>
      </c>
      <c r="F4265" t="s">
        <v>3485</v>
      </c>
      <c r="H4265" s="4">
        <v>-18.82</v>
      </c>
      <c r="I4265" t="s">
        <v>31</v>
      </c>
      <c r="J4265" t="s">
        <v>60</v>
      </c>
      <c r="L4265" s="2">
        <v>46113</v>
      </c>
      <c r="M4265" t="s">
        <v>60</v>
      </c>
      <c r="N4265">
        <v>0</v>
      </c>
      <c r="O4265" t="s">
        <v>31</v>
      </c>
      <c r="P4265" t="s">
        <v>28</v>
      </c>
      <c r="Q4265">
        <v>0</v>
      </c>
    </row>
    <row r="4266" spans="1:17" x14ac:dyDescent="0.3">
      <c r="A4266" t="s">
        <v>17</v>
      </c>
      <c r="B4266">
        <v>67</v>
      </c>
      <c r="C4266" t="s">
        <v>28</v>
      </c>
      <c r="D4266" s="2">
        <v>46136</v>
      </c>
      <c r="E4266" s="3">
        <f t="shared" si="66"/>
        <v>46113</v>
      </c>
      <c r="F4266" t="s">
        <v>3485</v>
      </c>
      <c r="H4266" s="4">
        <v>-94.68</v>
      </c>
      <c r="I4266" t="s">
        <v>31</v>
      </c>
      <c r="J4266" t="s">
        <v>60</v>
      </c>
      <c r="L4266" s="2">
        <v>46113</v>
      </c>
      <c r="M4266" t="s">
        <v>60</v>
      </c>
      <c r="N4266">
        <v>0</v>
      </c>
      <c r="O4266" t="s">
        <v>31</v>
      </c>
      <c r="P4266" t="s">
        <v>28</v>
      </c>
      <c r="Q4266">
        <v>0</v>
      </c>
    </row>
    <row r="4267" spans="1:17" x14ac:dyDescent="0.3">
      <c r="A4267" t="s">
        <v>17</v>
      </c>
      <c r="B4267">
        <v>67</v>
      </c>
      <c r="C4267" t="s">
        <v>28</v>
      </c>
      <c r="D4267" s="2">
        <v>46136</v>
      </c>
      <c r="E4267" s="3">
        <f t="shared" si="66"/>
        <v>46113</v>
      </c>
      <c r="F4267" t="s">
        <v>3485</v>
      </c>
      <c r="H4267" s="4">
        <v>-7.78</v>
      </c>
      <c r="I4267" t="s">
        <v>31</v>
      </c>
      <c r="J4267" t="s">
        <v>60</v>
      </c>
      <c r="L4267" s="2">
        <v>46113</v>
      </c>
      <c r="M4267" t="s">
        <v>60</v>
      </c>
      <c r="N4267">
        <v>0</v>
      </c>
      <c r="O4267" t="s">
        <v>31</v>
      </c>
      <c r="P4267" t="s">
        <v>28</v>
      </c>
      <c r="Q4267">
        <v>0</v>
      </c>
    </row>
    <row r="4268" spans="1:17" x14ac:dyDescent="0.3">
      <c r="A4268" t="s">
        <v>17</v>
      </c>
      <c r="B4268">
        <v>67</v>
      </c>
      <c r="C4268" t="s">
        <v>28</v>
      </c>
      <c r="D4268" s="2">
        <v>46136</v>
      </c>
      <c r="E4268" s="3">
        <f t="shared" si="66"/>
        <v>46113</v>
      </c>
      <c r="F4268" t="s">
        <v>3485</v>
      </c>
      <c r="H4268" s="4">
        <v>-39.299999999999997</v>
      </c>
      <c r="I4268" t="s">
        <v>31</v>
      </c>
      <c r="J4268" t="s">
        <v>60</v>
      </c>
      <c r="L4268" s="2">
        <v>46113</v>
      </c>
      <c r="M4268" t="s">
        <v>60</v>
      </c>
      <c r="N4268">
        <v>0</v>
      </c>
      <c r="O4268" t="s">
        <v>31</v>
      </c>
      <c r="P4268" t="s">
        <v>28</v>
      </c>
      <c r="Q4268">
        <v>0</v>
      </c>
    </row>
    <row r="4269" spans="1:17" x14ac:dyDescent="0.3">
      <c r="A4269" t="s">
        <v>17</v>
      </c>
      <c r="B4269">
        <v>67</v>
      </c>
      <c r="C4269" t="s">
        <v>28</v>
      </c>
      <c r="D4269" s="2">
        <v>46136</v>
      </c>
      <c r="E4269" s="3">
        <f t="shared" si="66"/>
        <v>46113</v>
      </c>
      <c r="F4269" t="s">
        <v>3485</v>
      </c>
      <c r="H4269" s="4">
        <v>-126.3</v>
      </c>
      <c r="I4269" t="s">
        <v>31</v>
      </c>
      <c r="J4269" t="s">
        <v>60</v>
      </c>
      <c r="L4269" s="2">
        <v>46113</v>
      </c>
      <c r="M4269" t="s">
        <v>60</v>
      </c>
      <c r="N4269">
        <v>0</v>
      </c>
      <c r="O4269" t="s">
        <v>31</v>
      </c>
      <c r="P4269" t="s">
        <v>28</v>
      </c>
      <c r="Q4269">
        <v>0</v>
      </c>
    </row>
    <row r="4270" spans="1:17" x14ac:dyDescent="0.3">
      <c r="A4270" t="s">
        <v>17</v>
      </c>
      <c r="B4270">
        <v>67</v>
      </c>
      <c r="C4270" t="s">
        <v>28</v>
      </c>
      <c r="D4270" s="2">
        <v>46136</v>
      </c>
      <c r="E4270" s="3">
        <f t="shared" si="66"/>
        <v>46113</v>
      </c>
      <c r="F4270" t="s">
        <v>3485</v>
      </c>
      <c r="H4270" s="4">
        <v>-142.53</v>
      </c>
      <c r="I4270" t="s">
        <v>31</v>
      </c>
      <c r="J4270" t="s">
        <v>60</v>
      </c>
      <c r="L4270" s="2">
        <v>46113</v>
      </c>
      <c r="M4270" t="s">
        <v>60</v>
      </c>
      <c r="N4270">
        <v>0</v>
      </c>
      <c r="O4270" t="s">
        <v>31</v>
      </c>
      <c r="P4270" t="s">
        <v>28</v>
      </c>
      <c r="Q4270">
        <v>0</v>
      </c>
    </row>
    <row r="4271" spans="1:17" x14ac:dyDescent="0.3">
      <c r="A4271" t="s">
        <v>17</v>
      </c>
      <c r="B4271">
        <v>67</v>
      </c>
      <c r="C4271" t="s">
        <v>28</v>
      </c>
      <c r="D4271" s="2">
        <v>46136</v>
      </c>
      <c r="E4271" s="3">
        <f t="shared" si="66"/>
        <v>46113</v>
      </c>
      <c r="F4271" t="s">
        <v>3485</v>
      </c>
      <c r="H4271" s="4">
        <v>-126.3</v>
      </c>
      <c r="I4271" t="s">
        <v>31</v>
      </c>
      <c r="J4271" t="s">
        <v>60</v>
      </c>
      <c r="L4271" s="2">
        <v>46113</v>
      </c>
      <c r="M4271" t="s">
        <v>60</v>
      </c>
      <c r="N4271">
        <v>0</v>
      </c>
      <c r="O4271" t="s">
        <v>31</v>
      </c>
      <c r="P4271" t="s">
        <v>28</v>
      </c>
      <c r="Q4271">
        <v>0</v>
      </c>
    </row>
    <row r="4272" spans="1:17" x14ac:dyDescent="0.3">
      <c r="A4272" t="s">
        <v>17</v>
      </c>
      <c r="B4272">
        <v>68</v>
      </c>
      <c r="C4272" t="s">
        <v>34</v>
      </c>
      <c r="D4272" s="2">
        <v>46136</v>
      </c>
      <c r="E4272" s="3">
        <f t="shared" si="66"/>
        <v>46113</v>
      </c>
      <c r="F4272" t="s">
        <v>3486</v>
      </c>
      <c r="H4272" s="4">
        <v>407.18</v>
      </c>
      <c r="I4272" t="s">
        <v>31</v>
      </c>
      <c r="J4272" t="s">
        <v>613</v>
      </c>
      <c r="K4272" t="s">
        <v>3487</v>
      </c>
      <c r="L4272" s="2">
        <v>46113</v>
      </c>
      <c r="M4272" t="s">
        <v>613</v>
      </c>
      <c r="N4272">
        <v>0</v>
      </c>
      <c r="O4272" t="s">
        <v>31</v>
      </c>
      <c r="P4272" t="s">
        <v>34</v>
      </c>
      <c r="Q4272">
        <v>0</v>
      </c>
    </row>
    <row r="4273" spans="1:17" x14ac:dyDescent="0.3">
      <c r="A4273" t="s">
        <v>17</v>
      </c>
      <c r="B4273">
        <v>68</v>
      </c>
      <c r="C4273" t="s">
        <v>34</v>
      </c>
      <c r="D4273" s="2">
        <v>46136</v>
      </c>
      <c r="E4273" s="3">
        <f t="shared" si="66"/>
        <v>46113</v>
      </c>
      <c r="F4273" t="s">
        <v>3486</v>
      </c>
      <c r="H4273" s="4">
        <v>1257.83</v>
      </c>
      <c r="I4273" t="s">
        <v>31</v>
      </c>
      <c r="J4273" t="s">
        <v>613</v>
      </c>
      <c r="K4273" t="s">
        <v>3488</v>
      </c>
      <c r="L4273" s="2">
        <v>46113</v>
      </c>
      <c r="M4273" t="s">
        <v>613</v>
      </c>
      <c r="N4273">
        <v>0</v>
      </c>
      <c r="O4273" t="s">
        <v>31</v>
      </c>
      <c r="P4273" t="s">
        <v>34</v>
      </c>
      <c r="Q4273">
        <v>0</v>
      </c>
    </row>
    <row r="4274" spans="1:17" x14ac:dyDescent="0.3">
      <c r="A4274" t="s">
        <v>17</v>
      </c>
      <c r="B4274">
        <v>64</v>
      </c>
      <c r="C4274" t="s">
        <v>83</v>
      </c>
      <c r="D4274" s="2">
        <v>46139</v>
      </c>
      <c r="E4274" s="3">
        <f t="shared" si="66"/>
        <v>46113</v>
      </c>
      <c r="F4274" t="s">
        <v>3489</v>
      </c>
      <c r="H4274" s="4">
        <v>80.87</v>
      </c>
      <c r="I4274" t="s">
        <v>159</v>
      </c>
      <c r="J4274" t="s">
        <v>91</v>
      </c>
      <c r="K4274" t="s">
        <v>165</v>
      </c>
      <c r="L4274" s="2">
        <v>46113</v>
      </c>
      <c r="M4274" t="s">
        <v>93</v>
      </c>
      <c r="N4274">
        <v>0</v>
      </c>
      <c r="O4274" t="s">
        <v>159</v>
      </c>
      <c r="P4274" t="s">
        <v>83</v>
      </c>
      <c r="Q4274">
        <v>0</v>
      </c>
    </row>
    <row r="4275" spans="1:17" x14ac:dyDescent="0.3">
      <c r="A4275" t="s">
        <v>17</v>
      </c>
      <c r="B4275">
        <v>64</v>
      </c>
      <c r="C4275" t="s">
        <v>83</v>
      </c>
      <c r="D4275" s="2">
        <v>46139</v>
      </c>
      <c r="E4275" s="3">
        <f t="shared" si="66"/>
        <v>46113</v>
      </c>
      <c r="F4275" t="s">
        <v>3489</v>
      </c>
      <c r="H4275" s="4">
        <v>99.3</v>
      </c>
      <c r="I4275" t="s">
        <v>159</v>
      </c>
      <c r="J4275" t="s">
        <v>91</v>
      </c>
      <c r="K4275" t="s">
        <v>3490</v>
      </c>
      <c r="L4275" s="2">
        <v>46113</v>
      </c>
      <c r="M4275" t="s">
        <v>93</v>
      </c>
      <c r="N4275">
        <v>0</v>
      </c>
      <c r="O4275" t="s">
        <v>159</v>
      </c>
      <c r="P4275" t="s">
        <v>83</v>
      </c>
      <c r="Q4275">
        <v>0</v>
      </c>
    </row>
    <row r="4276" spans="1:17" x14ac:dyDescent="0.3">
      <c r="A4276" t="s">
        <v>17</v>
      </c>
      <c r="B4276">
        <v>64</v>
      </c>
      <c r="C4276" t="s">
        <v>83</v>
      </c>
      <c r="D4276" s="2">
        <v>46139</v>
      </c>
      <c r="E4276" s="3">
        <f t="shared" si="66"/>
        <v>46113</v>
      </c>
      <c r="F4276" t="s">
        <v>3489</v>
      </c>
      <c r="H4276" s="4">
        <v>41</v>
      </c>
      <c r="I4276" t="s">
        <v>159</v>
      </c>
      <c r="J4276" t="s">
        <v>91</v>
      </c>
      <c r="K4276" t="s">
        <v>1766</v>
      </c>
      <c r="L4276" s="2">
        <v>46113</v>
      </c>
      <c r="M4276" t="s">
        <v>93</v>
      </c>
      <c r="N4276">
        <v>0</v>
      </c>
      <c r="O4276" t="s">
        <v>159</v>
      </c>
      <c r="P4276" t="s">
        <v>83</v>
      </c>
      <c r="Q4276">
        <v>0</v>
      </c>
    </row>
    <row r="4277" spans="1:17" x14ac:dyDescent="0.3">
      <c r="A4277" t="s">
        <v>17</v>
      </c>
      <c r="B4277">
        <v>64</v>
      </c>
      <c r="C4277" t="s">
        <v>83</v>
      </c>
      <c r="D4277" s="2">
        <v>46139</v>
      </c>
      <c r="E4277" s="3">
        <f t="shared" si="66"/>
        <v>46113</v>
      </c>
      <c r="F4277" t="s">
        <v>3489</v>
      </c>
      <c r="H4277" s="4">
        <v>71.56</v>
      </c>
      <c r="I4277" t="s">
        <v>159</v>
      </c>
      <c r="J4277" t="s">
        <v>91</v>
      </c>
      <c r="K4277" t="s">
        <v>1766</v>
      </c>
      <c r="L4277" s="2">
        <v>46113</v>
      </c>
      <c r="M4277" t="s">
        <v>93</v>
      </c>
      <c r="N4277">
        <v>0</v>
      </c>
      <c r="O4277" t="s">
        <v>159</v>
      </c>
      <c r="P4277" t="s">
        <v>83</v>
      </c>
      <c r="Q4277">
        <v>0</v>
      </c>
    </row>
    <row r="4278" spans="1:17" x14ac:dyDescent="0.3">
      <c r="A4278" t="s">
        <v>17</v>
      </c>
      <c r="B4278">
        <v>64</v>
      </c>
      <c r="C4278" t="s">
        <v>83</v>
      </c>
      <c r="D4278" s="2">
        <v>46139</v>
      </c>
      <c r="E4278" s="3">
        <f t="shared" si="66"/>
        <v>46113</v>
      </c>
      <c r="F4278" t="s">
        <v>3489</v>
      </c>
      <c r="H4278" s="4">
        <v>53</v>
      </c>
      <c r="I4278" t="s">
        <v>159</v>
      </c>
      <c r="J4278" t="s">
        <v>87</v>
      </c>
      <c r="K4278" t="s">
        <v>3491</v>
      </c>
      <c r="L4278" s="2">
        <v>46113</v>
      </c>
      <c r="M4278" t="s">
        <v>89</v>
      </c>
      <c r="N4278">
        <v>0</v>
      </c>
      <c r="O4278" t="s">
        <v>159</v>
      </c>
      <c r="P4278" t="s">
        <v>83</v>
      </c>
      <c r="Q4278">
        <v>0</v>
      </c>
    </row>
    <row r="4279" spans="1:17" x14ac:dyDescent="0.3">
      <c r="A4279" t="s">
        <v>17</v>
      </c>
      <c r="B4279">
        <v>64</v>
      </c>
      <c r="C4279" t="s">
        <v>83</v>
      </c>
      <c r="D4279" s="2">
        <v>46139</v>
      </c>
      <c r="E4279" s="3">
        <f t="shared" si="66"/>
        <v>46113</v>
      </c>
      <c r="F4279" t="s">
        <v>3489</v>
      </c>
      <c r="H4279" s="4">
        <v>-53</v>
      </c>
      <c r="I4279" t="s">
        <v>159</v>
      </c>
      <c r="J4279" t="s">
        <v>87</v>
      </c>
      <c r="K4279" t="s">
        <v>3491</v>
      </c>
      <c r="L4279" s="2">
        <v>46113</v>
      </c>
      <c r="M4279" t="s">
        <v>89</v>
      </c>
      <c r="N4279">
        <v>0</v>
      </c>
      <c r="O4279" t="s">
        <v>159</v>
      </c>
      <c r="P4279" t="s">
        <v>83</v>
      </c>
      <c r="Q4279">
        <v>0</v>
      </c>
    </row>
    <row r="4280" spans="1:17" x14ac:dyDescent="0.3">
      <c r="A4280" t="s">
        <v>17</v>
      </c>
      <c r="B4280">
        <v>64</v>
      </c>
      <c r="C4280" t="s">
        <v>83</v>
      </c>
      <c r="D4280" s="2">
        <v>46139</v>
      </c>
      <c r="E4280" s="3">
        <f t="shared" si="66"/>
        <v>46113</v>
      </c>
      <c r="F4280" t="s">
        <v>3489</v>
      </c>
      <c r="H4280" s="4">
        <v>43.72</v>
      </c>
      <c r="I4280" t="s">
        <v>159</v>
      </c>
      <c r="J4280" t="s">
        <v>87</v>
      </c>
      <c r="K4280" t="s">
        <v>3492</v>
      </c>
      <c r="L4280" s="2">
        <v>46113</v>
      </c>
      <c r="M4280" t="s">
        <v>89</v>
      </c>
      <c r="N4280">
        <v>0</v>
      </c>
      <c r="O4280" t="s">
        <v>159</v>
      </c>
      <c r="P4280" t="s">
        <v>83</v>
      </c>
      <c r="Q4280">
        <v>0</v>
      </c>
    </row>
    <row r="4281" spans="1:17" x14ac:dyDescent="0.3">
      <c r="A4281" t="s">
        <v>17</v>
      </c>
      <c r="B4281">
        <v>64</v>
      </c>
      <c r="C4281" t="s">
        <v>83</v>
      </c>
      <c r="D4281" s="2">
        <v>46139</v>
      </c>
      <c r="E4281" s="3">
        <f t="shared" si="66"/>
        <v>46113</v>
      </c>
      <c r="F4281" t="s">
        <v>3489</v>
      </c>
      <c r="H4281" s="4">
        <v>25.98</v>
      </c>
      <c r="I4281" t="s">
        <v>159</v>
      </c>
      <c r="J4281" t="s">
        <v>87</v>
      </c>
      <c r="K4281" t="s">
        <v>3492</v>
      </c>
      <c r="L4281" s="2">
        <v>46113</v>
      </c>
      <c r="M4281" t="s">
        <v>89</v>
      </c>
      <c r="N4281">
        <v>0</v>
      </c>
      <c r="O4281" t="s">
        <v>159</v>
      </c>
      <c r="P4281" t="s">
        <v>83</v>
      </c>
      <c r="Q4281">
        <v>0</v>
      </c>
    </row>
    <row r="4282" spans="1:17" x14ac:dyDescent="0.3">
      <c r="A4282" t="s">
        <v>17</v>
      </c>
      <c r="B4282">
        <v>68</v>
      </c>
      <c r="C4282" t="s">
        <v>34</v>
      </c>
      <c r="D4282" s="2">
        <v>46139</v>
      </c>
      <c r="E4282" s="3">
        <f t="shared" si="66"/>
        <v>46113</v>
      </c>
      <c r="F4282" t="s">
        <v>3493</v>
      </c>
      <c r="G4282" t="s">
        <v>107</v>
      </c>
      <c r="H4282" s="4">
        <v>3.98</v>
      </c>
      <c r="I4282" t="s">
        <v>108</v>
      </c>
      <c r="J4282" t="s">
        <v>109</v>
      </c>
      <c r="K4282" t="s">
        <v>1429</v>
      </c>
      <c r="L4282" s="2">
        <v>46113</v>
      </c>
      <c r="M4282" t="s">
        <v>109</v>
      </c>
      <c r="N4282">
        <v>0</v>
      </c>
      <c r="O4282" t="s">
        <v>111</v>
      </c>
      <c r="P4282" t="s">
        <v>112</v>
      </c>
      <c r="Q4282" t="s">
        <v>113</v>
      </c>
    </row>
    <row r="4283" spans="1:17" x14ac:dyDescent="0.3">
      <c r="A4283" t="s">
        <v>17</v>
      </c>
      <c r="B4283">
        <v>68</v>
      </c>
      <c r="C4283" t="s">
        <v>34</v>
      </c>
      <c r="D4283" s="2">
        <v>46139</v>
      </c>
      <c r="E4283" s="3">
        <f t="shared" si="66"/>
        <v>46113</v>
      </c>
      <c r="F4283" t="s">
        <v>3493</v>
      </c>
      <c r="G4283" t="s">
        <v>107</v>
      </c>
      <c r="H4283" s="4">
        <v>14.75</v>
      </c>
      <c r="I4283" t="s">
        <v>108</v>
      </c>
      <c r="J4283" t="s">
        <v>109</v>
      </c>
      <c r="K4283" t="s">
        <v>3494</v>
      </c>
      <c r="L4283" s="2">
        <v>46113</v>
      </c>
      <c r="M4283" t="s">
        <v>109</v>
      </c>
      <c r="N4283">
        <v>0</v>
      </c>
      <c r="O4283" t="s">
        <v>111</v>
      </c>
      <c r="P4283" t="s">
        <v>112</v>
      </c>
      <c r="Q4283" t="s">
        <v>113</v>
      </c>
    </row>
    <row r="4284" spans="1:17" x14ac:dyDescent="0.3">
      <c r="A4284" t="s">
        <v>17</v>
      </c>
      <c r="B4284">
        <v>68</v>
      </c>
      <c r="C4284" t="s">
        <v>34</v>
      </c>
      <c r="D4284" s="2">
        <v>46139</v>
      </c>
      <c r="E4284" s="3">
        <f t="shared" si="66"/>
        <v>46113</v>
      </c>
      <c r="F4284" t="s">
        <v>3493</v>
      </c>
      <c r="G4284" t="s">
        <v>107</v>
      </c>
      <c r="H4284" s="4">
        <v>5.98</v>
      </c>
      <c r="I4284" t="s">
        <v>108</v>
      </c>
      <c r="J4284" t="s">
        <v>109</v>
      </c>
      <c r="K4284" t="s">
        <v>3495</v>
      </c>
      <c r="L4284" s="2">
        <v>46113</v>
      </c>
      <c r="M4284" t="s">
        <v>109</v>
      </c>
      <c r="N4284">
        <v>0</v>
      </c>
      <c r="O4284" t="s">
        <v>111</v>
      </c>
      <c r="P4284" t="s">
        <v>112</v>
      </c>
      <c r="Q4284" t="s">
        <v>113</v>
      </c>
    </row>
    <row r="4285" spans="1:17" x14ac:dyDescent="0.3">
      <c r="A4285" t="s">
        <v>17</v>
      </c>
      <c r="B4285">
        <v>67</v>
      </c>
      <c r="C4285" t="s">
        <v>28</v>
      </c>
      <c r="D4285" s="2">
        <v>46139</v>
      </c>
      <c r="E4285" s="3">
        <f t="shared" si="66"/>
        <v>46113</v>
      </c>
      <c r="F4285" t="s">
        <v>3489</v>
      </c>
      <c r="H4285" s="4">
        <v>21.78</v>
      </c>
      <c r="I4285" t="s">
        <v>159</v>
      </c>
      <c r="J4285" t="s">
        <v>74</v>
      </c>
      <c r="K4285" t="s">
        <v>3496</v>
      </c>
      <c r="L4285" s="2">
        <v>46113</v>
      </c>
      <c r="M4285" t="s">
        <v>76</v>
      </c>
      <c r="N4285">
        <v>0</v>
      </c>
      <c r="O4285" t="s">
        <v>159</v>
      </c>
      <c r="P4285" t="s">
        <v>28</v>
      </c>
      <c r="Q4285">
        <v>0</v>
      </c>
    </row>
    <row r="4286" spans="1:17" x14ac:dyDescent="0.3">
      <c r="A4286" t="s">
        <v>17</v>
      </c>
      <c r="B4286">
        <v>67</v>
      </c>
      <c r="C4286" t="s">
        <v>28</v>
      </c>
      <c r="D4286" s="2">
        <v>46139</v>
      </c>
      <c r="E4286" s="3">
        <f t="shared" si="66"/>
        <v>46113</v>
      </c>
      <c r="F4286" t="s">
        <v>3489</v>
      </c>
      <c r="H4286" s="4">
        <v>24.99</v>
      </c>
      <c r="I4286" t="s">
        <v>159</v>
      </c>
      <c r="J4286" t="s">
        <v>74</v>
      </c>
      <c r="K4286" t="s">
        <v>3496</v>
      </c>
      <c r="L4286" s="2">
        <v>46113</v>
      </c>
      <c r="M4286" t="s">
        <v>76</v>
      </c>
      <c r="N4286">
        <v>0</v>
      </c>
      <c r="O4286" t="s">
        <v>159</v>
      </c>
      <c r="P4286" t="s">
        <v>28</v>
      </c>
      <c r="Q4286">
        <v>0</v>
      </c>
    </row>
    <row r="4287" spans="1:17" x14ac:dyDescent="0.3">
      <c r="A4287" t="s">
        <v>17</v>
      </c>
      <c r="B4287">
        <v>67</v>
      </c>
      <c r="C4287" t="s">
        <v>28</v>
      </c>
      <c r="D4287" s="2">
        <v>46139</v>
      </c>
      <c r="E4287" s="3">
        <f t="shared" si="66"/>
        <v>46113</v>
      </c>
      <c r="F4287" t="s">
        <v>3489</v>
      </c>
      <c r="G4287" t="s">
        <v>158</v>
      </c>
      <c r="H4287" s="4">
        <v>21.78</v>
      </c>
      <c r="I4287" t="s">
        <v>159</v>
      </c>
      <c r="J4287" t="s">
        <v>74</v>
      </c>
      <c r="K4287" t="s">
        <v>994</v>
      </c>
      <c r="L4287" s="2">
        <v>46113</v>
      </c>
      <c r="M4287" t="s">
        <v>76</v>
      </c>
      <c r="N4287">
        <v>0</v>
      </c>
      <c r="O4287" t="s">
        <v>159</v>
      </c>
      <c r="P4287" t="s">
        <v>28</v>
      </c>
      <c r="Q4287">
        <v>0</v>
      </c>
    </row>
    <row r="4288" spans="1:17" x14ac:dyDescent="0.3">
      <c r="A4288" t="s">
        <v>17</v>
      </c>
      <c r="B4288">
        <v>67</v>
      </c>
      <c r="C4288" t="s">
        <v>28</v>
      </c>
      <c r="D4288" s="2">
        <v>46139</v>
      </c>
      <c r="E4288" s="3">
        <f t="shared" si="66"/>
        <v>46113</v>
      </c>
      <c r="F4288" t="s">
        <v>3489</v>
      </c>
      <c r="G4288" t="s">
        <v>158</v>
      </c>
      <c r="H4288" s="4">
        <v>21.78</v>
      </c>
      <c r="I4288" t="s">
        <v>159</v>
      </c>
      <c r="J4288" t="s">
        <v>74</v>
      </c>
      <c r="K4288" t="s">
        <v>3119</v>
      </c>
      <c r="L4288" s="2">
        <v>46113</v>
      </c>
      <c r="M4288" t="s">
        <v>76</v>
      </c>
      <c r="N4288">
        <v>0</v>
      </c>
      <c r="O4288" t="s">
        <v>159</v>
      </c>
      <c r="P4288" t="s">
        <v>28</v>
      </c>
      <c r="Q4288">
        <v>0</v>
      </c>
    </row>
    <row r="4289" spans="1:17" x14ac:dyDescent="0.3">
      <c r="A4289" t="s">
        <v>17</v>
      </c>
      <c r="B4289">
        <v>68</v>
      </c>
      <c r="C4289" t="s">
        <v>34</v>
      </c>
      <c r="D4289" s="2">
        <v>46139</v>
      </c>
      <c r="E4289" s="3">
        <f t="shared" si="66"/>
        <v>46113</v>
      </c>
      <c r="F4289" s="5">
        <v>46143</v>
      </c>
      <c r="G4289" t="s">
        <v>43</v>
      </c>
      <c r="H4289" s="4">
        <v>11.71</v>
      </c>
      <c r="I4289" t="s">
        <v>31</v>
      </c>
      <c r="J4289" t="s">
        <v>37</v>
      </c>
      <c r="K4289" t="s">
        <v>3497</v>
      </c>
      <c r="L4289" s="2">
        <v>46113</v>
      </c>
      <c r="M4289" t="s">
        <v>37</v>
      </c>
      <c r="N4289">
        <v>0</v>
      </c>
      <c r="O4289" t="s">
        <v>31</v>
      </c>
      <c r="P4289" t="s">
        <v>34</v>
      </c>
      <c r="Q4289">
        <v>0</v>
      </c>
    </row>
    <row r="4290" spans="1:17" x14ac:dyDescent="0.3">
      <c r="A4290" t="s">
        <v>17</v>
      </c>
      <c r="B4290">
        <v>68</v>
      </c>
      <c r="C4290" t="s">
        <v>34</v>
      </c>
      <c r="D4290" s="2">
        <v>46139</v>
      </c>
      <c r="E4290" s="3">
        <f t="shared" si="66"/>
        <v>46113</v>
      </c>
      <c r="F4290" s="5">
        <v>46143</v>
      </c>
      <c r="G4290" t="s">
        <v>43</v>
      </c>
      <c r="H4290" s="4">
        <v>20</v>
      </c>
      <c r="I4290" t="s">
        <v>31</v>
      </c>
      <c r="J4290" t="s">
        <v>37</v>
      </c>
      <c r="K4290" t="s">
        <v>3498</v>
      </c>
      <c r="L4290" s="2">
        <v>46113</v>
      </c>
      <c r="M4290" t="s">
        <v>37</v>
      </c>
      <c r="N4290">
        <v>0</v>
      </c>
      <c r="O4290" t="s">
        <v>31</v>
      </c>
      <c r="P4290" t="s">
        <v>34</v>
      </c>
      <c r="Q4290">
        <v>0</v>
      </c>
    </row>
    <row r="4291" spans="1:17" x14ac:dyDescent="0.3">
      <c r="A4291" t="s">
        <v>17</v>
      </c>
      <c r="B4291">
        <v>68</v>
      </c>
      <c r="C4291" t="s">
        <v>34</v>
      </c>
      <c r="D4291" s="2">
        <v>46139</v>
      </c>
      <c r="E4291" s="3">
        <f t="shared" ref="E4291:E4354" si="67">IF($D4291="","",DATE(YEAR($D4291),MONTH($D4291),1))</f>
        <v>46113</v>
      </c>
      <c r="F4291" s="5">
        <v>46143</v>
      </c>
      <c r="G4291" t="s">
        <v>43</v>
      </c>
      <c r="H4291" s="4">
        <v>239</v>
      </c>
      <c r="I4291" t="s">
        <v>31</v>
      </c>
      <c r="J4291" t="s">
        <v>37</v>
      </c>
      <c r="K4291" t="s">
        <v>1734</v>
      </c>
      <c r="L4291" s="2">
        <v>46113</v>
      </c>
      <c r="M4291" t="s">
        <v>37</v>
      </c>
      <c r="N4291">
        <v>0</v>
      </c>
      <c r="O4291" t="s">
        <v>31</v>
      </c>
      <c r="P4291" t="s">
        <v>34</v>
      </c>
      <c r="Q4291">
        <v>0</v>
      </c>
    </row>
    <row r="4292" spans="1:17" x14ac:dyDescent="0.3">
      <c r="A4292" t="s">
        <v>17</v>
      </c>
      <c r="B4292">
        <v>63</v>
      </c>
      <c r="C4292" t="s">
        <v>18</v>
      </c>
      <c r="D4292" s="2">
        <v>46140</v>
      </c>
      <c r="E4292" s="3">
        <f t="shared" si="67"/>
        <v>46113</v>
      </c>
      <c r="F4292" t="s">
        <v>3499</v>
      </c>
      <c r="G4292" t="s">
        <v>2245</v>
      </c>
      <c r="H4292" s="4">
        <v>100</v>
      </c>
      <c r="I4292" t="s">
        <v>47</v>
      </c>
      <c r="J4292" t="s">
        <v>272</v>
      </c>
      <c r="K4292" t="s">
        <v>2974</v>
      </c>
      <c r="L4292" s="2">
        <v>46113</v>
      </c>
      <c r="M4292" t="s">
        <v>272</v>
      </c>
      <c r="N4292">
        <v>0</v>
      </c>
      <c r="O4292" t="s">
        <v>26</v>
      </c>
      <c r="P4292" t="s">
        <v>18</v>
      </c>
      <c r="Q4292" t="s">
        <v>274</v>
      </c>
    </row>
    <row r="4293" spans="1:17" x14ac:dyDescent="0.3">
      <c r="A4293" t="s">
        <v>17</v>
      </c>
      <c r="B4293">
        <v>63</v>
      </c>
      <c r="C4293" t="s">
        <v>18</v>
      </c>
      <c r="D4293" s="2">
        <v>46140</v>
      </c>
      <c r="E4293" s="3">
        <f t="shared" si="67"/>
        <v>46113</v>
      </c>
      <c r="F4293" t="s">
        <v>3499</v>
      </c>
      <c r="G4293" t="s">
        <v>2245</v>
      </c>
      <c r="H4293" s="4">
        <v>550</v>
      </c>
      <c r="I4293" t="s">
        <v>47</v>
      </c>
      <c r="J4293" t="s">
        <v>272</v>
      </c>
      <c r="K4293" t="s">
        <v>2974</v>
      </c>
      <c r="L4293" s="2">
        <v>46113</v>
      </c>
      <c r="M4293" t="s">
        <v>272</v>
      </c>
      <c r="N4293">
        <v>0</v>
      </c>
      <c r="O4293" t="s">
        <v>26</v>
      </c>
      <c r="P4293" t="s">
        <v>18</v>
      </c>
      <c r="Q4293" t="s">
        <v>274</v>
      </c>
    </row>
    <row r="4294" spans="1:17" x14ac:dyDescent="0.3">
      <c r="A4294" t="s">
        <v>17</v>
      </c>
      <c r="B4294">
        <v>63</v>
      </c>
      <c r="C4294" t="s">
        <v>18</v>
      </c>
      <c r="D4294" s="2">
        <v>46140</v>
      </c>
      <c r="E4294" s="3">
        <f t="shared" si="67"/>
        <v>46113</v>
      </c>
      <c r="F4294" t="s">
        <v>3499</v>
      </c>
      <c r="G4294" t="s">
        <v>2245</v>
      </c>
      <c r="H4294" s="4">
        <v>100</v>
      </c>
      <c r="I4294" t="s">
        <v>47</v>
      </c>
      <c r="J4294" t="s">
        <v>272</v>
      </c>
      <c r="K4294" t="s">
        <v>2974</v>
      </c>
      <c r="L4294" s="2">
        <v>46113</v>
      </c>
      <c r="M4294" t="s">
        <v>272</v>
      </c>
      <c r="N4294">
        <v>0</v>
      </c>
      <c r="O4294" t="s">
        <v>26</v>
      </c>
      <c r="P4294" t="s">
        <v>18</v>
      </c>
      <c r="Q4294" t="s">
        <v>274</v>
      </c>
    </row>
    <row r="4295" spans="1:17" x14ac:dyDescent="0.3">
      <c r="A4295" t="s">
        <v>17</v>
      </c>
      <c r="B4295">
        <v>63</v>
      </c>
      <c r="C4295" t="s">
        <v>18</v>
      </c>
      <c r="D4295" s="2">
        <v>46140</v>
      </c>
      <c r="E4295" s="3">
        <f t="shared" si="67"/>
        <v>46113</v>
      </c>
      <c r="F4295" t="s">
        <v>3499</v>
      </c>
      <c r="G4295" t="s">
        <v>2245</v>
      </c>
      <c r="H4295" s="4">
        <v>100</v>
      </c>
      <c r="I4295" t="s">
        <v>47</v>
      </c>
      <c r="J4295" t="s">
        <v>272</v>
      </c>
      <c r="K4295" t="s">
        <v>2974</v>
      </c>
      <c r="L4295" s="2">
        <v>46113</v>
      </c>
      <c r="M4295" t="s">
        <v>272</v>
      </c>
      <c r="N4295">
        <v>0</v>
      </c>
      <c r="O4295" t="s">
        <v>26</v>
      </c>
      <c r="P4295" t="s">
        <v>18</v>
      </c>
      <c r="Q4295" t="s">
        <v>274</v>
      </c>
    </row>
    <row r="4296" spans="1:17" x14ac:dyDescent="0.3">
      <c r="A4296" t="s">
        <v>17</v>
      </c>
      <c r="B4296">
        <v>63</v>
      </c>
      <c r="C4296" t="s">
        <v>18</v>
      </c>
      <c r="D4296" s="2">
        <v>46140</v>
      </c>
      <c r="E4296" s="3">
        <f t="shared" si="67"/>
        <v>46113</v>
      </c>
      <c r="F4296" t="s">
        <v>3499</v>
      </c>
      <c r="G4296" t="s">
        <v>2245</v>
      </c>
      <c r="H4296" s="4">
        <v>135</v>
      </c>
      <c r="I4296" t="s">
        <v>47</v>
      </c>
      <c r="J4296" t="s">
        <v>272</v>
      </c>
      <c r="K4296" t="s">
        <v>2395</v>
      </c>
      <c r="L4296" s="2">
        <v>46113</v>
      </c>
      <c r="M4296" t="s">
        <v>272</v>
      </c>
      <c r="N4296">
        <v>0</v>
      </c>
      <c r="O4296" t="s">
        <v>26</v>
      </c>
      <c r="P4296" t="s">
        <v>18</v>
      </c>
      <c r="Q4296" t="s">
        <v>274</v>
      </c>
    </row>
    <row r="4297" spans="1:17" x14ac:dyDescent="0.3">
      <c r="A4297" t="s">
        <v>17</v>
      </c>
      <c r="B4297">
        <v>63</v>
      </c>
      <c r="C4297" t="s">
        <v>18</v>
      </c>
      <c r="D4297" s="2">
        <v>46140</v>
      </c>
      <c r="E4297" s="3">
        <f t="shared" si="67"/>
        <v>46113</v>
      </c>
      <c r="F4297" t="s">
        <v>3499</v>
      </c>
      <c r="G4297" t="s">
        <v>2245</v>
      </c>
      <c r="H4297" s="4">
        <v>45</v>
      </c>
      <c r="I4297" t="s">
        <v>47</v>
      </c>
      <c r="J4297" t="s">
        <v>272</v>
      </c>
      <c r="K4297" t="s">
        <v>2397</v>
      </c>
      <c r="L4297" s="2">
        <v>46113</v>
      </c>
      <c r="M4297" t="s">
        <v>272</v>
      </c>
      <c r="N4297">
        <v>0</v>
      </c>
      <c r="O4297" t="s">
        <v>26</v>
      </c>
      <c r="P4297" t="s">
        <v>18</v>
      </c>
      <c r="Q4297" t="s">
        <v>274</v>
      </c>
    </row>
    <row r="4298" spans="1:17" x14ac:dyDescent="0.3">
      <c r="A4298" t="s">
        <v>17</v>
      </c>
      <c r="B4298">
        <v>63</v>
      </c>
      <c r="C4298" t="s">
        <v>18</v>
      </c>
      <c r="D4298" s="2">
        <v>46140</v>
      </c>
      <c r="E4298" s="3">
        <f t="shared" si="67"/>
        <v>46113</v>
      </c>
      <c r="F4298" t="s">
        <v>3499</v>
      </c>
      <c r="G4298" t="s">
        <v>2245</v>
      </c>
      <c r="H4298" s="4">
        <v>550</v>
      </c>
      <c r="I4298" t="s">
        <v>47</v>
      </c>
      <c r="J4298" t="s">
        <v>272</v>
      </c>
      <c r="K4298" t="s">
        <v>2974</v>
      </c>
      <c r="L4298" s="2">
        <v>46113</v>
      </c>
      <c r="M4298" t="s">
        <v>272</v>
      </c>
      <c r="N4298">
        <v>0</v>
      </c>
      <c r="O4298" t="s">
        <v>26</v>
      </c>
      <c r="P4298" t="s">
        <v>18</v>
      </c>
      <c r="Q4298" t="s">
        <v>274</v>
      </c>
    </row>
    <row r="4299" spans="1:17" x14ac:dyDescent="0.3">
      <c r="A4299" t="s">
        <v>17</v>
      </c>
      <c r="B4299">
        <v>63</v>
      </c>
      <c r="C4299" t="s">
        <v>18</v>
      </c>
      <c r="D4299" s="2">
        <v>46140</v>
      </c>
      <c r="E4299" s="3">
        <f t="shared" si="67"/>
        <v>46113</v>
      </c>
      <c r="F4299" t="s">
        <v>3499</v>
      </c>
      <c r="G4299" t="s">
        <v>2245</v>
      </c>
      <c r="H4299" s="4">
        <v>250</v>
      </c>
      <c r="I4299" t="s">
        <v>47</v>
      </c>
      <c r="J4299" t="s">
        <v>272</v>
      </c>
      <c r="K4299" t="s">
        <v>2974</v>
      </c>
      <c r="L4299" s="2">
        <v>46113</v>
      </c>
      <c r="M4299" t="s">
        <v>272</v>
      </c>
      <c r="N4299">
        <v>0</v>
      </c>
      <c r="O4299" t="s">
        <v>26</v>
      </c>
      <c r="P4299" t="s">
        <v>18</v>
      </c>
      <c r="Q4299" t="s">
        <v>274</v>
      </c>
    </row>
    <row r="4300" spans="1:17" x14ac:dyDescent="0.3">
      <c r="A4300" t="s">
        <v>17</v>
      </c>
      <c r="B4300">
        <v>63</v>
      </c>
      <c r="C4300" t="s">
        <v>18</v>
      </c>
      <c r="D4300" s="2">
        <v>46140</v>
      </c>
      <c r="E4300" s="3">
        <f t="shared" si="67"/>
        <v>46113</v>
      </c>
      <c r="F4300" t="s">
        <v>3499</v>
      </c>
      <c r="G4300" t="s">
        <v>2245</v>
      </c>
      <c r="H4300" s="4">
        <v>100</v>
      </c>
      <c r="I4300" t="s">
        <v>47</v>
      </c>
      <c r="J4300" t="s">
        <v>272</v>
      </c>
      <c r="K4300" t="s">
        <v>2974</v>
      </c>
      <c r="L4300" s="2">
        <v>46113</v>
      </c>
      <c r="M4300" t="s">
        <v>272</v>
      </c>
      <c r="N4300">
        <v>0</v>
      </c>
      <c r="O4300" t="s">
        <v>26</v>
      </c>
      <c r="P4300" t="s">
        <v>18</v>
      </c>
      <c r="Q4300" t="s">
        <v>274</v>
      </c>
    </row>
    <row r="4301" spans="1:17" x14ac:dyDescent="0.3">
      <c r="A4301" t="s">
        <v>17</v>
      </c>
      <c r="B4301">
        <v>63</v>
      </c>
      <c r="C4301" t="s">
        <v>18</v>
      </c>
      <c r="D4301" s="2">
        <v>46140</v>
      </c>
      <c r="E4301" s="3">
        <f t="shared" si="67"/>
        <v>46113</v>
      </c>
      <c r="F4301" t="s">
        <v>3499</v>
      </c>
      <c r="G4301" t="s">
        <v>2245</v>
      </c>
      <c r="H4301" s="4">
        <v>100</v>
      </c>
      <c r="I4301" t="s">
        <v>47</v>
      </c>
      <c r="J4301" t="s">
        <v>272</v>
      </c>
      <c r="K4301" t="s">
        <v>2974</v>
      </c>
      <c r="L4301" s="2">
        <v>46113</v>
      </c>
      <c r="M4301" t="s">
        <v>272</v>
      </c>
      <c r="N4301">
        <v>0</v>
      </c>
      <c r="O4301" t="s">
        <v>26</v>
      </c>
      <c r="P4301" t="s">
        <v>18</v>
      </c>
      <c r="Q4301" t="s">
        <v>274</v>
      </c>
    </row>
    <row r="4302" spans="1:17" x14ac:dyDescent="0.3">
      <c r="A4302" t="s">
        <v>17</v>
      </c>
      <c r="B4302">
        <v>63</v>
      </c>
      <c r="C4302" t="s">
        <v>18</v>
      </c>
      <c r="D4302" s="2">
        <v>46140</v>
      </c>
      <c r="E4302" s="3">
        <f t="shared" si="67"/>
        <v>46113</v>
      </c>
      <c r="F4302" t="s">
        <v>3499</v>
      </c>
      <c r="G4302" t="s">
        <v>2245</v>
      </c>
      <c r="H4302" s="4">
        <v>250</v>
      </c>
      <c r="I4302" t="s">
        <v>47</v>
      </c>
      <c r="J4302" t="s">
        <v>272</v>
      </c>
      <c r="K4302" t="s">
        <v>2974</v>
      </c>
      <c r="L4302" s="2">
        <v>46113</v>
      </c>
      <c r="M4302" t="s">
        <v>272</v>
      </c>
      <c r="N4302">
        <v>0</v>
      </c>
      <c r="O4302" t="s">
        <v>26</v>
      </c>
      <c r="P4302" t="s">
        <v>18</v>
      </c>
      <c r="Q4302" t="s">
        <v>274</v>
      </c>
    </row>
    <row r="4303" spans="1:17" x14ac:dyDescent="0.3">
      <c r="A4303" t="s">
        <v>17</v>
      </c>
      <c r="B4303">
        <v>63</v>
      </c>
      <c r="C4303" t="s">
        <v>18</v>
      </c>
      <c r="D4303" s="2">
        <v>46140</v>
      </c>
      <c r="E4303" s="3">
        <f t="shared" si="67"/>
        <v>46113</v>
      </c>
      <c r="F4303" t="s">
        <v>3499</v>
      </c>
      <c r="G4303" t="s">
        <v>2245</v>
      </c>
      <c r="H4303" s="4">
        <v>135</v>
      </c>
      <c r="I4303" t="s">
        <v>47</v>
      </c>
      <c r="J4303" t="s">
        <v>272</v>
      </c>
      <c r="K4303" t="s">
        <v>2396</v>
      </c>
      <c r="L4303" s="2">
        <v>46113</v>
      </c>
      <c r="M4303" t="s">
        <v>272</v>
      </c>
      <c r="N4303">
        <v>0</v>
      </c>
      <c r="O4303" t="s">
        <v>26</v>
      </c>
      <c r="P4303" t="s">
        <v>18</v>
      </c>
      <c r="Q4303" t="s">
        <v>274</v>
      </c>
    </row>
    <row r="4304" spans="1:17" x14ac:dyDescent="0.3">
      <c r="A4304" t="s">
        <v>17</v>
      </c>
      <c r="B4304">
        <v>63</v>
      </c>
      <c r="C4304" t="s">
        <v>18</v>
      </c>
      <c r="D4304" s="2">
        <v>46140</v>
      </c>
      <c r="E4304" s="3">
        <f t="shared" si="67"/>
        <v>46113</v>
      </c>
      <c r="F4304" t="s">
        <v>3499</v>
      </c>
      <c r="G4304" t="s">
        <v>2245</v>
      </c>
      <c r="H4304" s="4">
        <v>100</v>
      </c>
      <c r="I4304" t="s">
        <v>47</v>
      </c>
      <c r="J4304" t="s">
        <v>272</v>
      </c>
      <c r="K4304" t="s">
        <v>2974</v>
      </c>
      <c r="L4304" s="2">
        <v>46113</v>
      </c>
      <c r="M4304" t="s">
        <v>272</v>
      </c>
      <c r="N4304">
        <v>0</v>
      </c>
      <c r="O4304" t="s">
        <v>26</v>
      </c>
      <c r="P4304" t="s">
        <v>18</v>
      </c>
      <c r="Q4304" t="s">
        <v>274</v>
      </c>
    </row>
    <row r="4305" spans="1:17" x14ac:dyDescent="0.3">
      <c r="A4305" t="s">
        <v>17</v>
      </c>
      <c r="B4305">
        <v>63</v>
      </c>
      <c r="C4305" t="s">
        <v>18</v>
      </c>
      <c r="D4305" s="2">
        <v>46140</v>
      </c>
      <c r="E4305" s="3">
        <f t="shared" si="67"/>
        <v>46113</v>
      </c>
      <c r="F4305" t="s">
        <v>3499</v>
      </c>
      <c r="G4305" t="s">
        <v>2245</v>
      </c>
      <c r="H4305" s="4">
        <v>50</v>
      </c>
      <c r="I4305" t="s">
        <v>47</v>
      </c>
      <c r="J4305" t="s">
        <v>272</v>
      </c>
      <c r="K4305" t="s">
        <v>2974</v>
      </c>
      <c r="L4305" s="2">
        <v>46113</v>
      </c>
      <c r="M4305" t="s">
        <v>272</v>
      </c>
      <c r="N4305">
        <v>0</v>
      </c>
      <c r="O4305" t="s">
        <v>26</v>
      </c>
      <c r="P4305" t="s">
        <v>18</v>
      </c>
      <c r="Q4305" t="s">
        <v>274</v>
      </c>
    </row>
    <row r="4306" spans="1:17" x14ac:dyDescent="0.3">
      <c r="A4306" t="s">
        <v>17</v>
      </c>
      <c r="B4306">
        <v>68</v>
      </c>
      <c r="C4306" t="s">
        <v>34</v>
      </c>
      <c r="D4306" s="2">
        <v>46140</v>
      </c>
      <c r="E4306" s="3">
        <f t="shared" si="67"/>
        <v>46113</v>
      </c>
      <c r="F4306" t="s">
        <v>3500</v>
      </c>
      <c r="G4306" t="s">
        <v>122</v>
      </c>
      <c r="H4306" s="4">
        <v>27.87</v>
      </c>
      <c r="I4306" t="s">
        <v>108</v>
      </c>
      <c r="J4306" t="s">
        <v>109</v>
      </c>
      <c r="L4306" s="2">
        <v>46113</v>
      </c>
      <c r="M4306" t="s">
        <v>109</v>
      </c>
      <c r="N4306">
        <v>0</v>
      </c>
      <c r="O4306" t="s">
        <v>111</v>
      </c>
      <c r="P4306" t="s">
        <v>112</v>
      </c>
      <c r="Q4306" t="s">
        <v>113</v>
      </c>
    </row>
    <row r="4307" spans="1:17" x14ac:dyDescent="0.3">
      <c r="A4307" t="s">
        <v>17</v>
      </c>
      <c r="B4307">
        <v>68</v>
      </c>
      <c r="C4307" t="s">
        <v>34</v>
      </c>
      <c r="D4307" s="2">
        <v>46140</v>
      </c>
      <c r="E4307" s="3">
        <f t="shared" si="67"/>
        <v>46113</v>
      </c>
      <c r="F4307" t="s">
        <v>3500</v>
      </c>
      <c r="G4307" t="s">
        <v>122</v>
      </c>
      <c r="H4307" s="4">
        <v>17.5</v>
      </c>
      <c r="I4307" t="s">
        <v>108</v>
      </c>
      <c r="J4307" t="s">
        <v>109</v>
      </c>
      <c r="L4307" s="2">
        <v>46113</v>
      </c>
      <c r="M4307" t="s">
        <v>109</v>
      </c>
      <c r="N4307">
        <v>0</v>
      </c>
      <c r="O4307" t="s">
        <v>111</v>
      </c>
      <c r="P4307" t="s">
        <v>112</v>
      </c>
      <c r="Q4307" t="s">
        <v>113</v>
      </c>
    </row>
    <row r="4308" spans="1:17" x14ac:dyDescent="0.3">
      <c r="A4308" t="s">
        <v>17</v>
      </c>
      <c r="B4308">
        <v>68</v>
      </c>
      <c r="C4308" t="s">
        <v>34</v>
      </c>
      <c r="D4308" s="2">
        <v>46140</v>
      </c>
      <c r="E4308" s="3">
        <f t="shared" si="67"/>
        <v>46113</v>
      </c>
      <c r="F4308" t="s">
        <v>3500</v>
      </c>
      <c r="G4308" t="s">
        <v>122</v>
      </c>
      <c r="H4308" s="4">
        <v>1.34</v>
      </c>
      <c r="I4308" t="s">
        <v>108</v>
      </c>
      <c r="J4308" t="s">
        <v>109</v>
      </c>
      <c r="L4308" s="2">
        <v>46113</v>
      </c>
      <c r="M4308" t="s">
        <v>109</v>
      </c>
      <c r="N4308">
        <v>0</v>
      </c>
      <c r="O4308" t="s">
        <v>111</v>
      </c>
      <c r="P4308" t="s">
        <v>112</v>
      </c>
      <c r="Q4308" t="s">
        <v>113</v>
      </c>
    </row>
    <row r="4309" spans="1:17" x14ac:dyDescent="0.3">
      <c r="A4309" t="s">
        <v>17</v>
      </c>
      <c r="B4309">
        <v>68</v>
      </c>
      <c r="C4309" t="s">
        <v>34</v>
      </c>
      <c r="D4309" s="2">
        <v>46140</v>
      </c>
      <c r="E4309" s="3">
        <f t="shared" si="67"/>
        <v>46113</v>
      </c>
      <c r="F4309" t="s">
        <v>3501</v>
      </c>
      <c r="G4309" t="s">
        <v>122</v>
      </c>
      <c r="H4309" s="4">
        <v>12.84</v>
      </c>
      <c r="I4309" t="s">
        <v>108</v>
      </c>
      <c r="J4309" t="s">
        <v>109</v>
      </c>
      <c r="L4309" s="2">
        <v>46113</v>
      </c>
      <c r="M4309" t="s">
        <v>109</v>
      </c>
      <c r="N4309">
        <v>0</v>
      </c>
      <c r="O4309" t="s">
        <v>111</v>
      </c>
      <c r="P4309" t="s">
        <v>112</v>
      </c>
      <c r="Q4309" t="s">
        <v>113</v>
      </c>
    </row>
    <row r="4310" spans="1:17" x14ac:dyDescent="0.3">
      <c r="A4310" t="s">
        <v>17</v>
      </c>
      <c r="B4310">
        <v>68</v>
      </c>
      <c r="C4310" t="s">
        <v>34</v>
      </c>
      <c r="D4310" s="2">
        <v>46140</v>
      </c>
      <c r="E4310" s="3">
        <f t="shared" si="67"/>
        <v>46113</v>
      </c>
      <c r="F4310" t="s">
        <v>3501</v>
      </c>
      <c r="G4310" t="s">
        <v>122</v>
      </c>
      <c r="H4310" s="4">
        <v>17.5</v>
      </c>
      <c r="I4310" t="s">
        <v>108</v>
      </c>
      <c r="J4310" t="s">
        <v>109</v>
      </c>
      <c r="L4310" s="2">
        <v>46113</v>
      </c>
      <c r="M4310" t="s">
        <v>109</v>
      </c>
      <c r="N4310">
        <v>0</v>
      </c>
      <c r="O4310" t="s">
        <v>111</v>
      </c>
      <c r="P4310" t="s">
        <v>112</v>
      </c>
      <c r="Q4310" t="s">
        <v>113</v>
      </c>
    </row>
    <row r="4311" spans="1:17" x14ac:dyDescent="0.3">
      <c r="A4311" t="s">
        <v>17</v>
      </c>
      <c r="B4311">
        <v>68</v>
      </c>
      <c r="C4311" t="s">
        <v>34</v>
      </c>
      <c r="D4311" s="2">
        <v>46140</v>
      </c>
      <c r="E4311" s="3">
        <f t="shared" si="67"/>
        <v>46113</v>
      </c>
      <c r="F4311" t="s">
        <v>3501</v>
      </c>
      <c r="G4311" t="s">
        <v>122</v>
      </c>
      <c r="H4311" s="4">
        <v>1.34</v>
      </c>
      <c r="I4311" t="s">
        <v>108</v>
      </c>
      <c r="J4311" t="s">
        <v>109</v>
      </c>
      <c r="L4311" s="2">
        <v>46113</v>
      </c>
      <c r="M4311" t="s">
        <v>109</v>
      </c>
      <c r="N4311">
        <v>0</v>
      </c>
      <c r="O4311" t="s">
        <v>111</v>
      </c>
      <c r="P4311" t="s">
        <v>112</v>
      </c>
      <c r="Q4311" t="s">
        <v>113</v>
      </c>
    </row>
    <row r="4312" spans="1:17" x14ac:dyDescent="0.3">
      <c r="A4312" t="s">
        <v>17</v>
      </c>
      <c r="B4312">
        <v>67</v>
      </c>
      <c r="C4312" t="s">
        <v>28</v>
      </c>
      <c r="D4312" s="2">
        <v>46141</v>
      </c>
      <c r="E4312" s="3">
        <f t="shared" si="67"/>
        <v>46113</v>
      </c>
      <c r="F4312" t="s">
        <v>3502</v>
      </c>
      <c r="G4312" t="s">
        <v>119</v>
      </c>
      <c r="H4312" s="4">
        <v>1256.25</v>
      </c>
      <c r="I4312" t="s">
        <v>31</v>
      </c>
      <c r="J4312" t="s">
        <v>68</v>
      </c>
      <c r="K4312" t="s">
        <v>1567</v>
      </c>
      <c r="L4312" s="2">
        <v>46113</v>
      </c>
      <c r="M4312" t="s">
        <v>68</v>
      </c>
      <c r="N4312">
        <v>0</v>
      </c>
      <c r="O4312" t="s">
        <v>31</v>
      </c>
      <c r="P4312" t="s">
        <v>28</v>
      </c>
      <c r="Q4312">
        <v>0</v>
      </c>
    </row>
    <row r="4313" spans="1:17" x14ac:dyDescent="0.3">
      <c r="A4313" t="s">
        <v>17</v>
      </c>
      <c r="B4313">
        <v>68</v>
      </c>
      <c r="C4313" t="s">
        <v>34</v>
      </c>
      <c r="D4313" s="2">
        <v>46141</v>
      </c>
      <c r="E4313" s="3">
        <f t="shared" si="67"/>
        <v>46113</v>
      </c>
      <c r="F4313" t="s">
        <v>3503</v>
      </c>
      <c r="G4313" t="s">
        <v>122</v>
      </c>
      <c r="H4313" s="4">
        <v>36.36</v>
      </c>
      <c r="I4313" t="s">
        <v>108</v>
      </c>
      <c r="J4313" t="s">
        <v>109</v>
      </c>
      <c r="L4313" s="2">
        <v>46113</v>
      </c>
      <c r="M4313" t="s">
        <v>109</v>
      </c>
      <c r="N4313">
        <v>0</v>
      </c>
      <c r="O4313" t="s">
        <v>111</v>
      </c>
      <c r="P4313" t="s">
        <v>112</v>
      </c>
      <c r="Q4313" t="s">
        <v>113</v>
      </c>
    </row>
    <row r="4314" spans="1:17" x14ac:dyDescent="0.3">
      <c r="A4314" t="s">
        <v>17</v>
      </c>
      <c r="B4314">
        <v>64</v>
      </c>
      <c r="C4314" t="s">
        <v>83</v>
      </c>
      <c r="D4314" s="2">
        <v>46142</v>
      </c>
      <c r="E4314" s="3">
        <f t="shared" si="67"/>
        <v>46113</v>
      </c>
      <c r="F4314" t="s">
        <v>3504</v>
      </c>
      <c r="H4314" s="4">
        <v>30.31</v>
      </c>
      <c r="I4314" t="s">
        <v>31</v>
      </c>
      <c r="J4314" t="s">
        <v>91</v>
      </c>
      <c r="K4314" t="s">
        <v>1018</v>
      </c>
      <c r="L4314" s="2">
        <v>46113</v>
      </c>
      <c r="M4314" t="s">
        <v>93</v>
      </c>
      <c r="N4314">
        <v>0</v>
      </c>
      <c r="O4314" t="s">
        <v>31</v>
      </c>
      <c r="P4314" t="s">
        <v>83</v>
      </c>
      <c r="Q4314">
        <v>0</v>
      </c>
    </row>
    <row r="4315" spans="1:17" x14ac:dyDescent="0.3">
      <c r="A4315" t="s">
        <v>17</v>
      </c>
      <c r="B4315">
        <v>64</v>
      </c>
      <c r="C4315" t="s">
        <v>83</v>
      </c>
      <c r="D4315" s="2">
        <v>46142</v>
      </c>
      <c r="E4315" s="3">
        <f t="shared" si="67"/>
        <v>46113</v>
      </c>
      <c r="F4315" t="s">
        <v>3504</v>
      </c>
      <c r="H4315" s="4">
        <v>3.92</v>
      </c>
      <c r="I4315" t="s">
        <v>31</v>
      </c>
      <c r="J4315" t="s">
        <v>91</v>
      </c>
      <c r="K4315" t="s">
        <v>3505</v>
      </c>
      <c r="L4315" s="2">
        <v>46113</v>
      </c>
      <c r="M4315" t="s">
        <v>93</v>
      </c>
      <c r="N4315">
        <v>0</v>
      </c>
      <c r="O4315" t="s">
        <v>31</v>
      </c>
      <c r="P4315" t="s">
        <v>83</v>
      </c>
      <c r="Q4315">
        <v>0</v>
      </c>
    </row>
    <row r="4316" spans="1:17" x14ac:dyDescent="0.3">
      <c r="A4316" t="s">
        <v>17</v>
      </c>
      <c r="B4316">
        <v>64</v>
      </c>
      <c r="C4316" t="s">
        <v>83</v>
      </c>
      <c r="D4316" s="2">
        <v>46142</v>
      </c>
      <c r="E4316" s="3">
        <f t="shared" si="67"/>
        <v>46113</v>
      </c>
      <c r="F4316" t="s">
        <v>3504</v>
      </c>
      <c r="H4316" s="4">
        <v>17.309999999999999</v>
      </c>
      <c r="I4316" t="s">
        <v>31</v>
      </c>
      <c r="J4316" t="s">
        <v>91</v>
      </c>
      <c r="K4316" t="s">
        <v>1018</v>
      </c>
      <c r="L4316" s="2">
        <v>46113</v>
      </c>
      <c r="M4316" t="s">
        <v>93</v>
      </c>
      <c r="N4316">
        <v>0</v>
      </c>
      <c r="O4316" t="s">
        <v>31</v>
      </c>
      <c r="P4316" t="s">
        <v>83</v>
      </c>
      <c r="Q4316">
        <v>0</v>
      </c>
    </row>
    <row r="4317" spans="1:17" x14ac:dyDescent="0.3">
      <c r="A4317" t="s">
        <v>17</v>
      </c>
      <c r="B4317">
        <v>64</v>
      </c>
      <c r="C4317" t="s">
        <v>83</v>
      </c>
      <c r="D4317" s="2">
        <v>46142</v>
      </c>
      <c r="E4317" s="3">
        <f t="shared" si="67"/>
        <v>46113</v>
      </c>
      <c r="F4317" t="s">
        <v>3504</v>
      </c>
      <c r="H4317" s="4">
        <v>18.79</v>
      </c>
      <c r="I4317" t="s">
        <v>31</v>
      </c>
      <c r="J4317" t="s">
        <v>91</v>
      </c>
      <c r="K4317" t="s">
        <v>1018</v>
      </c>
      <c r="L4317" s="2">
        <v>46113</v>
      </c>
      <c r="M4317" t="s">
        <v>93</v>
      </c>
      <c r="N4317">
        <v>0</v>
      </c>
      <c r="O4317" t="s">
        <v>31</v>
      </c>
      <c r="P4317" t="s">
        <v>83</v>
      </c>
      <c r="Q4317">
        <v>0</v>
      </c>
    </row>
    <row r="4318" spans="1:17" x14ac:dyDescent="0.3">
      <c r="A4318" t="s">
        <v>17</v>
      </c>
      <c r="B4318">
        <v>64</v>
      </c>
      <c r="C4318" t="s">
        <v>83</v>
      </c>
      <c r="D4318" s="2">
        <v>46142</v>
      </c>
      <c r="E4318" s="3">
        <f t="shared" si="67"/>
        <v>46113</v>
      </c>
      <c r="F4318" t="s">
        <v>3506</v>
      </c>
      <c r="H4318" s="4">
        <v>7718.43</v>
      </c>
      <c r="I4318" t="s">
        <v>108</v>
      </c>
      <c r="J4318" t="s">
        <v>530</v>
      </c>
      <c r="K4318" t="s">
        <v>3507</v>
      </c>
      <c r="L4318" s="2">
        <v>46113</v>
      </c>
      <c r="M4318" t="s">
        <v>531</v>
      </c>
      <c r="N4318">
        <v>0</v>
      </c>
      <c r="O4318" t="s">
        <v>111</v>
      </c>
      <c r="P4318" t="s">
        <v>83</v>
      </c>
      <c r="Q4318">
        <v>0</v>
      </c>
    </row>
    <row r="4319" spans="1:17" x14ac:dyDescent="0.3">
      <c r="A4319" t="s">
        <v>17</v>
      </c>
      <c r="B4319">
        <v>64</v>
      </c>
      <c r="C4319" t="s">
        <v>83</v>
      </c>
      <c r="D4319" s="2">
        <v>46142</v>
      </c>
      <c r="E4319" s="3">
        <f t="shared" si="67"/>
        <v>46113</v>
      </c>
      <c r="F4319" t="s">
        <v>3508</v>
      </c>
      <c r="H4319" s="4">
        <v>21.95</v>
      </c>
      <c r="I4319" t="s">
        <v>47</v>
      </c>
      <c r="J4319" t="s">
        <v>87</v>
      </c>
      <c r="K4319" t="s">
        <v>3509</v>
      </c>
      <c r="L4319" s="2">
        <v>46113</v>
      </c>
      <c r="M4319" t="s">
        <v>89</v>
      </c>
      <c r="N4319">
        <v>0</v>
      </c>
      <c r="O4319" t="s">
        <v>26</v>
      </c>
      <c r="P4319" t="s">
        <v>83</v>
      </c>
      <c r="Q4319">
        <v>0</v>
      </c>
    </row>
    <row r="4320" spans="1:17" x14ac:dyDescent="0.3">
      <c r="A4320" t="s">
        <v>17</v>
      </c>
      <c r="B4320">
        <v>64</v>
      </c>
      <c r="C4320" t="s">
        <v>83</v>
      </c>
      <c r="D4320" s="2">
        <v>46142</v>
      </c>
      <c r="E4320" s="3">
        <f t="shared" si="67"/>
        <v>46113</v>
      </c>
      <c r="F4320" t="s">
        <v>3504</v>
      </c>
      <c r="H4320" s="4">
        <v>41.99</v>
      </c>
      <c r="I4320" t="s">
        <v>31</v>
      </c>
      <c r="J4320" t="s">
        <v>87</v>
      </c>
      <c r="K4320" t="s">
        <v>3510</v>
      </c>
      <c r="L4320" s="2">
        <v>46113</v>
      </c>
      <c r="M4320" t="s">
        <v>89</v>
      </c>
      <c r="N4320">
        <v>0</v>
      </c>
      <c r="O4320" t="s">
        <v>31</v>
      </c>
      <c r="P4320" t="s">
        <v>83</v>
      </c>
      <c r="Q4320">
        <v>0</v>
      </c>
    </row>
    <row r="4321" spans="1:17" x14ac:dyDescent="0.3">
      <c r="A4321" t="s">
        <v>17</v>
      </c>
      <c r="B4321">
        <v>67</v>
      </c>
      <c r="C4321" t="s">
        <v>28</v>
      </c>
      <c r="D4321" s="2">
        <v>46142</v>
      </c>
      <c r="E4321" s="3">
        <f t="shared" si="67"/>
        <v>46113</v>
      </c>
      <c r="F4321" t="s">
        <v>3511</v>
      </c>
      <c r="G4321" t="s">
        <v>283</v>
      </c>
      <c r="H4321" s="4">
        <v>134.25</v>
      </c>
      <c r="I4321" t="s">
        <v>31</v>
      </c>
      <c r="J4321" t="s">
        <v>48</v>
      </c>
      <c r="K4321" t="s">
        <v>3206</v>
      </c>
      <c r="L4321" s="2">
        <v>46113</v>
      </c>
      <c r="M4321" t="s">
        <v>50</v>
      </c>
      <c r="N4321">
        <v>0</v>
      </c>
      <c r="O4321" t="s">
        <v>31</v>
      </c>
      <c r="P4321" t="s">
        <v>28</v>
      </c>
      <c r="Q4321">
        <v>0</v>
      </c>
    </row>
    <row r="4322" spans="1:17" x14ac:dyDescent="0.3">
      <c r="A4322" t="s">
        <v>17</v>
      </c>
      <c r="B4322">
        <v>67</v>
      </c>
      <c r="C4322" t="s">
        <v>28</v>
      </c>
      <c r="D4322" s="2">
        <v>46142</v>
      </c>
      <c r="E4322" s="3">
        <f t="shared" si="67"/>
        <v>46113</v>
      </c>
      <c r="F4322" t="s">
        <v>3511</v>
      </c>
      <c r="G4322" t="s">
        <v>283</v>
      </c>
      <c r="H4322" s="4">
        <v>13.75</v>
      </c>
      <c r="I4322" t="s">
        <v>31</v>
      </c>
      <c r="J4322" t="s">
        <v>48</v>
      </c>
      <c r="K4322" t="s">
        <v>3207</v>
      </c>
      <c r="L4322" s="2">
        <v>46113</v>
      </c>
      <c r="M4322" t="s">
        <v>50</v>
      </c>
      <c r="N4322">
        <v>0</v>
      </c>
      <c r="O4322" t="s">
        <v>31</v>
      </c>
      <c r="P4322" t="s">
        <v>28</v>
      </c>
      <c r="Q4322">
        <v>0</v>
      </c>
    </row>
    <row r="4323" spans="1:17" x14ac:dyDescent="0.3">
      <c r="A4323" t="s">
        <v>17</v>
      </c>
      <c r="B4323">
        <v>67</v>
      </c>
      <c r="C4323" t="s">
        <v>28</v>
      </c>
      <c r="D4323" s="2">
        <v>46142</v>
      </c>
      <c r="E4323" s="3">
        <f t="shared" si="67"/>
        <v>46113</v>
      </c>
      <c r="F4323" t="s">
        <v>3511</v>
      </c>
      <c r="G4323" t="s">
        <v>283</v>
      </c>
      <c r="H4323" s="4">
        <v>27</v>
      </c>
      <c r="I4323" t="s">
        <v>31</v>
      </c>
      <c r="J4323" t="s">
        <v>48</v>
      </c>
      <c r="K4323" t="s">
        <v>3208</v>
      </c>
      <c r="L4323" s="2">
        <v>46113</v>
      </c>
      <c r="M4323" t="s">
        <v>50</v>
      </c>
      <c r="N4323">
        <v>0</v>
      </c>
      <c r="O4323" t="s">
        <v>31</v>
      </c>
      <c r="P4323" t="s">
        <v>28</v>
      </c>
      <c r="Q4323">
        <v>0</v>
      </c>
    </row>
    <row r="4324" spans="1:17" x14ac:dyDescent="0.3">
      <c r="A4324" t="s">
        <v>17</v>
      </c>
      <c r="B4324">
        <v>67</v>
      </c>
      <c r="C4324" t="s">
        <v>28</v>
      </c>
      <c r="D4324" s="2">
        <v>46142</v>
      </c>
      <c r="E4324" s="3">
        <f t="shared" si="67"/>
        <v>46113</v>
      </c>
      <c r="F4324">
        <v>431165128799</v>
      </c>
      <c r="G4324" t="s">
        <v>2953</v>
      </c>
      <c r="H4324" s="4">
        <v>119.97</v>
      </c>
      <c r="I4324" t="s">
        <v>31</v>
      </c>
      <c r="J4324" t="s">
        <v>48</v>
      </c>
      <c r="L4324" s="2">
        <v>46113</v>
      </c>
      <c r="M4324" t="s">
        <v>50</v>
      </c>
      <c r="N4324">
        <v>0</v>
      </c>
      <c r="O4324" t="s">
        <v>31</v>
      </c>
      <c r="P4324" t="s">
        <v>28</v>
      </c>
      <c r="Q4324">
        <v>0</v>
      </c>
    </row>
    <row r="4325" spans="1:17" x14ac:dyDescent="0.3">
      <c r="A4325" t="s">
        <v>17</v>
      </c>
      <c r="B4325">
        <v>67</v>
      </c>
      <c r="C4325" t="s">
        <v>28</v>
      </c>
      <c r="D4325" s="2">
        <v>46142</v>
      </c>
      <c r="E4325" s="3">
        <f t="shared" si="67"/>
        <v>46113</v>
      </c>
      <c r="F4325" t="s">
        <v>3512</v>
      </c>
      <c r="H4325" s="4">
        <v>-2500.02</v>
      </c>
      <c r="I4325" t="s">
        <v>31</v>
      </c>
      <c r="J4325" t="s">
        <v>48</v>
      </c>
      <c r="K4325" t="s">
        <v>937</v>
      </c>
      <c r="L4325" s="2">
        <v>46113</v>
      </c>
      <c r="M4325" t="s">
        <v>50</v>
      </c>
      <c r="N4325">
        <v>0</v>
      </c>
      <c r="O4325" t="s">
        <v>31</v>
      </c>
      <c r="P4325" t="s">
        <v>28</v>
      </c>
      <c r="Q4325">
        <v>0</v>
      </c>
    </row>
    <row r="4326" spans="1:17" x14ac:dyDescent="0.3">
      <c r="A4326" t="s">
        <v>17</v>
      </c>
      <c r="B4326">
        <v>67</v>
      </c>
      <c r="C4326" t="s">
        <v>28</v>
      </c>
      <c r="D4326" s="2">
        <v>46142</v>
      </c>
      <c r="E4326" s="3">
        <f t="shared" si="67"/>
        <v>46113</v>
      </c>
      <c r="F4326" t="s">
        <v>3513</v>
      </c>
      <c r="H4326" s="4">
        <v>833.34</v>
      </c>
      <c r="I4326" t="s">
        <v>31</v>
      </c>
      <c r="J4326" t="s">
        <v>48</v>
      </c>
      <c r="K4326" t="s">
        <v>937</v>
      </c>
      <c r="L4326" s="2">
        <v>46113</v>
      </c>
      <c r="M4326" t="s">
        <v>50</v>
      </c>
      <c r="N4326">
        <v>0</v>
      </c>
      <c r="O4326" t="s">
        <v>31</v>
      </c>
      <c r="P4326" t="s">
        <v>28</v>
      </c>
      <c r="Q4326">
        <v>0</v>
      </c>
    </row>
    <row r="4327" spans="1:17" x14ac:dyDescent="0.3">
      <c r="A4327" t="s">
        <v>17</v>
      </c>
      <c r="B4327">
        <v>63</v>
      </c>
      <c r="C4327" t="s">
        <v>18</v>
      </c>
      <c r="D4327" s="2">
        <v>46142</v>
      </c>
      <c r="E4327" s="3">
        <f t="shared" si="67"/>
        <v>46113</v>
      </c>
      <c r="F4327" t="s">
        <v>3514</v>
      </c>
      <c r="H4327" s="4">
        <v>5361.69</v>
      </c>
      <c r="I4327" t="s">
        <v>47</v>
      </c>
      <c r="J4327" t="s">
        <v>272</v>
      </c>
      <c r="K4327" t="s">
        <v>2977</v>
      </c>
      <c r="L4327" s="2">
        <v>46113</v>
      </c>
      <c r="M4327" t="s">
        <v>272</v>
      </c>
      <c r="N4327">
        <v>0</v>
      </c>
      <c r="O4327" t="s">
        <v>26</v>
      </c>
      <c r="P4327" t="s">
        <v>18</v>
      </c>
      <c r="Q4327" t="s">
        <v>274</v>
      </c>
    </row>
    <row r="4328" spans="1:17" x14ac:dyDescent="0.3">
      <c r="A4328" t="s">
        <v>17</v>
      </c>
      <c r="B4328">
        <v>63</v>
      </c>
      <c r="C4328" t="s">
        <v>18</v>
      </c>
      <c r="D4328" s="2">
        <v>46142</v>
      </c>
      <c r="E4328" s="3">
        <f t="shared" si="67"/>
        <v>46113</v>
      </c>
      <c r="F4328" t="s">
        <v>3515</v>
      </c>
      <c r="H4328" s="4">
        <v>4505.4399999999996</v>
      </c>
      <c r="I4328" t="s">
        <v>47</v>
      </c>
      <c r="J4328" t="s">
        <v>326</v>
      </c>
      <c r="K4328" t="s">
        <v>3516</v>
      </c>
      <c r="L4328" s="2">
        <v>46113</v>
      </c>
      <c r="M4328" t="s">
        <v>328</v>
      </c>
      <c r="N4328">
        <v>0</v>
      </c>
      <c r="O4328" t="s">
        <v>26</v>
      </c>
      <c r="P4328" t="s">
        <v>18</v>
      </c>
      <c r="Q4328" t="s">
        <v>329</v>
      </c>
    </row>
    <row r="4329" spans="1:17" x14ac:dyDescent="0.3">
      <c r="A4329" t="s">
        <v>17</v>
      </c>
      <c r="B4329">
        <v>65</v>
      </c>
      <c r="C4329" t="s">
        <v>54</v>
      </c>
      <c r="D4329" s="2">
        <v>46142</v>
      </c>
      <c r="E4329" s="3">
        <f t="shared" si="67"/>
        <v>46113</v>
      </c>
      <c r="F4329" t="s">
        <v>3517</v>
      </c>
      <c r="H4329" s="4">
        <v>-31017.18</v>
      </c>
      <c r="I4329" t="s">
        <v>31</v>
      </c>
      <c r="J4329" t="s">
        <v>55</v>
      </c>
      <c r="L4329" s="2">
        <v>46113</v>
      </c>
      <c r="M4329" t="s">
        <v>55</v>
      </c>
      <c r="N4329">
        <v>0</v>
      </c>
      <c r="O4329" t="s">
        <v>31</v>
      </c>
      <c r="P4329" t="s">
        <v>54</v>
      </c>
      <c r="Q4329">
        <v>0</v>
      </c>
    </row>
    <row r="4330" spans="1:17" x14ac:dyDescent="0.3">
      <c r="A4330" t="s">
        <v>17</v>
      </c>
      <c r="B4330">
        <v>68</v>
      </c>
      <c r="C4330" t="s">
        <v>34</v>
      </c>
      <c r="D4330" s="2">
        <v>46142</v>
      </c>
      <c r="E4330" s="3">
        <f t="shared" si="67"/>
        <v>46113</v>
      </c>
      <c r="F4330" t="s">
        <v>3518</v>
      </c>
      <c r="H4330" s="4">
        <v>11.97</v>
      </c>
      <c r="I4330" t="s">
        <v>104</v>
      </c>
      <c r="J4330" t="s">
        <v>79</v>
      </c>
      <c r="K4330" t="s">
        <v>3519</v>
      </c>
      <c r="L4330" s="2">
        <v>46113</v>
      </c>
      <c r="M4330" t="s">
        <v>79</v>
      </c>
      <c r="N4330">
        <v>0</v>
      </c>
      <c r="O4330" t="s">
        <v>104</v>
      </c>
      <c r="P4330" t="s">
        <v>34</v>
      </c>
      <c r="Q4330">
        <v>0</v>
      </c>
    </row>
    <row r="4331" spans="1:17" x14ac:dyDescent="0.3">
      <c r="A4331" t="s">
        <v>17</v>
      </c>
      <c r="B4331">
        <v>68</v>
      </c>
      <c r="C4331" t="s">
        <v>34</v>
      </c>
      <c r="D4331" s="2">
        <v>46142</v>
      </c>
      <c r="E4331" s="3">
        <f t="shared" si="67"/>
        <v>46113</v>
      </c>
      <c r="F4331" t="s">
        <v>3520</v>
      </c>
      <c r="G4331" t="s">
        <v>266</v>
      </c>
      <c r="H4331" s="4">
        <v>34.19</v>
      </c>
      <c r="I4331" t="s">
        <v>31</v>
      </c>
      <c r="J4331" t="s">
        <v>79</v>
      </c>
      <c r="K4331" t="s">
        <v>3521</v>
      </c>
      <c r="L4331" s="2">
        <v>46113</v>
      </c>
      <c r="M4331" t="s">
        <v>79</v>
      </c>
      <c r="N4331">
        <v>0</v>
      </c>
      <c r="O4331" t="s">
        <v>31</v>
      </c>
      <c r="P4331" t="s">
        <v>34</v>
      </c>
      <c r="Q4331">
        <v>0</v>
      </c>
    </row>
    <row r="4332" spans="1:17" x14ac:dyDescent="0.3">
      <c r="A4332" t="s">
        <v>17</v>
      </c>
      <c r="B4332">
        <v>68</v>
      </c>
      <c r="C4332" t="s">
        <v>34</v>
      </c>
      <c r="D4332" s="2">
        <v>46142</v>
      </c>
      <c r="E4332" s="3">
        <f t="shared" si="67"/>
        <v>46113</v>
      </c>
      <c r="F4332" t="s">
        <v>3520</v>
      </c>
      <c r="G4332" t="s">
        <v>266</v>
      </c>
      <c r="H4332" s="4">
        <v>46.63</v>
      </c>
      <c r="I4332" t="s">
        <v>31</v>
      </c>
      <c r="J4332" t="s">
        <v>79</v>
      </c>
      <c r="K4332" t="s">
        <v>3522</v>
      </c>
      <c r="L4332" s="2">
        <v>46113</v>
      </c>
      <c r="M4332" t="s">
        <v>79</v>
      </c>
      <c r="N4332">
        <v>0</v>
      </c>
      <c r="O4332" t="s">
        <v>31</v>
      </c>
      <c r="P4332" t="s">
        <v>34</v>
      </c>
      <c r="Q4332">
        <v>0</v>
      </c>
    </row>
    <row r="4333" spans="1:17" x14ac:dyDescent="0.3">
      <c r="A4333" t="s">
        <v>17</v>
      </c>
      <c r="B4333">
        <v>68</v>
      </c>
      <c r="C4333" t="s">
        <v>34</v>
      </c>
      <c r="D4333" s="2">
        <v>46142</v>
      </c>
      <c r="E4333" s="3">
        <f t="shared" si="67"/>
        <v>46113</v>
      </c>
      <c r="F4333" t="s">
        <v>3520</v>
      </c>
      <c r="G4333" t="s">
        <v>266</v>
      </c>
      <c r="H4333" s="4">
        <v>113.99</v>
      </c>
      <c r="I4333" t="s">
        <v>31</v>
      </c>
      <c r="J4333" t="s">
        <v>79</v>
      </c>
      <c r="K4333" t="s">
        <v>3523</v>
      </c>
      <c r="L4333" s="2">
        <v>46113</v>
      </c>
      <c r="M4333" t="s">
        <v>79</v>
      </c>
      <c r="N4333">
        <v>0</v>
      </c>
      <c r="O4333" t="s">
        <v>31</v>
      </c>
      <c r="P4333" t="s">
        <v>34</v>
      </c>
      <c r="Q4333">
        <v>0</v>
      </c>
    </row>
    <row r="4334" spans="1:17" x14ac:dyDescent="0.3">
      <c r="A4334" t="s">
        <v>17</v>
      </c>
      <c r="B4334">
        <v>68</v>
      </c>
      <c r="C4334" t="s">
        <v>34</v>
      </c>
      <c r="D4334" s="2">
        <v>46142</v>
      </c>
      <c r="E4334" s="3">
        <f t="shared" si="67"/>
        <v>46113</v>
      </c>
      <c r="F4334" t="s">
        <v>3520</v>
      </c>
      <c r="G4334" t="s">
        <v>266</v>
      </c>
      <c r="H4334" s="4">
        <v>6.36</v>
      </c>
      <c r="I4334" t="s">
        <v>31</v>
      </c>
      <c r="J4334" t="s">
        <v>79</v>
      </c>
      <c r="K4334" t="s">
        <v>3524</v>
      </c>
      <c r="L4334" s="2">
        <v>46113</v>
      </c>
      <c r="M4334" t="s">
        <v>79</v>
      </c>
      <c r="N4334">
        <v>0</v>
      </c>
      <c r="O4334" t="s">
        <v>31</v>
      </c>
      <c r="P4334" t="s">
        <v>34</v>
      </c>
      <c r="Q4334">
        <v>0</v>
      </c>
    </row>
    <row r="4335" spans="1:17" x14ac:dyDescent="0.3">
      <c r="A4335" t="s">
        <v>17</v>
      </c>
      <c r="B4335">
        <v>68</v>
      </c>
      <c r="C4335" t="s">
        <v>34</v>
      </c>
      <c r="D4335" s="2">
        <v>46142</v>
      </c>
      <c r="E4335" s="3">
        <f t="shared" si="67"/>
        <v>46113</v>
      </c>
      <c r="F4335" t="s">
        <v>3520</v>
      </c>
      <c r="G4335" t="s">
        <v>266</v>
      </c>
      <c r="H4335" s="4">
        <v>13.88</v>
      </c>
      <c r="I4335" t="s">
        <v>31</v>
      </c>
      <c r="J4335" t="s">
        <v>79</v>
      </c>
      <c r="K4335" t="s">
        <v>3028</v>
      </c>
      <c r="L4335" s="2">
        <v>46113</v>
      </c>
      <c r="M4335" t="s">
        <v>79</v>
      </c>
      <c r="N4335">
        <v>0</v>
      </c>
      <c r="O4335" t="s">
        <v>31</v>
      </c>
      <c r="P4335" t="s">
        <v>34</v>
      </c>
      <c r="Q4335">
        <v>0</v>
      </c>
    </row>
    <row r="4336" spans="1:17" x14ac:dyDescent="0.3">
      <c r="A4336" t="s">
        <v>17</v>
      </c>
      <c r="B4336">
        <v>68</v>
      </c>
      <c r="C4336" t="s">
        <v>34</v>
      </c>
      <c r="D4336" s="2">
        <v>46142</v>
      </c>
      <c r="E4336" s="3">
        <f t="shared" si="67"/>
        <v>46113</v>
      </c>
      <c r="F4336" t="s">
        <v>3520</v>
      </c>
      <c r="G4336" t="s">
        <v>266</v>
      </c>
      <c r="H4336" s="4">
        <v>20.82</v>
      </c>
      <c r="I4336" t="s">
        <v>31</v>
      </c>
      <c r="J4336" t="s">
        <v>79</v>
      </c>
      <c r="K4336" t="s">
        <v>3029</v>
      </c>
      <c r="L4336" s="2">
        <v>46113</v>
      </c>
      <c r="M4336" t="s">
        <v>79</v>
      </c>
      <c r="N4336">
        <v>0</v>
      </c>
      <c r="O4336" t="s">
        <v>31</v>
      </c>
      <c r="P4336" t="s">
        <v>34</v>
      </c>
      <c r="Q4336">
        <v>0</v>
      </c>
    </row>
    <row r="4337" spans="1:17" x14ac:dyDescent="0.3">
      <c r="A4337" t="s">
        <v>17</v>
      </c>
      <c r="B4337">
        <v>68</v>
      </c>
      <c r="C4337" t="s">
        <v>34</v>
      </c>
      <c r="D4337" s="2">
        <v>46142</v>
      </c>
      <c r="E4337" s="3">
        <f t="shared" si="67"/>
        <v>46113</v>
      </c>
      <c r="F4337" t="s">
        <v>3520</v>
      </c>
      <c r="G4337" t="s">
        <v>266</v>
      </c>
      <c r="H4337" s="4">
        <v>7.68</v>
      </c>
      <c r="I4337" t="s">
        <v>31</v>
      </c>
      <c r="J4337" t="s">
        <v>79</v>
      </c>
      <c r="K4337" t="s">
        <v>3525</v>
      </c>
      <c r="L4337" s="2">
        <v>46113</v>
      </c>
      <c r="M4337" t="s">
        <v>79</v>
      </c>
      <c r="N4337">
        <v>0</v>
      </c>
      <c r="O4337" t="s">
        <v>31</v>
      </c>
      <c r="P4337" t="s">
        <v>34</v>
      </c>
      <c r="Q4337">
        <v>0</v>
      </c>
    </row>
    <row r="4338" spans="1:17" x14ac:dyDescent="0.3">
      <c r="A4338" t="s">
        <v>17</v>
      </c>
      <c r="B4338">
        <v>68</v>
      </c>
      <c r="C4338" t="s">
        <v>34</v>
      </c>
      <c r="D4338" s="2">
        <v>46142</v>
      </c>
      <c r="E4338" s="3">
        <f t="shared" si="67"/>
        <v>46113</v>
      </c>
      <c r="F4338" t="s">
        <v>3520</v>
      </c>
      <c r="G4338" t="s">
        <v>266</v>
      </c>
      <c r="H4338" s="4">
        <v>42.97</v>
      </c>
      <c r="I4338" t="s">
        <v>31</v>
      </c>
      <c r="J4338" t="s">
        <v>79</v>
      </c>
      <c r="K4338" t="s">
        <v>2615</v>
      </c>
      <c r="L4338" s="2">
        <v>46113</v>
      </c>
      <c r="M4338" t="s">
        <v>79</v>
      </c>
      <c r="N4338">
        <v>0</v>
      </c>
      <c r="O4338" t="s">
        <v>31</v>
      </c>
      <c r="P4338" t="s">
        <v>34</v>
      </c>
      <c r="Q4338">
        <v>0</v>
      </c>
    </row>
    <row r="4339" spans="1:17" x14ac:dyDescent="0.3">
      <c r="A4339" t="s">
        <v>17</v>
      </c>
      <c r="B4339">
        <v>68</v>
      </c>
      <c r="C4339" t="s">
        <v>34</v>
      </c>
      <c r="D4339" s="2">
        <v>46142</v>
      </c>
      <c r="E4339" s="3">
        <f t="shared" si="67"/>
        <v>46113</v>
      </c>
      <c r="F4339" t="s">
        <v>3520</v>
      </c>
      <c r="G4339" t="s">
        <v>266</v>
      </c>
      <c r="H4339" s="4">
        <v>7.11</v>
      </c>
      <c r="I4339" t="s">
        <v>31</v>
      </c>
      <c r="J4339" t="s">
        <v>79</v>
      </c>
      <c r="K4339" t="s">
        <v>3526</v>
      </c>
      <c r="L4339" s="2">
        <v>46113</v>
      </c>
      <c r="M4339" t="s">
        <v>79</v>
      </c>
      <c r="N4339">
        <v>0</v>
      </c>
      <c r="O4339" t="s">
        <v>31</v>
      </c>
      <c r="P4339" t="s">
        <v>34</v>
      </c>
      <c r="Q4339">
        <v>0</v>
      </c>
    </row>
    <row r="4340" spans="1:17" x14ac:dyDescent="0.3">
      <c r="A4340" t="s">
        <v>17</v>
      </c>
      <c r="B4340">
        <v>68</v>
      </c>
      <c r="C4340" t="s">
        <v>34</v>
      </c>
      <c r="D4340" s="2">
        <v>46142</v>
      </c>
      <c r="E4340" s="3">
        <f t="shared" si="67"/>
        <v>46113</v>
      </c>
      <c r="F4340" t="s">
        <v>3520</v>
      </c>
      <c r="G4340" t="s">
        <v>266</v>
      </c>
      <c r="H4340" s="4">
        <v>23.37</v>
      </c>
      <c r="I4340" t="s">
        <v>31</v>
      </c>
      <c r="J4340" t="s">
        <v>79</v>
      </c>
      <c r="K4340" t="s">
        <v>1276</v>
      </c>
      <c r="L4340" s="2">
        <v>46113</v>
      </c>
      <c r="M4340" t="s">
        <v>79</v>
      </c>
      <c r="N4340">
        <v>0</v>
      </c>
      <c r="O4340" t="s">
        <v>31</v>
      </c>
      <c r="P4340" t="s">
        <v>34</v>
      </c>
      <c r="Q4340">
        <v>0</v>
      </c>
    </row>
    <row r="4341" spans="1:17" x14ac:dyDescent="0.3">
      <c r="A4341" t="s">
        <v>17</v>
      </c>
      <c r="B4341">
        <v>68</v>
      </c>
      <c r="C4341" t="s">
        <v>34</v>
      </c>
      <c r="D4341" s="2">
        <v>46142</v>
      </c>
      <c r="E4341" s="3">
        <f t="shared" si="67"/>
        <v>46113</v>
      </c>
      <c r="F4341" t="s">
        <v>3520</v>
      </c>
      <c r="G4341" t="s">
        <v>266</v>
      </c>
      <c r="H4341" s="4">
        <v>14.28</v>
      </c>
      <c r="I4341" t="s">
        <v>31</v>
      </c>
      <c r="J4341" t="s">
        <v>79</v>
      </c>
      <c r="K4341" t="s">
        <v>3527</v>
      </c>
      <c r="L4341" s="2">
        <v>46113</v>
      </c>
      <c r="M4341" t="s">
        <v>79</v>
      </c>
      <c r="N4341">
        <v>0</v>
      </c>
      <c r="O4341" t="s">
        <v>31</v>
      </c>
      <c r="P4341" t="s">
        <v>34</v>
      </c>
      <c r="Q4341">
        <v>0</v>
      </c>
    </row>
    <row r="4342" spans="1:17" x14ac:dyDescent="0.3">
      <c r="A4342" t="s">
        <v>17</v>
      </c>
      <c r="B4342">
        <v>68</v>
      </c>
      <c r="C4342" t="s">
        <v>34</v>
      </c>
      <c r="D4342" s="2">
        <v>46142</v>
      </c>
      <c r="E4342" s="3">
        <f t="shared" si="67"/>
        <v>46113</v>
      </c>
      <c r="F4342" t="s">
        <v>3528</v>
      </c>
      <c r="H4342" s="4">
        <v>44.7</v>
      </c>
      <c r="I4342" t="s">
        <v>21</v>
      </c>
      <c r="J4342" t="s">
        <v>79</v>
      </c>
      <c r="K4342" t="s">
        <v>320</v>
      </c>
      <c r="L4342" s="2">
        <v>46113</v>
      </c>
      <c r="M4342" t="s">
        <v>79</v>
      </c>
      <c r="N4342" t="s">
        <v>25</v>
      </c>
      <c r="O4342" t="s">
        <v>81</v>
      </c>
      <c r="P4342" t="s">
        <v>34</v>
      </c>
      <c r="Q4342">
        <v>0</v>
      </c>
    </row>
    <row r="4343" spans="1:17" x14ac:dyDescent="0.3">
      <c r="A4343" t="s">
        <v>17</v>
      </c>
      <c r="B4343">
        <v>66</v>
      </c>
      <c r="C4343" t="s">
        <v>134</v>
      </c>
      <c r="D4343" s="2">
        <v>46142</v>
      </c>
      <c r="E4343" s="3">
        <f t="shared" si="67"/>
        <v>46113</v>
      </c>
      <c r="F4343" t="s">
        <v>3529</v>
      </c>
      <c r="G4343" t="s">
        <v>2049</v>
      </c>
      <c r="H4343" s="4">
        <v>47.64</v>
      </c>
      <c r="I4343" t="s">
        <v>108</v>
      </c>
      <c r="J4343" t="s">
        <v>223</v>
      </c>
      <c r="K4343" t="s">
        <v>3530</v>
      </c>
      <c r="L4343" s="2">
        <v>46113</v>
      </c>
      <c r="M4343" t="s">
        <v>223</v>
      </c>
      <c r="N4343">
        <v>0</v>
      </c>
      <c r="O4343" t="s">
        <v>111</v>
      </c>
      <c r="P4343" t="s">
        <v>134</v>
      </c>
      <c r="Q4343">
        <v>0</v>
      </c>
    </row>
    <row r="4344" spans="1:17" x14ac:dyDescent="0.3">
      <c r="A4344" t="s">
        <v>17</v>
      </c>
      <c r="B4344">
        <v>66</v>
      </c>
      <c r="C4344" t="s">
        <v>134</v>
      </c>
      <c r="D4344" s="2">
        <v>46142</v>
      </c>
      <c r="E4344" s="3">
        <f t="shared" si="67"/>
        <v>46113</v>
      </c>
      <c r="F4344" t="s">
        <v>3529</v>
      </c>
      <c r="G4344" t="s">
        <v>2049</v>
      </c>
      <c r="H4344" s="4">
        <v>47.64</v>
      </c>
      <c r="I4344" t="s">
        <v>108</v>
      </c>
      <c r="J4344" t="s">
        <v>223</v>
      </c>
      <c r="K4344" t="s">
        <v>3531</v>
      </c>
      <c r="L4344" s="2">
        <v>46113</v>
      </c>
      <c r="M4344" t="s">
        <v>223</v>
      </c>
      <c r="N4344">
        <v>0</v>
      </c>
      <c r="O4344" t="s">
        <v>111</v>
      </c>
      <c r="P4344" t="s">
        <v>134</v>
      </c>
      <c r="Q4344">
        <v>0</v>
      </c>
    </row>
    <row r="4345" spans="1:17" x14ac:dyDescent="0.3">
      <c r="A4345" t="s">
        <v>17</v>
      </c>
      <c r="B4345">
        <v>66</v>
      </c>
      <c r="C4345" t="s">
        <v>134</v>
      </c>
      <c r="D4345" s="2">
        <v>46142</v>
      </c>
      <c r="E4345" s="3">
        <f t="shared" si="67"/>
        <v>46113</v>
      </c>
      <c r="F4345" t="s">
        <v>3529</v>
      </c>
      <c r="G4345" t="s">
        <v>2049</v>
      </c>
      <c r="H4345" s="4">
        <v>52.16</v>
      </c>
      <c r="I4345" t="s">
        <v>108</v>
      </c>
      <c r="J4345" t="s">
        <v>223</v>
      </c>
      <c r="K4345" t="s">
        <v>3532</v>
      </c>
      <c r="L4345" s="2">
        <v>46113</v>
      </c>
      <c r="M4345" t="s">
        <v>223</v>
      </c>
      <c r="N4345">
        <v>0</v>
      </c>
      <c r="O4345" t="s">
        <v>111</v>
      </c>
      <c r="P4345" t="s">
        <v>134</v>
      </c>
      <c r="Q4345">
        <v>0</v>
      </c>
    </row>
    <row r="4346" spans="1:17" x14ac:dyDescent="0.3">
      <c r="A4346" t="s">
        <v>17</v>
      </c>
      <c r="B4346">
        <v>66</v>
      </c>
      <c r="C4346" t="s">
        <v>134</v>
      </c>
      <c r="D4346" s="2">
        <v>46142</v>
      </c>
      <c r="E4346" s="3">
        <f t="shared" si="67"/>
        <v>46113</v>
      </c>
      <c r="F4346" t="s">
        <v>3529</v>
      </c>
      <c r="G4346" t="s">
        <v>2049</v>
      </c>
      <c r="H4346" s="4">
        <v>52.16</v>
      </c>
      <c r="I4346" t="s">
        <v>108</v>
      </c>
      <c r="J4346" t="s">
        <v>223</v>
      </c>
      <c r="K4346" t="s">
        <v>3532</v>
      </c>
      <c r="L4346" s="2">
        <v>46113</v>
      </c>
      <c r="M4346" t="s">
        <v>223</v>
      </c>
      <c r="N4346">
        <v>0</v>
      </c>
      <c r="O4346" t="s">
        <v>111</v>
      </c>
      <c r="P4346" t="s">
        <v>134</v>
      </c>
      <c r="Q4346">
        <v>0</v>
      </c>
    </row>
    <row r="4347" spans="1:17" x14ac:dyDescent="0.3">
      <c r="A4347" t="s">
        <v>17</v>
      </c>
      <c r="B4347">
        <v>66</v>
      </c>
      <c r="C4347" t="s">
        <v>134</v>
      </c>
      <c r="D4347" s="2">
        <v>46142</v>
      </c>
      <c r="E4347" s="3">
        <f t="shared" si="67"/>
        <v>46113</v>
      </c>
      <c r="F4347" t="s">
        <v>3529</v>
      </c>
      <c r="G4347" t="s">
        <v>2049</v>
      </c>
      <c r="H4347" s="4">
        <v>37.840000000000003</v>
      </c>
      <c r="I4347" t="s">
        <v>108</v>
      </c>
      <c r="J4347" t="s">
        <v>223</v>
      </c>
      <c r="K4347" t="s">
        <v>3533</v>
      </c>
      <c r="L4347" s="2">
        <v>46113</v>
      </c>
      <c r="M4347" t="s">
        <v>223</v>
      </c>
      <c r="N4347">
        <v>0</v>
      </c>
      <c r="O4347" t="s">
        <v>111</v>
      </c>
      <c r="P4347" t="s">
        <v>134</v>
      </c>
      <c r="Q4347">
        <v>0</v>
      </c>
    </row>
    <row r="4348" spans="1:17" x14ac:dyDescent="0.3">
      <c r="A4348" t="s">
        <v>17</v>
      </c>
      <c r="B4348">
        <v>66</v>
      </c>
      <c r="C4348" t="s">
        <v>134</v>
      </c>
      <c r="D4348" s="2">
        <v>46142</v>
      </c>
      <c r="E4348" s="3">
        <f t="shared" si="67"/>
        <v>46113</v>
      </c>
      <c r="F4348" t="s">
        <v>3529</v>
      </c>
      <c r="G4348" t="s">
        <v>2049</v>
      </c>
      <c r="H4348" s="4">
        <v>37.840000000000003</v>
      </c>
      <c r="I4348" t="s">
        <v>108</v>
      </c>
      <c r="J4348" t="s">
        <v>223</v>
      </c>
      <c r="L4348" s="2">
        <v>46113</v>
      </c>
      <c r="M4348" t="s">
        <v>223</v>
      </c>
      <c r="N4348">
        <v>0</v>
      </c>
      <c r="O4348" t="s">
        <v>111</v>
      </c>
      <c r="P4348" t="s">
        <v>134</v>
      </c>
      <c r="Q4348">
        <v>0</v>
      </c>
    </row>
    <row r="4349" spans="1:17" x14ac:dyDescent="0.3">
      <c r="A4349" t="s">
        <v>17</v>
      </c>
      <c r="B4349">
        <v>66</v>
      </c>
      <c r="C4349" t="s">
        <v>134</v>
      </c>
      <c r="D4349" s="2">
        <v>46142</v>
      </c>
      <c r="E4349" s="3">
        <f t="shared" si="67"/>
        <v>46113</v>
      </c>
      <c r="F4349" t="s">
        <v>3529</v>
      </c>
      <c r="G4349" t="s">
        <v>2049</v>
      </c>
      <c r="H4349" s="4">
        <v>82.36</v>
      </c>
      <c r="I4349" t="s">
        <v>108</v>
      </c>
      <c r="J4349" t="s">
        <v>223</v>
      </c>
      <c r="K4349" t="s">
        <v>3534</v>
      </c>
      <c r="L4349" s="2">
        <v>46113</v>
      </c>
      <c r="M4349" t="s">
        <v>223</v>
      </c>
      <c r="N4349">
        <v>0</v>
      </c>
      <c r="O4349" t="s">
        <v>111</v>
      </c>
      <c r="P4349" t="s">
        <v>134</v>
      </c>
      <c r="Q4349">
        <v>0</v>
      </c>
    </row>
    <row r="4350" spans="1:17" x14ac:dyDescent="0.3">
      <c r="A4350" t="s">
        <v>17</v>
      </c>
      <c r="B4350">
        <v>66</v>
      </c>
      <c r="C4350" t="s">
        <v>134</v>
      </c>
      <c r="D4350" s="2">
        <v>46142</v>
      </c>
      <c r="E4350" s="3">
        <f t="shared" si="67"/>
        <v>46113</v>
      </c>
      <c r="F4350" t="s">
        <v>3529</v>
      </c>
      <c r="G4350" t="s">
        <v>2049</v>
      </c>
      <c r="H4350" s="4">
        <v>82.36</v>
      </c>
      <c r="I4350" t="s">
        <v>108</v>
      </c>
      <c r="J4350" t="s">
        <v>223</v>
      </c>
      <c r="K4350" t="s">
        <v>3535</v>
      </c>
      <c r="L4350" s="2">
        <v>46113</v>
      </c>
      <c r="M4350" t="s">
        <v>223</v>
      </c>
      <c r="N4350">
        <v>0</v>
      </c>
      <c r="O4350" t="s">
        <v>111</v>
      </c>
      <c r="P4350" t="s">
        <v>134</v>
      </c>
      <c r="Q4350">
        <v>0</v>
      </c>
    </row>
    <row r="4351" spans="1:17" x14ac:dyDescent="0.3">
      <c r="A4351" t="s">
        <v>17</v>
      </c>
      <c r="B4351">
        <v>66</v>
      </c>
      <c r="C4351" t="s">
        <v>134</v>
      </c>
      <c r="D4351" s="2">
        <v>46142</v>
      </c>
      <c r="E4351" s="3">
        <f t="shared" si="67"/>
        <v>46113</v>
      </c>
      <c r="F4351" t="s">
        <v>3529</v>
      </c>
      <c r="G4351" t="s">
        <v>2049</v>
      </c>
      <c r="H4351" s="4">
        <v>68.64</v>
      </c>
      <c r="I4351" t="s">
        <v>108</v>
      </c>
      <c r="J4351" t="s">
        <v>223</v>
      </c>
      <c r="K4351" t="s">
        <v>3536</v>
      </c>
      <c r="L4351" s="2">
        <v>46113</v>
      </c>
      <c r="M4351" t="s">
        <v>223</v>
      </c>
      <c r="N4351">
        <v>0</v>
      </c>
      <c r="O4351" t="s">
        <v>111</v>
      </c>
      <c r="P4351" t="s">
        <v>134</v>
      </c>
      <c r="Q4351">
        <v>0</v>
      </c>
    </row>
    <row r="4352" spans="1:17" x14ac:dyDescent="0.3">
      <c r="A4352" t="s">
        <v>17</v>
      </c>
      <c r="B4352">
        <v>66</v>
      </c>
      <c r="C4352" t="s">
        <v>134</v>
      </c>
      <c r="D4352" s="2">
        <v>46142</v>
      </c>
      <c r="E4352" s="3">
        <f t="shared" si="67"/>
        <v>46113</v>
      </c>
      <c r="F4352" t="s">
        <v>3529</v>
      </c>
      <c r="G4352" t="s">
        <v>2049</v>
      </c>
      <c r="H4352" s="4">
        <v>68.64</v>
      </c>
      <c r="I4352" t="s">
        <v>108</v>
      </c>
      <c r="J4352" t="s">
        <v>223</v>
      </c>
      <c r="K4352" t="s">
        <v>3536</v>
      </c>
      <c r="L4352" s="2">
        <v>46113</v>
      </c>
      <c r="M4352" t="s">
        <v>223</v>
      </c>
      <c r="N4352">
        <v>0</v>
      </c>
      <c r="O4352" t="s">
        <v>111</v>
      </c>
      <c r="P4352" t="s">
        <v>134</v>
      </c>
      <c r="Q4352">
        <v>0</v>
      </c>
    </row>
    <row r="4353" spans="1:17" x14ac:dyDescent="0.3">
      <c r="A4353" t="s">
        <v>17</v>
      </c>
      <c r="B4353">
        <v>66</v>
      </c>
      <c r="C4353" t="s">
        <v>134</v>
      </c>
      <c r="D4353" s="2">
        <v>46142</v>
      </c>
      <c r="E4353" s="3">
        <f t="shared" si="67"/>
        <v>46113</v>
      </c>
      <c r="F4353" t="s">
        <v>3529</v>
      </c>
      <c r="G4353" t="s">
        <v>2049</v>
      </c>
      <c r="H4353" s="4">
        <v>39.96</v>
      </c>
      <c r="I4353" t="s">
        <v>108</v>
      </c>
      <c r="J4353" t="s">
        <v>223</v>
      </c>
      <c r="L4353" s="2">
        <v>46113</v>
      </c>
      <c r="M4353" t="s">
        <v>223</v>
      </c>
      <c r="N4353">
        <v>0</v>
      </c>
      <c r="O4353" t="s">
        <v>111</v>
      </c>
      <c r="P4353" t="s">
        <v>134</v>
      </c>
      <c r="Q4353">
        <v>0</v>
      </c>
    </row>
    <row r="4354" spans="1:17" x14ac:dyDescent="0.3">
      <c r="A4354" t="s">
        <v>17</v>
      </c>
      <c r="B4354">
        <v>66</v>
      </c>
      <c r="C4354" t="s">
        <v>134</v>
      </c>
      <c r="D4354" s="2">
        <v>46142</v>
      </c>
      <c r="E4354" s="3">
        <f t="shared" si="67"/>
        <v>46113</v>
      </c>
      <c r="F4354" t="s">
        <v>3529</v>
      </c>
      <c r="G4354" t="s">
        <v>2049</v>
      </c>
      <c r="H4354" s="4">
        <v>39.96</v>
      </c>
      <c r="I4354" t="s">
        <v>108</v>
      </c>
      <c r="J4354" t="s">
        <v>223</v>
      </c>
      <c r="L4354" s="2">
        <v>46113</v>
      </c>
      <c r="M4354" t="s">
        <v>223</v>
      </c>
      <c r="N4354">
        <v>0</v>
      </c>
      <c r="O4354" t="s">
        <v>111</v>
      </c>
      <c r="P4354" t="s">
        <v>134</v>
      </c>
      <c r="Q4354">
        <v>0</v>
      </c>
    </row>
    <row r="4355" spans="1:17" x14ac:dyDescent="0.3">
      <c r="A4355" t="s">
        <v>17</v>
      </c>
      <c r="B4355">
        <v>66</v>
      </c>
      <c r="C4355" t="s">
        <v>134</v>
      </c>
      <c r="D4355" s="2">
        <v>46142</v>
      </c>
      <c r="E4355" s="3">
        <f t="shared" ref="E4355:E4418" si="68">IF($D4355="","",DATE(YEAR($D4355),MONTH($D4355),1))</f>
        <v>46113</v>
      </c>
      <c r="F4355" t="s">
        <v>3529</v>
      </c>
      <c r="G4355" t="s">
        <v>2049</v>
      </c>
      <c r="H4355" s="4">
        <v>39.96</v>
      </c>
      <c r="I4355" t="s">
        <v>108</v>
      </c>
      <c r="J4355" t="s">
        <v>223</v>
      </c>
      <c r="L4355" s="2">
        <v>46113</v>
      </c>
      <c r="M4355" t="s">
        <v>223</v>
      </c>
      <c r="N4355">
        <v>0</v>
      </c>
      <c r="O4355" t="s">
        <v>111</v>
      </c>
      <c r="P4355" t="s">
        <v>134</v>
      </c>
      <c r="Q4355">
        <v>0</v>
      </c>
    </row>
    <row r="4356" spans="1:17" x14ac:dyDescent="0.3">
      <c r="A4356" t="s">
        <v>17</v>
      </c>
      <c r="B4356">
        <v>66</v>
      </c>
      <c r="C4356" t="s">
        <v>134</v>
      </c>
      <c r="D4356" s="2">
        <v>46142</v>
      </c>
      <c r="E4356" s="3">
        <f t="shared" si="68"/>
        <v>46113</v>
      </c>
      <c r="F4356" t="s">
        <v>3529</v>
      </c>
      <c r="G4356" t="s">
        <v>2049</v>
      </c>
      <c r="H4356" s="4">
        <v>39.96</v>
      </c>
      <c r="I4356" t="s">
        <v>108</v>
      </c>
      <c r="J4356" t="s">
        <v>223</v>
      </c>
      <c r="L4356" s="2">
        <v>46113</v>
      </c>
      <c r="M4356" t="s">
        <v>223</v>
      </c>
      <c r="N4356">
        <v>0</v>
      </c>
      <c r="O4356" t="s">
        <v>111</v>
      </c>
      <c r="P4356" t="s">
        <v>134</v>
      </c>
      <c r="Q4356">
        <v>0</v>
      </c>
    </row>
    <row r="4357" spans="1:17" x14ac:dyDescent="0.3">
      <c r="A4357" t="s">
        <v>17</v>
      </c>
      <c r="B4357">
        <v>66</v>
      </c>
      <c r="C4357" t="s">
        <v>134</v>
      </c>
      <c r="D4357" s="2">
        <v>46142</v>
      </c>
      <c r="E4357" s="3">
        <f t="shared" si="68"/>
        <v>46113</v>
      </c>
      <c r="F4357" t="s">
        <v>3529</v>
      </c>
      <c r="G4357" t="s">
        <v>2049</v>
      </c>
      <c r="H4357" s="4">
        <v>48.96</v>
      </c>
      <c r="I4357" t="s">
        <v>108</v>
      </c>
      <c r="J4357" t="s">
        <v>223</v>
      </c>
      <c r="L4357" s="2">
        <v>46113</v>
      </c>
      <c r="M4357" t="s">
        <v>223</v>
      </c>
      <c r="N4357">
        <v>0</v>
      </c>
      <c r="O4357" t="s">
        <v>111</v>
      </c>
      <c r="P4357" t="s">
        <v>134</v>
      </c>
      <c r="Q4357">
        <v>0</v>
      </c>
    </row>
    <row r="4358" spans="1:17" x14ac:dyDescent="0.3">
      <c r="A4358" t="s">
        <v>17</v>
      </c>
      <c r="B4358">
        <v>66</v>
      </c>
      <c r="C4358" t="s">
        <v>134</v>
      </c>
      <c r="D4358" s="2">
        <v>46142</v>
      </c>
      <c r="E4358" s="3">
        <f t="shared" si="68"/>
        <v>46113</v>
      </c>
      <c r="F4358" t="s">
        <v>3529</v>
      </c>
      <c r="G4358" t="s">
        <v>2049</v>
      </c>
      <c r="H4358" s="4">
        <v>48.96</v>
      </c>
      <c r="I4358" t="s">
        <v>108</v>
      </c>
      <c r="J4358" t="s">
        <v>223</v>
      </c>
      <c r="L4358" s="2">
        <v>46113</v>
      </c>
      <c r="M4358" t="s">
        <v>223</v>
      </c>
      <c r="N4358">
        <v>0</v>
      </c>
      <c r="O4358" t="s">
        <v>111</v>
      </c>
      <c r="P4358" t="s">
        <v>134</v>
      </c>
      <c r="Q4358">
        <v>0</v>
      </c>
    </row>
    <row r="4359" spans="1:17" x14ac:dyDescent="0.3">
      <c r="A4359" t="s">
        <v>17</v>
      </c>
      <c r="B4359">
        <v>66</v>
      </c>
      <c r="C4359" t="s">
        <v>134</v>
      </c>
      <c r="D4359" s="2">
        <v>46142</v>
      </c>
      <c r="E4359" s="3">
        <f t="shared" si="68"/>
        <v>46113</v>
      </c>
      <c r="F4359" t="s">
        <v>3529</v>
      </c>
      <c r="G4359" t="s">
        <v>2049</v>
      </c>
      <c r="H4359" s="4">
        <v>48.96</v>
      </c>
      <c r="I4359" t="s">
        <v>108</v>
      </c>
      <c r="J4359" t="s">
        <v>223</v>
      </c>
      <c r="L4359" s="2">
        <v>46113</v>
      </c>
      <c r="M4359" t="s">
        <v>223</v>
      </c>
      <c r="N4359">
        <v>0</v>
      </c>
      <c r="O4359" t="s">
        <v>111</v>
      </c>
      <c r="P4359" t="s">
        <v>134</v>
      </c>
      <c r="Q4359">
        <v>0</v>
      </c>
    </row>
    <row r="4360" spans="1:17" x14ac:dyDescent="0.3">
      <c r="A4360" t="s">
        <v>17</v>
      </c>
      <c r="B4360">
        <v>66</v>
      </c>
      <c r="C4360" t="s">
        <v>134</v>
      </c>
      <c r="D4360" s="2">
        <v>46142</v>
      </c>
      <c r="E4360" s="3">
        <f t="shared" si="68"/>
        <v>46113</v>
      </c>
      <c r="F4360" t="s">
        <v>3529</v>
      </c>
      <c r="G4360" t="s">
        <v>2049</v>
      </c>
      <c r="H4360" s="4">
        <v>48.96</v>
      </c>
      <c r="I4360" t="s">
        <v>108</v>
      </c>
      <c r="J4360" t="s">
        <v>223</v>
      </c>
      <c r="L4360" s="2">
        <v>46113</v>
      </c>
      <c r="M4360" t="s">
        <v>223</v>
      </c>
      <c r="N4360">
        <v>0</v>
      </c>
      <c r="O4360" t="s">
        <v>111</v>
      </c>
      <c r="P4360" t="s">
        <v>134</v>
      </c>
      <c r="Q4360">
        <v>0</v>
      </c>
    </row>
    <row r="4361" spans="1:17" x14ac:dyDescent="0.3">
      <c r="A4361" t="s">
        <v>17</v>
      </c>
      <c r="B4361">
        <v>66</v>
      </c>
      <c r="C4361" t="s">
        <v>134</v>
      </c>
      <c r="D4361" s="2">
        <v>46142</v>
      </c>
      <c r="E4361" s="3">
        <f t="shared" si="68"/>
        <v>46113</v>
      </c>
      <c r="F4361" t="s">
        <v>3529</v>
      </c>
      <c r="G4361" t="s">
        <v>2049</v>
      </c>
      <c r="H4361" s="4">
        <v>54.96</v>
      </c>
      <c r="I4361" t="s">
        <v>108</v>
      </c>
      <c r="J4361" t="s">
        <v>223</v>
      </c>
      <c r="L4361" s="2">
        <v>46113</v>
      </c>
      <c r="M4361" t="s">
        <v>223</v>
      </c>
      <c r="N4361">
        <v>0</v>
      </c>
      <c r="O4361" t="s">
        <v>111</v>
      </c>
      <c r="P4361" t="s">
        <v>134</v>
      </c>
      <c r="Q4361">
        <v>0</v>
      </c>
    </row>
    <row r="4362" spans="1:17" x14ac:dyDescent="0.3">
      <c r="A4362" t="s">
        <v>17</v>
      </c>
      <c r="B4362">
        <v>66</v>
      </c>
      <c r="C4362" t="s">
        <v>134</v>
      </c>
      <c r="D4362" s="2">
        <v>46142</v>
      </c>
      <c r="E4362" s="3">
        <f t="shared" si="68"/>
        <v>46113</v>
      </c>
      <c r="F4362" t="s">
        <v>3529</v>
      </c>
      <c r="G4362" t="s">
        <v>2049</v>
      </c>
      <c r="H4362" s="4">
        <v>54.96</v>
      </c>
      <c r="I4362" t="s">
        <v>108</v>
      </c>
      <c r="J4362" t="s">
        <v>223</v>
      </c>
      <c r="L4362" s="2">
        <v>46113</v>
      </c>
      <c r="M4362" t="s">
        <v>223</v>
      </c>
      <c r="N4362">
        <v>0</v>
      </c>
      <c r="O4362" t="s">
        <v>111</v>
      </c>
      <c r="P4362" t="s">
        <v>134</v>
      </c>
      <c r="Q4362">
        <v>0</v>
      </c>
    </row>
    <row r="4363" spans="1:17" x14ac:dyDescent="0.3">
      <c r="A4363" t="s">
        <v>17</v>
      </c>
      <c r="B4363">
        <v>66</v>
      </c>
      <c r="C4363" t="s">
        <v>134</v>
      </c>
      <c r="D4363" s="2">
        <v>46142</v>
      </c>
      <c r="E4363" s="3">
        <f t="shared" si="68"/>
        <v>46113</v>
      </c>
      <c r="F4363" t="s">
        <v>3529</v>
      </c>
      <c r="G4363" t="s">
        <v>2049</v>
      </c>
      <c r="H4363" s="4">
        <v>54.96</v>
      </c>
      <c r="I4363" t="s">
        <v>108</v>
      </c>
      <c r="J4363" t="s">
        <v>223</v>
      </c>
      <c r="K4363" t="s">
        <v>3537</v>
      </c>
      <c r="L4363" s="2">
        <v>46113</v>
      </c>
      <c r="M4363" t="s">
        <v>223</v>
      </c>
      <c r="N4363">
        <v>0</v>
      </c>
      <c r="O4363" t="s">
        <v>111</v>
      </c>
      <c r="P4363" t="s">
        <v>134</v>
      </c>
      <c r="Q4363">
        <v>0</v>
      </c>
    </row>
    <row r="4364" spans="1:17" x14ac:dyDescent="0.3">
      <c r="A4364" t="s">
        <v>17</v>
      </c>
      <c r="B4364">
        <v>66</v>
      </c>
      <c r="C4364" t="s">
        <v>134</v>
      </c>
      <c r="D4364" s="2">
        <v>46142</v>
      </c>
      <c r="E4364" s="3">
        <f t="shared" si="68"/>
        <v>46113</v>
      </c>
      <c r="F4364" t="s">
        <v>3529</v>
      </c>
      <c r="G4364" t="s">
        <v>2049</v>
      </c>
      <c r="H4364" s="4">
        <v>54.96</v>
      </c>
      <c r="I4364" t="s">
        <v>108</v>
      </c>
      <c r="J4364" t="s">
        <v>223</v>
      </c>
      <c r="K4364" t="s">
        <v>3538</v>
      </c>
      <c r="L4364" s="2">
        <v>46113</v>
      </c>
      <c r="M4364" t="s">
        <v>223</v>
      </c>
      <c r="N4364">
        <v>0</v>
      </c>
      <c r="O4364" t="s">
        <v>111</v>
      </c>
      <c r="P4364" t="s">
        <v>134</v>
      </c>
      <c r="Q4364">
        <v>0</v>
      </c>
    </row>
    <row r="4365" spans="1:17" x14ac:dyDescent="0.3">
      <c r="A4365" t="s">
        <v>17</v>
      </c>
      <c r="B4365">
        <v>66</v>
      </c>
      <c r="C4365" t="s">
        <v>134</v>
      </c>
      <c r="D4365" s="2">
        <v>46142</v>
      </c>
      <c r="E4365" s="3">
        <f t="shared" si="68"/>
        <v>46113</v>
      </c>
      <c r="F4365" t="s">
        <v>3529</v>
      </c>
      <c r="G4365" t="s">
        <v>2049</v>
      </c>
      <c r="H4365" s="4">
        <v>70.959999999999994</v>
      </c>
      <c r="I4365" t="s">
        <v>108</v>
      </c>
      <c r="J4365" t="s">
        <v>223</v>
      </c>
      <c r="K4365" t="s">
        <v>3539</v>
      </c>
      <c r="L4365" s="2">
        <v>46113</v>
      </c>
      <c r="M4365" t="s">
        <v>223</v>
      </c>
      <c r="N4365">
        <v>0</v>
      </c>
      <c r="O4365" t="s">
        <v>111</v>
      </c>
      <c r="P4365" t="s">
        <v>134</v>
      </c>
      <c r="Q4365">
        <v>0</v>
      </c>
    </row>
    <row r="4366" spans="1:17" x14ac:dyDescent="0.3">
      <c r="A4366" t="s">
        <v>17</v>
      </c>
      <c r="B4366">
        <v>66</v>
      </c>
      <c r="C4366" t="s">
        <v>134</v>
      </c>
      <c r="D4366" s="2">
        <v>46142</v>
      </c>
      <c r="E4366" s="3">
        <f t="shared" si="68"/>
        <v>46113</v>
      </c>
      <c r="F4366" t="s">
        <v>3529</v>
      </c>
      <c r="G4366" t="s">
        <v>2049</v>
      </c>
      <c r="H4366" s="4">
        <v>70.959999999999994</v>
      </c>
      <c r="I4366" t="s">
        <v>108</v>
      </c>
      <c r="J4366" t="s">
        <v>223</v>
      </c>
      <c r="K4366" t="s">
        <v>3540</v>
      </c>
      <c r="L4366" s="2">
        <v>46113</v>
      </c>
      <c r="M4366" t="s">
        <v>223</v>
      </c>
      <c r="N4366">
        <v>0</v>
      </c>
      <c r="O4366" t="s">
        <v>111</v>
      </c>
      <c r="P4366" t="s">
        <v>134</v>
      </c>
      <c r="Q4366">
        <v>0</v>
      </c>
    </row>
    <row r="4367" spans="1:17" x14ac:dyDescent="0.3">
      <c r="A4367" t="s">
        <v>17</v>
      </c>
      <c r="B4367">
        <v>66</v>
      </c>
      <c r="C4367" t="s">
        <v>134</v>
      </c>
      <c r="D4367" s="2">
        <v>46142</v>
      </c>
      <c r="E4367" s="3">
        <f t="shared" si="68"/>
        <v>46113</v>
      </c>
      <c r="F4367" t="s">
        <v>3529</v>
      </c>
      <c r="G4367" t="s">
        <v>2049</v>
      </c>
      <c r="H4367" s="4">
        <v>70.959999999999994</v>
      </c>
      <c r="I4367" t="s">
        <v>108</v>
      </c>
      <c r="J4367" t="s">
        <v>223</v>
      </c>
      <c r="K4367" t="s">
        <v>3540</v>
      </c>
      <c r="L4367" s="2">
        <v>46113</v>
      </c>
      <c r="M4367" t="s">
        <v>223</v>
      </c>
      <c r="N4367">
        <v>0</v>
      </c>
      <c r="O4367" t="s">
        <v>111</v>
      </c>
      <c r="P4367" t="s">
        <v>134</v>
      </c>
      <c r="Q4367">
        <v>0</v>
      </c>
    </row>
    <row r="4368" spans="1:17" x14ac:dyDescent="0.3">
      <c r="A4368" t="s">
        <v>17</v>
      </c>
      <c r="B4368">
        <v>66</v>
      </c>
      <c r="C4368" t="s">
        <v>134</v>
      </c>
      <c r="D4368" s="2">
        <v>46142</v>
      </c>
      <c r="E4368" s="3">
        <f t="shared" si="68"/>
        <v>46113</v>
      </c>
      <c r="F4368" t="s">
        <v>3529</v>
      </c>
      <c r="G4368" t="s">
        <v>2049</v>
      </c>
      <c r="H4368" s="4">
        <v>55.84</v>
      </c>
      <c r="I4368" t="s">
        <v>108</v>
      </c>
      <c r="J4368" t="s">
        <v>223</v>
      </c>
      <c r="K4368" t="s">
        <v>3541</v>
      </c>
      <c r="L4368" s="2">
        <v>46113</v>
      </c>
      <c r="M4368" t="s">
        <v>223</v>
      </c>
      <c r="N4368">
        <v>0</v>
      </c>
      <c r="O4368" t="s">
        <v>111</v>
      </c>
      <c r="P4368" t="s">
        <v>134</v>
      </c>
      <c r="Q4368">
        <v>0</v>
      </c>
    </row>
    <row r="4369" spans="1:17" x14ac:dyDescent="0.3">
      <c r="A4369" t="s">
        <v>17</v>
      </c>
      <c r="B4369">
        <v>66</v>
      </c>
      <c r="C4369" t="s">
        <v>134</v>
      </c>
      <c r="D4369" s="2">
        <v>46142</v>
      </c>
      <c r="E4369" s="3">
        <f t="shared" si="68"/>
        <v>46113</v>
      </c>
      <c r="F4369" t="s">
        <v>3529</v>
      </c>
      <c r="G4369" t="s">
        <v>2049</v>
      </c>
      <c r="H4369" s="4">
        <v>55.84</v>
      </c>
      <c r="I4369" t="s">
        <v>108</v>
      </c>
      <c r="J4369" t="s">
        <v>223</v>
      </c>
      <c r="K4369" t="s">
        <v>3541</v>
      </c>
      <c r="L4369" s="2">
        <v>46113</v>
      </c>
      <c r="M4369" t="s">
        <v>223</v>
      </c>
      <c r="N4369">
        <v>0</v>
      </c>
      <c r="O4369" t="s">
        <v>111</v>
      </c>
      <c r="P4369" t="s">
        <v>134</v>
      </c>
      <c r="Q4369">
        <v>0</v>
      </c>
    </row>
    <row r="4370" spans="1:17" x14ac:dyDescent="0.3">
      <c r="A4370" t="s">
        <v>17</v>
      </c>
      <c r="B4370">
        <v>66</v>
      </c>
      <c r="C4370" t="s">
        <v>134</v>
      </c>
      <c r="D4370" s="2">
        <v>46142</v>
      </c>
      <c r="E4370" s="3">
        <f t="shared" si="68"/>
        <v>46113</v>
      </c>
      <c r="F4370" t="s">
        <v>3529</v>
      </c>
      <c r="G4370" t="s">
        <v>2049</v>
      </c>
      <c r="H4370" s="4">
        <v>55.84</v>
      </c>
      <c r="I4370" t="s">
        <v>108</v>
      </c>
      <c r="J4370" t="s">
        <v>223</v>
      </c>
      <c r="K4370" t="s">
        <v>3541</v>
      </c>
      <c r="L4370" s="2">
        <v>46113</v>
      </c>
      <c r="M4370" t="s">
        <v>223</v>
      </c>
      <c r="N4370">
        <v>0</v>
      </c>
      <c r="O4370" t="s">
        <v>111</v>
      </c>
      <c r="P4370" t="s">
        <v>134</v>
      </c>
      <c r="Q4370">
        <v>0</v>
      </c>
    </row>
    <row r="4371" spans="1:17" x14ac:dyDescent="0.3">
      <c r="A4371" t="s">
        <v>17</v>
      </c>
      <c r="B4371">
        <v>66</v>
      </c>
      <c r="C4371" t="s">
        <v>134</v>
      </c>
      <c r="D4371" s="2">
        <v>46142</v>
      </c>
      <c r="E4371" s="3">
        <f t="shared" si="68"/>
        <v>46113</v>
      </c>
      <c r="F4371" t="s">
        <v>3529</v>
      </c>
      <c r="G4371" t="s">
        <v>2049</v>
      </c>
      <c r="H4371" s="4">
        <v>46</v>
      </c>
      <c r="I4371" t="s">
        <v>108</v>
      </c>
      <c r="J4371" t="s">
        <v>223</v>
      </c>
      <c r="K4371" t="s">
        <v>3542</v>
      </c>
      <c r="L4371" s="2">
        <v>46113</v>
      </c>
      <c r="M4371" t="s">
        <v>223</v>
      </c>
      <c r="N4371">
        <v>0</v>
      </c>
      <c r="O4371" t="s">
        <v>111</v>
      </c>
      <c r="P4371" t="s">
        <v>134</v>
      </c>
      <c r="Q4371">
        <v>0</v>
      </c>
    </row>
    <row r="4372" spans="1:17" x14ac:dyDescent="0.3">
      <c r="A4372" t="s">
        <v>17</v>
      </c>
      <c r="B4372">
        <v>66</v>
      </c>
      <c r="C4372" t="s">
        <v>134</v>
      </c>
      <c r="D4372" s="2">
        <v>46142</v>
      </c>
      <c r="E4372" s="3">
        <f t="shared" si="68"/>
        <v>46113</v>
      </c>
      <c r="F4372" t="s">
        <v>3529</v>
      </c>
      <c r="G4372" t="s">
        <v>2049</v>
      </c>
      <c r="H4372" s="4">
        <v>46</v>
      </c>
      <c r="I4372" t="s">
        <v>108</v>
      </c>
      <c r="J4372" t="s">
        <v>223</v>
      </c>
      <c r="K4372" t="s">
        <v>3542</v>
      </c>
      <c r="L4372" s="2">
        <v>46113</v>
      </c>
      <c r="M4372" t="s">
        <v>223</v>
      </c>
      <c r="N4372">
        <v>0</v>
      </c>
      <c r="O4372" t="s">
        <v>111</v>
      </c>
      <c r="P4372" t="s">
        <v>134</v>
      </c>
      <c r="Q4372">
        <v>0</v>
      </c>
    </row>
    <row r="4373" spans="1:17" x14ac:dyDescent="0.3">
      <c r="A4373" t="s">
        <v>17</v>
      </c>
      <c r="B4373">
        <v>66</v>
      </c>
      <c r="C4373" t="s">
        <v>134</v>
      </c>
      <c r="D4373" s="2">
        <v>46142</v>
      </c>
      <c r="E4373" s="3">
        <f t="shared" si="68"/>
        <v>46113</v>
      </c>
      <c r="F4373" t="s">
        <v>3529</v>
      </c>
      <c r="G4373" t="s">
        <v>2049</v>
      </c>
      <c r="H4373" s="4">
        <v>46</v>
      </c>
      <c r="I4373" t="s">
        <v>108</v>
      </c>
      <c r="J4373" t="s">
        <v>223</v>
      </c>
      <c r="K4373" t="s">
        <v>3542</v>
      </c>
      <c r="L4373" s="2">
        <v>46113</v>
      </c>
      <c r="M4373" t="s">
        <v>223</v>
      </c>
      <c r="N4373">
        <v>0</v>
      </c>
      <c r="O4373" t="s">
        <v>111</v>
      </c>
      <c r="P4373" t="s">
        <v>134</v>
      </c>
      <c r="Q4373">
        <v>0</v>
      </c>
    </row>
    <row r="4374" spans="1:17" x14ac:dyDescent="0.3">
      <c r="A4374" t="s">
        <v>17</v>
      </c>
      <c r="B4374">
        <v>66</v>
      </c>
      <c r="C4374" t="s">
        <v>134</v>
      </c>
      <c r="D4374" s="2">
        <v>46142</v>
      </c>
      <c r="E4374" s="3">
        <f t="shared" si="68"/>
        <v>46113</v>
      </c>
      <c r="F4374" t="s">
        <v>3529</v>
      </c>
      <c r="G4374" t="s">
        <v>2049</v>
      </c>
      <c r="H4374" s="4">
        <v>34.6</v>
      </c>
      <c r="I4374" t="s">
        <v>108</v>
      </c>
      <c r="J4374" t="s">
        <v>223</v>
      </c>
      <c r="K4374" t="s">
        <v>3543</v>
      </c>
      <c r="L4374" s="2">
        <v>46113</v>
      </c>
      <c r="M4374" t="s">
        <v>223</v>
      </c>
      <c r="N4374">
        <v>0</v>
      </c>
      <c r="O4374" t="s">
        <v>111</v>
      </c>
      <c r="P4374" t="s">
        <v>134</v>
      </c>
      <c r="Q4374">
        <v>0</v>
      </c>
    </row>
    <row r="4375" spans="1:17" x14ac:dyDescent="0.3">
      <c r="A4375" t="s">
        <v>17</v>
      </c>
      <c r="B4375">
        <v>66</v>
      </c>
      <c r="C4375" t="s">
        <v>134</v>
      </c>
      <c r="D4375" s="2">
        <v>46142</v>
      </c>
      <c r="E4375" s="3">
        <f t="shared" si="68"/>
        <v>46113</v>
      </c>
      <c r="F4375" t="s">
        <v>3529</v>
      </c>
      <c r="G4375" t="s">
        <v>2049</v>
      </c>
      <c r="H4375" s="4">
        <v>34.6</v>
      </c>
      <c r="I4375" t="s">
        <v>108</v>
      </c>
      <c r="J4375" t="s">
        <v>223</v>
      </c>
      <c r="K4375" t="s">
        <v>3543</v>
      </c>
      <c r="L4375" s="2">
        <v>46113</v>
      </c>
      <c r="M4375" t="s">
        <v>223</v>
      </c>
      <c r="N4375">
        <v>0</v>
      </c>
      <c r="O4375" t="s">
        <v>111</v>
      </c>
      <c r="P4375" t="s">
        <v>134</v>
      </c>
      <c r="Q4375">
        <v>0</v>
      </c>
    </row>
    <row r="4376" spans="1:17" x14ac:dyDescent="0.3">
      <c r="A4376" t="s">
        <v>17</v>
      </c>
      <c r="B4376">
        <v>66</v>
      </c>
      <c r="C4376" t="s">
        <v>134</v>
      </c>
      <c r="D4376" s="2">
        <v>46142</v>
      </c>
      <c r="E4376" s="3">
        <f t="shared" si="68"/>
        <v>46113</v>
      </c>
      <c r="F4376" t="s">
        <v>3529</v>
      </c>
      <c r="G4376" t="s">
        <v>2049</v>
      </c>
      <c r="H4376" s="4">
        <v>34.6</v>
      </c>
      <c r="I4376" t="s">
        <v>108</v>
      </c>
      <c r="J4376" t="s">
        <v>223</v>
      </c>
      <c r="K4376" t="s">
        <v>3543</v>
      </c>
      <c r="L4376" s="2">
        <v>46113</v>
      </c>
      <c r="M4376" t="s">
        <v>223</v>
      </c>
      <c r="N4376">
        <v>0</v>
      </c>
      <c r="O4376" t="s">
        <v>111</v>
      </c>
      <c r="P4376" t="s">
        <v>134</v>
      </c>
      <c r="Q4376">
        <v>0</v>
      </c>
    </row>
    <row r="4377" spans="1:17" x14ac:dyDescent="0.3">
      <c r="A4377" t="s">
        <v>17</v>
      </c>
      <c r="B4377">
        <v>66</v>
      </c>
      <c r="C4377" t="s">
        <v>134</v>
      </c>
      <c r="D4377" s="2">
        <v>46142</v>
      </c>
      <c r="E4377" s="3">
        <f t="shared" si="68"/>
        <v>46113</v>
      </c>
      <c r="F4377" t="s">
        <v>3518</v>
      </c>
      <c r="G4377" t="s">
        <v>222</v>
      </c>
      <c r="H4377" s="4">
        <v>74.8</v>
      </c>
      <c r="I4377" t="s">
        <v>104</v>
      </c>
      <c r="J4377" t="s">
        <v>223</v>
      </c>
      <c r="K4377" t="s">
        <v>3042</v>
      </c>
      <c r="L4377" s="2">
        <v>46113</v>
      </c>
      <c r="M4377" t="s">
        <v>223</v>
      </c>
      <c r="N4377">
        <v>0</v>
      </c>
      <c r="O4377" t="s">
        <v>104</v>
      </c>
      <c r="P4377" t="s">
        <v>134</v>
      </c>
      <c r="Q4377">
        <v>0</v>
      </c>
    </row>
    <row r="4378" spans="1:17" x14ac:dyDescent="0.3">
      <c r="A4378" t="s">
        <v>17</v>
      </c>
      <c r="B4378">
        <v>68</v>
      </c>
      <c r="C4378" t="s">
        <v>34</v>
      </c>
      <c r="D4378" s="2">
        <v>46142</v>
      </c>
      <c r="E4378" s="3">
        <f t="shared" si="68"/>
        <v>46113</v>
      </c>
      <c r="F4378" t="s">
        <v>3544</v>
      </c>
      <c r="G4378" t="s">
        <v>122</v>
      </c>
      <c r="H4378" s="4">
        <v>5.12</v>
      </c>
      <c r="I4378" t="s">
        <v>108</v>
      </c>
      <c r="J4378" t="s">
        <v>109</v>
      </c>
      <c r="L4378" s="2">
        <v>46113</v>
      </c>
      <c r="M4378" t="s">
        <v>109</v>
      </c>
      <c r="N4378">
        <v>0</v>
      </c>
      <c r="O4378" t="s">
        <v>111</v>
      </c>
      <c r="P4378" t="s">
        <v>112</v>
      </c>
      <c r="Q4378" t="s">
        <v>113</v>
      </c>
    </row>
    <row r="4379" spans="1:17" x14ac:dyDescent="0.3">
      <c r="A4379" t="s">
        <v>17</v>
      </c>
      <c r="B4379">
        <v>68</v>
      </c>
      <c r="C4379" t="s">
        <v>34</v>
      </c>
      <c r="D4379" s="2">
        <v>46142</v>
      </c>
      <c r="E4379" s="3">
        <f t="shared" si="68"/>
        <v>46113</v>
      </c>
      <c r="F4379" t="s">
        <v>3544</v>
      </c>
      <c r="G4379" t="s">
        <v>122</v>
      </c>
      <c r="H4379" s="4">
        <v>17.5</v>
      </c>
      <c r="I4379" t="s">
        <v>108</v>
      </c>
      <c r="J4379" t="s">
        <v>109</v>
      </c>
      <c r="L4379" s="2">
        <v>46113</v>
      </c>
      <c r="M4379" t="s">
        <v>109</v>
      </c>
      <c r="N4379">
        <v>0</v>
      </c>
      <c r="O4379" t="s">
        <v>111</v>
      </c>
      <c r="P4379" t="s">
        <v>112</v>
      </c>
      <c r="Q4379" t="s">
        <v>113</v>
      </c>
    </row>
    <row r="4380" spans="1:17" x14ac:dyDescent="0.3">
      <c r="A4380" t="s">
        <v>17</v>
      </c>
      <c r="B4380">
        <v>68</v>
      </c>
      <c r="C4380" t="s">
        <v>34</v>
      </c>
      <c r="D4380" s="2">
        <v>46142</v>
      </c>
      <c r="E4380" s="3">
        <f t="shared" si="68"/>
        <v>46113</v>
      </c>
      <c r="F4380" t="s">
        <v>3544</v>
      </c>
      <c r="G4380" t="s">
        <v>122</v>
      </c>
      <c r="H4380" s="4">
        <v>1.34</v>
      </c>
      <c r="I4380" t="s">
        <v>108</v>
      </c>
      <c r="J4380" t="s">
        <v>109</v>
      </c>
      <c r="L4380" s="2">
        <v>46113</v>
      </c>
      <c r="M4380" t="s">
        <v>109</v>
      </c>
      <c r="N4380">
        <v>0</v>
      </c>
      <c r="O4380" t="s">
        <v>111</v>
      </c>
      <c r="P4380" t="s">
        <v>112</v>
      </c>
      <c r="Q4380" t="s">
        <v>113</v>
      </c>
    </row>
    <row r="4381" spans="1:17" x14ac:dyDescent="0.3">
      <c r="A4381" t="s">
        <v>17</v>
      </c>
      <c r="B4381">
        <v>68</v>
      </c>
      <c r="C4381" t="s">
        <v>34</v>
      </c>
      <c r="D4381" s="2">
        <v>46142</v>
      </c>
      <c r="E4381" s="3">
        <f t="shared" si="68"/>
        <v>46113</v>
      </c>
      <c r="F4381" t="s">
        <v>3545</v>
      </c>
      <c r="G4381" t="s">
        <v>122</v>
      </c>
      <c r="H4381" s="4">
        <v>969.86</v>
      </c>
      <c r="I4381" t="s">
        <v>108</v>
      </c>
      <c r="J4381" t="s">
        <v>109</v>
      </c>
      <c r="K4381" t="s">
        <v>1287</v>
      </c>
      <c r="L4381" s="2">
        <v>46113</v>
      </c>
      <c r="M4381" t="s">
        <v>109</v>
      </c>
      <c r="N4381">
        <v>0</v>
      </c>
      <c r="O4381" t="s">
        <v>111</v>
      </c>
      <c r="P4381" t="s">
        <v>112</v>
      </c>
      <c r="Q4381" t="s">
        <v>113</v>
      </c>
    </row>
    <row r="4382" spans="1:17" x14ac:dyDescent="0.3">
      <c r="A4382" t="s">
        <v>17</v>
      </c>
      <c r="B4382">
        <v>68</v>
      </c>
      <c r="C4382" t="s">
        <v>34</v>
      </c>
      <c r="D4382" s="2">
        <v>46142</v>
      </c>
      <c r="E4382" s="3">
        <f t="shared" si="68"/>
        <v>46113</v>
      </c>
      <c r="F4382" t="s">
        <v>3545</v>
      </c>
      <c r="G4382" t="s">
        <v>122</v>
      </c>
      <c r="H4382" s="4">
        <v>51.55</v>
      </c>
      <c r="I4382" t="s">
        <v>108</v>
      </c>
      <c r="J4382" t="s">
        <v>109</v>
      </c>
      <c r="K4382" t="s">
        <v>1460</v>
      </c>
      <c r="L4382" s="2">
        <v>46113</v>
      </c>
      <c r="M4382" t="s">
        <v>109</v>
      </c>
      <c r="N4382">
        <v>0</v>
      </c>
      <c r="O4382" t="s">
        <v>111</v>
      </c>
      <c r="P4382" t="s">
        <v>112</v>
      </c>
      <c r="Q4382" t="s">
        <v>113</v>
      </c>
    </row>
    <row r="4383" spans="1:17" x14ac:dyDescent="0.3">
      <c r="A4383" t="s">
        <v>17</v>
      </c>
      <c r="B4383">
        <v>67</v>
      </c>
      <c r="C4383" t="s">
        <v>28</v>
      </c>
      <c r="D4383" s="2">
        <v>46142</v>
      </c>
      <c r="E4383" s="3">
        <f t="shared" si="68"/>
        <v>46113</v>
      </c>
      <c r="F4383" t="s">
        <v>3546</v>
      </c>
      <c r="H4383" s="4">
        <v>2077</v>
      </c>
      <c r="I4383" t="s">
        <v>31</v>
      </c>
      <c r="J4383" t="s">
        <v>32</v>
      </c>
      <c r="K4383" t="s">
        <v>3547</v>
      </c>
      <c r="L4383" s="2">
        <v>46113</v>
      </c>
      <c r="M4383" t="s">
        <v>32</v>
      </c>
      <c r="N4383">
        <v>0</v>
      </c>
      <c r="O4383" t="s">
        <v>31</v>
      </c>
      <c r="P4383" t="s">
        <v>28</v>
      </c>
      <c r="Q4383">
        <v>0</v>
      </c>
    </row>
    <row r="4384" spans="1:17" x14ac:dyDescent="0.3">
      <c r="A4384" t="s">
        <v>17</v>
      </c>
      <c r="B4384">
        <v>67</v>
      </c>
      <c r="C4384" t="s">
        <v>28</v>
      </c>
      <c r="D4384" s="2">
        <v>46142</v>
      </c>
      <c r="E4384" s="3">
        <f t="shared" si="68"/>
        <v>46113</v>
      </c>
      <c r="F4384" t="s">
        <v>3546</v>
      </c>
      <c r="H4384" s="4">
        <v>10496.55</v>
      </c>
      <c r="I4384" t="s">
        <v>31</v>
      </c>
      <c r="J4384" t="s">
        <v>32</v>
      </c>
      <c r="K4384" t="s">
        <v>3548</v>
      </c>
      <c r="L4384" s="2">
        <v>46113</v>
      </c>
      <c r="M4384" t="s">
        <v>32</v>
      </c>
      <c r="N4384">
        <v>0</v>
      </c>
      <c r="O4384" t="s">
        <v>31</v>
      </c>
      <c r="P4384" t="s">
        <v>28</v>
      </c>
      <c r="Q4384">
        <v>0</v>
      </c>
    </row>
    <row r="4385" spans="1:17" x14ac:dyDescent="0.3">
      <c r="A4385" t="s">
        <v>17</v>
      </c>
      <c r="B4385">
        <v>67</v>
      </c>
      <c r="C4385" t="s">
        <v>28</v>
      </c>
      <c r="D4385" s="2">
        <v>46142</v>
      </c>
      <c r="E4385" s="3">
        <f t="shared" si="68"/>
        <v>46113</v>
      </c>
      <c r="F4385" t="s">
        <v>3549</v>
      </c>
      <c r="H4385" s="4">
        <v>1002.24</v>
      </c>
      <c r="I4385" t="s">
        <v>31</v>
      </c>
      <c r="J4385" t="s">
        <v>32</v>
      </c>
      <c r="K4385" t="s">
        <v>3550</v>
      </c>
      <c r="L4385" s="2">
        <v>46113</v>
      </c>
      <c r="M4385" t="s">
        <v>32</v>
      </c>
      <c r="N4385">
        <v>0</v>
      </c>
      <c r="O4385" t="s">
        <v>31</v>
      </c>
      <c r="P4385" t="s">
        <v>28</v>
      </c>
      <c r="Q4385">
        <v>0</v>
      </c>
    </row>
    <row r="4386" spans="1:17" x14ac:dyDescent="0.3">
      <c r="A4386" t="s">
        <v>17</v>
      </c>
      <c r="B4386">
        <v>67</v>
      </c>
      <c r="C4386" t="s">
        <v>28</v>
      </c>
      <c r="D4386" s="2">
        <v>46142</v>
      </c>
      <c r="E4386" s="3">
        <f t="shared" si="68"/>
        <v>46113</v>
      </c>
      <c r="F4386" t="s">
        <v>3551</v>
      </c>
      <c r="H4386" s="4">
        <v>1191.25</v>
      </c>
      <c r="I4386" t="s">
        <v>31</v>
      </c>
      <c r="J4386" t="s">
        <v>60</v>
      </c>
      <c r="K4386" t="s">
        <v>2884</v>
      </c>
      <c r="L4386" s="2">
        <v>46113</v>
      </c>
      <c r="M4386" t="s">
        <v>60</v>
      </c>
      <c r="N4386">
        <v>0</v>
      </c>
      <c r="O4386" t="s">
        <v>31</v>
      </c>
      <c r="P4386" t="s">
        <v>28</v>
      </c>
      <c r="Q4386">
        <v>0</v>
      </c>
    </row>
    <row r="4387" spans="1:17" x14ac:dyDescent="0.3">
      <c r="A4387" t="s">
        <v>17</v>
      </c>
      <c r="B4387">
        <v>67</v>
      </c>
      <c r="C4387" t="s">
        <v>28</v>
      </c>
      <c r="D4387" s="2">
        <v>46142</v>
      </c>
      <c r="E4387" s="3">
        <f t="shared" si="68"/>
        <v>46113</v>
      </c>
      <c r="F4387" t="s">
        <v>3552</v>
      </c>
      <c r="H4387" s="4">
        <v>557.91999999999996</v>
      </c>
      <c r="I4387" t="s">
        <v>31</v>
      </c>
      <c r="J4387" t="s">
        <v>60</v>
      </c>
      <c r="K4387" t="s">
        <v>3304</v>
      </c>
      <c r="L4387" s="2">
        <v>46113</v>
      </c>
      <c r="M4387" t="s">
        <v>60</v>
      </c>
      <c r="N4387">
        <v>0</v>
      </c>
      <c r="O4387" t="s">
        <v>31</v>
      </c>
      <c r="P4387" t="s">
        <v>28</v>
      </c>
      <c r="Q4387">
        <v>0</v>
      </c>
    </row>
    <row r="4388" spans="1:17" x14ac:dyDescent="0.3">
      <c r="A4388" t="s">
        <v>17</v>
      </c>
      <c r="B4388">
        <v>67</v>
      </c>
      <c r="C4388" t="s">
        <v>28</v>
      </c>
      <c r="D4388" s="2">
        <v>46142</v>
      </c>
      <c r="E4388" s="3">
        <f t="shared" si="68"/>
        <v>46113</v>
      </c>
      <c r="F4388" t="s">
        <v>3553</v>
      </c>
      <c r="H4388" s="4">
        <v>2980.1</v>
      </c>
      <c r="I4388" t="s">
        <v>31</v>
      </c>
      <c r="J4388" t="s">
        <v>60</v>
      </c>
      <c r="K4388" t="s">
        <v>3554</v>
      </c>
      <c r="L4388" s="2">
        <v>46113</v>
      </c>
      <c r="M4388" t="s">
        <v>60</v>
      </c>
      <c r="N4388">
        <v>0</v>
      </c>
      <c r="O4388" t="s">
        <v>31</v>
      </c>
      <c r="P4388" t="s">
        <v>28</v>
      </c>
      <c r="Q4388">
        <v>0</v>
      </c>
    </row>
    <row r="4389" spans="1:17" x14ac:dyDescent="0.3">
      <c r="A4389" t="s">
        <v>17</v>
      </c>
      <c r="B4389">
        <v>67</v>
      </c>
      <c r="C4389" t="s">
        <v>28</v>
      </c>
      <c r="D4389" s="2">
        <v>46142</v>
      </c>
      <c r="E4389" s="3">
        <f t="shared" si="68"/>
        <v>46113</v>
      </c>
      <c r="F4389" t="s">
        <v>3555</v>
      </c>
      <c r="H4389" s="4">
        <v>862.19</v>
      </c>
      <c r="I4389" t="s">
        <v>31</v>
      </c>
      <c r="J4389" t="s">
        <v>60</v>
      </c>
      <c r="K4389" t="s">
        <v>3302</v>
      </c>
      <c r="L4389" s="2">
        <v>46113</v>
      </c>
      <c r="M4389" t="s">
        <v>60</v>
      </c>
      <c r="N4389">
        <v>0</v>
      </c>
      <c r="O4389" t="s">
        <v>31</v>
      </c>
      <c r="P4389" t="s">
        <v>28</v>
      </c>
      <c r="Q4389">
        <v>0</v>
      </c>
    </row>
    <row r="4390" spans="1:17" x14ac:dyDescent="0.3">
      <c r="A4390" t="s">
        <v>17</v>
      </c>
      <c r="B4390">
        <v>67</v>
      </c>
      <c r="C4390" t="s">
        <v>28</v>
      </c>
      <c r="D4390" s="2">
        <v>46142</v>
      </c>
      <c r="E4390" s="3">
        <f t="shared" si="68"/>
        <v>46113</v>
      </c>
      <c r="F4390" t="s">
        <v>3556</v>
      </c>
      <c r="H4390" s="4">
        <v>-68.760000000000005</v>
      </c>
      <c r="I4390" t="s">
        <v>31</v>
      </c>
      <c r="J4390" t="s">
        <v>60</v>
      </c>
      <c r="L4390" s="2">
        <v>46113</v>
      </c>
      <c r="M4390" t="s">
        <v>60</v>
      </c>
      <c r="N4390">
        <v>0</v>
      </c>
      <c r="O4390" t="s">
        <v>31</v>
      </c>
      <c r="P4390" t="s">
        <v>28</v>
      </c>
      <c r="Q4390">
        <v>0</v>
      </c>
    </row>
    <row r="4391" spans="1:17" x14ac:dyDescent="0.3">
      <c r="A4391" t="s">
        <v>17</v>
      </c>
      <c r="B4391">
        <v>67</v>
      </c>
      <c r="C4391" t="s">
        <v>28</v>
      </c>
      <c r="D4391" s="2">
        <v>46142</v>
      </c>
      <c r="E4391" s="3">
        <f t="shared" si="68"/>
        <v>46113</v>
      </c>
      <c r="F4391" t="s">
        <v>3556</v>
      </c>
      <c r="H4391" s="4">
        <v>-98.15</v>
      </c>
      <c r="I4391" t="s">
        <v>31</v>
      </c>
      <c r="J4391" t="s">
        <v>60</v>
      </c>
      <c r="L4391" s="2">
        <v>46113</v>
      </c>
      <c r="M4391" t="s">
        <v>60</v>
      </c>
      <c r="N4391">
        <v>0</v>
      </c>
      <c r="O4391" t="s">
        <v>31</v>
      </c>
      <c r="P4391" t="s">
        <v>28</v>
      </c>
      <c r="Q4391">
        <v>0</v>
      </c>
    </row>
    <row r="4392" spans="1:17" x14ac:dyDescent="0.3">
      <c r="A4392" t="s">
        <v>17</v>
      </c>
      <c r="B4392">
        <v>67</v>
      </c>
      <c r="C4392" t="s">
        <v>28</v>
      </c>
      <c r="D4392" s="2">
        <v>46142</v>
      </c>
      <c r="E4392" s="3">
        <f t="shared" si="68"/>
        <v>46113</v>
      </c>
      <c r="F4392" t="s">
        <v>3556</v>
      </c>
      <c r="H4392" s="4">
        <v>-68.37</v>
      </c>
      <c r="I4392" t="s">
        <v>31</v>
      </c>
      <c r="J4392" t="s">
        <v>60</v>
      </c>
      <c r="L4392" s="2">
        <v>46113</v>
      </c>
      <c r="M4392" t="s">
        <v>60</v>
      </c>
      <c r="N4392">
        <v>0</v>
      </c>
      <c r="O4392" t="s">
        <v>31</v>
      </c>
      <c r="P4392" t="s">
        <v>28</v>
      </c>
      <c r="Q4392">
        <v>0</v>
      </c>
    </row>
    <row r="4393" spans="1:17" x14ac:dyDescent="0.3">
      <c r="A4393" t="s">
        <v>17</v>
      </c>
      <c r="B4393">
        <v>67</v>
      </c>
      <c r="C4393" t="s">
        <v>28</v>
      </c>
      <c r="D4393" s="2">
        <v>46142</v>
      </c>
      <c r="E4393" s="3">
        <f t="shared" si="68"/>
        <v>46113</v>
      </c>
      <c r="F4393" t="s">
        <v>3556</v>
      </c>
      <c r="H4393" s="4">
        <v>-100.75</v>
      </c>
      <c r="I4393" t="s">
        <v>31</v>
      </c>
      <c r="J4393" t="s">
        <v>60</v>
      </c>
      <c r="L4393" s="2">
        <v>46113</v>
      </c>
      <c r="M4393" t="s">
        <v>60</v>
      </c>
      <c r="N4393">
        <v>0</v>
      </c>
      <c r="O4393" t="s">
        <v>31</v>
      </c>
      <c r="P4393" t="s">
        <v>28</v>
      </c>
      <c r="Q4393">
        <v>0</v>
      </c>
    </row>
    <row r="4394" spans="1:17" x14ac:dyDescent="0.3">
      <c r="A4394" t="s">
        <v>17</v>
      </c>
      <c r="B4394">
        <v>67</v>
      </c>
      <c r="C4394" t="s">
        <v>28</v>
      </c>
      <c r="D4394" s="2">
        <v>46142</v>
      </c>
      <c r="E4394" s="3">
        <f t="shared" si="68"/>
        <v>46113</v>
      </c>
      <c r="F4394" t="s">
        <v>3556</v>
      </c>
      <c r="H4394" s="4">
        <v>-36.79</v>
      </c>
      <c r="I4394" t="s">
        <v>31</v>
      </c>
      <c r="J4394" t="s">
        <v>60</v>
      </c>
      <c r="L4394" s="2">
        <v>46113</v>
      </c>
      <c r="M4394" t="s">
        <v>60</v>
      </c>
      <c r="N4394">
        <v>0</v>
      </c>
      <c r="O4394" t="s">
        <v>31</v>
      </c>
      <c r="P4394" t="s">
        <v>28</v>
      </c>
      <c r="Q4394">
        <v>0</v>
      </c>
    </row>
    <row r="4395" spans="1:17" x14ac:dyDescent="0.3">
      <c r="A4395" t="s">
        <v>17</v>
      </c>
      <c r="B4395">
        <v>67</v>
      </c>
      <c r="C4395" t="s">
        <v>28</v>
      </c>
      <c r="D4395" s="2">
        <v>46142</v>
      </c>
      <c r="E4395" s="3">
        <f t="shared" si="68"/>
        <v>46113</v>
      </c>
      <c r="F4395" t="s">
        <v>3556</v>
      </c>
      <c r="H4395" s="4">
        <v>-19.55</v>
      </c>
      <c r="I4395" t="s">
        <v>31</v>
      </c>
      <c r="J4395" t="s">
        <v>60</v>
      </c>
      <c r="L4395" s="2">
        <v>46113</v>
      </c>
      <c r="M4395" t="s">
        <v>60</v>
      </c>
      <c r="N4395">
        <v>0</v>
      </c>
      <c r="O4395" t="s">
        <v>31</v>
      </c>
      <c r="P4395" t="s">
        <v>28</v>
      </c>
      <c r="Q4395">
        <v>0</v>
      </c>
    </row>
    <row r="4396" spans="1:17" x14ac:dyDescent="0.3">
      <c r="A4396" t="s">
        <v>17</v>
      </c>
      <c r="B4396">
        <v>67</v>
      </c>
      <c r="C4396" t="s">
        <v>28</v>
      </c>
      <c r="D4396" s="2">
        <v>46142</v>
      </c>
      <c r="E4396" s="3">
        <f t="shared" si="68"/>
        <v>46113</v>
      </c>
      <c r="F4396" t="s">
        <v>3556</v>
      </c>
      <c r="H4396" s="4">
        <v>-18.22</v>
      </c>
      <c r="I4396" t="s">
        <v>31</v>
      </c>
      <c r="J4396" t="s">
        <v>60</v>
      </c>
      <c r="L4396" s="2">
        <v>46113</v>
      </c>
      <c r="M4396" t="s">
        <v>60</v>
      </c>
      <c r="N4396">
        <v>0</v>
      </c>
      <c r="O4396" t="s">
        <v>31</v>
      </c>
      <c r="P4396" t="s">
        <v>28</v>
      </c>
      <c r="Q4396">
        <v>0</v>
      </c>
    </row>
    <row r="4397" spans="1:17" x14ac:dyDescent="0.3">
      <c r="A4397" t="s">
        <v>17</v>
      </c>
      <c r="B4397">
        <v>67</v>
      </c>
      <c r="C4397" t="s">
        <v>28</v>
      </c>
      <c r="D4397" s="2">
        <v>46142</v>
      </c>
      <c r="E4397" s="3">
        <f t="shared" si="68"/>
        <v>46113</v>
      </c>
      <c r="F4397" t="s">
        <v>3556</v>
      </c>
      <c r="H4397" s="4">
        <v>-1.3</v>
      </c>
      <c r="I4397" t="s">
        <v>31</v>
      </c>
      <c r="J4397" t="s">
        <v>60</v>
      </c>
      <c r="L4397" s="2">
        <v>46113</v>
      </c>
      <c r="M4397" t="s">
        <v>60</v>
      </c>
      <c r="N4397">
        <v>0</v>
      </c>
      <c r="O4397" t="s">
        <v>31</v>
      </c>
      <c r="P4397" t="s">
        <v>28</v>
      </c>
      <c r="Q4397">
        <v>0</v>
      </c>
    </row>
    <row r="4398" spans="1:17" x14ac:dyDescent="0.3">
      <c r="A4398" t="s">
        <v>17</v>
      </c>
      <c r="B4398">
        <v>67</v>
      </c>
      <c r="C4398" t="s">
        <v>28</v>
      </c>
      <c r="D4398" s="2">
        <v>46142</v>
      </c>
      <c r="E4398" s="3">
        <f t="shared" si="68"/>
        <v>46113</v>
      </c>
      <c r="F4398" t="s">
        <v>3557</v>
      </c>
      <c r="H4398" s="4">
        <v>785.13</v>
      </c>
      <c r="I4398" t="s">
        <v>31</v>
      </c>
      <c r="J4398" t="s">
        <v>60</v>
      </c>
      <c r="K4398" t="s">
        <v>2887</v>
      </c>
      <c r="L4398" s="2">
        <v>46113</v>
      </c>
      <c r="M4398" t="s">
        <v>60</v>
      </c>
      <c r="N4398">
        <v>0</v>
      </c>
      <c r="O4398" t="s">
        <v>31</v>
      </c>
      <c r="P4398" t="s">
        <v>28</v>
      </c>
      <c r="Q4398">
        <v>0</v>
      </c>
    </row>
    <row r="4399" spans="1:17" x14ac:dyDescent="0.3">
      <c r="A4399" t="s">
        <v>17</v>
      </c>
      <c r="B4399">
        <v>67</v>
      </c>
      <c r="C4399" t="s">
        <v>28</v>
      </c>
      <c r="D4399" s="2">
        <v>46142</v>
      </c>
      <c r="E4399" s="3">
        <f t="shared" si="68"/>
        <v>46113</v>
      </c>
      <c r="F4399" t="s">
        <v>3508</v>
      </c>
      <c r="H4399" s="4">
        <v>217.75</v>
      </c>
      <c r="I4399" t="s">
        <v>47</v>
      </c>
      <c r="J4399" t="s">
        <v>74</v>
      </c>
      <c r="K4399" t="s">
        <v>3558</v>
      </c>
      <c r="L4399" s="2">
        <v>46113</v>
      </c>
      <c r="M4399" t="s">
        <v>76</v>
      </c>
      <c r="N4399">
        <v>0</v>
      </c>
      <c r="O4399" t="s">
        <v>26</v>
      </c>
      <c r="P4399" t="s">
        <v>28</v>
      </c>
      <c r="Q4399">
        <v>0</v>
      </c>
    </row>
    <row r="4400" spans="1:17" x14ac:dyDescent="0.3">
      <c r="A4400" t="s">
        <v>17</v>
      </c>
      <c r="B4400">
        <v>67</v>
      </c>
      <c r="C4400" t="s">
        <v>28</v>
      </c>
      <c r="D4400" s="2">
        <v>46142</v>
      </c>
      <c r="E4400" s="3">
        <f t="shared" si="68"/>
        <v>46113</v>
      </c>
      <c r="F4400" t="s">
        <v>3518</v>
      </c>
      <c r="G4400" t="s">
        <v>222</v>
      </c>
      <c r="H4400" s="4">
        <v>21.78</v>
      </c>
      <c r="I4400" t="s">
        <v>104</v>
      </c>
      <c r="J4400" t="s">
        <v>74</v>
      </c>
      <c r="K4400" t="s">
        <v>3559</v>
      </c>
      <c r="L4400" s="2">
        <v>46113</v>
      </c>
      <c r="M4400" t="s">
        <v>76</v>
      </c>
      <c r="N4400">
        <v>0</v>
      </c>
      <c r="O4400" t="s">
        <v>104</v>
      </c>
      <c r="P4400" t="s">
        <v>28</v>
      </c>
      <c r="Q4400">
        <v>0</v>
      </c>
    </row>
    <row r="4401" spans="1:17" x14ac:dyDescent="0.3">
      <c r="A4401" t="s">
        <v>17</v>
      </c>
      <c r="B4401">
        <v>67</v>
      </c>
      <c r="C4401" t="s">
        <v>28</v>
      </c>
      <c r="D4401" s="2">
        <v>46142</v>
      </c>
      <c r="E4401" s="3">
        <f t="shared" si="68"/>
        <v>46113</v>
      </c>
      <c r="F4401" t="s">
        <v>3518</v>
      </c>
      <c r="G4401" t="s">
        <v>222</v>
      </c>
      <c r="H4401" s="4">
        <v>20</v>
      </c>
      <c r="I4401" t="s">
        <v>104</v>
      </c>
      <c r="J4401" t="s">
        <v>74</v>
      </c>
      <c r="K4401" t="s">
        <v>3560</v>
      </c>
      <c r="L4401" s="2">
        <v>46113</v>
      </c>
      <c r="M4401" t="s">
        <v>76</v>
      </c>
      <c r="N4401">
        <v>0</v>
      </c>
      <c r="O4401" t="s">
        <v>104</v>
      </c>
      <c r="P4401" t="s">
        <v>28</v>
      </c>
      <c r="Q4401">
        <v>0</v>
      </c>
    </row>
    <row r="4402" spans="1:17" x14ac:dyDescent="0.3">
      <c r="A4402" t="s">
        <v>17</v>
      </c>
      <c r="B4402">
        <v>67</v>
      </c>
      <c r="C4402" t="s">
        <v>28</v>
      </c>
      <c r="D4402" s="2">
        <v>46142</v>
      </c>
      <c r="E4402" s="3">
        <f t="shared" si="68"/>
        <v>46113</v>
      </c>
      <c r="F4402" t="s">
        <v>3518</v>
      </c>
      <c r="G4402" t="s">
        <v>222</v>
      </c>
      <c r="H4402" s="4">
        <v>20</v>
      </c>
      <c r="I4402" t="s">
        <v>104</v>
      </c>
      <c r="J4402" t="s">
        <v>74</v>
      </c>
      <c r="K4402" t="s">
        <v>3561</v>
      </c>
      <c r="L4402" s="2">
        <v>46113</v>
      </c>
      <c r="M4402" t="s">
        <v>76</v>
      </c>
      <c r="N4402">
        <v>0</v>
      </c>
      <c r="O4402" t="s">
        <v>104</v>
      </c>
      <c r="P4402" t="s">
        <v>28</v>
      </c>
      <c r="Q4402">
        <v>0</v>
      </c>
    </row>
    <row r="4403" spans="1:17" x14ac:dyDescent="0.3">
      <c r="A4403" t="s">
        <v>17</v>
      </c>
      <c r="B4403">
        <v>67</v>
      </c>
      <c r="C4403" t="s">
        <v>28</v>
      </c>
      <c r="D4403" s="2">
        <v>46142</v>
      </c>
      <c r="E4403" s="3">
        <f t="shared" si="68"/>
        <v>46113</v>
      </c>
      <c r="F4403" t="s">
        <v>3504</v>
      </c>
      <c r="H4403" s="4">
        <v>217.75</v>
      </c>
      <c r="I4403" t="s">
        <v>31</v>
      </c>
      <c r="J4403" t="s">
        <v>74</v>
      </c>
      <c r="K4403" t="s">
        <v>2139</v>
      </c>
      <c r="L4403" s="2">
        <v>46113</v>
      </c>
      <c r="M4403" t="s">
        <v>76</v>
      </c>
      <c r="N4403">
        <v>0</v>
      </c>
      <c r="O4403" t="s">
        <v>31</v>
      </c>
      <c r="P4403" t="s">
        <v>28</v>
      </c>
      <c r="Q4403">
        <v>0</v>
      </c>
    </row>
    <row r="4404" spans="1:17" x14ac:dyDescent="0.3">
      <c r="A4404" t="s">
        <v>17</v>
      </c>
      <c r="B4404">
        <v>67</v>
      </c>
      <c r="C4404" t="s">
        <v>28</v>
      </c>
      <c r="D4404" s="2">
        <v>46142</v>
      </c>
      <c r="E4404" s="3">
        <f t="shared" si="68"/>
        <v>46113</v>
      </c>
      <c r="F4404" t="s">
        <v>3504</v>
      </c>
      <c r="H4404" s="4">
        <v>11.77</v>
      </c>
      <c r="I4404" t="s">
        <v>31</v>
      </c>
      <c r="J4404" t="s">
        <v>74</v>
      </c>
      <c r="K4404" t="s">
        <v>3562</v>
      </c>
      <c r="L4404" s="2">
        <v>46113</v>
      </c>
      <c r="M4404" t="s">
        <v>76</v>
      </c>
      <c r="N4404">
        <v>0</v>
      </c>
      <c r="O4404" t="s">
        <v>31</v>
      </c>
      <c r="P4404" t="s">
        <v>28</v>
      </c>
      <c r="Q4404">
        <v>0</v>
      </c>
    </row>
    <row r="4405" spans="1:17" x14ac:dyDescent="0.3">
      <c r="A4405" t="s">
        <v>17</v>
      </c>
      <c r="B4405">
        <v>67</v>
      </c>
      <c r="C4405" t="s">
        <v>28</v>
      </c>
      <c r="D4405" s="2">
        <v>46142</v>
      </c>
      <c r="E4405" s="3">
        <f t="shared" si="68"/>
        <v>46113</v>
      </c>
      <c r="F4405" t="s">
        <v>3504</v>
      </c>
      <c r="H4405" s="4">
        <v>170</v>
      </c>
      <c r="I4405" t="s">
        <v>31</v>
      </c>
      <c r="J4405" t="s">
        <v>74</v>
      </c>
      <c r="K4405" t="s">
        <v>3117</v>
      </c>
      <c r="L4405" s="2">
        <v>46113</v>
      </c>
      <c r="M4405" t="s">
        <v>76</v>
      </c>
      <c r="N4405">
        <v>0</v>
      </c>
      <c r="O4405" t="s">
        <v>31</v>
      </c>
      <c r="P4405" t="s">
        <v>28</v>
      </c>
      <c r="Q4405">
        <v>0</v>
      </c>
    </row>
    <row r="4406" spans="1:17" x14ac:dyDescent="0.3">
      <c r="A4406" t="s">
        <v>17</v>
      </c>
      <c r="B4406">
        <v>67</v>
      </c>
      <c r="C4406" t="s">
        <v>28</v>
      </c>
      <c r="D4406" s="2">
        <v>46142</v>
      </c>
      <c r="E4406" s="3">
        <f t="shared" si="68"/>
        <v>46113</v>
      </c>
      <c r="F4406" t="s">
        <v>3504</v>
      </c>
      <c r="H4406" s="4">
        <v>11.27</v>
      </c>
      <c r="I4406" t="s">
        <v>31</v>
      </c>
      <c r="J4406" t="s">
        <v>74</v>
      </c>
      <c r="K4406" t="s">
        <v>3562</v>
      </c>
      <c r="L4406" s="2">
        <v>46113</v>
      </c>
      <c r="M4406" t="s">
        <v>76</v>
      </c>
      <c r="N4406">
        <v>0</v>
      </c>
      <c r="O4406" t="s">
        <v>31</v>
      </c>
      <c r="P4406" t="s">
        <v>28</v>
      </c>
      <c r="Q4406">
        <v>0</v>
      </c>
    </row>
    <row r="4407" spans="1:17" x14ac:dyDescent="0.3">
      <c r="A4407" t="s">
        <v>17</v>
      </c>
      <c r="B4407">
        <v>67</v>
      </c>
      <c r="C4407" t="s">
        <v>28</v>
      </c>
      <c r="D4407" s="2">
        <v>46142</v>
      </c>
      <c r="E4407" s="3">
        <f t="shared" si="68"/>
        <v>46113</v>
      </c>
      <c r="F4407" t="s">
        <v>3504</v>
      </c>
      <c r="H4407" s="4">
        <v>11.19</v>
      </c>
      <c r="I4407" t="s">
        <v>31</v>
      </c>
      <c r="J4407" t="s">
        <v>74</v>
      </c>
      <c r="K4407" t="s">
        <v>3562</v>
      </c>
      <c r="L4407" s="2">
        <v>46113</v>
      </c>
      <c r="M4407" t="s">
        <v>76</v>
      </c>
      <c r="N4407">
        <v>0</v>
      </c>
      <c r="O4407" t="s">
        <v>31</v>
      </c>
      <c r="P4407" t="s">
        <v>28</v>
      </c>
      <c r="Q4407">
        <v>0</v>
      </c>
    </row>
    <row r="4408" spans="1:17" x14ac:dyDescent="0.3">
      <c r="A4408" t="s">
        <v>17</v>
      </c>
      <c r="B4408">
        <v>67</v>
      </c>
      <c r="C4408" t="s">
        <v>28</v>
      </c>
      <c r="D4408" s="2">
        <v>46142</v>
      </c>
      <c r="E4408" s="3">
        <f t="shared" si="68"/>
        <v>46113</v>
      </c>
      <c r="F4408" t="s">
        <v>3504</v>
      </c>
      <c r="H4408" s="4">
        <v>11.49</v>
      </c>
      <c r="I4408" t="s">
        <v>31</v>
      </c>
      <c r="J4408" t="s">
        <v>74</v>
      </c>
      <c r="K4408" t="s">
        <v>3562</v>
      </c>
      <c r="L4408" s="2">
        <v>46113</v>
      </c>
      <c r="M4408" t="s">
        <v>76</v>
      </c>
      <c r="N4408">
        <v>0</v>
      </c>
      <c r="O4408" t="s">
        <v>31</v>
      </c>
      <c r="P4408" t="s">
        <v>28</v>
      </c>
      <c r="Q4408">
        <v>0</v>
      </c>
    </row>
    <row r="4409" spans="1:17" x14ac:dyDescent="0.3">
      <c r="A4409" t="s">
        <v>17</v>
      </c>
      <c r="B4409">
        <v>67</v>
      </c>
      <c r="C4409" t="s">
        <v>28</v>
      </c>
      <c r="D4409" s="2">
        <v>46142</v>
      </c>
      <c r="E4409" s="3">
        <f t="shared" si="68"/>
        <v>46113</v>
      </c>
      <c r="F4409" t="s">
        <v>3504</v>
      </c>
      <c r="H4409" s="4">
        <v>24.99</v>
      </c>
      <c r="I4409" t="s">
        <v>31</v>
      </c>
      <c r="J4409" t="s">
        <v>74</v>
      </c>
      <c r="K4409" t="s">
        <v>3118</v>
      </c>
      <c r="L4409" s="2">
        <v>46113</v>
      </c>
      <c r="M4409" t="s">
        <v>76</v>
      </c>
      <c r="N4409">
        <v>0</v>
      </c>
      <c r="O4409" t="s">
        <v>31</v>
      </c>
      <c r="P4409" t="s">
        <v>28</v>
      </c>
      <c r="Q4409">
        <v>0</v>
      </c>
    </row>
    <row r="4410" spans="1:17" x14ac:dyDescent="0.3">
      <c r="A4410" t="s">
        <v>17</v>
      </c>
      <c r="B4410">
        <v>67</v>
      </c>
      <c r="C4410" t="s">
        <v>28</v>
      </c>
      <c r="D4410" s="2">
        <v>46142</v>
      </c>
      <c r="E4410" s="3">
        <f t="shared" si="68"/>
        <v>46113</v>
      </c>
      <c r="F4410" t="s">
        <v>3504</v>
      </c>
      <c r="H4410" s="4">
        <v>11.17</v>
      </c>
      <c r="I4410" t="s">
        <v>31</v>
      </c>
      <c r="J4410" t="s">
        <v>74</v>
      </c>
      <c r="K4410" t="s">
        <v>3562</v>
      </c>
      <c r="L4410" s="2">
        <v>46113</v>
      </c>
      <c r="M4410" t="s">
        <v>76</v>
      </c>
      <c r="N4410">
        <v>0</v>
      </c>
      <c r="O4410" t="s">
        <v>31</v>
      </c>
      <c r="P4410" t="s">
        <v>28</v>
      </c>
      <c r="Q4410">
        <v>0</v>
      </c>
    </row>
    <row r="4411" spans="1:17" x14ac:dyDescent="0.3">
      <c r="A4411" t="s">
        <v>17</v>
      </c>
      <c r="B4411">
        <v>67</v>
      </c>
      <c r="C4411" t="s">
        <v>28</v>
      </c>
      <c r="D4411" s="2">
        <v>46142</v>
      </c>
      <c r="E4411" s="3">
        <f t="shared" si="68"/>
        <v>46113</v>
      </c>
      <c r="F4411" t="s">
        <v>3504</v>
      </c>
      <c r="H4411" s="4">
        <v>148.65</v>
      </c>
      <c r="I4411" t="s">
        <v>31</v>
      </c>
      <c r="J4411" t="s">
        <v>74</v>
      </c>
      <c r="K4411" t="s">
        <v>247</v>
      </c>
      <c r="L4411" s="2">
        <v>46113</v>
      </c>
      <c r="M4411" t="s">
        <v>76</v>
      </c>
      <c r="N4411">
        <v>0</v>
      </c>
      <c r="O4411" t="s">
        <v>31</v>
      </c>
      <c r="P4411" t="s">
        <v>28</v>
      </c>
      <c r="Q4411">
        <v>0</v>
      </c>
    </row>
    <row r="4412" spans="1:17" x14ac:dyDescent="0.3">
      <c r="A4412" t="s">
        <v>17</v>
      </c>
      <c r="B4412">
        <v>67</v>
      </c>
      <c r="C4412" t="s">
        <v>28</v>
      </c>
      <c r="D4412" s="2">
        <v>46142</v>
      </c>
      <c r="E4412" s="3">
        <f t="shared" si="68"/>
        <v>46113</v>
      </c>
      <c r="F4412" t="s">
        <v>3504</v>
      </c>
      <c r="H4412" s="4">
        <v>11.24</v>
      </c>
      <c r="I4412" t="s">
        <v>31</v>
      </c>
      <c r="J4412" t="s">
        <v>74</v>
      </c>
      <c r="K4412" t="s">
        <v>3562</v>
      </c>
      <c r="L4412" s="2">
        <v>46113</v>
      </c>
      <c r="M4412" t="s">
        <v>76</v>
      </c>
      <c r="N4412">
        <v>0</v>
      </c>
      <c r="O4412" t="s">
        <v>31</v>
      </c>
      <c r="P4412" t="s">
        <v>28</v>
      </c>
      <c r="Q4412">
        <v>0</v>
      </c>
    </row>
    <row r="4413" spans="1:17" x14ac:dyDescent="0.3">
      <c r="A4413" t="s">
        <v>17</v>
      </c>
      <c r="B4413">
        <v>67</v>
      </c>
      <c r="C4413" t="s">
        <v>28</v>
      </c>
      <c r="D4413" s="2">
        <v>46142</v>
      </c>
      <c r="E4413" s="3">
        <f t="shared" si="68"/>
        <v>46113</v>
      </c>
      <c r="F4413" t="s">
        <v>3504</v>
      </c>
      <c r="H4413" s="4">
        <v>11.18</v>
      </c>
      <c r="I4413" t="s">
        <v>31</v>
      </c>
      <c r="J4413" t="s">
        <v>74</v>
      </c>
      <c r="K4413" t="s">
        <v>3562</v>
      </c>
      <c r="L4413" s="2">
        <v>46113</v>
      </c>
      <c r="M4413" t="s">
        <v>76</v>
      </c>
      <c r="N4413">
        <v>0</v>
      </c>
      <c r="O4413" t="s">
        <v>31</v>
      </c>
      <c r="P4413" t="s">
        <v>28</v>
      </c>
      <c r="Q4413">
        <v>0</v>
      </c>
    </row>
    <row r="4414" spans="1:17" x14ac:dyDescent="0.3">
      <c r="A4414" t="s">
        <v>17</v>
      </c>
      <c r="B4414">
        <v>67</v>
      </c>
      <c r="C4414" t="s">
        <v>28</v>
      </c>
      <c r="D4414" s="2">
        <v>46142</v>
      </c>
      <c r="E4414" s="3">
        <f t="shared" si="68"/>
        <v>46113</v>
      </c>
      <c r="F4414" t="s">
        <v>3504</v>
      </c>
      <c r="H4414" s="4">
        <v>11.26</v>
      </c>
      <c r="I4414" t="s">
        <v>31</v>
      </c>
      <c r="J4414" t="s">
        <v>74</v>
      </c>
      <c r="K4414" t="s">
        <v>3562</v>
      </c>
      <c r="L4414" s="2">
        <v>46113</v>
      </c>
      <c r="M4414" t="s">
        <v>76</v>
      </c>
      <c r="N4414">
        <v>0</v>
      </c>
      <c r="O4414" t="s">
        <v>31</v>
      </c>
      <c r="P4414" t="s">
        <v>28</v>
      </c>
      <c r="Q4414">
        <v>0</v>
      </c>
    </row>
    <row r="4415" spans="1:17" x14ac:dyDescent="0.3">
      <c r="A4415" t="s">
        <v>17</v>
      </c>
      <c r="B4415">
        <v>67</v>
      </c>
      <c r="C4415" t="s">
        <v>28</v>
      </c>
      <c r="D4415" s="2">
        <v>46142</v>
      </c>
      <c r="E4415" s="3">
        <f t="shared" si="68"/>
        <v>46113</v>
      </c>
      <c r="F4415" t="s">
        <v>3504</v>
      </c>
      <c r="H4415" s="4">
        <v>11.09</v>
      </c>
      <c r="I4415" t="s">
        <v>31</v>
      </c>
      <c r="J4415" t="s">
        <v>74</v>
      </c>
      <c r="K4415" t="s">
        <v>3562</v>
      </c>
      <c r="L4415" s="2">
        <v>46113</v>
      </c>
      <c r="M4415" t="s">
        <v>76</v>
      </c>
      <c r="N4415">
        <v>0</v>
      </c>
      <c r="O4415" t="s">
        <v>31</v>
      </c>
      <c r="P4415" t="s">
        <v>28</v>
      </c>
      <c r="Q4415">
        <v>0</v>
      </c>
    </row>
    <row r="4416" spans="1:17" x14ac:dyDescent="0.3">
      <c r="A4416" t="s">
        <v>17</v>
      </c>
      <c r="B4416">
        <v>67</v>
      </c>
      <c r="C4416" t="s">
        <v>28</v>
      </c>
      <c r="D4416" s="2">
        <v>46142</v>
      </c>
      <c r="E4416" s="3">
        <f t="shared" si="68"/>
        <v>46113</v>
      </c>
      <c r="F4416" t="s">
        <v>3563</v>
      </c>
      <c r="H4416" s="4">
        <v>18.149999999999999</v>
      </c>
      <c r="I4416" t="s">
        <v>108</v>
      </c>
      <c r="J4416" t="s">
        <v>74</v>
      </c>
      <c r="K4416" t="s">
        <v>2366</v>
      </c>
      <c r="L4416" s="2">
        <v>46113</v>
      </c>
      <c r="M4416" t="s">
        <v>76</v>
      </c>
      <c r="N4416">
        <v>0</v>
      </c>
      <c r="O4416" t="s">
        <v>111</v>
      </c>
      <c r="P4416" t="s">
        <v>28</v>
      </c>
      <c r="Q4416">
        <v>0</v>
      </c>
    </row>
    <row r="4417" spans="1:17" x14ac:dyDescent="0.3">
      <c r="A4417" t="s">
        <v>17</v>
      </c>
      <c r="B4417">
        <v>67</v>
      </c>
      <c r="C4417" t="s">
        <v>28</v>
      </c>
      <c r="D4417" s="2">
        <v>46142</v>
      </c>
      <c r="E4417" s="3">
        <f t="shared" si="68"/>
        <v>46113</v>
      </c>
      <c r="F4417" t="s">
        <v>3564</v>
      </c>
      <c r="H4417" s="4">
        <v>16.670000000000002</v>
      </c>
      <c r="I4417" t="s">
        <v>47</v>
      </c>
      <c r="J4417" t="s">
        <v>74</v>
      </c>
      <c r="K4417" t="s">
        <v>2891</v>
      </c>
      <c r="L4417" s="2">
        <v>46113</v>
      </c>
      <c r="M4417" t="s">
        <v>76</v>
      </c>
      <c r="N4417">
        <v>0</v>
      </c>
      <c r="O4417" t="s">
        <v>26</v>
      </c>
      <c r="P4417" t="s">
        <v>28</v>
      </c>
      <c r="Q4417">
        <v>0</v>
      </c>
    </row>
    <row r="4418" spans="1:17" x14ac:dyDescent="0.3">
      <c r="A4418" t="s">
        <v>17</v>
      </c>
      <c r="B4418">
        <v>67</v>
      </c>
      <c r="C4418" t="s">
        <v>28</v>
      </c>
      <c r="D4418" s="2">
        <v>46142</v>
      </c>
      <c r="E4418" s="3">
        <f t="shared" si="68"/>
        <v>46113</v>
      </c>
      <c r="F4418" t="s">
        <v>3565</v>
      </c>
      <c r="H4418" s="4">
        <v>24.5</v>
      </c>
      <c r="I4418" t="s">
        <v>47</v>
      </c>
      <c r="J4418" t="s">
        <v>74</v>
      </c>
      <c r="K4418" t="s">
        <v>2649</v>
      </c>
      <c r="L4418" s="2">
        <v>46113</v>
      </c>
      <c r="M4418" t="s">
        <v>76</v>
      </c>
      <c r="N4418">
        <v>0</v>
      </c>
      <c r="O4418" t="s">
        <v>26</v>
      </c>
      <c r="P4418" t="s">
        <v>28</v>
      </c>
      <c r="Q4418">
        <v>0</v>
      </c>
    </row>
    <row r="4419" spans="1:17" x14ac:dyDescent="0.3">
      <c r="A4419" t="s">
        <v>17</v>
      </c>
      <c r="B4419">
        <v>67</v>
      </c>
      <c r="C4419" t="s">
        <v>28</v>
      </c>
      <c r="D4419" s="2">
        <v>46142</v>
      </c>
      <c r="E4419" s="3">
        <f t="shared" ref="E4419:E4482" si="69">IF($D4419="","",DATE(YEAR($D4419),MONTH($D4419),1))</f>
        <v>46113</v>
      </c>
      <c r="F4419" t="s">
        <v>3566</v>
      </c>
      <c r="H4419" s="4">
        <v>41.67</v>
      </c>
      <c r="I4419" t="s">
        <v>47</v>
      </c>
      <c r="J4419" t="s">
        <v>74</v>
      </c>
      <c r="K4419" t="s">
        <v>2150</v>
      </c>
      <c r="L4419" s="2">
        <v>46113</v>
      </c>
      <c r="M4419" t="s">
        <v>76</v>
      </c>
      <c r="N4419">
        <v>0</v>
      </c>
      <c r="O4419" t="s">
        <v>26</v>
      </c>
      <c r="P4419" t="s">
        <v>28</v>
      </c>
      <c r="Q4419">
        <v>0</v>
      </c>
    </row>
    <row r="4420" spans="1:17" x14ac:dyDescent="0.3">
      <c r="A4420" t="s">
        <v>17</v>
      </c>
      <c r="B4420">
        <v>67</v>
      </c>
      <c r="C4420" t="s">
        <v>28</v>
      </c>
      <c r="D4420" s="2">
        <v>46142</v>
      </c>
      <c r="E4420" s="3">
        <f t="shared" si="69"/>
        <v>46113</v>
      </c>
      <c r="F4420" t="s">
        <v>3567</v>
      </c>
      <c r="H4420" s="4">
        <v>19.600000000000001</v>
      </c>
      <c r="I4420" t="s">
        <v>159</v>
      </c>
      <c r="J4420" t="s">
        <v>74</v>
      </c>
      <c r="K4420" t="s">
        <v>2659</v>
      </c>
      <c r="L4420" s="2">
        <v>46113</v>
      </c>
      <c r="M4420" t="s">
        <v>76</v>
      </c>
      <c r="N4420">
        <v>0</v>
      </c>
      <c r="O4420" t="s">
        <v>159</v>
      </c>
      <c r="P4420" t="s">
        <v>28</v>
      </c>
      <c r="Q4420">
        <v>0</v>
      </c>
    </row>
    <row r="4421" spans="1:17" x14ac:dyDescent="0.3">
      <c r="A4421" t="s">
        <v>17</v>
      </c>
      <c r="B4421">
        <v>67</v>
      </c>
      <c r="C4421" t="s">
        <v>28</v>
      </c>
      <c r="D4421" s="2">
        <v>46142</v>
      </c>
      <c r="E4421" s="3">
        <f t="shared" si="69"/>
        <v>46113</v>
      </c>
      <c r="F4421" t="s">
        <v>3568</v>
      </c>
      <c r="H4421" s="4">
        <v>21.76</v>
      </c>
      <c r="I4421" t="s">
        <v>159</v>
      </c>
      <c r="J4421" t="s">
        <v>74</v>
      </c>
      <c r="K4421" t="s">
        <v>3569</v>
      </c>
      <c r="L4421" s="2">
        <v>46113</v>
      </c>
      <c r="M4421" t="s">
        <v>76</v>
      </c>
      <c r="N4421">
        <v>0</v>
      </c>
      <c r="O4421" t="s">
        <v>159</v>
      </c>
      <c r="P4421" t="s">
        <v>28</v>
      </c>
      <c r="Q4421">
        <v>0</v>
      </c>
    </row>
    <row r="4422" spans="1:17" x14ac:dyDescent="0.3">
      <c r="A4422" t="s">
        <v>17</v>
      </c>
      <c r="B4422">
        <v>67</v>
      </c>
      <c r="C4422" t="s">
        <v>28</v>
      </c>
      <c r="D4422" s="2">
        <v>46142</v>
      </c>
      <c r="E4422" s="3">
        <f t="shared" si="69"/>
        <v>46113</v>
      </c>
      <c r="F4422" t="s">
        <v>3570</v>
      </c>
      <c r="H4422" s="4">
        <v>9.99</v>
      </c>
      <c r="I4422" t="s">
        <v>31</v>
      </c>
      <c r="J4422" t="s">
        <v>74</v>
      </c>
      <c r="K4422" t="s">
        <v>1494</v>
      </c>
      <c r="L4422" s="2">
        <v>46113</v>
      </c>
      <c r="M4422" t="s">
        <v>76</v>
      </c>
      <c r="N4422">
        <v>0</v>
      </c>
      <c r="O4422" t="s">
        <v>31</v>
      </c>
      <c r="P4422" t="s">
        <v>28</v>
      </c>
      <c r="Q4422">
        <v>0</v>
      </c>
    </row>
    <row r="4423" spans="1:17" x14ac:dyDescent="0.3">
      <c r="A4423" t="s">
        <v>17</v>
      </c>
      <c r="B4423">
        <v>67</v>
      </c>
      <c r="C4423" t="s">
        <v>28</v>
      </c>
      <c r="D4423" s="2">
        <v>46142</v>
      </c>
      <c r="E4423" s="3">
        <f t="shared" si="69"/>
        <v>46113</v>
      </c>
      <c r="F4423" t="s">
        <v>3571</v>
      </c>
      <c r="H4423" s="4">
        <v>2582.4499999999998</v>
      </c>
      <c r="I4423" t="s">
        <v>31</v>
      </c>
      <c r="J4423" t="s">
        <v>74</v>
      </c>
      <c r="K4423" t="s">
        <v>1100</v>
      </c>
      <c r="L4423" s="2">
        <v>46113</v>
      </c>
      <c r="M4423" t="s">
        <v>76</v>
      </c>
      <c r="N4423">
        <v>0</v>
      </c>
      <c r="O4423" t="s">
        <v>31</v>
      </c>
      <c r="P4423" t="s">
        <v>28</v>
      </c>
      <c r="Q4423">
        <v>0</v>
      </c>
    </row>
    <row r="4424" spans="1:17" x14ac:dyDescent="0.3">
      <c r="A4424" t="s">
        <v>17</v>
      </c>
      <c r="B4424">
        <v>67</v>
      </c>
      <c r="C4424" t="s">
        <v>28</v>
      </c>
      <c r="D4424" s="2">
        <v>46142</v>
      </c>
      <c r="E4424" s="3">
        <f t="shared" si="69"/>
        <v>46113</v>
      </c>
      <c r="F4424" t="s">
        <v>3572</v>
      </c>
      <c r="H4424" s="4">
        <v>4148.26</v>
      </c>
      <c r="I4424" t="s">
        <v>31</v>
      </c>
      <c r="J4424" t="s">
        <v>74</v>
      </c>
      <c r="K4424" t="s">
        <v>3323</v>
      </c>
      <c r="L4424" s="2">
        <v>46113</v>
      </c>
      <c r="M4424" t="s">
        <v>76</v>
      </c>
      <c r="N4424">
        <v>0</v>
      </c>
      <c r="O4424" t="s">
        <v>31</v>
      </c>
      <c r="P4424" t="s">
        <v>28</v>
      </c>
      <c r="Q4424">
        <v>0</v>
      </c>
    </row>
    <row r="4425" spans="1:17" x14ac:dyDescent="0.3">
      <c r="A4425" t="s">
        <v>17</v>
      </c>
      <c r="B4425">
        <v>67</v>
      </c>
      <c r="C4425" t="s">
        <v>28</v>
      </c>
      <c r="D4425" s="2">
        <v>46142</v>
      </c>
      <c r="E4425" s="3">
        <f t="shared" si="69"/>
        <v>46113</v>
      </c>
      <c r="F4425" t="s">
        <v>3573</v>
      </c>
      <c r="H4425" s="4">
        <v>21.76</v>
      </c>
      <c r="I4425" t="s">
        <v>31</v>
      </c>
      <c r="J4425" t="s">
        <v>74</v>
      </c>
      <c r="K4425" t="s">
        <v>3327</v>
      </c>
      <c r="L4425" s="2">
        <v>46113</v>
      </c>
      <c r="M4425" t="s">
        <v>76</v>
      </c>
      <c r="N4425">
        <v>0</v>
      </c>
      <c r="O4425" t="s">
        <v>31</v>
      </c>
      <c r="P4425" t="s">
        <v>28</v>
      </c>
      <c r="Q4425">
        <v>0</v>
      </c>
    </row>
    <row r="4426" spans="1:17" x14ac:dyDescent="0.3">
      <c r="A4426" t="s">
        <v>17</v>
      </c>
      <c r="B4426">
        <v>67</v>
      </c>
      <c r="C4426" t="s">
        <v>28</v>
      </c>
      <c r="D4426" s="2">
        <v>46142</v>
      </c>
      <c r="E4426" s="3">
        <f t="shared" si="69"/>
        <v>46113</v>
      </c>
      <c r="F4426" t="s">
        <v>3574</v>
      </c>
      <c r="H4426" s="4">
        <v>411.58</v>
      </c>
      <c r="I4426" t="s">
        <v>31</v>
      </c>
      <c r="J4426" t="s">
        <v>74</v>
      </c>
      <c r="K4426" t="s">
        <v>1501</v>
      </c>
      <c r="L4426" s="2">
        <v>46113</v>
      </c>
      <c r="M4426" t="s">
        <v>76</v>
      </c>
      <c r="N4426">
        <v>0</v>
      </c>
      <c r="O4426" t="s">
        <v>31</v>
      </c>
      <c r="P4426" t="s">
        <v>28</v>
      </c>
      <c r="Q4426">
        <v>0</v>
      </c>
    </row>
    <row r="4427" spans="1:17" x14ac:dyDescent="0.3">
      <c r="A4427" t="s">
        <v>17</v>
      </c>
      <c r="B4427">
        <v>67</v>
      </c>
      <c r="C4427" t="s">
        <v>28</v>
      </c>
      <c r="D4427" s="2">
        <v>46142</v>
      </c>
      <c r="E4427" s="3">
        <f t="shared" si="69"/>
        <v>46113</v>
      </c>
      <c r="F4427" t="s">
        <v>3575</v>
      </c>
      <c r="H4427" s="4">
        <v>98.53</v>
      </c>
      <c r="I4427" t="s">
        <v>31</v>
      </c>
      <c r="J4427" t="s">
        <v>74</v>
      </c>
      <c r="K4427" t="s">
        <v>1889</v>
      </c>
      <c r="L4427" s="2">
        <v>46113</v>
      </c>
      <c r="M4427" t="s">
        <v>76</v>
      </c>
      <c r="N4427">
        <v>0</v>
      </c>
      <c r="O4427" t="s">
        <v>31</v>
      </c>
      <c r="P4427" t="s">
        <v>28</v>
      </c>
      <c r="Q4427">
        <v>0</v>
      </c>
    </row>
    <row r="4428" spans="1:17" x14ac:dyDescent="0.3">
      <c r="A4428" t="s">
        <v>17</v>
      </c>
      <c r="B4428">
        <v>67</v>
      </c>
      <c r="C4428" t="s">
        <v>28</v>
      </c>
      <c r="D4428" s="2">
        <v>46142</v>
      </c>
      <c r="E4428" s="3">
        <f t="shared" si="69"/>
        <v>46113</v>
      </c>
      <c r="F4428" t="s">
        <v>3576</v>
      </c>
      <c r="H4428" s="4">
        <v>421.69</v>
      </c>
      <c r="I4428" t="s">
        <v>31</v>
      </c>
      <c r="J4428" t="s">
        <v>74</v>
      </c>
      <c r="K4428" t="s">
        <v>3325</v>
      </c>
      <c r="L4428" s="2">
        <v>46113</v>
      </c>
      <c r="M4428" t="s">
        <v>76</v>
      </c>
      <c r="N4428">
        <v>0</v>
      </c>
      <c r="O4428" t="s">
        <v>31</v>
      </c>
      <c r="P4428" t="s">
        <v>28</v>
      </c>
      <c r="Q4428">
        <v>0</v>
      </c>
    </row>
    <row r="4429" spans="1:17" x14ac:dyDescent="0.3">
      <c r="A4429" t="s">
        <v>17</v>
      </c>
      <c r="B4429">
        <v>67</v>
      </c>
      <c r="C4429" t="s">
        <v>28</v>
      </c>
      <c r="D4429" s="2">
        <v>46142</v>
      </c>
      <c r="E4429" s="3">
        <f t="shared" si="69"/>
        <v>46113</v>
      </c>
      <c r="F4429" t="s">
        <v>3577</v>
      </c>
      <c r="H4429" s="4">
        <v>203.03</v>
      </c>
      <c r="I4429" t="s">
        <v>31</v>
      </c>
      <c r="J4429" t="s">
        <v>74</v>
      </c>
      <c r="K4429" t="s">
        <v>3578</v>
      </c>
      <c r="L4429" s="2">
        <v>46113</v>
      </c>
      <c r="M4429" t="s">
        <v>76</v>
      </c>
      <c r="N4429">
        <v>0</v>
      </c>
      <c r="O4429" t="s">
        <v>31</v>
      </c>
      <c r="P4429" t="s">
        <v>28</v>
      </c>
      <c r="Q4429">
        <v>0</v>
      </c>
    </row>
    <row r="4430" spans="1:17" x14ac:dyDescent="0.3">
      <c r="A4430" t="s">
        <v>17</v>
      </c>
      <c r="B4430">
        <v>67</v>
      </c>
      <c r="C4430" t="s">
        <v>28</v>
      </c>
      <c r="D4430" s="2">
        <v>46142</v>
      </c>
      <c r="E4430" s="3">
        <f t="shared" si="69"/>
        <v>46113</v>
      </c>
      <c r="F4430" t="s">
        <v>3579</v>
      </c>
      <c r="H4430" s="4">
        <v>18.149999999999999</v>
      </c>
      <c r="I4430" t="s">
        <v>31</v>
      </c>
      <c r="J4430" t="s">
        <v>74</v>
      </c>
      <c r="K4430" t="s">
        <v>3580</v>
      </c>
      <c r="L4430" s="2">
        <v>46113</v>
      </c>
      <c r="M4430" t="s">
        <v>76</v>
      </c>
      <c r="N4430">
        <v>0</v>
      </c>
      <c r="O4430" t="s">
        <v>31</v>
      </c>
      <c r="P4430" t="s">
        <v>28</v>
      </c>
      <c r="Q4430">
        <v>0</v>
      </c>
    </row>
    <row r="4431" spans="1:17" x14ac:dyDescent="0.3">
      <c r="A4431" t="s">
        <v>17</v>
      </c>
      <c r="B4431">
        <v>67</v>
      </c>
      <c r="C4431" t="s">
        <v>28</v>
      </c>
      <c r="D4431" s="2">
        <v>46142</v>
      </c>
      <c r="E4431" s="3">
        <f t="shared" si="69"/>
        <v>46113</v>
      </c>
      <c r="F4431" t="s">
        <v>3581</v>
      </c>
      <c r="H4431" s="4">
        <v>3179.23</v>
      </c>
      <c r="I4431" t="s">
        <v>31</v>
      </c>
      <c r="J4431" t="s">
        <v>74</v>
      </c>
      <c r="K4431" t="s">
        <v>1098</v>
      </c>
      <c r="L4431" s="2">
        <v>46113</v>
      </c>
      <c r="M4431" t="s">
        <v>76</v>
      </c>
      <c r="N4431">
        <v>0</v>
      </c>
      <c r="O4431" t="s">
        <v>31</v>
      </c>
      <c r="P4431" t="s">
        <v>28</v>
      </c>
      <c r="Q4431">
        <v>0</v>
      </c>
    </row>
    <row r="4432" spans="1:17" x14ac:dyDescent="0.3">
      <c r="A4432" t="s">
        <v>17</v>
      </c>
      <c r="B4432">
        <v>68</v>
      </c>
      <c r="C4432" t="s">
        <v>34</v>
      </c>
      <c r="D4432" s="2">
        <v>46142</v>
      </c>
      <c r="E4432" s="3">
        <f t="shared" si="69"/>
        <v>46113</v>
      </c>
      <c r="F4432" t="s">
        <v>3582</v>
      </c>
      <c r="H4432" s="4">
        <v>285.93</v>
      </c>
      <c r="I4432" t="s">
        <v>31</v>
      </c>
      <c r="J4432" t="s">
        <v>37</v>
      </c>
      <c r="K4432" t="s">
        <v>3583</v>
      </c>
      <c r="L4432" s="2">
        <v>46113</v>
      </c>
      <c r="M4432" t="s">
        <v>37</v>
      </c>
      <c r="N4432">
        <v>0</v>
      </c>
      <c r="O4432" t="s">
        <v>31</v>
      </c>
      <c r="P4432" t="s">
        <v>34</v>
      </c>
      <c r="Q4432">
        <v>0</v>
      </c>
    </row>
    <row r="4433" spans="1:17" x14ac:dyDescent="0.3">
      <c r="A4433" t="s">
        <v>17</v>
      </c>
      <c r="B4433">
        <v>67</v>
      </c>
      <c r="C4433" t="s">
        <v>28</v>
      </c>
      <c r="D4433" s="2">
        <v>46142</v>
      </c>
      <c r="E4433" s="3">
        <f t="shared" si="69"/>
        <v>46113</v>
      </c>
      <c r="F4433" t="s">
        <v>3584</v>
      </c>
      <c r="H4433" s="4">
        <v>175</v>
      </c>
      <c r="I4433" t="s">
        <v>108</v>
      </c>
      <c r="J4433" t="s">
        <v>352</v>
      </c>
      <c r="K4433" t="s">
        <v>3585</v>
      </c>
      <c r="L4433" s="2">
        <v>46113</v>
      </c>
      <c r="M4433" t="s">
        <v>352</v>
      </c>
      <c r="N4433">
        <v>0</v>
      </c>
      <c r="O4433" t="s">
        <v>111</v>
      </c>
      <c r="P4433" t="s">
        <v>28</v>
      </c>
      <c r="Q4433">
        <v>0</v>
      </c>
    </row>
    <row r="4434" spans="1:17" x14ac:dyDescent="0.3">
      <c r="A4434" t="s">
        <v>17</v>
      </c>
      <c r="B4434">
        <v>68</v>
      </c>
      <c r="C4434" t="s">
        <v>34</v>
      </c>
      <c r="D4434" s="2">
        <v>46142</v>
      </c>
      <c r="E4434" s="3">
        <f t="shared" si="69"/>
        <v>46113</v>
      </c>
      <c r="F4434" t="s">
        <v>3586</v>
      </c>
      <c r="H4434" s="4">
        <v>5000</v>
      </c>
      <c r="I4434" t="s">
        <v>21</v>
      </c>
      <c r="J4434" t="s">
        <v>726</v>
      </c>
      <c r="K4434" t="s">
        <v>3587</v>
      </c>
      <c r="L4434" s="2">
        <v>46113</v>
      </c>
      <c r="M4434" t="s">
        <v>726</v>
      </c>
      <c r="N4434" t="s">
        <v>25</v>
      </c>
      <c r="O4434" t="s">
        <v>81</v>
      </c>
      <c r="P4434" t="s">
        <v>34</v>
      </c>
      <c r="Q4434">
        <v>0</v>
      </c>
    </row>
    <row r="4435" spans="1:17" x14ac:dyDescent="0.3">
      <c r="A4435" t="s">
        <v>17</v>
      </c>
      <c r="B4435">
        <v>69</v>
      </c>
      <c r="C4435" t="s">
        <v>297</v>
      </c>
      <c r="D4435" s="2">
        <v>46142</v>
      </c>
      <c r="E4435" s="3">
        <f t="shared" si="69"/>
        <v>46113</v>
      </c>
      <c r="F4435" t="s">
        <v>3588</v>
      </c>
      <c r="H4435" s="4">
        <v>27.49</v>
      </c>
      <c r="I4435" t="s">
        <v>108</v>
      </c>
      <c r="J4435" t="s">
        <v>3589</v>
      </c>
      <c r="L4435" s="2">
        <v>46113</v>
      </c>
      <c r="M4435" t="s">
        <v>361</v>
      </c>
      <c r="N4435">
        <v>0</v>
      </c>
      <c r="O4435" t="s">
        <v>111</v>
      </c>
      <c r="P4435" t="s">
        <v>297</v>
      </c>
      <c r="Q4435">
        <v>0</v>
      </c>
    </row>
    <row r="4436" spans="1:17" x14ac:dyDescent="0.3">
      <c r="A4436" t="s">
        <v>17</v>
      </c>
      <c r="B4436">
        <v>69</v>
      </c>
      <c r="C4436" t="s">
        <v>297</v>
      </c>
      <c r="D4436" s="2">
        <v>46142</v>
      </c>
      <c r="E4436" s="3">
        <f t="shared" si="69"/>
        <v>46113</v>
      </c>
      <c r="F4436" t="s">
        <v>3588</v>
      </c>
      <c r="H4436" s="4">
        <v>24.41</v>
      </c>
      <c r="I4436" t="s">
        <v>31</v>
      </c>
      <c r="J4436" t="s">
        <v>3589</v>
      </c>
      <c r="L4436" s="2">
        <v>46113</v>
      </c>
      <c r="M4436" t="s">
        <v>361</v>
      </c>
      <c r="N4436">
        <v>0</v>
      </c>
      <c r="O4436" t="s">
        <v>31</v>
      </c>
      <c r="P4436" t="s">
        <v>297</v>
      </c>
      <c r="Q4436">
        <v>0</v>
      </c>
    </row>
    <row r="4437" spans="1:17" x14ac:dyDescent="0.3">
      <c r="A4437" t="s">
        <v>17</v>
      </c>
      <c r="B4437">
        <v>69</v>
      </c>
      <c r="C4437" t="s">
        <v>297</v>
      </c>
      <c r="D4437" s="2">
        <v>46142</v>
      </c>
      <c r="E4437" s="3">
        <f t="shared" si="69"/>
        <v>46113</v>
      </c>
      <c r="F4437" t="s">
        <v>3588</v>
      </c>
      <c r="H4437" s="4">
        <v>238.77</v>
      </c>
      <c r="I4437" t="s">
        <v>137</v>
      </c>
      <c r="J4437" t="s">
        <v>3590</v>
      </c>
      <c r="L4437" s="2">
        <v>46113</v>
      </c>
      <c r="M4437" t="s">
        <v>350</v>
      </c>
      <c r="N4437" t="s">
        <v>141</v>
      </c>
      <c r="O4437" t="s">
        <v>141</v>
      </c>
      <c r="P4437" t="s">
        <v>297</v>
      </c>
      <c r="Q4437">
        <v>0</v>
      </c>
    </row>
    <row r="4438" spans="1:17" x14ac:dyDescent="0.3">
      <c r="A4438" t="s">
        <v>17</v>
      </c>
      <c r="B4438">
        <v>69</v>
      </c>
      <c r="C4438" t="s">
        <v>297</v>
      </c>
      <c r="D4438" s="2">
        <v>46142</v>
      </c>
      <c r="E4438" s="3">
        <f t="shared" si="69"/>
        <v>46113</v>
      </c>
      <c r="F4438" t="s">
        <v>3588</v>
      </c>
      <c r="H4438" s="4">
        <v>58.03</v>
      </c>
      <c r="I4438" t="s">
        <v>31</v>
      </c>
      <c r="J4438" t="s">
        <v>3590</v>
      </c>
      <c r="L4438" s="2">
        <v>46113</v>
      </c>
      <c r="M4438" t="s">
        <v>350</v>
      </c>
      <c r="N4438">
        <v>0</v>
      </c>
      <c r="O4438" t="s">
        <v>31</v>
      </c>
      <c r="P4438" t="s">
        <v>297</v>
      </c>
      <c r="Q4438">
        <v>0</v>
      </c>
    </row>
    <row r="4439" spans="1:17" x14ac:dyDescent="0.3">
      <c r="A4439" t="s">
        <v>17</v>
      </c>
      <c r="B4439">
        <v>69</v>
      </c>
      <c r="C4439" t="s">
        <v>297</v>
      </c>
      <c r="D4439" s="2">
        <v>46142</v>
      </c>
      <c r="E4439" s="3">
        <f t="shared" si="69"/>
        <v>46113</v>
      </c>
      <c r="F4439" t="s">
        <v>3588</v>
      </c>
      <c r="H4439" s="4">
        <v>113.67</v>
      </c>
      <c r="I4439" t="s">
        <v>137</v>
      </c>
      <c r="J4439" t="s">
        <v>3591</v>
      </c>
      <c r="L4439" s="2">
        <v>46113</v>
      </c>
      <c r="M4439" t="s">
        <v>347</v>
      </c>
      <c r="N4439" t="s">
        <v>141</v>
      </c>
      <c r="O4439" t="s">
        <v>141</v>
      </c>
      <c r="P4439" t="s">
        <v>297</v>
      </c>
      <c r="Q4439">
        <v>0</v>
      </c>
    </row>
    <row r="4440" spans="1:17" x14ac:dyDescent="0.3">
      <c r="A4440" t="s">
        <v>17</v>
      </c>
      <c r="B4440">
        <v>69</v>
      </c>
      <c r="C4440" t="s">
        <v>297</v>
      </c>
      <c r="D4440" s="2">
        <v>46142</v>
      </c>
      <c r="E4440" s="3">
        <f t="shared" si="69"/>
        <v>46113</v>
      </c>
      <c r="F4440" t="s">
        <v>3588</v>
      </c>
      <c r="H4440" s="4">
        <v>190.18</v>
      </c>
      <c r="I4440" t="s">
        <v>108</v>
      </c>
      <c r="J4440" t="s">
        <v>3591</v>
      </c>
      <c r="L4440" s="2">
        <v>46113</v>
      </c>
      <c r="M4440" t="s">
        <v>347</v>
      </c>
      <c r="N4440">
        <v>0</v>
      </c>
      <c r="O4440" t="s">
        <v>111</v>
      </c>
      <c r="P4440" t="s">
        <v>297</v>
      </c>
      <c r="Q4440">
        <v>0</v>
      </c>
    </row>
    <row r="4441" spans="1:17" x14ac:dyDescent="0.3">
      <c r="A4441" t="s">
        <v>17</v>
      </c>
      <c r="B4441">
        <v>69</v>
      </c>
      <c r="C4441" t="s">
        <v>297</v>
      </c>
      <c r="D4441" s="2">
        <v>46142</v>
      </c>
      <c r="E4441" s="3">
        <f t="shared" si="69"/>
        <v>46113</v>
      </c>
      <c r="F4441" t="s">
        <v>3588</v>
      </c>
      <c r="H4441" s="4">
        <v>0</v>
      </c>
      <c r="I4441" t="s">
        <v>348</v>
      </c>
      <c r="J4441" t="s">
        <v>3591</v>
      </c>
      <c r="L4441" s="2">
        <v>46113</v>
      </c>
      <c r="M4441" t="s">
        <v>347</v>
      </c>
      <c r="N4441">
        <v>0</v>
      </c>
      <c r="O4441" t="s">
        <v>348</v>
      </c>
      <c r="P4441" t="s">
        <v>297</v>
      </c>
      <c r="Q4441">
        <v>0</v>
      </c>
    </row>
    <row r="4442" spans="1:17" x14ac:dyDescent="0.3">
      <c r="A4442" t="s">
        <v>17</v>
      </c>
      <c r="B4442">
        <v>69</v>
      </c>
      <c r="C4442" t="s">
        <v>297</v>
      </c>
      <c r="D4442" s="2">
        <v>46142</v>
      </c>
      <c r="E4442" s="3">
        <f t="shared" si="69"/>
        <v>46113</v>
      </c>
      <c r="F4442" t="s">
        <v>3588</v>
      </c>
      <c r="H4442" s="4">
        <v>149.81</v>
      </c>
      <c r="I4442" t="s">
        <v>47</v>
      </c>
      <c r="J4442" t="s">
        <v>3591</v>
      </c>
      <c r="L4442" s="2">
        <v>46113</v>
      </c>
      <c r="M4442" t="s">
        <v>347</v>
      </c>
      <c r="N4442">
        <v>0</v>
      </c>
      <c r="O4442" t="s">
        <v>26</v>
      </c>
      <c r="P4442" t="s">
        <v>297</v>
      </c>
      <c r="Q4442">
        <v>0</v>
      </c>
    </row>
    <row r="4443" spans="1:17" x14ac:dyDescent="0.3">
      <c r="A4443" t="s">
        <v>17</v>
      </c>
      <c r="B4443">
        <v>69</v>
      </c>
      <c r="C4443" t="s">
        <v>297</v>
      </c>
      <c r="D4443" s="2">
        <v>46142</v>
      </c>
      <c r="E4443" s="3">
        <f t="shared" si="69"/>
        <v>46113</v>
      </c>
      <c r="F4443" t="s">
        <v>3588</v>
      </c>
      <c r="H4443" s="4">
        <v>66.72</v>
      </c>
      <c r="I4443" t="s">
        <v>159</v>
      </c>
      <c r="J4443" t="s">
        <v>3591</v>
      </c>
      <c r="L4443" s="2">
        <v>46113</v>
      </c>
      <c r="M4443" t="s">
        <v>347</v>
      </c>
      <c r="N4443">
        <v>0</v>
      </c>
      <c r="O4443" t="s">
        <v>159</v>
      </c>
      <c r="P4443" t="s">
        <v>297</v>
      </c>
      <c r="Q4443">
        <v>0</v>
      </c>
    </row>
    <row r="4444" spans="1:17" x14ac:dyDescent="0.3">
      <c r="A4444" t="s">
        <v>17</v>
      </c>
      <c r="B4444">
        <v>69</v>
      </c>
      <c r="C4444" t="s">
        <v>297</v>
      </c>
      <c r="D4444" s="2">
        <v>46142</v>
      </c>
      <c r="E4444" s="3">
        <f t="shared" si="69"/>
        <v>46113</v>
      </c>
      <c r="F4444" t="s">
        <v>3588</v>
      </c>
      <c r="H4444" s="4">
        <v>274.3</v>
      </c>
      <c r="I4444" t="s">
        <v>21</v>
      </c>
      <c r="J4444" t="s">
        <v>3591</v>
      </c>
      <c r="L4444" s="2">
        <v>46113</v>
      </c>
      <c r="M4444" t="s">
        <v>347</v>
      </c>
      <c r="N4444" t="s">
        <v>25</v>
      </c>
      <c r="O4444" t="s">
        <v>81</v>
      </c>
      <c r="P4444" t="s">
        <v>297</v>
      </c>
      <c r="Q4444">
        <v>0</v>
      </c>
    </row>
    <row r="4445" spans="1:17" x14ac:dyDescent="0.3">
      <c r="A4445" t="s">
        <v>17</v>
      </c>
      <c r="B4445">
        <v>69</v>
      </c>
      <c r="C4445" t="s">
        <v>297</v>
      </c>
      <c r="D4445" s="2">
        <v>46142</v>
      </c>
      <c r="E4445" s="3">
        <f t="shared" si="69"/>
        <v>46113</v>
      </c>
      <c r="F4445" t="s">
        <v>3588</v>
      </c>
      <c r="H4445" s="4">
        <v>216.66</v>
      </c>
      <c r="I4445" t="s">
        <v>104</v>
      </c>
      <c r="J4445" t="s">
        <v>3591</v>
      </c>
      <c r="L4445" s="2">
        <v>46113</v>
      </c>
      <c r="M4445" t="s">
        <v>347</v>
      </c>
      <c r="N4445">
        <v>0</v>
      </c>
      <c r="O4445" t="s">
        <v>104</v>
      </c>
      <c r="P4445" t="s">
        <v>297</v>
      </c>
      <c r="Q4445">
        <v>0</v>
      </c>
    </row>
    <row r="4446" spans="1:17" x14ac:dyDescent="0.3">
      <c r="A4446" t="s">
        <v>17</v>
      </c>
      <c r="B4446">
        <v>69</v>
      </c>
      <c r="C4446" t="s">
        <v>297</v>
      </c>
      <c r="D4446" s="2">
        <v>46142</v>
      </c>
      <c r="E4446" s="3">
        <f t="shared" si="69"/>
        <v>46113</v>
      </c>
      <c r="F4446" t="s">
        <v>3588</v>
      </c>
      <c r="H4446" s="4">
        <v>4890.42</v>
      </c>
      <c r="I4446" t="s">
        <v>31</v>
      </c>
      <c r="J4446" t="s">
        <v>3591</v>
      </c>
      <c r="L4446" s="2">
        <v>46113</v>
      </c>
      <c r="M4446" t="s">
        <v>347</v>
      </c>
      <c r="N4446">
        <v>0</v>
      </c>
      <c r="O4446" t="s">
        <v>31</v>
      </c>
      <c r="P4446" t="s">
        <v>297</v>
      </c>
      <c r="Q4446">
        <v>0</v>
      </c>
    </row>
    <row r="4447" spans="1:17" x14ac:dyDescent="0.3">
      <c r="A4447" t="s">
        <v>17</v>
      </c>
      <c r="B4447">
        <v>69</v>
      </c>
      <c r="C4447" t="s">
        <v>297</v>
      </c>
      <c r="D4447" s="2">
        <v>46142</v>
      </c>
      <c r="E4447" s="3">
        <f t="shared" si="69"/>
        <v>46113</v>
      </c>
      <c r="F4447" t="s">
        <v>3592</v>
      </c>
      <c r="H4447" s="4">
        <v>1954.72</v>
      </c>
      <c r="I4447" t="s">
        <v>31</v>
      </c>
      <c r="J4447" t="s">
        <v>299</v>
      </c>
      <c r="K4447" t="s">
        <v>300</v>
      </c>
      <c r="L4447" s="2">
        <v>46113</v>
      </c>
      <c r="M4447" t="s">
        <v>301</v>
      </c>
      <c r="N4447">
        <v>0</v>
      </c>
      <c r="O4447" t="s">
        <v>31</v>
      </c>
      <c r="P4447" t="s">
        <v>297</v>
      </c>
      <c r="Q4447">
        <v>0</v>
      </c>
    </row>
    <row r="4448" spans="1:17" x14ac:dyDescent="0.3">
      <c r="A4448" t="s">
        <v>17</v>
      </c>
      <c r="B4448">
        <v>65</v>
      </c>
      <c r="C4448" t="s">
        <v>54</v>
      </c>
      <c r="D4448" s="2">
        <v>46142</v>
      </c>
      <c r="E4448" s="3">
        <f t="shared" si="69"/>
        <v>46113</v>
      </c>
      <c r="F4448" t="s">
        <v>3517</v>
      </c>
      <c r="H4448" s="4">
        <v>23940.66</v>
      </c>
      <c r="I4448" t="s">
        <v>31</v>
      </c>
      <c r="J4448" t="s">
        <v>296</v>
      </c>
      <c r="L4448" s="2">
        <v>46113</v>
      </c>
      <c r="M4448" t="s">
        <v>296</v>
      </c>
      <c r="N4448">
        <v>0</v>
      </c>
      <c r="O4448" t="s">
        <v>31</v>
      </c>
      <c r="P4448" t="s">
        <v>54</v>
      </c>
      <c r="Q4448">
        <v>0</v>
      </c>
    </row>
    <row r="4449" spans="1:17" x14ac:dyDescent="0.3">
      <c r="A4449" t="s">
        <v>17</v>
      </c>
      <c r="B4449">
        <v>67</v>
      </c>
      <c r="C4449" t="s">
        <v>28</v>
      </c>
      <c r="D4449" s="2">
        <v>46143</v>
      </c>
      <c r="E4449" s="3">
        <f t="shared" si="69"/>
        <v>46143</v>
      </c>
      <c r="F4449">
        <v>21928</v>
      </c>
      <c r="G4449" t="s">
        <v>52</v>
      </c>
      <c r="H4449" s="4">
        <v>18.899999999999999</v>
      </c>
      <c r="I4449" t="s">
        <v>31</v>
      </c>
      <c r="J4449" t="s">
        <v>48</v>
      </c>
      <c r="K4449" t="s">
        <v>1339</v>
      </c>
      <c r="L4449" s="2">
        <v>46143</v>
      </c>
      <c r="M4449" t="s">
        <v>50</v>
      </c>
      <c r="N4449">
        <v>0</v>
      </c>
      <c r="O4449" t="s">
        <v>31</v>
      </c>
      <c r="P4449" t="s">
        <v>28</v>
      </c>
      <c r="Q4449">
        <v>0</v>
      </c>
    </row>
    <row r="4450" spans="1:17" x14ac:dyDescent="0.3">
      <c r="A4450" t="s">
        <v>17</v>
      </c>
      <c r="B4450">
        <v>67</v>
      </c>
      <c r="C4450" t="s">
        <v>28</v>
      </c>
      <c r="D4450" s="2">
        <v>46143</v>
      </c>
      <c r="E4450" s="3">
        <f t="shared" si="69"/>
        <v>46143</v>
      </c>
      <c r="F4450">
        <v>21928</v>
      </c>
      <c r="G4450" t="s">
        <v>52</v>
      </c>
      <c r="H4450" s="4">
        <v>400</v>
      </c>
      <c r="I4450" t="s">
        <v>31</v>
      </c>
      <c r="J4450" t="s">
        <v>48</v>
      </c>
      <c r="K4450" t="s">
        <v>1340</v>
      </c>
      <c r="L4450" s="2">
        <v>46143</v>
      </c>
      <c r="M4450" t="s">
        <v>50</v>
      </c>
      <c r="N4450">
        <v>0</v>
      </c>
      <c r="O4450" t="s">
        <v>31</v>
      </c>
      <c r="P4450" t="s">
        <v>28</v>
      </c>
      <c r="Q4450">
        <v>0</v>
      </c>
    </row>
    <row r="4451" spans="1:17" x14ac:dyDescent="0.3">
      <c r="A4451" t="s">
        <v>17</v>
      </c>
      <c r="B4451">
        <v>67</v>
      </c>
      <c r="C4451" t="s">
        <v>28</v>
      </c>
      <c r="D4451" s="2">
        <v>46143</v>
      </c>
      <c r="E4451" s="3">
        <f t="shared" si="69"/>
        <v>46143</v>
      </c>
      <c r="F4451">
        <v>21928</v>
      </c>
      <c r="G4451" t="s">
        <v>52</v>
      </c>
      <c r="H4451" s="4">
        <v>9</v>
      </c>
      <c r="I4451" t="s">
        <v>31</v>
      </c>
      <c r="J4451" t="s">
        <v>48</v>
      </c>
      <c r="K4451" t="s">
        <v>1341</v>
      </c>
      <c r="L4451" s="2">
        <v>46143</v>
      </c>
      <c r="M4451" t="s">
        <v>50</v>
      </c>
      <c r="N4451">
        <v>0</v>
      </c>
      <c r="O4451" t="s">
        <v>31</v>
      </c>
      <c r="P4451" t="s">
        <v>28</v>
      </c>
      <c r="Q4451">
        <v>0</v>
      </c>
    </row>
    <row r="4452" spans="1:17" x14ac:dyDescent="0.3">
      <c r="A4452" t="s">
        <v>17</v>
      </c>
      <c r="B4452">
        <v>67</v>
      </c>
      <c r="C4452" t="s">
        <v>28</v>
      </c>
      <c r="D4452" s="2">
        <v>46143</v>
      </c>
      <c r="E4452" s="3">
        <f t="shared" si="69"/>
        <v>46143</v>
      </c>
      <c r="F4452">
        <v>21928</v>
      </c>
      <c r="G4452" t="s">
        <v>52</v>
      </c>
      <c r="H4452" s="4">
        <v>125</v>
      </c>
      <c r="I4452" t="s">
        <v>31</v>
      </c>
      <c r="J4452" t="s">
        <v>48</v>
      </c>
      <c r="K4452" t="s">
        <v>1342</v>
      </c>
      <c r="L4452" s="2">
        <v>46143</v>
      </c>
      <c r="M4452" t="s">
        <v>50</v>
      </c>
      <c r="N4452">
        <v>0</v>
      </c>
      <c r="O4452" t="s">
        <v>31</v>
      </c>
      <c r="P4452" t="s">
        <v>28</v>
      </c>
      <c r="Q4452">
        <v>0</v>
      </c>
    </row>
    <row r="4453" spans="1:17" x14ac:dyDescent="0.3">
      <c r="A4453" t="s">
        <v>17</v>
      </c>
      <c r="B4453">
        <v>67</v>
      </c>
      <c r="C4453" t="s">
        <v>28</v>
      </c>
      <c r="D4453" s="2">
        <v>46143</v>
      </c>
      <c r="E4453" s="3">
        <f t="shared" si="69"/>
        <v>46143</v>
      </c>
      <c r="F4453">
        <v>21928</v>
      </c>
      <c r="G4453" t="s">
        <v>52</v>
      </c>
      <c r="H4453" s="4">
        <v>2000</v>
      </c>
      <c r="I4453" t="s">
        <v>31</v>
      </c>
      <c r="J4453" t="s">
        <v>48</v>
      </c>
      <c r="K4453" t="s">
        <v>3343</v>
      </c>
      <c r="L4453" s="2">
        <v>46143</v>
      </c>
      <c r="M4453" t="s">
        <v>50</v>
      </c>
      <c r="N4453">
        <v>0</v>
      </c>
      <c r="O4453" t="s">
        <v>31</v>
      </c>
      <c r="P4453" t="s">
        <v>28</v>
      </c>
      <c r="Q4453">
        <v>0</v>
      </c>
    </row>
    <row r="4454" spans="1:17" x14ac:dyDescent="0.3">
      <c r="A4454" t="s">
        <v>17</v>
      </c>
      <c r="B4454">
        <v>67</v>
      </c>
      <c r="C4454" t="s">
        <v>28</v>
      </c>
      <c r="D4454" s="2">
        <v>46143</v>
      </c>
      <c r="E4454" s="3">
        <f t="shared" si="69"/>
        <v>46143</v>
      </c>
      <c r="F4454">
        <v>31937</v>
      </c>
      <c r="G4454" t="s">
        <v>673</v>
      </c>
      <c r="H4454" s="4">
        <v>41.3</v>
      </c>
      <c r="I4454" t="s">
        <v>47</v>
      </c>
      <c r="J4454" t="s">
        <v>48</v>
      </c>
      <c r="K4454" t="s">
        <v>3593</v>
      </c>
      <c r="L4454" s="2">
        <v>46143</v>
      </c>
      <c r="M4454" t="s">
        <v>50</v>
      </c>
      <c r="N4454">
        <v>0</v>
      </c>
      <c r="O4454" t="s">
        <v>26</v>
      </c>
      <c r="P4454" t="s">
        <v>28</v>
      </c>
      <c r="Q4454">
        <v>0</v>
      </c>
    </row>
    <row r="4455" spans="1:17" x14ac:dyDescent="0.3">
      <c r="A4455" t="s">
        <v>17</v>
      </c>
      <c r="B4455">
        <v>67</v>
      </c>
      <c r="C4455" t="s">
        <v>28</v>
      </c>
      <c r="D4455" s="2">
        <v>46143</v>
      </c>
      <c r="E4455" s="3">
        <f t="shared" si="69"/>
        <v>46143</v>
      </c>
      <c r="F4455">
        <v>31937</v>
      </c>
      <c r="G4455" t="s">
        <v>673</v>
      </c>
      <c r="H4455" s="4">
        <v>30.6</v>
      </c>
      <c r="I4455" t="s">
        <v>47</v>
      </c>
      <c r="J4455" t="s">
        <v>48</v>
      </c>
      <c r="K4455" t="s">
        <v>3594</v>
      </c>
      <c r="L4455" s="2">
        <v>46143</v>
      </c>
      <c r="M4455" t="s">
        <v>50</v>
      </c>
      <c r="N4455">
        <v>0</v>
      </c>
      <c r="O4455" t="s">
        <v>26</v>
      </c>
      <c r="P4455" t="s">
        <v>28</v>
      </c>
      <c r="Q4455">
        <v>0</v>
      </c>
    </row>
    <row r="4456" spans="1:17" x14ac:dyDescent="0.3">
      <c r="A4456" t="s">
        <v>17</v>
      </c>
      <c r="B4456">
        <v>67</v>
      </c>
      <c r="C4456" t="s">
        <v>28</v>
      </c>
      <c r="D4456" s="2">
        <v>46143</v>
      </c>
      <c r="E4456" s="3">
        <f t="shared" si="69"/>
        <v>46143</v>
      </c>
      <c r="F4456">
        <v>31937</v>
      </c>
      <c r="G4456" t="s">
        <v>673</v>
      </c>
      <c r="H4456" s="4">
        <v>300</v>
      </c>
      <c r="I4456" t="s">
        <v>47</v>
      </c>
      <c r="J4456" t="s">
        <v>48</v>
      </c>
      <c r="K4456" t="s">
        <v>1350</v>
      </c>
      <c r="L4456" s="2">
        <v>46143</v>
      </c>
      <c r="M4456" t="s">
        <v>50</v>
      </c>
      <c r="N4456">
        <v>0</v>
      </c>
      <c r="O4456" t="s">
        <v>26</v>
      </c>
      <c r="P4456" t="s">
        <v>28</v>
      </c>
      <c r="Q4456">
        <v>0</v>
      </c>
    </row>
    <row r="4457" spans="1:17" x14ac:dyDescent="0.3">
      <c r="A4457" t="s">
        <v>17</v>
      </c>
      <c r="B4457">
        <v>67</v>
      </c>
      <c r="C4457" t="s">
        <v>28</v>
      </c>
      <c r="D4457" s="2">
        <v>46143</v>
      </c>
      <c r="E4457" s="3">
        <f t="shared" si="69"/>
        <v>46143</v>
      </c>
      <c r="F4457">
        <v>31937</v>
      </c>
      <c r="G4457" t="s">
        <v>673</v>
      </c>
      <c r="H4457" s="4">
        <v>300</v>
      </c>
      <c r="I4457" t="s">
        <v>47</v>
      </c>
      <c r="J4457" t="s">
        <v>48</v>
      </c>
      <c r="K4457" t="s">
        <v>1351</v>
      </c>
      <c r="L4457" s="2">
        <v>46143</v>
      </c>
      <c r="M4457" t="s">
        <v>50</v>
      </c>
      <c r="N4457">
        <v>0</v>
      </c>
      <c r="O4457" t="s">
        <v>26</v>
      </c>
      <c r="P4457" t="s">
        <v>28</v>
      </c>
      <c r="Q4457">
        <v>0</v>
      </c>
    </row>
    <row r="4458" spans="1:17" x14ac:dyDescent="0.3">
      <c r="A4458" t="s">
        <v>17</v>
      </c>
      <c r="B4458">
        <v>67</v>
      </c>
      <c r="C4458" t="s">
        <v>28</v>
      </c>
      <c r="D4458" s="2">
        <v>46143</v>
      </c>
      <c r="E4458" s="3">
        <f t="shared" si="69"/>
        <v>46143</v>
      </c>
      <c r="F4458">
        <v>31937</v>
      </c>
      <c r="G4458" t="s">
        <v>673</v>
      </c>
      <c r="H4458" s="4">
        <v>500</v>
      </c>
      <c r="I4458" t="s">
        <v>47</v>
      </c>
      <c r="J4458" t="s">
        <v>48</v>
      </c>
      <c r="K4458" t="s">
        <v>1353</v>
      </c>
      <c r="L4458" s="2">
        <v>46143</v>
      </c>
      <c r="M4458" t="s">
        <v>50</v>
      </c>
      <c r="N4458">
        <v>0</v>
      </c>
      <c r="O4458" t="s">
        <v>26</v>
      </c>
      <c r="P4458" t="s">
        <v>28</v>
      </c>
      <c r="Q4458">
        <v>0</v>
      </c>
    </row>
    <row r="4459" spans="1:17" x14ac:dyDescent="0.3">
      <c r="A4459" t="s">
        <v>17</v>
      </c>
      <c r="B4459">
        <v>67</v>
      </c>
      <c r="C4459" t="s">
        <v>28</v>
      </c>
      <c r="D4459" s="2">
        <v>46143</v>
      </c>
      <c r="E4459" s="3">
        <f t="shared" si="69"/>
        <v>46143</v>
      </c>
      <c r="F4459">
        <v>31937</v>
      </c>
      <c r="G4459" t="s">
        <v>673</v>
      </c>
      <c r="H4459" s="4">
        <v>10000</v>
      </c>
      <c r="I4459" t="s">
        <v>47</v>
      </c>
      <c r="J4459" t="s">
        <v>48</v>
      </c>
      <c r="K4459" t="s">
        <v>3595</v>
      </c>
      <c r="L4459" s="2">
        <v>46143</v>
      </c>
      <c r="M4459" t="s">
        <v>50</v>
      </c>
      <c r="N4459">
        <v>0</v>
      </c>
      <c r="O4459" t="s">
        <v>26</v>
      </c>
      <c r="P4459" t="s">
        <v>28</v>
      </c>
      <c r="Q4459">
        <v>0</v>
      </c>
    </row>
    <row r="4460" spans="1:17" x14ac:dyDescent="0.3">
      <c r="A4460" t="s">
        <v>17</v>
      </c>
      <c r="B4460">
        <v>67</v>
      </c>
      <c r="C4460" t="s">
        <v>28</v>
      </c>
      <c r="D4460" s="2">
        <v>46143</v>
      </c>
      <c r="E4460" s="3">
        <f t="shared" si="69"/>
        <v>46143</v>
      </c>
      <c r="F4460" t="s">
        <v>3596</v>
      </c>
      <c r="G4460" t="s">
        <v>2953</v>
      </c>
      <c r="H4460" s="4">
        <v>3.87</v>
      </c>
      <c r="I4460" t="s">
        <v>31</v>
      </c>
      <c r="J4460" t="s">
        <v>48</v>
      </c>
      <c r="K4460" t="s">
        <v>3597</v>
      </c>
      <c r="L4460" s="2">
        <v>46143</v>
      </c>
      <c r="M4460" t="s">
        <v>50</v>
      </c>
      <c r="N4460">
        <v>0</v>
      </c>
      <c r="O4460" t="s">
        <v>31</v>
      </c>
      <c r="P4460" t="s">
        <v>28</v>
      </c>
      <c r="Q4460">
        <v>0</v>
      </c>
    </row>
    <row r="4461" spans="1:17" x14ac:dyDescent="0.3">
      <c r="A4461" t="s">
        <v>17</v>
      </c>
      <c r="B4461">
        <v>63</v>
      </c>
      <c r="C4461" t="s">
        <v>18</v>
      </c>
      <c r="D4461" s="2">
        <v>46143</v>
      </c>
      <c r="E4461" s="3">
        <f t="shared" si="69"/>
        <v>46143</v>
      </c>
      <c r="F4461" t="s">
        <v>3598</v>
      </c>
      <c r="G4461" t="s">
        <v>3599</v>
      </c>
      <c r="H4461" s="4">
        <v>700</v>
      </c>
      <c r="I4461" t="s">
        <v>47</v>
      </c>
      <c r="J4461" t="s">
        <v>331</v>
      </c>
      <c r="K4461" t="s">
        <v>3600</v>
      </c>
      <c r="L4461" s="2">
        <v>46143</v>
      </c>
      <c r="M4461" t="s">
        <v>333</v>
      </c>
      <c r="N4461">
        <v>0</v>
      </c>
      <c r="O4461" t="s">
        <v>26</v>
      </c>
      <c r="P4461" t="s">
        <v>18</v>
      </c>
      <c r="Q4461" t="s">
        <v>18</v>
      </c>
    </row>
    <row r="4462" spans="1:17" x14ac:dyDescent="0.3">
      <c r="A4462" t="s">
        <v>17</v>
      </c>
      <c r="B4462">
        <v>67</v>
      </c>
      <c r="C4462" t="s">
        <v>28</v>
      </c>
      <c r="D4462" s="2">
        <v>46143</v>
      </c>
      <c r="E4462" s="3">
        <f t="shared" si="69"/>
        <v>46143</v>
      </c>
      <c r="F4462" t="s">
        <v>3601</v>
      </c>
      <c r="G4462" t="s">
        <v>67</v>
      </c>
      <c r="H4462" s="4">
        <v>574.88</v>
      </c>
      <c r="I4462" t="s">
        <v>31</v>
      </c>
      <c r="J4462" t="s">
        <v>68</v>
      </c>
      <c r="K4462" t="s">
        <v>3221</v>
      </c>
      <c r="L4462" s="2">
        <v>46143</v>
      </c>
      <c r="M4462" t="s">
        <v>68</v>
      </c>
      <c r="N4462">
        <v>0</v>
      </c>
      <c r="O4462" t="s">
        <v>31</v>
      </c>
      <c r="P4462" t="s">
        <v>28</v>
      </c>
      <c r="Q4462">
        <v>0</v>
      </c>
    </row>
    <row r="4463" spans="1:17" x14ac:dyDescent="0.3">
      <c r="A4463" t="s">
        <v>17</v>
      </c>
      <c r="B4463">
        <v>67</v>
      </c>
      <c r="C4463" t="s">
        <v>28</v>
      </c>
      <c r="D4463" s="2">
        <v>46143</v>
      </c>
      <c r="E4463" s="3">
        <f t="shared" si="69"/>
        <v>46143</v>
      </c>
      <c r="F4463" t="s">
        <v>3602</v>
      </c>
      <c r="G4463" t="s">
        <v>67</v>
      </c>
      <c r="H4463" s="4">
        <v>457.34</v>
      </c>
      <c r="I4463" t="s">
        <v>31</v>
      </c>
      <c r="J4463" t="s">
        <v>68</v>
      </c>
      <c r="K4463" t="s">
        <v>3221</v>
      </c>
      <c r="L4463" s="2">
        <v>46143</v>
      </c>
      <c r="M4463" t="s">
        <v>68</v>
      </c>
      <c r="N4463">
        <v>0</v>
      </c>
      <c r="O4463" t="s">
        <v>31</v>
      </c>
      <c r="P4463" t="s">
        <v>28</v>
      </c>
      <c r="Q4463">
        <v>0</v>
      </c>
    </row>
    <row r="4464" spans="1:17" x14ac:dyDescent="0.3">
      <c r="A4464" t="s">
        <v>17</v>
      </c>
      <c r="B4464">
        <v>65</v>
      </c>
      <c r="C4464" t="s">
        <v>54</v>
      </c>
      <c r="D4464" s="2">
        <v>46143</v>
      </c>
      <c r="E4464" s="3">
        <f t="shared" si="69"/>
        <v>46143</v>
      </c>
      <c r="F4464" t="s">
        <v>3603</v>
      </c>
      <c r="G4464" t="s">
        <v>40</v>
      </c>
      <c r="H4464" s="4">
        <v>31017.18</v>
      </c>
      <c r="I4464" t="s">
        <v>31</v>
      </c>
      <c r="J4464" t="s">
        <v>55</v>
      </c>
      <c r="K4464" t="s">
        <v>3604</v>
      </c>
      <c r="L4464" s="2">
        <v>46143</v>
      </c>
      <c r="M4464" t="s">
        <v>55</v>
      </c>
      <c r="N4464">
        <v>0</v>
      </c>
      <c r="O4464" t="s">
        <v>31</v>
      </c>
      <c r="P4464" t="s">
        <v>54</v>
      </c>
      <c r="Q4464">
        <v>0</v>
      </c>
    </row>
    <row r="4465" spans="1:17" x14ac:dyDescent="0.3">
      <c r="A4465" t="s">
        <v>17</v>
      </c>
      <c r="B4465">
        <v>66</v>
      </c>
      <c r="C4465" t="s">
        <v>134</v>
      </c>
      <c r="D4465" s="2">
        <v>46143</v>
      </c>
      <c r="E4465" s="3">
        <f t="shared" si="69"/>
        <v>46143</v>
      </c>
      <c r="F4465" t="s">
        <v>3605</v>
      </c>
      <c r="G4465" t="s">
        <v>2015</v>
      </c>
      <c r="H4465" s="4">
        <v>50.59</v>
      </c>
      <c r="I4465" t="s">
        <v>108</v>
      </c>
      <c r="J4465" t="s">
        <v>218</v>
      </c>
      <c r="K4465" t="s">
        <v>3606</v>
      </c>
      <c r="L4465" s="2">
        <v>46143</v>
      </c>
      <c r="M4465" t="s">
        <v>220</v>
      </c>
      <c r="N4465">
        <v>0</v>
      </c>
      <c r="O4465" t="s">
        <v>111</v>
      </c>
      <c r="P4465" t="s">
        <v>134</v>
      </c>
      <c r="Q4465">
        <v>0</v>
      </c>
    </row>
    <row r="4466" spans="1:17" x14ac:dyDescent="0.3">
      <c r="A4466" t="s">
        <v>17</v>
      </c>
      <c r="B4466">
        <v>66</v>
      </c>
      <c r="C4466" t="s">
        <v>134</v>
      </c>
      <c r="D4466" s="2">
        <v>46143</v>
      </c>
      <c r="E4466" s="3">
        <f t="shared" si="69"/>
        <v>46143</v>
      </c>
      <c r="F4466" t="s">
        <v>3605</v>
      </c>
      <c r="G4466" t="s">
        <v>2015</v>
      </c>
      <c r="H4466" s="4">
        <v>52.6</v>
      </c>
      <c r="I4466" t="s">
        <v>108</v>
      </c>
      <c r="J4466" t="s">
        <v>218</v>
      </c>
      <c r="K4466" t="s">
        <v>3607</v>
      </c>
      <c r="L4466" s="2">
        <v>46143</v>
      </c>
      <c r="M4466" t="s">
        <v>220</v>
      </c>
      <c r="N4466">
        <v>0</v>
      </c>
      <c r="O4466" t="s">
        <v>111</v>
      </c>
      <c r="P4466" t="s">
        <v>134</v>
      </c>
      <c r="Q4466">
        <v>0</v>
      </c>
    </row>
    <row r="4467" spans="1:17" x14ac:dyDescent="0.3">
      <c r="A4467" t="s">
        <v>17</v>
      </c>
      <c r="B4467">
        <v>66</v>
      </c>
      <c r="C4467" t="s">
        <v>134</v>
      </c>
      <c r="D4467" s="2">
        <v>46143</v>
      </c>
      <c r="E4467" s="3">
        <f t="shared" si="69"/>
        <v>46143</v>
      </c>
      <c r="F4467" t="s">
        <v>3605</v>
      </c>
      <c r="G4467" t="s">
        <v>2015</v>
      </c>
      <c r="H4467" s="4">
        <v>58.01</v>
      </c>
      <c r="I4467" t="s">
        <v>108</v>
      </c>
      <c r="J4467" t="s">
        <v>218</v>
      </c>
      <c r="K4467" t="s">
        <v>3608</v>
      </c>
      <c r="L4467" s="2">
        <v>46143</v>
      </c>
      <c r="M4467" t="s">
        <v>220</v>
      </c>
      <c r="N4467">
        <v>0</v>
      </c>
      <c r="O4467" t="s">
        <v>111</v>
      </c>
      <c r="P4467" t="s">
        <v>134</v>
      </c>
      <c r="Q4467">
        <v>0</v>
      </c>
    </row>
    <row r="4468" spans="1:17" x14ac:dyDescent="0.3">
      <c r="A4468" t="s">
        <v>17</v>
      </c>
      <c r="B4468">
        <v>66</v>
      </c>
      <c r="C4468" t="s">
        <v>134</v>
      </c>
      <c r="D4468" s="2">
        <v>46143</v>
      </c>
      <c r="E4468" s="3">
        <f t="shared" si="69"/>
        <v>46143</v>
      </c>
      <c r="F4468" t="s">
        <v>3605</v>
      </c>
      <c r="G4468" t="s">
        <v>2015</v>
      </c>
      <c r="H4468" s="4">
        <v>11.6</v>
      </c>
      <c r="I4468" t="s">
        <v>108</v>
      </c>
      <c r="J4468" t="s">
        <v>218</v>
      </c>
      <c r="K4468" t="s">
        <v>3609</v>
      </c>
      <c r="L4468" s="2">
        <v>46143</v>
      </c>
      <c r="M4468" t="s">
        <v>220</v>
      </c>
      <c r="N4468">
        <v>0</v>
      </c>
      <c r="O4468" t="s">
        <v>111</v>
      </c>
      <c r="P4468" t="s">
        <v>134</v>
      </c>
      <c r="Q4468">
        <v>0</v>
      </c>
    </row>
    <row r="4469" spans="1:17" x14ac:dyDescent="0.3">
      <c r="A4469" t="s">
        <v>17</v>
      </c>
      <c r="B4469">
        <v>66</v>
      </c>
      <c r="C4469" t="s">
        <v>134</v>
      </c>
      <c r="D4469" s="2">
        <v>46143</v>
      </c>
      <c r="E4469" s="3">
        <f t="shared" si="69"/>
        <v>46143</v>
      </c>
      <c r="F4469" t="s">
        <v>3605</v>
      </c>
      <c r="G4469" t="s">
        <v>2015</v>
      </c>
      <c r="H4469" s="4">
        <v>30.94</v>
      </c>
      <c r="I4469" t="s">
        <v>108</v>
      </c>
      <c r="J4469" t="s">
        <v>218</v>
      </c>
      <c r="K4469" t="s">
        <v>3610</v>
      </c>
      <c r="L4469" s="2">
        <v>46143</v>
      </c>
      <c r="M4469" t="s">
        <v>220</v>
      </c>
      <c r="N4469">
        <v>0</v>
      </c>
      <c r="O4469" t="s">
        <v>111</v>
      </c>
      <c r="P4469" t="s">
        <v>134</v>
      </c>
      <c r="Q4469">
        <v>0</v>
      </c>
    </row>
    <row r="4470" spans="1:17" x14ac:dyDescent="0.3">
      <c r="A4470" t="s">
        <v>17</v>
      </c>
      <c r="B4470">
        <v>66</v>
      </c>
      <c r="C4470" t="s">
        <v>134</v>
      </c>
      <c r="D4470" s="2">
        <v>46143</v>
      </c>
      <c r="E4470" s="3">
        <f t="shared" si="69"/>
        <v>46143</v>
      </c>
      <c r="F4470" t="s">
        <v>3605</v>
      </c>
      <c r="G4470" t="s">
        <v>2015</v>
      </c>
      <c r="H4470" s="4">
        <v>54.15</v>
      </c>
      <c r="I4470" t="s">
        <v>108</v>
      </c>
      <c r="J4470" t="s">
        <v>218</v>
      </c>
      <c r="K4470" t="s">
        <v>3611</v>
      </c>
      <c r="L4470" s="2">
        <v>46143</v>
      </c>
      <c r="M4470" t="s">
        <v>220</v>
      </c>
      <c r="N4470">
        <v>0</v>
      </c>
      <c r="O4470" t="s">
        <v>111</v>
      </c>
      <c r="P4470" t="s">
        <v>134</v>
      </c>
      <c r="Q4470">
        <v>0</v>
      </c>
    </row>
    <row r="4471" spans="1:17" x14ac:dyDescent="0.3">
      <c r="A4471" t="s">
        <v>17</v>
      </c>
      <c r="B4471">
        <v>66</v>
      </c>
      <c r="C4471" t="s">
        <v>134</v>
      </c>
      <c r="D4471" s="2">
        <v>46143</v>
      </c>
      <c r="E4471" s="3">
        <f t="shared" si="69"/>
        <v>46143</v>
      </c>
      <c r="F4471" t="s">
        <v>3605</v>
      </c>
      <c r="G4471" t="s">
        <v>2015</v>
      </c>
      <c r="H4471" s="4">
        <v>30.94</v>
      </c>
      <c r="I4471" t="s">
        <v>108</v>
      </c>
      <c r="J4471" t="s">
        <v>218</v>
      </c>
      <c r="K4471" t="s">
        <v>3612</v>
      </c>
      <c r="L4471" s="2">
        <v>46143</v>
      </c>
      <c r="M4471" t="s">
        <v>220</v>
      </c>
      <c r="N4471">
        <v>0</v>
      </c>
      <c r="O4471" t="s">
        <v>111</v>
      </c>
      <c r="P4471" t="s">
        <v>134</v>
      </c>
      <c r="Q4471">
        <v>0</v>
      </c>
    </row>
    <row r="4472" spans="1:17" x14ac:dyDescent="0.3">
      <c r="A4472" t="s">
        <v>17</v>
      </c>
      <c r="B4472">
        <v>66</v>
      </c>
      <c r="C4472" t="s">
        <v>134</v>
      </c>
      <c r="D4472" s="2">
        <v>46143</v>
      </c>
      <c r="E4472" s="3">
        <f t="shared" si="69"/>
        <v>46143</v>
      </c>
      <c r="F4472" t="s">
        <v>3605</v>
      </c>
      <c r="G4472" t="s">
        <v>2015</v>
      </c>
      <c r="H4472" s="4">
        <v>34.81</v>
      </c>
      <c r="I4472" t="s">
        <v>108</v>
      </c>
      <c r="J4472" t="s">
        <v>218</v>
      </c>
      <c r="K4472" t="s">
        <v>3613</v>
      </c>
      <c r="L4472" s="2">
        <v>46143</v>
      </c>
      <c r="M4472" t="s">
        <v>220</v>
      </c>
      <c r="N4472">
        <v>0</v>
      </c>
      <c r="O4472" t="s">
        <v>111</v>
      </c>
      <c r="P4472" t="s">
        <v>134</v>
      </c>
      <c r="Q4472">
        <v>0</v>
      </c>
    </row>
    <row r="4473" spans="1:17" x14ac:dyDescent="0.3">
      <c r="A4473" t="s">
        <v>17</v>
      </c>
      <c r="B4473">
        <v>66</v>
      </c>
      <c r="C4473" t="s">
        <v>134</v>
      </c>
      <c r="D4473" s="2">
        <v>46143</v>
      </c>
      <c r="E4473" s="3">
        <f t="shared" si="69"/>
        <v>46143</v>
      </c>
      <c r="F4473" t="s">
        <v>3605</v>
      </c>
      <c r="G4473" t="s">
        <v>2015</v>
      </c>
      <c r="H4473" s="4">
        <v>27.07</v>
      </c>
      <c r="I4473" t="s">
        <v>108</v>
      </c>
      <c r="J4473" t="s">
        <v>218</v>
      </c>
      <c r="K4473" t="s">
        <v>3614</v>
      </c>
      <c r="L4473" s="2">
        <v>46143</v>
      </c>
      <c r="M4473" t="s">
        <v>220</v>
      </c>
      <c r="N4473">
        <v>0</v>
      </c>
      <c r="O4473" t="s">
        <v>111</v>
      </c>
      <c r="P4473" t="s">
        <v>134</v>
      </c>
      <c r="Q4473">
        <v>0</v>
      </c>
    </row>
    <row r="4474" spans="1:17" x14ac:dyDescent="0.3">
      <c r="A4474" t="s">
        <v>17</v>
      </c>
      <c r="B4474">
        <v>66</v>
      </c>
      <c r="C4474" t="s">
        <v>134</v>
      </c>
      <c r="D4474" s="2">
        <v>46143</v>
      </c>
      <c r="E4474" s="3">
        <f t="shared" si="69"/>
        <v>46143</v>
      </c>
      <c r="F4474" t="s">
        <v>3605</v>
      </c>
      <c r="G4474" t="s">
        <v>2015</v>
      </c>
      <c r="H4474" s="4">
        <v>50.28</v>
      </c>
      <c r="I4474" t="s">
        <v>108</v>
      </c>
      <c r="J4474" t="s">
        <v>218</v>
      </c>
      <c r="K4474" t="s">
        <v>3615</v>
      </c>
      <c r="L4474" s="2">
        <v>46143</v>
      </c>
      <c r="M4474" t="s">
        <v>220</v>
      </c>
      <c r="N4474">
        <v>0</v>
      </c>
      <c r="O4474" t="s">
        <v>111</v>
      </c>
      <c r="P4474" t="s">
        <v>134</v>
      </c>
      <c r="Q4474">
        <v>0</v>
      </c>
    </row>
    <row r="4475" spans="1:17" x14ac:dyDescent="0.3">
      <c r="A4475" t="s">
        <v>17</v>
      </c>
      <c r="B4475">
        <v>66</v>
      </c>
      <c r="C4475" t="s">
        <v>134</v>
      </c>
      <c r="D4475" s="2">
        <v>46143</v>
      </c>
      <c r="E4475" s="3">
        <f t="shared" si="69"/>
        <v>46143</v>
      </c>
      <c r="F4475" t="s">
        <v>3616</v>
      </c>
      <c r="G4475" t="s">
        <v>2015</v>
      </c>
      <c r="H4475" s="4">
        <v>96.8</v>
      </c>
      <c r="I4475" t="s">
        <v>108</v>
      </c>
      <c r="J4475" t="s">
        <v>223</v>
      </c>
      <c r="K4475" t="s">
        <v>3617</v>
      </c>
      <c r="L4475" s="2">
        <v>46143</v>
      </c>
      <c r="M4475" t="s">
        <v>223</v>
      </c>
      <c r="N4475">
        <v>0</v>
      </c>
      <c r="O4475" t="s">
        <v>111</v>
      </c>
      <c r="P4475" t="s">
        <v>134</v>
      </c>
      <c r="Q4475">
        <v>0</v>
      </c>
    </row>
    <row r="4476" spans="1:17" x14ac:dyDescent="0.3">
      <c r="A4476" t="s">
        <v>17</v>
      </c>
      <c r="B4476">
        <v>66</v>
      </c>
      <c r="C4476" t="s">
        <v>134</v>
      </c>
      <c r="D4476" s="2">
        <v>46143</v>
      </c>
      <c r="E4476" s="3">
        <f t="shared" si="69"/>
        <v>46143</v>
      </c>
      <c r="F4476" t="s">
        <v>3616</v>
      </c>
      <c r="G4476" t="s">
        <v>2015</v>
      </c>
      <c r="H4476" s="4">
        <v>116</v>
      </c>
      <c r="I4476" t="s">
        <v>108</v>
      </c>
      <c r="J4476" t="s">
        <v>223</v>
      </c>
      <c r="K4476" t="s">
        <v>3618</v>
      </c>
      <c r="L4476" s="2">
        <v>46143</v>
      </c>
      <c r="M4476" t="s">
        <v>223</v>
      </c>
      <c r="N4476">
        <v>0</v>
      </c>
      <c r="O4476" t="s">
        <v>111</v>
      </c>
      <c r="P4476" t="s">
        <v>134</v>
      </c>
      <c r="Q4476">
        <v>0</v>
      </c>
    </row>
    <row r="4477" spans="1:17" x14ac:dyDescent="0.3">
      <c r="A4477" t="s">
        <v>17</v>
      </c>
      <c r="B4477">
        <v>66</v>
      </c>
      <c r="C4477" t="s">
        <v>134</v>
      </c>
      <c r="D4477" s="2">
        <v>46143</v>
      </c>
      <c r="E4477" s="3">
        <f t="shared" si="69"/>
        <v>46143</v>
      </c>
      <c r="F4477" t="s">
        <v>3616</v>
      </c>
      <c r="G4477" t="s">
        <v>2015</v>
      </c>
      <c r="H4477" s="4">
        <v>116</v>
      </c>
      <c r="I4477" t="s">
        <v>108</v>
      </c>
      <c r="J4477" t="s">
        <v>223</v>
      </c>
      <c r="K4477" t="s">
        <v>3618</v>
      </c>
      <c r="L4477" s="2">
        <v>46143</v>
      </c>
      <c r="M4477" t="s">
        <v>223</v>
      </c>
      <c r="N4477">
        <v>0</v>
      </c>
      <c r="O4477" t="s">
        <v>111</v>
      </c>
      <c r="P4477" t="s">
        <v>134</v>
      </c>
      <c r="Q4477">
        <v>0</v>
      </c>
    </row>
    <row r="4478" spans="1:17" x14ac:dyDescent="0.3">
      <c r="A4478" t="s">
        <v>17</v>
      </c>
      <c r="B4478">
        <v>66</v>
      </c>
      <c r="C4478" t="s">
        <v>134</v>
      </c>
      <c r="D4478" s="2">
        <v>46143</v>
      </c>
      <c r="E4478" s="3">
        <f t="shared" si="69"/>
        <v>46143</v>
      </c>
      <c r="F4478" t="s">
        <v>3616</v>
      </c>
      <c r="G4478" t="s">
        <v>2015</v>
      </c>
      <c r="H4478" s="4">
        <v>66</v>
      </c>
      <c r="I4478" t="s">
        <v>108</v>
      </c>
      <c r="J4478" t="s">
        <v>223</v>
      </c>
      <c r="K4478" t="s">
        <v>3608</v>
      </c>
      <c r="L4478" s="2">
        <v>46143</v>
      </c>
      <c r="M4478" t="s">
        <v>223</v>
      </c>
      <c r="N4478">
        <v>0</v>
      </c>
      <c r="O4478" t="s">
        <v>111</v>
      </c>
      <c r="P4478" t="s">
        <v>134</v>
      </c>
      <c r="Q4478">
        <v>0</v>
      </c>
    </row>
    <row r="4479" spans="1:17" x14ac:dyDescent="0.3">
      <c r="A4479" t="s">
        <v>17</v>
      </c>
      <c r="B4479">
        <v>66</v>
      </c>
      <c r="C4479" t="s">
        <v>134</v>
      </c>
      <c r="D4479" s="2">
        <v>46143</v>
      </c>
      <c r="E4479" s="3">
        <f t="shared" si="69"/>
        <v>46143</v>
      </c>
      <c r="F4479" t="s">
        <v>3616</v>
      </c>
      <c r="G4479" t="s">
        <v>2015</v>
      </c>
      <c r="H4479" s="4">
        <v>66</v>
      </c>
      <c r="I4479" t="s">
        <v>108</v>
      </c>
      <c r="J4479" t="s">
        <v>223</v>
      </c>
      <c r="K4479" t="s">
        <v>3619</v>
      </c>
      <c r="L4479" s="2">
        <v>46143</v>
      </c>
      <c r="M4479" t="s">
        <v>223</v>
      </c>
      <c r="N4479">
        <v>0</v>
      </c>
      <c r="O4479" t="s">
        <v>111</v>
      </c>
      <c r="P4479" t="s">
        <v>134</v>
      </c>
      <c r="Q4479">
        <v>0</v>
      </c>
    </row>
    <row r="4480" spans="1:17" x14ac:dyDescent="0.3">
      <c r="A4480" t="s">
        <v>17</v>
      </c>
      <c r="B4480">
        <v>66</v>
      </c>
      <c r="C4480" t="s">
        <v>134</v>
      </c>
      <c r="D4480" s="2">
        <v>46143</v>
      </c>
      <c r="E4480" s="3">
        <f t="shared" si="69"/>
        <v>46143</v>
      </c>
      <c r="F4480" t="s">
        <v>3616</v>
      </c>
      <c r="G4480" t="s">
        <v>2015</v>
      </c>
      <c r="H4480" s="4">
        <v>82.8</v>
      </c>
      <c r="I4480" t="s">
        <v>108</v>
      </c>
      <c r="J4480" t="s">
        <v>223</v>
      </c>
      <c r="K4480" t="s">
        <v>3620</v>
      </c>
      <c r="L4480" s="2">
        <v>46143</v>
      </c>
      <c r="M4480" t="s">
        <v>223</v>
      </c>
      <c r="N4480">
        <v>0</v>
      </c>
      <c r="O4480" t="s">
        <v>111</v>
      </c>
      <c r="P4480" t="s">
        <v>134</v>
      </c>
      <c r="Q4480">
        <v>0</v>
      </c>
    </row>
    <row r="4481" spans="1:17" x14ac:dyDescent="0.3">
      <c r="A4481" t="s">
        <v>17</v>
      </c>
      <c r="B4481">
        <v>66</v>
      </c>
      <c r="C4481" t="s">
        <v>134</v>
      </c>
      <c r="D4481" s="2">
        <v>46143</v>
      </c>
      <c r="E4481" s="3">
        <f t="shared" si="69"/>
        <v>46143</v>
      </c>
      <c r="F4481" t="s">
        <v>3616</v>
      </c>
      <c r="G4481" t="s">
        <v>2015</v>
      </c>
      <c r="H4481" s="4">
        <v>82.8</v>
      </c>
      <c r="I4481" t="s">
        <v>108</v>
      </c>
      <c r="J4481" t="s">
        <v>223</v>
      </c>
      <c r="K4481" t="s">
        <v>3620</v>
      </c>
      <c r="L4481" s="2">
        <v>46143</v>
      </c>
      <c r="M4481" t="s">
        <v>223</v>
      </c>
      <c r="N4481">
        <v>0</v>
      </c>
      <c r="O4481" t="s">
        <v>111</v>
      </c>
      <c r="P4481" t="s">
        <v>134</v>
      </c>
      <c r="Q4481">
        <v>0</v>
      </c>
    </row>
    <row r="4482" spans="1:17" x14ac:dyDescent="0.3">
      <c r="A4482" t="s">
        <v>17</v>
      </c>
      <c r="B4482">
        <v>66</v>
      </c>
      <c r="C4482" t="s">
        <v>134</v>
      </c>
      <c r="D4482" s="2">
        <v>46143</v>
      </c>
      <c r="E4482" s="3">
        <f t="shared" si="69"/>
        <v>46143</v>
      </c>
      <c r="F4482" t="s">
        <v>3616</v>
      </c>
      <c r="G4482" t="s">
        <v>2015</v>
      </c>
      <c r="H4482" s="4">
        <v>93.2</v>
      </c>
      <c r="I4482" t="s">
        <v>108</v>
      </c>
      <c r="J4482" t="s">
        <v>223</v>
      </c>
      <c r="K4482" t="s">
        <v>3621</v>
      </c>
      <c r="L4482" s="2">
        <v>46143</v>
      </c>
      <c r="M4482" t="s">
        <v>223</v>
      </c>
      <c r="N4482">
        <v>0</v>
      </c>
      <c r="O4482" t="s">
        <v>111</v>
      </c>
      <c r="P4482" t="s">
        <v>134</v>
      </c>
      <c r="Q4482">
        <v>0</v>
      </c>
    </row>
    <row r="4483" spans="1:17" x14ac:dyDescent="0.3">
      <c r="A4483" t="s">
        <v>17</v>
      </c>
      <c r="B4483">
        <v>66</v>
      </c>
      <c r="C4483" t="s">
        <v>134</v>
      </c>
      <c r="D4483" s="2">
        <v>46143</v>
      </c>
      <c r="E4483" s="3">
        <f t="shared" ref="E4483:E4546" si="70">IF($D4483="","",DATE(YEAR($D4483),MONTH($D4483),1))</f>
        <v>46143</v>
      </c>
      <c r="F4483" t="s">
        <v>3616</v>
      </c>
      <c r="G4483" t="s">
        <v>2015</v>
      </c>
      <c r="H4483" s="4">
        <v>93.2</v>
      </c>
      <c r="I4483" t="s">
        <v>108</v>
      </c>
      <c r="J4483" t="s">
        <v>223</v>
      </c>
      <c r="K4483" t="s">
        <v>3622</v>
      </c>
      <c r="L4483" s="2">
        <v>46143</v>
      </c>
      <c r="M4483" t="s">
        <v>223</v>
      </c>
      <c r="N4483">
        <v>0</v>
      </c>
      <c r="O4483" t="s">
        <v>111</v>
      </c>
      <c r="P4483" t="s">
        <v>134</v>
      </c>
      <c r="Q4483">
        <v>0</v>
      </c>
    </row>
    <row r="4484" spans="1:17" x14ac:dyDescent="0.3">
      <c r="A4484" t="s">
        <v>17</v>
      </c>
      <c r="B4484">
        <v>66</v>
      </c>
      <c r="C4484" t="s">
        <v>134</v>
      </c>
      <c r="D4484" s="2">
        <v>46143</v>
      </c>
      <c r="E4484" s="3">
        <f t="shared" si="70"/>
        <v>46143</v>
      </c>
      <c r="F4484" t="s">
        <v>3616</v>
      </c>
      <c r="G4484" t="s">
        <v>2015</v>
      </c>
      <c r="H4484" s="4">
        <v>88</v>
      </c>
      <c r="I4484" t="s">
        <v>108</v>
      </c>
      <c r="J4484" t="s">
        <v>223</v>
      </c>
      <c r="K4484" t="s">
        <v>3623</v>
      </c>
      <c r="L4484" s="2">
        <v>46143</v>
      </c>
      <c r="M4484" t="s">
        <v>223</v>
      </c>
      <c r="N4484">
        <v>0</v>
      </c>
      <c r="O4484" t="s">
        <v>111</v>
      </c>
      <c r="P4484" t="s">
        <v>134</v>
      </c>
      <c r="Q4484">
        <v>0</v>
      </c>
    </row>
    <row r="4485" spans="1:17" x14ac:dyDescent="0.3">
      <c r="A4485" t="s">
        <v>17</v>
      </c>
      <c r="B4485">
        <v>66</v>
      </c>
      <c r="C4485" t="s">
        <v>134</v>
      </c>
      <c r="D4485" s="2">
        <v>46143</v>
      </c>
      <c r="E4485" s="3">
        <f t="shared" si="70"/>
        <v>46143</v>
      </c>
      <c r="F4485" t="s">
        <v>3616</v>
      </c>
      <c r="G4485" t="s">
        <v>2015</v>
      </c>
      <c r="H4485" s="4">
        <v>88</v>
      </c>
      <c r="I4485" t="s">
        <v>108</v>
      </c>
      <c r="J4485" t="s">
        <v>223</v>
      </c>
      <c r="K4485" t="s">
        <v>3624</v>
      </c>
      <c r="L4485" s="2">
        <v>46143</v>
      </c>
      <c r="M4485" t="s">
        <v>223</v>
      </c>
      <c r="N4485">
        <v>0</v>
      </c>
      <c r="O4485" t="s">
        <v>111</v>
      </c>
      <c r="P4485" t="s">
        <v>134</v>
      </c>
      <c r="Q4485">
        <v>0</v>
      </c>
    </row>
    <row r="4486" spans="1:17" x14ac:dyDescent="0.3">
      <c r="A4486" t="s">
        <v>17</v>
      </c>
      <c r="B4486">
        <v>66</v>
      </c>
      <c r="C4486" t="s">
        <v>134</v>
      </c>
      <c r="D4486" s="2">
        <v>46143</v>
      </c>
      <c r="E4486" s="3">
        <f t="shared" si="70"/>
        <v>46143</v>
      </c>
      <c r="F4486" t="s">
        <v>3616</v>
      </c>
      <c r="G4486" t="s">
        <v>2015</v>
      </c>
      <c r="H4486" s="4">
        <v>88</v>
      </c>
      <c r="I4486" t="s">
        <v>108</v>
      </c>
      <c r="J4486" t="s">
        <v>223</v>
      </c>
      <c r="K4486" t="s">
        <v>3624</v>
      </c>
      <c r="L4486" s="2">
        <v>46143</v>
      </c>
      <c r="M4486" t="s">
        <v>223</v>
      </c>
      <c r="N4486">
        <v>0</v>
      </c>
      <c r="O4486" t="s">
        <v>111</v>
      </c>
      <c r="P4486" t="s">
        <v>134</v>
      </c>
      <c r="Q4486">
        <v>0</v>
      </c>
    </row>
    <row r="4487" spans="1:17" x14ac:dyDescent="0.3">
      <c r="A4487" t="s">
        <v>17</v>
      </c>
      <c r="B4487">
        <v>66</v>
      </c>
      <c r="C4487" t="s">
        <v>134</v>
      </c>
      <c r="D4487" s="2">
        <v>46143</v>
      </c>
      <c r="E4487" s="3">
        <f t="shared" si="70"/>
        <v>46143</v>
      </c>
      <c r="F4487" t="s">
        <v>3616</v>
      </c>
      <c r="G4487" t="s">
        <v>2015</v>
      </c>
      <c r="H4487" s="4">
        <v>118</v>
      </c>
      <c r="I4487" t="s">
        <v>108</v>
      </c>
      <c r="J4487" t="s">
        <v>223</v>
      </c>
      <c r="K4487" t="s">
        <v>3625</v>
      </c>
      <c r="L4487" s="2">
        <v>46143</v>
      </c>
      <c r="M4487" t="s">
        <v>223</v>
      </c>
      <c r="N4487">
        <v>0</v>
      </c>
      <c r="O4487" t="s">
        <v>111</v>
      </c>
      <c r="P4487" t="s">
        <v>134</v>
      </c>
      <c r="Q4487">
        <v>0</v>
      </c>
    </row>
    <row r="4488" spans="1:17" x14ac:dyDescent="0.3">
      <c r="A4488" t="s">
        <v>17</v>
      </c>
      <c r="B4488">
        <v>66</v>
      </c>
      <c r="C4488" t="s">
        <v>134</v>
      </c>
      <c r="D4488" s="2">
        <v>46143</v>
      </c>
      <c r="E4488" s="3">
        <f t="shared" si="70"/>
        <v>46143</v>
      </c>
      <c r="F4488" t="s">
        <v>3616</v>
      </c>
      <c r="G4488" t="s">
        <v>2015</v>
      </c>
      <c r="H4488" s="4">
        <v>118</v>
      </c>
      <c r="I4488" t="s">
        <v>108</v>
      </c>
      <c r="J4488" t="s">
        <v>223</v>
      </c>
      <c r="K4488" t="s">
        <v>3626</v>
      </c>
      <c r="L4488" s="2">
        <v>46143</v>
      </c>
      <c r="M4488" t="s">
        <v>223</v>
      </c>
      <c r="N4488">
        <v>0</v>
      </c>
      <c r="O4488" t="s">
        <v>111</v>
      </c>
      <c r="P4488" t="s">
        <v>134</v>
      </c>
      <c r="Q4488">
        <v>0</v>
      </c>
    </row>
    <row r="4489" spans="1:17" x14ac:dyDescent="0.3">
      <c r="A4489" t="s">
        <v>17</v>
      </c>
      <c r="B4489">
        <v>66</v>
      </c>
      <c r="C4489" t="s">
        <v>134</v>
      </c>
      <c r="D4489" s="2">
        <v>46143</v>
      </c>
      <c r="E4489" s="3">
        <f t="shared" si="70"/>
        <v>46143</v>
      </c>
      <c r="F4489" t="s">
        <v>3616</v>
      </c>
      <c r="G4489" t="s">
        <v>2015</v>
      </c>
      <c r="H4489" s="4">
        <v>118</v>
      </c>
      <c r="I4489" t="s">
        <v>108</v>
      </c>
      <c r="J4489" t="s">
        <v>223</v>
      </c>
      <c r="K4489" t="s">
        <v>3626</v>
      </c>
      <c r="L4489" s="2">
        <v>46143</v>
      </c>
      <c r="M4489" t="s">
        <v>223</v>
      </c>
      <c r="N4489">
        <v>0</v>
      </c>
      <c r="O4489" t="s">
        <v>111</v>
      </c>
      <c r="P4489" t="s">
        <v>134</v>
      </c>
      <c r="Q4489">
        <v>0</v>
      </c>
    </row>
    <row r="4490" spans="1:17" x14ac:dyDescent="0.3">
      <c r="A4490" t="s">
        <v>17</v>
      </c>
      <c r="B4490">
        <v>66</v>
      </c>
      <c r="C4490" t="s">
        <v>134</v>
      </c>
      <c r="D4490" s="2">
        <v>46143</v>
      </c>
      <c r="E4490" s="3">
        <f t="shared" si="70"/>
        <v>46143</v>
      </c>
      <c r="F4490" t="s">
        <v>3627</v>
      </c>
      <c r="G4490" t="s">
        <v>2015</v>
      </c>
      <c r="H4490" s="4">
        <v>15.5</v>
      </c>
      <c r="I4490" t="s">
        <v>108</v>
      </c>
      <c r="J4490" t="s">
        <v>223</v>
      </c>
      <c r="K4490" t="s">
        <v>3628</v>
      </c>
      <c r="L4490" s="2">
        <v>46143</v>
      </c>
      <c r="M4490" t="s">
        <v>223</v>
      </c>
      <c r="N4490">
        <v>0</v>
      </c>
      <c r="O4490" t="s">
        <v>111</v>
      </c>
      <c r="P4490" t="s">
        <v>134</v>
      </c>
      <c r="Q4490">
        <v>0</v>
      </c>
    </row>
    <row r="4491" spans="1:17" x14ac:dyDescent="0.3">
      <c r="A4491" t="s">
        <v>17</v>
      </c>
      <c r="B4491">
        <v>66</v>
      </c>
      <c r="C4491" t="s">
        <v>134</v>
      </c>
      <c r="D4491" s="2">
        <v>46143</v>
      </c>
      <c r="E4491" s="3">
        <f t="shared" si="70"/>
        <v>46143</v>
      </c>
      <c r="F4491" t="s">
        <v>3627</v>
      </c>
      <c r="G4491" t="s">
        <v>2015</v>
      </c>
      <c r="H4491" s="4">
        <v>15.5</v>
      </c>
      <c r="I4491" t="s">
        <v>108</v>
      </c>
      <c r="J4491" t="s">
        <v>223</v>
      </c>
      <c r="K4491" t="s">
        <v>3628</v>
      </c>
      <c r="L4491" s="2">
        <v>46143</v>
      </c>
      <c r="M4491" t="s">
        <v>223</v>
      </c>
      <c r="N4491">
        <v>0</v>
      </c>
      <c r="O4491" t="s">
        <v>111</v>
      </c>
      <c r="P4491" t="s">
        <v>134</v>
      </c>
      <c r="Q4491">
        <v>0</v>
      </c>
    </row>
    <row r="4492" spans="1:17" x14ac:dyDescent="0.3">
      <c r="A4492" t="s">
        <v>17</v>
      </c>
      <c r="B4492">
        <v>66</v>
      </c>
      <c r="C4492" t="s">
        <v>134</v>
      </c>
      <c r="D4492" s="2">
        <v>46143</v>
      </c>
      <c r="E4492" s="3">
        <f t="shared" si="70"/>
        <v>46143</v>
      </c>
      <c r="F4492" t="s">
        <v>3627</v>
      </c>
      <c r="G4492" t="s">
        <v>2015</v>
      </c>
      <c r="H4492" s="4">
        <v>14.75</v>
      </c>
      <c r="I4492" t="s">
        <v>108</v>
      </c>
      <c r="J4492" t="s">
        <v>223</v>
      </c>
      <c r="K4492" t="s">
        <v>3629</v>
      </c>
      <c r="L4492" s="2">
        <v>46143</v>
      </c>
      <c r="M4492" t="s">
        <v>223</v>
      </c>
      <c r="N4492">
        <v>0</v>
      </c>
      <c r="O4492" t="s">
        <v>111</v>
      </c>
      <c r="P4492" t="s">
        <v>134</v>
      </c>
      <c r="Q4492">
        <v>0</v>
      </c>
    </row>
    <row r="4493" spans="1:17" x14ac:dyDescent="0.3">
      <c r="A4493" t="s">
        <v>17</v>
      </c>
      <c r="B4493">
        <v>66</v>
      </c>
      <c r="C4493" t="s">
        <v>134</v>
      </c>
      <c r="D4493" s="2">
        <v>46143</v>
      </c>
      <c r="E4493" s="3">
        <f t="shared" si="70"/>
        <v>46143</v>
      </c>
      <c r="F4493" t="s">
        <v>3627</v>
      </c>
      <c r="G4493" t="s">
        <v>2015</v>
      </c>
      <c r="H4493" s="4">
        <v>14.75</v>
      </c>
      <c r="I4493" t="s">
        <v>108</v>
      </c>
      <c r="J4493" t="s">
        <v>223</v>
      </c>
      <c r="K4493" t="s">
        <v>3629</v>
      </c>
      <c r="L4493" s="2">
        <v>46143</v>
      </c>
      <c r="M4493" t="s">
        <v>223</v>
      </c>
      <c r="N4493">
        <v>0</v>
      </c>
      <c r="O4493" t="s">
        <v>111</v>
      </c>
      <c r="P4493" t="s">
        <v>134</v>
      </c>
      <c r="Q4493">
        <v>0</v>
      </c>
    </row>
    <row r="4494" spans="1:17" x14ac:dyDescent="0.3">
      <c r="A4494" t="s">
        <v>17</v>
      </c>
      <c r="B4494">
        <v>66</v>
      </c>
      <c r="C4494" t="s">
        <v>134</v>
      </c>
      <c r="D4494" s="2">
        <v>46143</v>
      </c>
      <c r="E4494" s="3">
        <f t="shared" si="70"/>
        <v>46143</v>
      </c>
      <c r="F4494" t="s">
        <v>3627</v>
      </c>
      <c r="G4494" t="s">
        <v>2015</v>
      </c>
      <c r="H4494" s="4">
        <v>16.25</v>
      </c>
      <c r="I4494" t="s">
        <v>108</v>
      </c>
      <c r="J4494" t="s">
        <v>223</v>
      </c>
      <c r="K4494" t="s">
        <v>3630</v>
      </c>
      <c r="L4494" s="2">
        <v>46143</v>
      </c>
      <c r="M4494" t="s">
        <v>223</v>
      </c>
      <c r="N4494">
        <v>0</v>
      </c>
      <c r="O4494" t="s">
        <v>111</v>
      </c>
      <c r="P4494" t="s">
        <v>134</v>
      </c>
      <c r="Q4494">
        <v>0</v>
      </c>
    </row>
    <row r="4495" spans="1:17" x14ac:dyDescent="0.3">
      <c r="A4495" t="s">
        <v>17</v>
      </c>
      <c r="B4495">
        <v>66</v>
      </c>
      <c r="C4495" t="s">
        <v>134</v>
      </c>
      <c r="D4495" s="2">
        <v>46143</v>
      </c>
      <c r="E4495" s="3">
        <f t="shared" si="70"/>
        <v>46143</v>
      </c>
      <c r="F4495" t="s">
        <v>3627</v>
      </c>
      <c r="G4495" t="s">
        <v>2015</v>
      </c>
      <c r="H4495" s="4">
        <v>17.45</v>
      </c>
      <c r="I4495" t="s">
        <v>108</v>
      </c>
      <c r="J4495" t="s">
        <v>223</v>
      </c>
      <c r="K4495" t="s">
        <v>3630</v>
      </c>
      <c r="L4495" s="2">
        <v>46143</v>
      </c>
      <c r="M4495" t="s">
        <v>223</v>
      </c>
      <c r="N4495">
        <v>0</v>
      </c>
      <c r="O4495" t="s">
        <v>111</v>
      </c>
      <c r="P4495" t="s">
        <v>134</v>
      </c>
      <c r="Q4495">
        <v>0</v>
      </c>
    </row>
    <row r="4496" spans="1:17" x14ac:dyDescent="0.3">
      <c r="A4496" t="s">
        <v>17</v>
      </c>
      <c r="B4496">
        <v>66</v>
      </c>
      <c r="C4496" t="s">
        <v>134</v>
      </c>
      <c r="D4496" s="2">
        <v>46143</v>
      </c>
      <c r="E4496" s="3">
        <f t="shared" si="70"/>
        <v>46143</v>
      </c>
      <c r="F4496" t="s">
        <v>3627</v>
      </c>
      <c r="G4496" t="s">
        <v>2015</v>
      </c>
      <c r="H4496" s="4">
        <v>19</v>
      </c>
      <c r="I4496" t="s">
        <v>108</v>
      </c>
      <c r="J4496" t="s">
        <v>223</v>
      </c>
      <c r="K4496" t="s">
        <v>3631</v>
      </c>
      <c r="L4496" s="2">
        <v>46143</v>
      </c>
      <c r="M4496" t="s">
        <v>223</v>
      </c>
      <c r="N4496">
        <v>0</v>
      </c>
      <c r="O4496" t="s">
        <v>111</v>
      </c>
      <c r="P4496" t="s">
        <v>134</v>
      </c>
      <c r="Q4496">
        <v>0</v>
      </c>
    </row>
    <row r="4497" spans="1:17" x14ac:dyDescent="0.3">
      <c r="A4497" t="s">
        <v>17</v>
      </c>
      <c r="B4497">
        <v>66</v>
      </c>
      <c r="C4497" t="s">
        <v>134</v>
      </c>
      <c r="D4497" s="2">
        <v>46143</v>
      </c>
      <c r="E4497" s="3">
        <f t="shared" si="70"/>
        <v>46143</v>
      </c>
      <c r="F4497" t="s">
        <v>3627</v>
      </c>
      <c r="G4497" t="s">
        <v>2015</v>
      </c>
      <c r="H4497" s="4">
        <v>19</v>
      </c>
      <c r="I4497" t="s">
        <v>108</v>
      </c>
      <c r="J4497" t="s">
        <v>223</v>
      </c>
      <c r="K4497" t="s">
        <v>3631</v>
      </c>
      <c r="L4497" s="2">
        <v>46143</v>
      </c>
      <c r="M4497" t="s">
        <v>223</v>
      </c>
      <c r="N4497">
        <v>0</v>
      </c>
      <c r="O4497" t="s">
        <v>111</v>
      </c>
      <c r="P4497" t="s">
        <v>134</v>
      </c>
      <c r="Q4497">
        <v>0</v>
      </c>
    </row>
    <row r="4498" spans="1:17" x14ac:dyDescent="0.3">
      <c r="A4498" t="s">
        <v>17</v>
      </c>
      <c r="B4498">
        <v>66</v>
      </c>
      <c r="C4498" t="s">
        <v>134</v>
      </c>
      <c r="D4498" s="2">
        <v>46143</v>
      </c>
      <c r="E4498" s="3">
        <f t="shared" si="70"/>
        <v>46143</v>
      </c>
      <c r="F4498" t="s">
        <v>3627</v>
      </c>
      <c r="G4498" t="s">
        <v>2015</v>
      </c>
      <c r="H4498" s="4">
        <v>17</v>
      </c>
      <c r="I4498" t="s">
        <v>108</v>
      </c>
      <c r="J4498" t="s">
        <v>223</v>
      </c>
      <c r="K4498" t="s">
        <v>3632</v>
      </c>
      <c r="L4498" s="2">
        <v>46143</v>
      </c>
      <c r="M4498" t="s">
        <v>223</v>
      </c>
      <c r="N4498">
        <v>0</v>
      </c>
      <c r="O4498" t="s">
        <v>111</v>
      </c>
      <c r="P4498" t="s">
        <v>134</v>
      </c>
      <c r="Q4498">
        <v>0</v>
      </c>
    </row>
    <row r="4499" spans="1:17" x14ac:dyDescent="0.3">
      <c r="A4499" t="s">
        <v>17</v>
      </c>
      <c r="B4499">
        <v>66</v>
      </c>
      <c r="C4499" t="s">
        <v>134</v>
      </c>
      <c r="D4499" s="2">
        <v>46143</v>
      </c>
      <c r="E4499" s="3">
        <f t="shared" si="70"/>
        <v>46143</v>
      </c>
      <c r="F4499" t="s">
        <v>3627</v>
      </c>
      <c r="G4499" t="s">
        <v>2015</v>
      </c>
      <c r="H4499" s="4">
        <v>17</v>
      </c>
      <c r="I4499" t="s">
        <v>108</v>
      </c>
      <c r="J4499" t="s">
        <v>223</v>
      </c>
      <c r="K4499" t="s">
        <v>3633</v>
      </c>
      <c r="L4499" s="2">
        <v>46143</v>
      </c>
      <c r="M4499" t="s">
        <v>223</v>
      </c>
      <c r="N4499">
        <v>0</v>
      </c>
      <c r="O4499" t="s">
        <v>111</v>
      </c>
      <c r="P4499" t="s">
        <v>134</v>
      </c>
      <c r="Q4499">
        <v>0</v>
      </c>
    </row>
    <row r="4500" spans="1:17" x14ac:dyDescent="0.3">
      <c r="A4500" t="s">
        <v>17</v>
      </c>
      <c r="B4500">
        <v>66</v>
      </c>
      <c r="C4500" t="s">
        <v>134</v>
      </c>
      <c r="D4500" s="2">
        <v>46143</v>
      </c>
      <c r="E4500" s="3">
        <f t="shared" si="70"/>
        <v>46143</v>
      </c>
      <c r="F4500" t="s">
        <v>3634</v>
      </c>
      <c r="G4500" t="s">
        <v>2015</v>
      </c>
      <c r="H4500" s="4">
        <v>17.5</v>
      </c>
      <c r="I4500" t="s">
        <v>108</v>
      </c>
      <c r="J4500" t="s">
        <v>223</v>
      </c>
      <c r="K4500" t="s">
        <v>3635</v>
      </c>
      <c r="L4500" s="2">
        <v>46143</v>
      </c>
      <c r="M4500" t="s">
        <v>223</v>
      </c>
      <c r="N4500">
        <v>0</v>
      </c>
      <c r="O4500" t="s">
        <v>111</v>
      </c>
      <c r="P4500" t="s">
        <v>134</v>
      </c>
      <c r="Q4500">
        <v>0</v>
      </c>
    </row>
    <row r="4501" spans="1:17" x14ac:dyDescent="0.3">
      <c r="A4501" t="s">
        <v>17</v>
      </c>
      <c r="B4501">
        <v>66</v>
      </c>
      <c r="C4501" t="s">
        <v>134</v>
      </c>
      <c r="D4501" s="2">
        <v>46143</v>
      </c>
      <c r="E4501" s="3">
        <f t="shared" si="70"/>
        <v>46143</v>
      </c>
      <c r="F4501" t="s">
        <v>3634</v>
      </c>
      <c r="G4501" t="s">
        <v>2015</v>
      </c>
      <c r="H4501" s="4">
        <v>19.5</v>
      </c>
      <c r="I4501" t="s">
        <v>108</v>
      </c>
      <c r="J4501" t="s">
        <v>223</v>
      </c>
      <c r="K4501" t="s">
        <v>3636</v>
      </c>
      <c r="L4501" s="2">
        <v>46143</v>
      </c>
      <c r="M4501" t="s">
        <v>223</v>
      </c>
      <c r="N4501">
        <v>0</v>
      </c>
      <c r="O4501" t="s">
        <v>111</v>
      </c>
      <c r="P4501" t="s">
        <v>134</v>
      </c>
      <c r="Q4501">
        <v>0</v>
      </c>
    </row>
    <row r="4502" spans="1:17" x14ac:dyDescent="0.3">
      <c r="A4502" t="s">
        <v>17</v>
      </c>
      <c r="B4502">
        <v>66</v>
      </c>
      <c r="C4502" t="s">
        <v>134</v>
      </c>
      <c r="D4502" s="2">
        <v>46143</v>
      </c>
      <c r="E4502" s="3">
        <f t="shared" si="70"/>
        <v>46143</v>
      </c>
      <c r="F4502" t="s">
        <v>3634</v>
      </c>
      <c r="G4502" t="s">
        <v>2015</v>
      </c>
      <c r="H4502" s="4">
        <v>20</v>
      </c>
      <c r="I4502" t="s">
        <v>108</v>
      </c>
      <c r="J4502" t="s">
        <v>223</v>
      </c>
      <c r="K4502" t="s">
        <v>3635</v>
      </c>
      <c r="L4502" s="2">
        <v>46143</v>
      </c>
      <c r="M4502" t="s">
        <v>223</v>
      </c>
      <c r="N4502">
        <v>0</v>
      </c>
      <c r="O4502" t="s">
        <v>111</v>
      </c>
      <c r="P4502" t="s">
        <v>134</v>
      </c>
      <c r="Q4502">
        <v>0</v>
      </c>
    </row>
    <row r="4503" spans="1:17" x14ac:dyDescent="0.3">
      <c r="A4503" t="s">
        <v>17</v>
      </c>
      <c r="B4503">
        <v>66</v>
      </c>
      <c r="C4503" t="s">
        <v>134</v>
      </c>
      <c r="D4503" s="2">
        <v>46143</v>
      </c>
      <c r="E4503" s="3">
        <f t="shared" si="70"/>
        <v>46143</v>
      </c>
      <c r="F4503" t="s">
        <v>3634</v>
      </c>
      <c r="G4503" t="s">
        <v>2015</v>
      </c>
      <c r="H4503" s="4">
        <v>24.5</v>
      </c>
      <c r="I4503" t="s">
        <v>108</v>
      </c>
      <c r="J4503" t="s">
        <v>223</v>
      </c>
      <c r="K4503" t="s">
        <v>3637</v>
      </c>
      <c r="L4503" s="2">
        <v>46143</v>
      </c>
      <c r="M4503" t="s">
        <v>223</v>
      </c>
      <c r="N4503">
        <v>0</v>
      </c>
      <c r="O4503" t="s">
        <v>111</v>
      </c>
      <c r="P4503" t="s">
        <v>134</v>
      </c>
      <c r="Q4503">
        <v>0</v>
      </c>
    </row>
    <row r="4504" spans="1:17" x14ac:dyDescent="0.3">
      <c r="A4504" t="s">
        <v>17</v>
      </c>
      <c r="B4504">
        <v>66</v>
      </c>
      <c r="C4504" t="s">
        <v>134</v>
      </c>
      <c r="D4504" s="2">
        <v>46143</v>
      </c>
      <c r="E4504" s="3">
        <f t="shared" si="70"/>
        <v>46143</v>
      </c>
      <c r="F4504" t="s">
        <v>3634</v>
      </c>
      <c r="G4504" t="s">
        <v>2015</v>
      </c>
      <c r="H4504" s="4">
        <v>24.5</v>
      </c>
      <c r="I4504" t="s">
        <v>108</v>
      </c>
      <c r="J4504" t="s">
        <v>223</v>
      </c>
      <c r="K4504" t="s">
        <v>3638</v>
      </c>
      <c r="L4504" s="2">
        <v>46143</v>
      </c>
      <c r="M4504" t="s">
        <v>223</v>
      </c>
      <c r="N4504">
        <v>0</v>
      </c>
      <c r="O4504" t="s">
        <v>111</v>
      </c>
      <c r="P4504" t="s">
        <v>134</v>
      </c>
      <c r="Q4504">
        <v>0</v>
      </c>
    </row>
    <row r="4505" spans="1:17" x14ac:dyDescent="0.3">
      <c r="A4505" t="s">
        <v>17</v>
      </c>
      <c r="B4505">
        <v>66</v>
      </c>
      <c r="C4505" t="s">
        <v>134</v>
      </c>
      <c r="D4505" s="2">
        <v>46143</v>
      </c>
      <c r="E4505" s="3">
        <f t="shared" si="70"/>
        <v>46143</v>
      </c>
      <c r="F4505" t="s">
        <v>3634</v>
      </c>
      <c r="G4505" t="s">
        <v>2015</v>
      </c>
      <c r="H4505" s="4">
        <v>17.5</v>
      </c>
      <c r="I4505" t="s">
        <v>108</v>
      </c>
      <c r="J4505" t="s">
        <v>223</v>
      </c>
      <c r="K4505" t="s">
        <v>3639</v>
      </c>
      <c r="L4505" s="2">
        <v>46143</v>
      </c>
      <c r="M4505" t="s">
        <v>223</v>
      </c>
      <c r="N4505">
        <v>0</v>
      </c>
      <c r="O4505" t="s">
        <v>111</v>
      </c>
      <c r="P4505" t="s">
        <v>134</v>
      </c>
      <c r="Q4505">
        <v>0</v>
      </c>
    </row>
    <row r="4506" spans="1:17" x14ac:dyDescent="0.3">
      <c r="A4506" t="s">
        <v>17</v>
      </c>
      <c r="B4506">
        <v>66</v>
      </c>
      <c r="C4506" t="s">
        <v>134</v>
      </c>
      <c r="D4506" s="2">
        <v>46143</v>
      </c>
      <c r="E4506" s="3">
        <f t="shared" si="70"/>
        <v>46143</v>
      </c>
      <c r="F4506" t="s">
        <v>3634</v>
      </c>
      <c r="G4506" t="s">
        <v>2015</v>
      </c>
      <c r="H4506" s="4">
        <v>18.5</v>
      </c>
      <c r="I4506" t="s">
        <v>108</v>
      </c>
      <c r="J4506" t="s">
        <v>223</v>
      </c>
      <c r="K4506" t="s">
        <v>3640</v>
      </c>
      <c r="L4506" s="2">
        <v>46143</v>
      </c>
      <c r="M4506" t="s">
        <v>223</v>
      </c>
      <c r="N4506">
        <v>0</v>
      </c>
      <c r="O4506" t="s">
        <v>111</v>
      </c>
      <c r="P4506" t="s">
        <v>134</v>
      </c>
      <c r="Q4506">
        <v>0</v>
      </c>
    </row>
    <row r="4507" spans="1:17" x14ac:dyDescent="0.3">
      <c r="A4507" t="s">
        <v>17</v>
      </c>
      <c r="B4507">
        <v>66</v>
      </c>
      <c r="C4507" t="s">
        <v>134</v>
      </c>
      <c r="D4507" s="2">
        <v>46143</v>
      </c>
      <c r="E4507" s="3">
        <f t="shared" si="70"/>
        <v>46143</v>
      </c>
      <c r="F4507" t="s">
        <v>3634</v>
      </c>
      <c r="G4507" t="s">
        <v>2015</v>
      </c>
      <c r="H4507" s="4">
        <v>16.5</v>
      </c>
      <c r="I4507" t="s">
        <v>108</v>
      </c>
      <c r="J4507" t="s">
        <v>223</v>
      </c>
      <c r="K4507" t="s">
        <v>3641</v>
      </c>
      <c r="L4507" s="2">
        <v>46143</v>
      </c>
      <c r="M4507" t="s">
        <v>223</v>
      </c>
      <c r="N4507">
        <v>0</v>
      </c>
      <c r="O4507" t="s">
        <v>111</v>
      </c>
      <c r="P4507" t="s">
        <v>134</v>
      </c>
      <c r="Q4507">
        <v>0</v>
      </c>
    </row>
    <row r="4508" spans="1:17" x14ac:dyDescent="0.3">
      <c r="A4508" t="s">
        <v>17</v>
      </c>
      <c r="B4508">
        <v>66</v>
      </c>
      <c r="C4508" t="s">
        <v>134</v>
      </c>
      <c r="D4508" s="2">
        <v>46143</v>
      </c>
      <c r="E4508" s="3">
        <f t="shared" si="70"/>
        <v>46143</v>
      </c>
      <c r="F4508" t="s">
        <v>3642</v>
      </c>
      <c r="G4508" t="s">
        <v>1824</v>
      </c>
      <c r="H4508" s="4">
        <v>127.6</v>
      </c>
      <c r="I4508" t="s">
        <v>108</v>
      </c>
      <c r="J4508" t="s">
        <v>223</v>
      </c>
      <c r="K4508" t="s">
        <v>3643</v>
      </c>
      <c r="L4508" s="2">
        <v>46143</v>
      </c>
      <c r="M4508" t="s">
        <v>223</v>
      </c>
      <c r="N4508">
        <v>0</v>
      </c>
      <c r="O4508" t="s">
        <v>111</v>
      </c>
      <c r="P4508" t="s">
        <v>134</v>
      </c>
      <c r="Q4508">
        <v>0</v>
      </c>
    </row>
    <row r="4509" spans="1:17" x14ac:dyDescent="0.3">
      <c r="A4509" t="s">
        <v>17</v>
      </c>
      <c r="B4509">
        <v>66</v>
      </c>
      <c r="C4509" t="s">
        <v>134</v>
      </c>
      <c r="D4509" s="2">
        <v>46143</v>
      </c>
      <c r="E4509" s="3">
        <f t="shared" si="70"/>
        <v>46143</v>
      </c>
      <c r="F4509" t="s">
        <v>3644</v>
      </c>
      <c r="G4509" t="s">
        <v>877</v>
      </c>
      <c r="H4509" s="4">
        <v>1790.4</v>
      </c>
      <c r="I4509" t="s">
        <v>108</v>
      </c>
      <c r="J4509" t="s">
        <v>223</v>
      </c>
      <c r="K4509" t="s">
        <v>3645</v>
      </c>
      <c r="L4509" s="2">
        <v>46143</v>
      </c>
      <c r="M4509" t="s">
        <v>223</v>
      </c>
      <c r="N4509">
        <v>0</v>
      </c>
      <c r="O4509" t="s">
        <v>111</v>
      </c>
      <c r="P4509" t="s">
        <v>134</v>
      </c>
      <c r="Q4509">
        <v>0</v>
      </c>
    </row>
    <row r="4510" spans="1:17" x14ac:dyDescent="0.3">
      <c r="A4510" t="s">
        <v>17</v>
      </c>
      <c r="B4510">
        <v>66</v>
      </c>
      <c r="C4510" t="s">
        <v>134</v>
      </c>
      <c r="D4510" s="2">
        <v>46143</v>
      </c>
      <c r="E4510" s="3">
        <f t="shared" si="70"/>
        <v>46143</v>
      </c>
      <c r="F4510" t="s">
        <v>3616</v>
      </c>
      <c r="G4510" t="s">
        <v>2015</v>
      </c>
      <c r="H4510" s="4">
        <v>82.4</v>
      </c>
      <c r="I4510" t="s">
        <v>108</v>
      </c>
      <c r="J4510" t="s">
        <v>223</v>
      </c>
      <c r="K4510" t="s">
        <v>3646</v>
      </c>
      <c r="L4510" s="2">
        <v>46143</v>
      </c>
      <c r="M4510" t="s">
        <v>223</v>
      </c>
      <c r="N4510">
        <v>0</v>
      </c>
      <c r="O4510" t="s">
        <v>111</v>
      </c>
      <c r="P4510" t="s">
        <v>134</v>
      </c>
      <c r="Q4510">
        <v>0</v>
      </c>
    </row>
    <row r="4511" spans="1:17" x14ac:dyDescent="0.3">
      <c r="A4511" t="s">
        <v>17</v>
      </c>
      <c r="B4511">
        <v>66</v>
      </c>
      <c r="C4511" t="s">
        <v>134</v>
      </c>
      <c r="D4511" s="2">
        <v>46143</v>
      </c>
      <c r="E4511" s="3">
        <f t="shared" si="70"/>
        <v>46143</v>
      </c>
      <c r="F4511" t="s">
        <v>3616</v>
      </c>
      <c r="G4511" t="s">
        <v>2015</v>
      </c>
      <c r="H4511" s="4">
        <v>82.4</v>
      </c>
      <c r="I4511" t="s">
        <v>108</v>
      </c>
      <c r="J4511" t="s">
        <v>223</v>
      </c>
      <c r="K4511" t="s">
        <v>3646</v>
      </c>
      <c r="L4511" s="2">
        <v>46143</v>
      </c>
      <c r="M4511" t="s">
        <v>223</v>
      </c>
      <c r="N4511">
        <v>0</v>
      </c>
      <c r="O4511" t="s">
        <v>111</v>
      </c>
      <c r="P4511" t="s">
        <v>134</v>
      </c>
      <c r="Q4511">
        <v>0</v>
      </c>
    </row>
    <row r="4512" spans="1:17" x14ac:dyDescent="0.3">
      <c r="A4512" t="s">
        <v>17</v>
      </c>
      <c r="B4512">
        <v>66</v>
      </c>
      <c r="C4512" t="s">
        <v>134</v>
      </c>
      <c r="D4512" s="2">
        <v>46143</v>
      </c>
      <c r="E4512" s="3">
        <f t="shared" si="70"/>
        <v>46143</v>
      </c>
      <c r="F4512" t="s">
        <v>3616</v>
      </c>
      <c r="G4512" t="s">
        <v>2015</v>
      </c>
      <c r="H4512" s="4">
        <v>96.8</v>
      </c>
      <c r="I4512" t="s">
        <v>108</v>
      </c>
      <c r="J4512" t="s">
        <v>223</v>
      </c>
      <c r="K4512" t="s">
        <v>3617</v>
      </c>
      <c r="L4512" s="2">
        <v>46143</v>
      </c>
      <c r="M4512" t="s">
        <v>223</v>
      </c>
      <c r="N4512">
        <v>0</v>
      </c>
      <c r="O4512" t="s">
        <v>111</v>
      </c>
      <c r="P4512" t="s">
        <v>134</v>
      </c>
      <c r="Q4512">
        <v>0</v>
      </c>
    </row>
    <row r="4513" spans="1:17" x14ac:dyDescent="0.3">
      <c r="A4513" t="s">
        <v>17</v>
      </c>
      <c r="B4513">
        <v>68</v>
      </c>
      <c r="C4513" t="s">
        <v>34</v>
      </c>
      <c r="D4513" s="2">
        <v>46143</v>
      </c>
      <c r="E4513" s="3">
        <f t="shared" si="70"/>
        <v>46143</v>
      </c>
      <c r="F4513" t="s">
        <v>3647</v>
      </c>
      <c r="G4513" t="s">
        <v>291</v>
      </c>
      <c r="H4513" s="4">
        <v>144.34</v>
      </c>
      <c r="I4513" t="s">
        <v>47</v>
      </c>
      <c r="J4513" t="s">
        <v>109</v>
      </c>
      <c r="L4513" s="2">
        <v>46143</v>
      </c>
      <c r="M4513" t="s">
        <v>109</v>
      </c>
      <c r="N4513">
        <v>0</v>
      </c>
      <c r="O4513" t="s">
        <v>26</v>
      </c>
      <c r="P4513" t="s">
        <v>112</v>
      </c>
      <c r="Q4513" t="s">
        <v>113</v>
      </c>
    </row>
    <row r="4514" spans="1:17" x14ac:dyDescent="0.3">
      <c r="A4514" t="s">
        <v>17</v>
      </c>
      <c r="B4514">
        <v>68</v>
      </c>
      <c r="C4514" t="s">
        <v>34</v>
      </c>
      <c r="D4514" s="2">
        <v>46143</v>
      </c>
      <c r="E4514" s="3">
        <f t="shared" si="70"/>
        <v>46143</v>
      </c>
      <c r="F4514" t="s">
        <v>3647</v>
      </c>
      <c r="G4514" t="s">
        <v>291</v>
      </c>
      <c r="H4514" s="4">
        <v>189.34</v>
      </c>
      <c r="I4514" t="s">
        <v>47</v>
      </c>
      <c r="J4514" t="s">
        <v>109</v>
      </c>
      <c r="K4514" t="s">
        <v>3648</v>
      </c>
      <c r="L4514" s="2">
        <v>46143</v>
      </c>
      <c r="M4514" t="s">
        <v>109</v>
      </c>
      <c r="N4514">
        <v>0</v>
      </c>
      <c r="O4514" t="s">
        <v>26</v>
      </c>
      <c r="P4514" t="s">
        <v>112</v>
      </c>
      <c r="Q4514" t="s">
        <v>113</v>
      </c>
    </row>
    <row r="4515" spans="1:17" x14ac:dyDescent="0.3">
      <c r="A4515" t="s">
        <v>17</v>
      </c>
      <c r="B4515">
        <v>68</v>
      </c>
      <c r="C4515" t="s">
        <v>34</v>
      </c>
      <c r="D4515" s="2">
        <v>46143</v>
      </c>
      <c r="E4515" s="3">
        <f t="shared" si="70"/>
        <v>46143</v>
      </c>
      <c r="F4515" t="s">
        <v>3647</v>
      </c>
      <c r="G4515" t="s">
        <v>291</v>
      </c>
      <c r="H4515" s="4">
        <v>189.94</v>
      </c>
      <c r="I4515" t="s">
        <v>47</v>
      </c>
      <c r="J4515" t="s">
        <v>109</v>
      </c>
      <c r="K4515" t="s">
        <v>3649</v>
      </c>
      <c r="L4515" s="2">
        <v>46143</v>
      </c>
      <c r="M4515" t="s">
        <v>109</v>
      </c>
      <c r="N4515">
        <v>0</v>
      </c>
      <c r="O4515" t="s">
        <v>26</v>
      </c>
      <c r="P4515" t="s">
        <v>112</v>
      </c>
      <c r="Q4515" t="s">
        <v>113</v>
      </c>
    </row>
    <row r="4516" spans="1:17" x14ac:dyDescent="0.3">
      <c r="A4516" t="s">
        <v>17</v>
      </c>
      <c r="B4516">
        <v>68</v>
      </c>
      <c r="C4516" t="s">
        <v>34</v>
      </c>
      <c r="D4516" s="2">
        <v>46143</v>
      </c>
      <c r="E4516" s="3">
        <f t="shared" si="70"/>
        <v>46143</v>
      </c>
      <c r="F4516" t="s">
        <v>3647</v>
      </c>
      <c r="G4516" t="s">
        <v>291</v>
      </c>
      <c r="H4516" s="4">
        <v>56.64</v>
      </c>
      <c r="I4516" t="s">
        <v>47</v>
      </c>
      <c r="J4516" t="s">
        <v>109</v>
      </c>
      <c r="K4516" t="s">
        <v>3650</v>
      </c>
      <c r="L4516" s="2">
        <v>46143</v>
      </c>
      <c r="M4516" t="s">
        <v>109</v>
      </c>
      <c r="N4516">
        <v>0</v>
      </c>
      <c r="O4516" t="s">
        <v>26</v>
      </c>
      <c r="P4516" t="s">
        <v>112</v>
      </c>
      <c r="Q4516" t="s">
        <v>113</v>
      </c>
    </row>
    <row r="4517" spans="1:17" x14ac:dyDescent="0.3">
      <c r="A4517" t="s">
        <v>17</v>
      </c>
      <c r="B4517">
        <v>68</v>
      </c>
      <c r="C4517" t="s">
        <v>34</v>
      </c>
      <c r="D4517" s="2">
        <v>46143</v>
      </c>
      <c r="E4517" s="3">
        <f t="shared" si="70"/>
        <v>46143</v>
      </c>
      <c r="F4517" t="s">
        <v>3647</v>
      </c>
      <c r="G4517" t="s">
        <v>291</v>
      </c>
      <c r="H4517" s="4">
        <v>119.34</v>
      </c>
      <c r="I4517" t="s">
        <v>47</v>
      </c>
      <c r="J4517" t="s">
        <v>109</v>
      </c>
      <c r="K4517" t="s">
        <v>1700</v>
      </c>
      <c r="L4517" s="2">
        <v>46143</v>
      </c>
      <c r="M4517" t="s">
        <v>109</v>
      </c>
      <c r="N4517">
        <v>0</v>
      </c>
      <c r="O4517" t="s">
        <v>26</v>
      </c>
      <c r="P4517" t="s">
        <v>112</v>
      </c>
      <c r="Q4517" t="s">
        <v>113</v>
      </c>
    </row>
    <row r="4518" spans="1:17" x14ac:dyDescent="0.3">
      <c r="A4518" t="s">
        <v>17</v>
      </c>
      <c r="B4518">
        <v>67</v>
      </c>
      <c r="C4518" t="s">
        <v>28</v>
      </c>
      <c r="D4518" s="2">
        <v>46143</v>
      </c>
      <c r="E4518" s="3">
        <f t="shared" si="70"/>
        <v>46143</v>
      </c>
      <c r="F4518" t="s">
        <v>3651</v>
      </c>
      <c r="G4518" t="s">
        <v>259</v>
      </c>
      <c r="H4518" s="4">
        <v>10496.55</v>
      </c>
      <c r="I4518" t="s">
        <v>31</v>
      </c>
      <c r="J4518" t="s">
        <v>32</v>
      </c>
      <c r="K4518" t="s">
        <v>3652</v>
      </c>
      <c r="L4518" s="2">
        <v>46143</v>
      </c>
      <c r="M4518" t="s">
        <v>32</v>
      </c>
      <c r="N4518">
        <v>0</v>
      </c>
      <c r="O4518" t="s">
        <v>31</v>
      </c>
      <c r="P4518" t="s">
        <v>28</v>
      </c>
      <c r="Q4518">
        <v>0</v>
      </c>
    </row>
    <row r="4519" spans="1:17" x14ac:dyDescent="0.3">
      <c r="A4519" t="s">
        <v>17</v>
      </c>
      <c r="B4519">
        <v>67</v>
      </c>
      <c r="C4519" t="s">
        <v>28</v>
      </c>
      <c r="D4519" s="2">
        <v>46143</v>
      </c>
      <c r="E4519" s="3">
        <f t="shared" si="70"/>
        <v>46143</v>
      </c>
      <c r="F4519" t="s">
        <v>3653</v>
      </c>
      <c r="G4519" t="s">
        <v>1445</v>
      </c>
      <c r="H4519" s="4">
        <v>67</v>
      </c>
      <c r="I4519" t="s">
        <v>31</v>
      </c>
      <c r="J4519" t="s">
        <v>32</v>
      </c>
      <c r="K4519" t="s">
        <v>3654</v>
      </c>
      <c r="L4519" s="2">
        <v>46143</v>
      </c>
      <c r="M4519" t="s">
        <v>32</v>
      </c>
      <c r="N4519">
        <v>0</v>
      </c>
      <c r="O4519" t="s">
        <v>31</v>
      </c>
      <c r="P4519" t="s">
        <v>28</v>
      </c>
      <c r="Q4519">
        <v>0</v>
      </c>
    </row>
    <row r="4520" spans="1:17" x14ac:dyDescent="0.3">
      <c r="A4520" t="s">
        <v>17</v>
      </c>
      <c r="B4520">
        <v>67</v>
      </c>
      <c r="C4520" t="s">
        <v>28</v>
      </c>
      <c r="D4520" s="2">
        <v>46143</v>
      </c>
      <c r="E4520" s="3">
        <f t="shared" si="70"/>
        <v>46143</v>
      </c>
      <c r="F4520" t="s">
        <v>3653</v>
      </c>
      <c r="G4520" t="s">
        <v>1445</v>
      </c>
      <c r="H4520" s="4">
        <v>2010</v>
      </c>
      <c r="I4520" t="s">
        <v>31</v>
      </c>
      <c r="J4520" t="s">
        <v>32</v>
      </c>
      <c r="K4520" t="s">
        <v>3655</v>
      </c>
      <c r="L4520" s="2">
        <v>46143</v>
      </c>
      <c r="M4520" t="s">
        <v>32</v>
      </c>
      <c r="N4520">
        <v>0</v>
      </c>
      <c r="O4520" t="s">
        <v>31</v>
      </c>
      <c r="P4520" t="s">
        <v>28</v>
      </c>
      <c r="Q4520">
        <v>0</v>
      </c>
    </row>
    <row r="4521" spans="1:17" x14ac:dyDescent="0.3">
      <c r="A4521" t="s">
        <v>17</v>
      </c>
      <c r="B4521">
        <v>67</v>
      </c>
      <c r="C4521" t="s">
        <v>28</v>
      </c>
      <c r="D4521" s="2">
        <v>46143</v>
      </c>
      <c r="E4521" s="3">
        <f t="shared" si="70"/>
        <v>46143</v>
      </c>
      <c r="F4521" t="s">
        <v>3656</v>
      </c>
      <c r="H4521" s="4">
        <v>-2077</v>
      </c>
      <c r="I4521" t="s">
        <v>31</v>
      </c>
      <c r="J4521" t="s">
        <v>32</v>
      </c>
      <c r="K4521" t="s">
        <v>3547</v>
      </c>
      <c r="L4521" s="2">
        <v>46143</v>
      </c>
      <c r="M4521" t="s">
        <v>32</v>
      </c>
      <c r="N4521">
        <v>0</v>
      </c>
      <c r="O4521" t="s">
        <v>31</v>
      </c>
      <c r="P4521" t="s">
        <v>28</v>
      </c>
      <c r="Q4521">
        <v>0</v>
      </c>
    </row>
    <row r="4522" spans="1:17" x14ac:dyDescent="0.3">
      <c r="A4522" t="s">
        <v>17</v>
      </c>
      <c r="B4522">
        <v>67</v>
      </c>
      <c r="C4522" t="s">
        <v>28</v>
      </c>
      <c r="D4522" s="2">
        <v>46143</v>
      </c>
      <c r="E4522" s="3">
        <f t="shared" si="70"/>
        <v>46143</v>
      </c>
      <c r="F4522" t="s">
        <v>3656</v>
      </c>
      <c r="H4522" s="4">
        <v>-10496.55</v>
      </c>
      <c r="I4522" t="s">
        <v>31</v>
      </c>
      <c r="J4522" t="s">
        <v>32</v>
      </c>
      <c r="K4522" t="s">
        <v>3548</v>
      </c>
      <c r="L4522" s="2">
        <v>46143</v>
      </c>
      <c r="M4522" t="s">
        <v>32</v>
      </c>
      <c r="N4522">
        <v>0</v>
      </c>
      <c r="O4522" t="s">
        <v>31</v>
      </c>
      <c r="P4522" t="s">
        <v>28</v>
      </c>
      <c r="Q4522">
        <v>0</v>
      </c>
    </row>
    <row r="4523" spans="1:17" x14ac:dyDescent="0.3">
      <c r="A4523" t="s">
        <v>17</v>
      </c>
      <c r="B4523">
        <v>67</v>
      </c>
      <c r="C4523" t="s">
        <v>28</v>
      </c>
      <c r="D4523" s="2">
        <v>46143</v>
      </c>
      <c r="E4523" s="3">
        <f t="shared" si="70"/>
        <v>46143</v>
      </c>
      <c r="F4523" t="s">
        <v>3657</v>
      </c>
      <c r="G4523" t="s">
        <v>1726</v>
      </c>
      <c r="H4523" s="4">
        <v>2320</v>
      </c>
      <c r="I4523" t="s">
        <v>21</v>
      </c>
      <c r="J4523" t="s">
        <v>74</v>
      </c>
      <c r="K4523" t="s">
        <v>3658</v>
      </c>
      <c r="L4523" s="2">
        <v>46143</v>
      </c>
      <c r="M4523" t="s">
        <v>76</v>
      </c>
      <c r="N4523" t="s">
        <v>25</v>
      </c>
      <c r="O4523" t="s">
        <v>81</v>
      </c>
      <c r="P4523" t="s">
        <v>28</v>
      </c>
      <c r="Q4523">
        <v>0</v>
      </c>
    </row>
    <row r="4524" spans="1:17" x14ac:dyDescent="0.3">
      <c r="A4524" t="s">
        <v>17</v>
      </c>
      <c r="B4524">
        <v>67</v>
      </c>
      <c r="C4524" t="s">
        <v>28</v>
      </c>
      <c r="D4524" s="2">
        <v>46143</v>
      </c>
      <c r="E4524" s="3">
        <f t="shared" si="70"/>
        <v>46143</v>
      </c>
      <c r="F4524" t="s">
        <v>3657</v>
      </c>
      <c r="G4524" t="s">
        <v>1726</v>
      </c>
      <c r="H4524" s="4">
        <v>10000</v>
      </c>
      <c r="I4524" t="s">
        <v>21</v>
      </c>
      <c r="J4524" t="s">
        <v>74</v>
      </c>
      <c r="K4524" t="s">
        <v>3659</v>
      </c>
      <c r="L4524" s="2">
        <v>46143</v>
      </c>
      <c r="M4524" t="s">
        <v>76</v>
      </c>
      <c r="N4524" t="s">
        <v>25</v>
      </c>
      <c r="O4524" t="s">
        <v>81</v>
      </c>
      <c r="P4524" t="s">
        <v>28</v>
      </c>
      <c r="Q4524">
        <v>0</v>
      </c>
    </row>
    <row r="4525" spans="1:17" x14ac:dyDescent="0.3">
      <c r="A4525" t="s">
        <v>17</v>
      </c>
      <c r="B4525">
        <v>68</v>
      </c>
      <c r="C4525" t="s">
        <v>34</v>
      </c>
      <c r="D4525" s="2">
        <v>46143</v>
      </c>
      <c r="E4525" s="3">
        <f t="shared" si="70"/>
        <v>46143</v>
      </c>
      <c r="F4525" t="s">
        <v>3603</v>
      </c>
      <c r="G4525" t="s">
        <v>40</v>
      </c>
      <c r="H4525" s="4">
        <v>285.93</v>
      </c>
      <c r="I4525" t="s">
        <v>31</v>
      </c>
      <c r="J4525" t="s">
        <v>37</v>
      </c>
      <c r="K4525" t="s">
        <v>3660</v>
      </c>
      <c r="L4525" s="2">
        <v>46143</v>
      </c>
      <c r="M4525" t="s">
        <v>37</v>
      </c>
      <c r="N4525">
        <v>0</v>
      </c>
      <c r="O4525" t="s">
        <v>31</v>
      </c>
      <c r="P4525" t="s">
        <v>34</v>
      </c>
      <c r="Q4525">
        <v>0</v>
      </c>
    </row>
    <row r="4526" spans="1:17" x14ac:dyDescent="0.3">
      <c r="A4526" t="s">
        <v>17</v>
      </c>
      <c r="B4526">
        <v>68</v>
      </c>
      <c r="C4526" t="s">
        <v>34</v>
      </c>
      <c r="D4526" s="2">
        <v>46143</v>
      </c>
      <c r="E4526" s="3">
        <f t="shared" si="70"/>
        <v>46143</v>
      </c>
      <c r="F4526" t="s">
        <v>3661</v>
      </c>
      <c r="H4526" s="4">
        <v>-285.93</v>
      </c>
      <c r="I4526" t="s">
        <v>31</v>
      </c>
      <c r="J4526" t="s">
        <v>37</v>
      </c>
      <c r="K4526" t="s">
        <v>3583</v>
      </c>
      <c r="L4526" s="2">
        <v>46143</v>
      </c>
      <c r="M4526" t="s">
        <v>37</v>
      </c>
      <c r="N4526">
        <v>0</v>
      </c>
      <c r="O4526" t="s">
        <v>31</v>
      </c>
      <c r="P4526" t="s">
        <v>34</v>
      </c>
      <c r="Q4526">
        <v>0</v>
      </c>
    </row>
    <row r="4527" spans="1:17" x14ac:dyDescent="0.3">
      <c r="A4527" t="s">
        <v>17</v>
      </c>
      <c r="B4527">
        <v>68</v>
      </c>
      <c r="C4527" t="s">
        <v>34</v>
      </c>
      <c r="D4527" s="2">
        <v>46144</v>
      </c>
      <c r="E4527" s="3">
        <f t="shared" si="70"/>
        <v>46143</v>
      </c>
      <c r="F4527" t="s">
        <v>3662</v>
      </c>
      <c r="G4527" t="s">
        <v>122</v>
      </c>
      <c r="H4527" s="4">
        <v>1.37</v>
      </c>
      <c r="I4527" t="s">
        <v>108</v>
      </c>
      <c r="J4527" t="s">
        <v>109</v>
      </c>
      <c r="L4527" s="2">
        <v>46143</v>
      </c>
      <c r="M4527" t="s">
        <v>109</v>
      </c>
      <c r="N4527">
        <v>0</v>
      </c>
      <c r="O4527" t="s">
        <v>111</v>
      </c>
      <c r="P4527" t="s">
        <v>112</v>
      </c>
      <c r="Q4527" t="s">
        <v>113</v>
      </c>
    </row>
    <row r="4528" spans="1:17" x14ac:dyDescent="0.3">
      <c r="A4528" t="s">
        <v>17</v>
      </c>
      <c r="B4528">
        <v>68</v>
      </c>
      <c r="C4528" t="s">
        <v>34</v>
      </c>
      <c r="D4528" s="2">
        <v>46144</v>
      </c>
      <c r="E4528" s="3">
        <f t="shared" si="70"/>
        <v>46143</v>
      </c>
      <c r="F4528" t="s">
        <v>3662</v>
      </c>
      <c r="G4528" t="s">
        <v>122</v>
      </c>
      <c r="H4528" s="4">
        <v>17.5</v>
      </c>
      <c r="I4528" t="s">
        <v>108</v>
      </c>
      <c r="J4528" t="s">
        <v>109</v>
      </c>
      <c r="L4528" s="2">
        <v>46143</v>
      </c>
      <c r="M4528" t="s">
        <v>109</v>
      </c>
      <c r="N4528">
        <v>0</v>
      </c>
      <c r="O4528" t="s">
        <v>111</v>
      </c>
      <c r="P4528" t="s">
        <v>112</v>
      </c>
      <c r="Q4528" t="s">
        <v>113</v>
      </c>
    </row>
    <row r="4529" spans="1:17" x14ac:dyDescent="0.3">
      <c r="A4529" t="s">
        <v>17</v>
      </c>
      <c r="B4529">
        <v>68</v>
      </c>
      <c r="C4529" t="s">
        <v>34</v>
      </c>
      <c r="D4529" s="2">
        <v>46144</v>
      </c>
      <c r="E4529" s="3">
        <f t="shared" si="70"/>
        <v>46143</v>
      </c>
      <c r="F4529" t="s">
        <v>3662</v>
      </c>
      <c r="G4529" t="s">
        <v>122</v>
      </c>
      <c r="H4529" s="4">
        <v>1.34</v>
      </c>
      <c r="I4529" t="s">
        <v>108</v>
      </c>
      <c r="J4529" t="s">
        <v>109</v>
      </c>
      <c r="L4529" s="2">
        <v>46143</v>
      </c>
      <c r="M4529" t="s">
        <v>109</v>
      </c>
      <c r="N4529">
        <v>0</v>
      </c>
      <c r="O4529" t="s">
        <v>111</v>
      </c>
      <c r="P4529" t="s">
        <v>112</v>
      </c>
      <c r="Q4529" t="s">
        <v>113</v>
      </c>
    </row>
    <row r="4530" spans="1:17" x14ac:dyDescent="0.3">
      <c r="A4530" t="s">
        <v>17</v>
      </c>
      <c r="B4530">
        <v>68</v>
      </c>
      <c r="C4530" t="s">
        <v>34</v>
      </c>
      <c r="D4530" s="2">
        <v>46144</v>
      </c>
      <c r="E4530" s="3">
        <f t="shared" si="70"/>
        <v>46143</v>
      </c>
      <c r="F4530" t="s">
        <v>3663</v>
      </c>
      <c r="G4530" t="s">
        <v>122</v>
      </c>
      <c r="H4530" s="4">
        <v>11.88</v>
      </c>
      <c r="I4530" t="s">
        <v>108</v>
      </c>
      <c r="J4530" t="s">
        <v>109</v>
      </c>
      <c r="L4530" s="2">
        <v>46143</v>
      </c>
      <c r="M4530" t="s">
        <v>109</v>
      </c>
      <c r="N4530">
        <v>0</v>
      </c>
      <c r="O4530" t="s">
        <v>111</v>
      </c>
      <c r="P4530" t="s">
        <v>112</v>
      </c>
      <c r="Q4530" t="s">
        <v>113</v>
      </c>
    </row>
    <row r="4531" spans="1:17" x14ac:dyDescent="0.3">
      <c r="A4531" t="s">
        <v>17</v>
      </c>
      <c r="B4531">
        <v>68</v>
      </c>
      <c r="C4531" t="s">
        <v>34</v>
      </c>
      <c r="D4531" s="2">
        <v>46144</v>
      </c>
      <c r="E4531" s="3">
        <f t="shared" si="70"/>
        <v>46143</v>
      </c>
      <c r="F4531" t="s">
        <v>3663</v>
      </c>
      <c r="G4531" t="s">
        <v>122</v>
      </c>
      <c r="H4531" s="4">
        <v>17.5</v>
      </c>
      <c r="I4531" t="s">
        <v>108</v>
      </c>
      <c r="J4531" t="s">
        <v>109</v>
      </c>
      <c r="L4531" s="2">
        <v>46143</v>
      </c>
      <c r="M4531" t="s">
        <v>109</v>
      </c>
      <c r="N4531">
        <v>0</v>
      </c>
      <c r="O4531" t="s">
        <v>111</v>
      </c>
      <c r="P4531" t="s">
        <v>112</v>
      </c>
      <c r="Q4531" t="s">
        <v>113</v>
      </c>
    </row>
    <row r="4532" spans="1:17" x14ac:dyDescent="0.3">
      <c r="A4532" t="s">
        <v>17</v>
      </c>
      <c r="B4532">
        <v>68</v>
      </c>
      <c r="C4532" t="s">
        <v>34</v>
      </c>
      <c r="D4532" s="2">
        <v>46144</v>
      </c>
      <c r="E4532" s="3">
        <f t="shared" si="70"/>
        <v>46143</v>
      </c>
      <c r="F4532" t="s">
        <v>3663</v>
      </c>
      <c r="G4532" t="s">
        <v>122</v>
      </c>
      <c r="H4532" s="4">
        <v>1.34</v>
      </c>
      <c r="I4532" t="s">
        <v>108</v>
      </c>
      <c r="J4532" t="s">
        <v>109</v>
      </c>
      <c r="L4532" s="2">
        <v>46143</v>
      </c>
      <c r="M4532" t="s">
        <v>109</v>
      </c>
      <c r="N4532">
        <v>0</v>
      </c>
      <c r="O4532" t="s">
        <v>111</v>
      </c>
      <c r="P4532" t="s">
        <v>112</v>
      </c>
      <c r="Q4532" t="s">
        <v>113</v>
      </c>
    </row>
    <row r="4533" spans="1:17" x14ac:dyDescent="0.3">
      <c r="A4533" t="s">
        <v>17</v>
      </c>
      <c r="B4533">
        <v>64</v>
      </c>
      <c r="C4533" t="s">
        <v>83</v>
      </c>
      <c r="D4533" s="2">
        <v>46146</v>
      </c>
      <c r="E4533" s="3">
        <f t="shared" si="70"/>
        <v>46143</v>
      </c>
      <c r="F4533" t="s">
        <v>3664</v>
      </c>
      <c r="G4533" t="s">
        <v>174</v>
      </c>
      <c r="H4533" s="4">
        <v>28.98</v>
      </c>
      <c r="I4533" t="s">
        <v>31</v>
      </c>
      <c r="J4533" t="s">
        <v>91</v>
      </c>
      <c r="K4533" t="s">
        <v>1200</v>
      </c>
      <c r="L4533" s="2">
        <v>46143</v>
      </c>
      <c r="M4533" t="s">
        <v>93</v>
      </c>
      <c r="N4533">
        <v>0</v>
      </c>
      <c r="O4533" t="s">
        <v>31</v>
      </c>
      <c r="P4533" t="s">
        <v>83</v>
      </c>
      <c r="Q4533">
        <v>0</v>
      </c>
    </row>
    <row r="4534" spans="1:17" x14ac:dyDescent="0.3">
      <c r="A4534" t="s">
        <v>17</v>
      </c>
      <c r="B4534">
        <v>64</v>
      </c>
      <c r="C4534" t="s">
        <v>83</v>
      </c>
      <c r="D4534" s="2">
        <v>46146</v>
      </c>
      <c r="E4534" s="3">
        <f t="shared" si="70"/>
        <v>46143</v>
      </c>
      <c r="F4534" t="s">
        <v>3664</v>
      </c>
      <c r="G4534" t="s">
        <v>174</v>
      </c>
      <c r="H4534" s="4">
        <v>322.52999999999997</v>
      </c>
      <c r="I4534" t="s">
        <v>31</v>
      </c>
      <c r="J4534" t="s">
        <v>91</v>
      </c>
      <c r="K4534" t="s">
        <v>3665</v>
      </c>
      <c r="L4534" s="2">
        <v>46143</v>
      </c>
      <c r="M4534" t="s">
        <v>93</v>
      </c>
      <c r="N4534">
        <v>0</v>
      </c>
      <c r="O4534" t="s">
        <v>31</v>
      </c>
      <c r="P4534" t="s">
        <v>83</v>
      </c>
      <c r="Q4534">
        <v>0</v>
      </c>
    </row>
    <row r="4535" spans="1:17" x14ac:dyDescent="0.3">
      <c r="A4535" t="s">
        <v>17</v>
      </c>
      <c r="B4535">
        <v>64</v>
      </c>
      <c r="C4535" t="s">
        <v>83</v>
      </c>
      <c r="D4535" s="2">
        <v>46146</v>
      </c>
      <c r="E4535" s="3">
        <f t="shared" si="70"/>
        <v>46143</v>
      </c>
      <c r="F4535" t="s">
        <v>3664</v>
      </c>
      <c r="G4535" t="s">
        <v>174</v>
      </c>
      <c r="H4535" s="4">
        <v>47.37</v>
      </c>
      <c r="I4535" t="s">
        <v>31</v>
      </c>
      <c r="J4535" t="s">
        <v>91</v>
      </c>
      <c r="K4535" t="s">
        <v>1018</v>
      </c>
      <c r="L4535" s="2">
        <v>46143</v>
      </c>
      <c r="M4535" t="s">
        <v>93</v>
      </c>
      <c r="N4535">
        <v>0</v>
      </c>
      <c r="O4535" t="s">
        <v>31</v>
      </c>
      <c r="P4535" t="s">
        <v>83</v>
      </c>
      <c r="Q4535">
        <v>0</v>
      </c>
    </row>
    <row r="4536" spans="1:17" x14ac:dyDescent="0.3">
      <c r="A4536" t="s">
        <v>17</v>
      </c>
      <c r="B4536">
        <v>64</v>
      </c>
      <c r="C4536" t="s">
        <v>83</v>
      </c>
      <c r="D4536" s="2">
        <v>46146</v>
      </c>
      <c r="E4536" s="3">
        <f t="shared" si="70"/>
        <v>46143</v>
      </c>
      <c r="F4536" t="s">
        <v>3664</v>
      </c>
      <c r="G4536" t="s">
        <v>174</v>
      </c>
      <c r="H4536" s="4">
        <v>91.72</v>
      </c>
      <c r="I4536" t="s">
        <v>31</v>
      </c>
      <c r="J4536" t="s">
        <v>91</v>
      </c>
      <c r="K4536" t="s">
        <v>1201</v>
      </c>
      <c r="L4536" s="2">
        <v>46143</v>
      </c>
      <c r="M4536" t="s">
        <v>93</v>
      </c>
      <c r="N4536">
        <v>0</v>
      </c>
      <c r="O4536" t="s">
        <v>31</v>
      </c>
      <c r="P4536" t="s">
        <v>83</v>
      </c>
      <c r="Q4536">
        <v>0</v>
      </c>
    </row>
    <row r="4537" spans="1:17" x14ac:dyDescent="0.3">
      <c r="A4537" t="s">
        <v>17</v>
      </c>
      <c r="B4537">
        <v>64</v>
      </c>
      <c r="C4537" t="s">
        <v>83</v>
      </c>
      <c r="D4537" s="2">
        <v>46146</v>
      </c>
      <c r="E4537" s="3">
        <f t="shared" si="70"/>
        <v>46143</v>
      </c>
      <c r="F4537" t="s">
        <v>3664</v>
      </c>
      <c r="G4537" t="s">
        <v>174</v>
      </c>
      <c r="H4537" s="4">
        <v>66.959999999999994</v>
      </c>
      <c r="I4537" t="s">
        <v>31</v>
      </c>
      <c r="J4537" t="s">
        <v>91</v>
      </c>
      <c r="K4537" t="s">
        <v>2192</v>
      </c>
      <c r="L4537" s="2">
        <v>46143</v>
      </c>
      <c r="M4537" t="s">
        <v>93</v>
      </c>
      <c r="N4537">
        <v>0</v>
      </c>
      <c r="O4537" t="s">
        <v>31</v>
      </c>
      <c r="P4537" t="s">
        <v>83</v>
      </c>
      <c r="Q4537">
        <v>0</v>
      </c>
    </row>
    <row r="4538" spans="1:17" x14ac:dyDescent="0.3">
      <c r="A4538" t="s">
        <v>17</v>
      </c>
      <c r="B4538">
        <v>64</v>
      </c>
      <c r="C4538" t="s">
        <v>83</v>
      </c>
      <c r="D4538" s="2">
        <v>46146</v>
      </c>
      <c r="E4538" s="3">
        <f t="shared" si="70"/>
        <v>46143</v>
      </c>
      <c r="F4538" t="s">
        <v>3664</v>
      </c>
      <c r="G4538" t="s">
        <v>174</v>
      </c>
      <c r="H4538" s="4">
        <v>35.43</v>
      </c>
      <c r="I4538" t="s">
        <v>31</v>
      </c>
      <c r="J4538" t="s">
        <v>91</v>
      </c>
      <c r="K4538" t="s">
        <v>2192</v>
      </c>
      <c r="L4538" s="2">
        <v>46143</v>
      </c>
      <c r="M4538" t="s">
        <v>93</v>
      </c>
      <c r="N4538">
        <v>0</v>
      </c>
      <c r="O4538" t="s">
        <v>31</v>
      </c>
      <c r="P4538" t="s">
        <v>83</v>
      </c>
      <c r="Q4538">
        <v>0</v>
      </c>
    </row>
    <row r="4539" spans="1:17" x14ac:dyDescent="0.3">
      <c r="A4539" t="s">
        <v>17</v>
      </c>
      <c r="B4539">
        <v>64</v>
      </c>
      <c r="C4539" t="s">
        <v>83</v>
      </c>
      <c r="D4539" s="2">
        <v>46146</v>
      </c>
      <c r="E4539" s="3">
        <f t="shared" si="70"/>
        <v>46143</v>
      </c>
      <c r="F4539" t="s">
        <v>3664</v>
      </c>
      <c r="G4539" t="s">
        <v>174</v>
      </c>
      <c r="H4539" s="4">
        <v>14.7</v>
      </c>
      <c r="I4539" t="s">
        <v>31</v>
      </c>
      <c r="J4539" t="s">
        <v>91</v>
      </c>
      <c r="K4539" t="s">
        <v>2914</v>
      </c>
      <c r="L4539" s="2">
        <v>46143</v>
      </c>
      <c r="M4539" t="s">
        <v>93</v>
      </c>
      <c r="N4539">
        <v>0</v>
      </c>
      <c r="O4539" t="s">
        <v>31</v>
      </c>
      <c r="P4539" t="s">
        <v>83</v>
      </c>
      <c r="Q4539">
        <v>0</v>
      </c>
    </row>
    <row r="4540" spans="1:17" x14ac:dyDescent="0.3">
      <c r="A4540" t="s">
        <v>17</v>
      </c>
      <c r="B4540">
        <v>63</v>
      </c>
      <c r="C4540" t="s">
        <v>18</v>
      </c>
      <c r="D4540" s="2">
        <v>46146</v>
      </c>
      <c r="E4540" s="3">
        <f t="shared" si="70"/>
        <v>46143</v>
      </c>
      <c r="F4540" t="s">
        <v>2939</v>
      </c>
      <c r="G4540" t="s">
        <v>3666</v>
      </c>
      <c r="H4540" s="4">
        <v>1327.01</v>
      </c>
      <c r="I4540" t="s">
        <v>47</v>
      </c>
      <c r="J4540" t="s">
        <v>272</v>
      </c>
      <c r="K4540" t="s">
        <v>3667</v>
      </c>
      <c r="L4540" s="2">
        <v>46143</v>
      </c>
      <c r="M4540" t="s">
        <v>272</v>
      </c>
      <c r="N4540">
        <v>0</v>
      </c>
      <c r="O4540" t="s">
        <v>26</v>
      </c>
      <c r="P4540" t="s">
        <v>18</v>
      </c>
      <c r="Q4540" t="s">
        <v>274</v>
      </c>
    </row>
    <row r="4541" spans="1:17" x14ac:dyDescent="0.3">
      <c r="A4541" t="s">
        <v>17</v>
      </c>
      <c r="B4541">
        <v>63</v>
      </c>
      <c r="C4541" t="s">
        <v>18</v>
      </c>
      <c r="D4541" s="2">
        <v>46146</v>
      </c>
      <c r="E4541" s="3">
        <f t="shared" si="70"/>
        <v>46143</v>
      </c>
      <c r="F4541">
        <v>851653</v>
      </c>
      <c r="G4541" t="s">
        <v>125</v>
      </c>
      <c r="H4541" s="4">
        <v>300</v>
      </c>
      <c r="I4541" t="s">
        <v>47</v>
      </c>
      <c r="J4541" t="s">
        <v>22</v>
      </c>
      <c r="K4541" t="s">
        <v>3668</v>
      </c>
      <c r="L4541" s="2">
        <v>46143</v>
      </c>
      <c r="M4541" t="s">
        <v>24</v>
      </c>
      <c r="N4541">
        <v>0</v>
      </c>
      <c r="O4541" t="s">
        <v>26</v>
      </c>
      <c r="P4541" t="s">
        <v>18</v>
      </c>
      <c r="Q4541" t="s">
        <v>27</v>
      </c>
    </row>
    <row r="4542" spans="1:17" x14ac:dyDescent="0.3">
      <c r="A4542" t="s">
        <v>17</v>
      </c>
      <c r="B4542">
        <v>63</v>
      </c>
      <c r="C4542" t="s">
        <v>18</v>
      </c>
      <c r="D4542" s="2">
        <v>46146</v>
      </c>
      <c r="E4542" s="3">
        <f t="shared" si="70"/>
        <v>46143</v>
      </c>
      <c r="F4542">
        <v>851653</v>
      </c>
      <c r="G4542" t="s">
        <v>125</v>
      </c>
      <c r="H4542" s="4">
        <v>101.5</v>
      </c>
      <c r="I4542" t="s">
        <v>47</v>
      </c>
      <c r="J4542" t="s">
        <v>22</v>
      </c>
      <c r="K4542" t="s">
        <v>3669</v>
      </c>
      <c r="L4542" s="2">
        <v>46143</v>
      </c>
      <c r="M4542" t="s">
        <v>24</v>
      </c>
      <c r="N4542">
        <v>0</v>
      </c>
      <c r="O4542" t="s">
        <v>26</v>
      </c>
      <c r="P4542" t="s">
        <v>18</v>
      </c>
      <c r="Q4542" t="s">
        <v>27</v>
      </c>
    </row>
    <row r="4543" spans="1:17" x14ac:dyDescent="0.3">
      <c r="A4543" t="s">
        <v>17</v>
      </c>
      <c r="B4543">
        <v>63</v>
      </c>
      <c r="C4543" t="s">
        <v>18</v>
      </c>
      <c r="D4543" s="2">
        <v>46146</v>
      </c>
      <c r="E4543" s="3">
        <f t="shared" si="70"/>
        <v>46143</v>
      </c>
      <c r="F4543">
        <v>851653</v>
      </c>
      <c r="G4543" t="s">
        <v>125</v>
      </c>
      <c r="H4543" s="4">
        <v>1500</v>
      </c>
      <c r="I4543" t="s">
        <v>47</v>
      </c>
      <c r="J4543" t="s">
        <v>22</v>
      </c>
      <c r="K4543" t="s">
        <v>3670</v>
      </c>
      <c r="L4543" s="2">
        <v>46143</v>
      </c>
      <c r="M4543" t="s">
        <v>24</v>
      </c>
      <c r="N4543">
        <v>0</v>
      </c>
      <c r="O4543" t="s">
        <v>26</v>
      </c>
      <c r="P4543" t="s">
        <v>18</v>
      </c>
      <c r="Q4543" t="s">
        <v>27</v>
      </c>
    </row>
    <row r="4544" spans="1:17" x14ac:dyDescent="0.3">
      <c r="A4544" t="s">
        <v>17</v>
      </c>
      <c r="B4544">
        <v>68</v>
      </c>
      <c r="C4544" t="s">
        <v>34</v>
      </c>
      <c r="D4544" s="2">
        <v>46146</v>
      </c>
      <c r="E4544" s="3">
        <f t="shared" si="70"/>
        <v>46143</v>
      </c>
      <c r="F4544" t="s">
        <v>3664</v>
      </c>
      <c r="G4544" t="s">
        <v>174</v>
      </c>
      <c r="H4544" s="4">
        <v>130.63999999999999</v>
      </c>
      <c r="I4544" t="s">
        <v>31</v>
      </c>
      <c r="J4544" t="s">
        <v>79</v>
      </c>
      <c r="K4544" t="s">
        <v>3671</v>
      </c>
      <c r="L4544" s="2">
        <v>46143</v>
      </c>
      <c r="M4544" t="s">
        <v>79</v>
      </c>
      <c r="N4544">
        <v>0</v>
      </c>
      <c r="O4544" t="s">
        <v>31</v>
      </c>
      <c r="P4544" t="s">
        <v>34</v>
      </c>
      <c r="Q4544">
        <v>0</v>
      </c>
    </row>
    <row r="4545" spans="1:17" x14ac:dyDescent="0.3">
      <c r="A4545" t="s">
        <v>17</v>
      </c>
      <c r="B4545">
        <v>68</v>
      </c>
      <c r="C4545" t="s">
        <v>34</v>
      </c>
      <c r="D4545" s="2">
        <v>46146</v>
      </c>
      <c r="E4545" s="3">
        <f t="shared" si="70"/>
        <v>46143</v>
      </c>
      <c r="F4545" t="s">
        <v>3672</v>
      </c>
      <c r="G4545" t="s">
        <v>107</v>
      </c>
      <c r="H4545" s="4">
        <v>668.07</v>
      </c>
      <c r="I4545" t="s">
        <v>47</v>
      </c>
      <c r="J4545" t="s">
        <v>109</v>
      </c>
      <c r="K4545" t="s">
        <v>3673</v>
      </c>
      <c r="L4545" s="2">
        <v>46143</v>
      </c>
      <c r="M4545" t="s">
        <v>109</v>
      </c>
      <c r="N4545">
        <v>0</v>
      </c>
      <c r="O4545" t="s">
        <v>26</v>
      </c>
      <c r="P4545" t="s">
        <v>112</v>
      </c>
      <c r="Q4545" t="s">
        <v>113</v>
      </c>
    </row>
    <row r="4546" spans="1:17" x14ac:dyDescent="0.3">
      <c r="A4546" t="s">
        <v>17</v>
      </c>
      <c r="B4546">
        <v>68</v>
      </c>
      <c r="C4546" t="s">
        <v>34</v>
      </c>
      <c r="D4546" s="2">
        <v>46146</v>
      </c>
      <c r="E4546" s="3">
        <f t="shared" si="70"/>
        <v>46143</v>
      </c>
      <c r="F4546" t="s">
        <v>3672</v>
      </c>
      <c r="G4546" t="s">
        <v>107</v>
      </c>
      <c r="H4546" s="4">
        <v>29.28</v>
      </c>
      <c r="I4546" t="s">
        <v>31</v>
      </c>
      <c r="J4546" t="s">
        <v>109</v>
      </c>
      <c r="K4546" t="s">
        <v>3674</v>
      </c>
      <c r="L4546" s="2">
        <v>46143</v>
      </c>
      <c r="M4546" t="s">
        <v>109</v>
      </c>
      <c r="N4546">
        <v>0</v>
      </c>
      <c r="O4546" t="s">
        <v>31</v>
      </c>
      <c r="P4546" t="s">
        <v>112</v>
      </c>
      <c r="Q4546" t="s">
        <v>113</v>
      </c>
    </row>
    <row r="4547" spans="1:17" x14ac:dyDescent="0.3">
      <c r="A4547" t="s">
        <v>17</v>
      </c>
      <c r="B4547">
        <v>68</v>
      </c>
      <c r="C4547" t="s">
        <v>34</v>
      </c>
      <c r="D4547" s="2">
        <v>46146</v>
      </c>
      <c r="E4547" s="3">
        <f t="shared" ref="E4547:E4610" si="71">IF($D4547="","",DATE(YEAR($D4547),MONTH($D4547),1))</f>
        <v>46143</v>
      </c>
      <c r="F4547" t="s">
        <v>3675</v>
      </c>
      <c r="G4547" t="s">
        <v>122</v>
      </c>
      <c r="H4547" s="4">
        <v>19.059999999999999</v>
      </c>
      <c r="I4547" t="s">
        <v>108</v>
      </c>
      <c r="J4547" t="s">
        <v>109</v>
      </c>
      <c r="L4547" s="2">
        <v>46143</v>
      </c>
      <c r="M4547" t="s">
        <v>109</v>
      </c>
      <c r="N4547">
        <v>0</v>
      </c>
      <c r="O4547" t="s">
        <v>111</v>
      </c>
      <c r="P4547" t="s">
        <v>112</v>
      </c>
      <c r="Q4547" t="s">
        <v>113</v>
      </c>
    </row>
    <row r="4548" spans="1:17" x14ac:dyDescent="0.3">
      <c r="A4548" t="s">
        <v>17</v>
      </c>
      <c r="B4548">
        <v>67</v>
      </c>
      <c r="C4548" t="s">
        <v>28</v>
      </c>
      <c r="D4548" s="2">
        <v>46146</v>
      </c>
      <c r="E4548" s="3">
        <f t="shared" si="71"/>
        <v>46143</v>
      </c>
      <c r="F4548" t="s">
        <v>3676</v>
      </c>
      <c r="G4548" t="s">
        <v>3677</v>
      </c>
      <c r="H4548" s="4">
        <v>2262</v>
      </c>
      <c r="I4548" t="s">
        <v>31</v>
      </c>
      <c r="J4548" t="s">
        <v>74</v>
      </c>
      <c r="K4548" t="s">
        <v>3678</v>
      </c>
      <c r="L4548" s="2">
        <v>46143</v>
      </c>
      <c r="M4548" t="s">
        <v>76</v>
      </c>
      <c r="N4548">
        <v>0</v>
      </c>
      <c r="O4548" t="s">
        <v>31</v>
      </c>
      <c r="P4548" t="s">
        <v>28</v>
      </c>
      <c r="Q4548">
        <v>0</v>
      </c>
    </row>
    <row r="4549" spans="1:17" x14ac:dyDescent="0.3">
      <c r="A4549" t="s">
        <v>17</v>
      </c>
      <c r="B4549">
        <v>63</v>
      </c>
      <c r="C4549" t="s">
        <v>18</v>
      </c>
      <c r="D4549" s="2">
        <v>46147</v>
      </c>
      <c r="E4549" s="3">
        <f t="shared" si="71"/>
        <v>46143</v>
      </c>
      <c r="F4549">
        <v>223630</v>
      </c>
      <c r="G4549" t="s">
        <v>251</v>
      </c>
      <c r="H4549" s="4">
        <v>300</v>
      </c>
      <c r="I4549" t="s">
        <v>47</v>
      </c>
      <c r="J4549" t="s">
        <v>22</v>
      </c>
      <c r="K4549" t="s">
        <v>1556</v>
      </c>
      <c r="L4549" s="2">
        <v>46143</v>
      </c>
      <c r="M4549" t="s">
        <v>24</v>
      </c>
      <c r="N4549">
        <v>0</v>
      </c>
      <c r="O4549" t="s">
        <v>26</v>
      </c>
      <c r="P4549" t="s">
        <v>18</v>
      </c>
      <c r="Q4549" t="s">
        <v>27</v>
      </c>
    </row>
    <row r="4550" spans="1:17" x14ac:dyDescent="0.3">
      <c r="A4550" t="s">
        <v>17</v>
      </c>
      <c r="B4550">
        <v>63</v>
      </c>
      <c r="C4550" t="s">
        <v>18</v>
      </c>
      <c r="D4550" s="2">
        <v>46147</v>
      </c>
      <c r="E4550" s="3">
        <f t="shared" si="71"/>
        <v>46143</v>
      </c>
      <c r="F4550">
        <v>223630</v>
      </c>
      <c r="G4550" t="s">
        <v>251</v>
      </c>
      <c r="H4550" s="4">
        <v>1500</v>
      </c>
      <c r="I4550" t="s">
        <v>47</v>
      </c>
      <c r="J4550" t="s">
        <v>22</v>
      </c>
      <c r="K4550" t="s">
        <v>3679</v>
      </c>
      <c r="L4550" s="2">
        <v>46143</v>
      </c>
      <c r="M4550" t="s">
        <v>24</v>
      </c>
      <c r="N4550">
        <v>0</v>
      </c>
      <c r="O4550" t="s">
        <v>26</v>
      </c>
      <c r="P4550" t="s">
        <v>18</v>
      </c>
      <c r="Q4550" t="s">
        <v>27</v>
      </c>
    </row>
    <row r="4551" spans="1:17" x14ac:dyDescent="0.3">
      <c r="A4551" t="s">
        <v>17</v>
      </c>
      <c r="B4551">
        <v>68</v>
      </c>
      <c r="C4551" t="s">
        <v>34</v>
      </c>
      <c r="D4551" s="2">
        <v>46147</v>
      </c>
      <c r="E4551" s="3">
        <f t="shared" si="71"/>
        <v>46143</v>
      </c>
      <c r="F4551" t="s">
        <v>3680</v>
      </c>
      <c r="G4551" t="s">
        <v>122</v>
      </c>
      <c r="H4551" s="4">
        <v>19.29</v>
      </c>
      <c r="I4551" t="s">
        <v>108</v>
      </c>
      <c r="J4551" t="s">
        <v>109</v>
      </c>
      <c r="L4551" s="2">
        <v>46143</v>
      </c>
      <c r="M4551" t="s">
        <v>109</v>
      </c>
      <c r="N4551">
        <v>0</v>
      </c>
      <c r="O4551" t="s">
        <v>111</v>
      </c>
      <c r="P4551" t="s">
        <v>112</v>
      </c>
      <c r="Q4551" t="s">
        <v>113</v>
      </c>
    </row>
    <row r="4552" spans="1:17" x14ac:dyDescent="0.3">
      <c r="A4552" t="s">
        <v>17</v>
      </c>
      <c r="B4552">
        <v>67</v>
      </c>
      <c r="C4552" t="s">
        <v>28</v>
      </c>
      <c r="D4552" s="2">
        <v>46147</v>
      </c>
      <c r="E4552" s="3">
        <f t="shared" si="71"/>
        <v>46143</v>
      </c>
      <c r="F4552">
        <v>101600357311</v>
      </c>
      <c r="G4552" t="s">
        <v>369</v>
      </c>
      <c r="H4552" s="4">
        <v>0.3</v>
      </c>
      <c r="I4552" t="s">
        <v>31</v>
      </c>
      <c r="J4552" t="s">
        <v>74</v>
      </c>
      <c r="K4552" t="s">
        <v>3681</v>
      </c>
      <c r="L4552" s="2">
        <v>46143</v>
      </c>
      <c r="M4552" t="s">
        <v>76</v>
      </c>
      <c r="N4552">
        <v>0</v>
      </c>
      <c r="O4552" t="s">
        <v>31</v>
      </c>
      <c r="P4552" t="s">
        <v>28</v>
      </c>
      <c r="Q4552">
        <v>0</v>
      </c>
    </row>
    <row r="4553" spans="1:17" x14ac:dyDescent="0.3">
      <c r="A4553" t="s">
        <v>17</v>
      </c>
      <c r="B4553">
        <v>67</v>
      </c>
      <c r="C4553" t="s">
        <v>28</v>
      </c>
      <c r="D4553" s="2">
        <v>46147</v>
      </c>
      <c r="E4553" s="3">
        <f t="shared" si="71"/>
        <v>46143</v>
      </c>
      <c r="F4553">
        <v>101600357311</v>
      </c>
      <c r="G4553" t="s">
        <v>369</v>
      </c>
      <c r="H4553" s="4">
        <v>0</v>
      </c>
      <c r="I4553" t="s">
        <v>31</v>
      </c>
      <c r="J4553" t="s">
        <v>74</v>
      </c>
      <c r="K4553" t="s">
        <v>3682</v>
      </c>
      <c r="L4553" s="2">
        <v>46143</v>
      </c>
      <c r="M4553" t="s">
        <v>76</v>
      </c>
      <c r="N4553">
        <v>0</v>
      </c>
      <c r="O4553" t="s">
        <v>31</v>
      </c>
      <c r="P4553" t="s">
        <v>28</v>
      </c>
      <c r="Q4553">
        <v>0</v>
      </c>
    </row>
    <row r="4554" spans="1:17" x14ac:dyDescent="0.3">
      <c r="A4554" t="s">
        <v>17</v>
      </c>
      <c r="B4554">
        <v>67</v>
      </c>
      <c r="C4554" t="s">
        <v>28</v>
      </c>
      <c r="D4554" s="2">
        <v>46147</v>
      </c>
      <c r="E4554" s="3">
        <f t="shared" si="71"/>
        <v>46143</v>
      </c>
      <c r="F4554">
        <v>101600357311</v>
      </c>
      <c r="G4554" t="s">
        <v>369</v>
      </c>
      <c r="H4554" s="4">
        <v>0</v>
      </c>
      <c r="I4554" t="s">
        <v>31</v>
      </c>
      <c r="J4554" t="s">
        <v>74</v>
      </c>
      <c r="K4554" t="s">
        <v>3683</v>
      </c>
      <c r="L4554" s="2">
        <v>46143</v>
      </c>
      <c r="M4554" t="s">
        <v>76</v>
      </c>
      <c r="N4554">
        <v>0</v>
      </c>
      <c r="O4554" t="s">
        <v>31</v>
      </c>
      <c r="P4554" t="s">
        <v>28</v>
      </c>
      <c r="Q4554">
        <v>0</v>
      </c>
    </row>
    <row r="4555" spans="1:17" x14ac:dyDescent="0.3">
      <c r="A4555" t="s">
        <v>17</v>
      </c>
      <c r="B4555">
        <v>67</v>
      </c>
      <c r="C4555" t="s">
        <v>28</v>
      </c>
      <c r="D4555" s="2">
        <v>46147</v>
      </c>
      <c r="E4555" s="3">
        <f t="shared" si="71"/>
        <v>46143</v>
      </c>
      <c r="F4555">
        <v>101600357311</v>
      </c>
      <c r="G4555" t="s">
        <v>369</v>
      </c>
      <c r="H4555" s="4">
        <v>0</v>
      </c>
      <c r="I4555" t="s">
        <v>31</v>
      </c>
      <c r="J4555" t="s">
        <v>74</v>
      </c>
      <c r="K4555" t="s">
        <v>3684</v>
      </c>
      <c r="L4555" s="2">
        <v>46143</v>
      </c>
      <c r="M4555" t="s">
        <v>76</v>
      </c>
      <c r="N4555">
        <v>0</v>
      </c>
      <c r="O4555" t="s">
        <v>31</v>
      </c>
      <c r="P4555" t="s">
        <v>28</v>
      </c>
      <c r="Q4555">
        <v>0</v>
      </c>
    </row>
    <row r="4556" spans="1:17" x14ac:dyDescent="0.3">
      <c r="A4556" t="s">
        <v>17</v>
      </c>
      <c r="B4556">
        <v>67</v>
      </c>
      <c r="C4556" t="s">
        <v>28</v>
      </c>
      <c r="D4556" s="2">
        <v>46147</v>
      </c>
      <c r="E4556" s="3">
        <f t="shared" si="71"/>
        <v>46143</v>
      </c>
      <c r="F4556">
        <v>101600357311</v>
      </c>
      <c r="G4556" t="s">
        <v>369</v>
      </c>
      <c r="H4556" s="4">
        <v>0</v>
      </c>
      <c r="I4556" t="s">
        <v>31</v>
      </c>
      <c r="J4556" t="s">
        <v>74</v>
      </c>
      <c r="K4556" t="s">
        <v>2355</v>
      </c>
      <c r="L4556" s="2">
        <v>46143</v>
      </c>
      <c r="M4556" t="s">
        <v>76</v>
      </c>
      <c r="N4556">
        <v>0</v>
      </c>
      <c r="O4556" t="s">
        <v>31</v>
      </c>
      <c r="P4556" t="s">
        <v>28</v>
      </c>
      <c r="Q4556">
        <v>0</v>
      </c>
    </row>
    <row r="4557" spans="1:17" x14ac:dyDescent="0.3">
      <c r="A4557" t="s">
        <v>17</v>
      </c>
      <c r="B4557">
        <v>67</v>
      </c>
      <c r="C4557" t="s">
        <v>28</v>
      </c>
      <c r="D4557" s="2">
        <v>46147</v>
      </c>
      <c r="E4557" s="3">
        <f t="shared" si="71"/>
        <v>46143</v>
      </c>
      <c r="F4557">
        <v>101600357311</v>
      </c>
      <c r="G4557" t="s">
        <v>369</v>
      </c>
      <c r="H4557" s="4">
        <v>0</v>
      </c>
      <c r="I4557" t="s">
        <v>31</v>
      </c>
      <c r="J4557" t="s">
        <v>74</v>
      </c>
      <c r="K4557" t="s">
        <v>2355</v>
      </c>
      <c r="L4557" s="2">
        <v>46143</v>
      </c>
      <c r="M4557" t="s">
        <v>76</v>
      </c>
      <c r="N4557">
        <v>0</v>
      </c>
      <c r="O4557" t="s">
        <v>31</v>
      </c>
      <c r="P4557" t="s">
        <v>28</v>
      </c>
      <c r="Q4557">
        <v>0</v>
      </c>
    </row>
    <row r="4558" spans="1:17" x14ac:dyDescent="0.3">
      <c r="A4558" t="s">
        <v>17</v>
      </c>
      <c r="B4558">
        <v>67</v>
      </c>
      <c r="C4558" t="s">
        <v>28</v>
      </c>
      <c r="D4558" s="2">
        <v>46147</v>
      </c>
      <c r="E4558" s="3">
        <f t="shared" si="71"/>
        <v>46143</v>
      </c>
      <c r="F4558">
        <v>101600357311</v>
      </c>
      <c r="G4558" t="s">
        <v>369</v>
      </c>
      <c r="H4558" s="4">
        <v>44.33</v>
      </c>
      <c r="I4558" t="s">
        <v>31</v>
      </c>
      <c r="J4558" t="s">
        <v>74</v>
      </c>
      <c r="K4558" t="s">
        <v>1276</v>
      </c>
      <c r="L4558" s="2">
        <v>46143</v>
      </c>
      <c r="M4558" t="s">
        <v>76</v>
      </c>
      <c r="N4558">
        <v>0</v>
      </c>
      <c r="O4558" t="s">
        <v>31</v>
      </c>
      <c r="P4558" t="s">
        <v>28</v>
      </c>
      <c r="Q4558">
        <v>0</v>
      </c>
    </row>
    <row r="4559" spans="1:17" x14ac:dyDescent="0.3">
      <c r="A4559" t="s">
        <v>17</v>
      </c>
      <c r="B4559">
        <v>67</v>
      </c>
      <c r="C4559" t="s">
        <v>28</v>
      </c>
      <c r="D4559" s="2">
        <v>46147</v>
      </c>
      <c r="E4559" s="3">
        <f t="shared" si="71"/>
        <v>46143</v>
      </c>
      <c r="F4559">
        <v>101600357311</v>
      </c>
      <c r="G4559" t="s">
        <v>369</v>
      </c>
      <c r="H4559" s="4">
        <v>499.2</v>
      </c>
      <c r="I4559" t="s">
        <v>31</v>
      </c>
      <c r="J4559" t="s">
        <v>74</v>
      </c>
      <c r="K4559" t="s">
        <v>2355</v>
      </c>
      <c r="L4559" s="2">
        <v>46143</v>
      </c>
      <c r="M4559" t="s">
        <v>76</v>
      </c>
      <c r="N4559">
        <v>0</v>
      </c>
      <c r="O4559" t="s">
        <v>31</v>
      </c>
      <c r="P4559" t="s">
        <v>28</v>
      </c>
      <c r="Q4559">
        <v>0</v>
      </c>
    </row>
    <row r="4560" spans="1:17" x14ac:dyDescent="0.3">
      <c r="A4560" t="s">
        <v>17</v>
      </c>
      <c r="B4560">
        <v>64</v>
      </c>
      <c r="C4560" t="s">
        <v>83</v>
      </c>
      <c r="D4560" s="2">
        <v>46148</v>
      </c>
      <c r="E4560" s="3">
        <f t="shared" si="71"/>
        <v>46143</v>
      </c>
      <c r="F4560" t="s">
        <v>3685</v>
      </c>
      <c r="G4560" t="s">
        <v>1227</v>
      </c>
      <c r="H4560" s="4">
        <v>11</v>
      </c>
      <c r="I4560" t="s">
        <v>47</v>
      </c>
      <c r="J4560" t="s">
        <v>91</v>
      </c>
      <c r="K4560" t="s">
        <v>3686</v>
      </c>
      <c r="L4560" s="2">
        <v>46143</v>
      </c>
      <c r="M4560" t="s">
        <v>93</v>
      </c>
      <c r="N4560">
        <v>0</v>
      </c>
      <c r="O4560" t="s">
        <v>26</v>
      </c>
      <c r="P4560" t="s">
        <v>83</v>
      </c>
      <c r="Q4560">
        <v>0</v>
      </c>
    </row>
    <row r="4561" spans="1:17" x14ac:dyDescent="0.3">
      <c r="A4561" t="s">
        <v>17</v>
      </c>
      <c r="B4561">
        <v>64</v>
      </c>
      <c r="C4561" t="s">
        <v>83</v>
      </c>
      <c r="D4561" s="2">
        <v>46148</v>
      </c>
      <c r="E4561" s="3">
        <f t="shared" si="71"/>
        <v>46143</v>
      </c>
      <c r="F4561" t="s">
        <v>3685</v>
      </c>
      <c r="G4561" t="s">
        <v>1227</v>
      </c>
      <c r="H4561" s="4">
        <v>11</v>
      </c>
      <c r="I4561" t="s">
        <v>47</v>
      </c>
      <c r="J4561" t="s">
        <v>91</v>
      </c>
      <c r="K4561" t="s">
        <v>3686</v>
      </c>
      <c r="L4561" s="2">
        <v>46143</v>
      </c>
      <c r="M4561" t="s">
        <v>93</v>
      </c>
      <c r="N4561">
        <v>0</v>
      </c>
      <c r="O4561" t="s">
        <v>26</v>
      </c>
      <c r="P4561" t="s">
        <v>83</v>
      </c>
      <c r="Q4561">
        <v>0</v>
      </c>
    </row>
    <row r="4562" spans="1:17" x14ac:dyDescent="0.3">
      <c r="A4562" t="s">
        <v>17</v>
      </c>
      <c r="B4562">
        <v>64</v>
      </c>
      <c r="C4562" t="s">
        <v>83</v>
      </c>
      <c r="D4562" s="2">
        <v>46148</v>
      </c>
      <c r="E4562" s="3">
        <f t="shared" si="71"/>
        <v>46143</v>
      </c>
      <c r="F4562" t="s">
        <v>3685</v>
      </c>
      <c r="G4562" t="s">
        <v>1227</v>
      </c>
      <c r="H4562" s="4">
        <v>5</v>
      </c>
      <c r="I4562" t="s">
        <v>47</v>
      </c>
      <c r="J4562" t="s">
        <v>91</v>
      </c>
      <c r="K4562" t="s">
        <v>3686</v>
      </c>
      <c r="L4562" s="2">
        <v>46143</v>
      </c>
      <c r="M4562" t="s">
        <v>93</v>
      </c>
      <c r="N4562">
        <v>0</v>
      </c>
      <c r="O4562" t="s">
        <v>26</v>
      </c>
      <c r="P4562" t="s">
        <v>83</v>
      </c>
      <c r="Q4562">
        <v>0</v>
      </c>
    </row>
    <row r="4563" spans="1:17" x14ac:dyDescent="0.3">
      <c r="A4563" t="s">
        <v>17</v>
      </c>
      <c r="B4563">
        <v>64</v>
      </c>
      <c r="C4563" t="s">
        <v>83</v>
      </c>
      <c r="D4563" s="2">
        <v>46148</v>
      </c>
      <c r="E4563" s="3">
        <f t="shared" si="71"/>
        <v>46143</v>
      </c>
      <c r="F4563" t="s">
        <v>3685</v>
      </c>
      <c r="G4563" t="s">
        <v>1227</v>
      </c>
      <c r="H4563" s="4">
        <v>11</v>
      </c>
      <c r="I4563" t="s">
        <v>47</v>
      </c>
      <c r="J4563" t="s">
        <v>91</v>
      </c>
      <c r="K4563" t="s">
        <v>3686</v>
      </c>
      <c r="L4563" s="2">
        <v>46143</v>
      </c>
      <c r="M4563" t="s">
        <v>93</v>
      </c>
      <c r="N4563">
        <v>0</v>
      </c>
      <c r="O4563" t="s">
        <v>26</v>
      </c>
      <c r="P4563" t="s">
        <v>83</v>
      </c>
      <c r="Q4563">
        <v>0</v>
      </c>
    </row>
    <row r="4564" spans="1:17" x14ac:dyDescent="0.3">
      <c r="A4564" t="s">
        <v>17</v>
      </c>
      <c r="B4564">
        <v>64</v>
      </c>
      <c r="C4564" t="s">
        <v>83</v>
      </c>
      <c r="D4564" s="2">
        <v>46148</v>
      </c>
      <c r="E4564" s="3">
        <f t="shared" si="71"/>
        <v>46143</v>
      </c>
      <c r="F4564" t="s">
        <v>3685</v>
      </c>
      <c r="G4564" t="s">
        <v>1227</v>
      </c>
      <c r="H4564" s="4">
        <v>0.54</v>
      </c>
      <c r="I4564" t="s">
        <v>47</v>
      </c>
      <c r="J4564" t="s">
        <v>91</v>
      </c>
      <c r="K4564" t="s">
        <v>3686</v>
      </c>
      <c r="L4564" s="2">
        <v>46143</v>
      </c>
      <c r="M4564" t="s">
        <v>93</v>
      </c>
      <c r="N4564">
        <v>0</v>
      </c>
      <c r="O4564" t="s">
        <v>26</v>
      </c>
      <c r="P4564" t="s">
        <v>83</v>
      </c>
      <c r="Q4564">
        <v>0</v>
      </c>
    </row>
    <row r="4565" spans="1:17" x14ac:dyDescent="0.3">
      <c r="A4565" t="s">
        <v>17</v>
      </c>
      <c r="B4565">
        <v>64</v>
      </c>
      <c r="C4565" t="s">
        <v>83</v>
      </c>
      <c r="D4565" s="2">
        <v>46148</v>
      </c>
      <c r="E4565" s="3">
        <f t="shared" si="71"/>
        <v>46143</v>
      </c>
      <c r="F4565" t="s">
        <v>3685</v>
      </c>
      <c r="G4565" t="s">
        <v>1227</v>
      </c>
      <c r="H4565" s="4">
        <v>5.5</v>
      </c>
      <c r="I4565" t="s">
        <v>47</v>
      </c>
      <c r="J4565" t="s">
        <v>91</v>
      </c>
      <c r="K4565" t="s">
        <v>3686</v>
      </c>
      <c r="L4565" s="2">
        <v>46143</v>
      </c>
      <c r="M4565" t="s">
        <v>93</v>
      </c>
      <c r="N4565">
        <v>0</v>
      </c>
      <c r="O4565" t="s">
        <v>26</v>
      </c>
      <c r="P4565" t="s">
        <v>83</v>
      </c>
      <c r="Q4565">
        <v>0</v>
      </c>
    </row>
    <row r="4566" spans="1:17" x14ac:dyDescent="0.3">
      <c r="A4566" t="s">
        <v>17</v>
      </c>
      <c r="B4566">
        <v>64</v>
      </c>
      <c r="C4566" t="s">
        <v>83</v>
      </c>
      <c r="D4566" s="2">
        <v>46148</v>
      </c>
      <c r="E4566" s="3">
        <f t="shared" si="71"/>
        <v>46143</v>
      </c>
      <c r="F4566" t="s">
        <v>3685</v>
      </c>
      <c r="G4566" t="s">
        <v>1227</v>
      </c>
      <c r="H4566" s="4">
        <v>10</v>
      </c>
      <c r="I4566" t="s">
        <v>47</v>
      </c>
      <c r="J4566" t="s">
        <v>91</v>
      </c>
      <c r="K4566" t="s">
        <v>3687</v>
      </c>
      <c r="L4566" s="2">
        <v>46143</v>
      </c>
      <c r="M4566" t="s">
        <v>93</v>
      </c>
      <c r="N4566">
        <v>0</v>
      </c>
      <c r="O4566" t="s">
        <v>26</v>
      </c>
      <c r="P4566" t="s">
        <v>83</v>
      </c>
      <c r="Q4566">
        <v>0</v>
      </c>
    </row>
    <row r="4567" spans="1:17" x14ac:dyDescent="0.3">
      <c r="A4567" t="s">
        <v>17</v>
      </c>
      <c r="B4567">
        <v>64</v>
      </c>
      <c r="C4567" t="s">
        <v>83</v>
      </c>
      <c r="D4567" s="2">
        <v>46148</v>
      </c>
      <c r="E4567" s="3">
        <f t="shared" si="71"/>
        <v>46143</v>
      </c>
      <c r="F4567" t="s">
        <v>3688</v>
      </c>
      <c r="G4567" t="s">
        <v>101</v>
      </c>
      <c r="H4567" s="4">
        <v>534.79999999999995</v>
      </c>
      <c r="I4567" t="s">
        <v>47</v>
      </c>
      <c r="J4567" t="s">
        <v>530</v>
      </c>
      <c r="K4567" t="s">
        <v>3689</v>
      </c>
      <c r="L4567" s="2">
        <v>46143</v>
      </c>
      <c r="M4567" t="s">
        <v>531</v>
      </c>
      <c r="N4567">
        <v>0</v>
      </c>
      <c r="O4567" t="s">
        <v>26</v>
      </c>
      <c r="P4567" t="s">
        <v>83</v>
      </c>
      <c r="Q4567">
        <v>0</v>
      </c>
    </row>
    <row r="4568" spans="1:17" x14ac:dyDescent="0.3">
      <c r="A4568" t="s">
        <v>17</v>
      </c>
      <c r="B4568">
        <v>64</v>
      </c>
      <c r="C4568" t="s">
        <v>83</v>
      </c>
      <c r="D4568" s="2">
        <v>46148</v>
      </c>
      <c r="E4568" s="3">
        <f t="shared" si="71"/>
        <v>46143</v>
      </c>
      <c r="F4568" t="s">
        <v>3688</v>
      </c>
      <c r="G4568" t="s">
        <v>101</v>
      </c>
      <c r="H4568" s="4">
        <v>46.99</v>
      </c>
      <c r="I4568" t="s">
        <v>47</v>
      </c>
      <c r="J4568" t="s">
        <v>530</v>
      </c>
      <c r="K4568" t="s">
        <v>3689</v>
      </c>
      <c r="L4568" s="2">
        <v>46143</v>
      </c>
      <c r="M4568" t="s">
        <v>531</v>
      </c>
      <c r="N4568">
        <v>0</v>
      </c>
      <c r="O4568" t="s">
        <v>26</v>
      </c>
      <c r="P4568" t="s">
        <v>83</v>
      </c>
      <c r="Q4568">
        <v>0</v>
      </c>
    </row>
    <row r="4569" spans="1:17" x14ac:dyDescent="0.3">
      <c r="A4569" t="s">
        <v>17</v>
      </c>
      <c r="B4569">
        <v>64</v>
      </c>
      <c r="C4569" t="s">
        <v>83</v>
      </c>
      <c r="D4569" s="2">
        <v>46148</v>
      </c>
      <c r="E4569" s="3">
        <f t="shared" si="71"/>
        <v>46143</v>
      </c>
      <c r="F4569" t="s">
        <v>3688</v>
      </c>
      <c r="G4569" t="s">
        <v>101</v>
      </c>
      <c r="H4569" s="4">
        <v>45</v>
      </c>
      <c r="I4569" t="s">
        <v>47</v>
      </c>
      <c r="J4569" t="s">
        <v>530</v>
      </c>
      <c r="K4569" t="s">
        <v>3689</v>
      </c>
      <c r="L4569" s="2">
        <v>46143</v>
      </c>
      <c r="M4569" t="s">
        <v>531</v>
      </c>
      <c r="N4569">
        <v>0</v>
      </c>
      <c r="O4569" t="s">
        <v>26</v>
      </c>
      <c r="P4569" t="s">
        <v>83</v>
      </c>
      <c r="Q4569">
        <v>0</v>
      </c>
    </row>
    <row r="4570" spans="1:17" x14ac:dyDescent="0.3">
      <c r="A4570" t="s">
        <v>17</v>
      </c>
      <c r="B4570">
        <v>64</v>
      </c>
      <c r="C4570" t="s">
        <v>83</v>
      </c>
      <c r="D4570" s="2">
        <v>46148</v>
      </c>
      <c r="E4570" s="3">
        <f t="shared" si="71"/>
        <v>46143</v>
      </c>
      <c r="F4570" t="s">
        <v>3688</v>
      </c>
      <c r="G4570" t="s">
        <v>101</v>
      </c>
      <c r="H4570" s="4">
        <v>45</v>
      </c>
      <c r="I4570" t="s">
        <v>47</v>
      </c>
      <c r="J4570" t="s">
        <v>530</v>
      </c>
      <c r="K4570" t="s">
        <v>3689</v>
      </c>
      <c r="L4570" s="2">
        <v>46143</v>
      </c>
      <c r="M4570" t="s">
        <v>531</v>
      </c>
      <c r="N4570">
        <v>0</v>
      </c>
      <c r="O4570" t="s">
        <v>26</v>
      </c>
      <c r="P4570" t="s">
        <v>83</v>
      </c>
      <c r="Q4570">
        <v>0</v>
      </c>
    </row>
    <row r="4571" spans="1:17" x14ac:dyDescent="0.3">
      <c r="A4571" t="s">
        <v>17</v>
      </c>
      <c r="B4571">
        <v>64</v>
      </c>
      <c r="C4571" t="s">
        <v>83</v>
      </c>
      <c r="D4571" s="2">
        <v>46148</v>
      </c>
      <c r="E4571" s="3">
        <f t="shared" si="71"/>
        <v>46143</v>
      </c>
      <c r="F4571" t="s">
        <v>3685</v>
      </c>
      <c r="G4571" t="s">
        <v>1227</v>
      </c>
      <c r="H4571" s="4">
        <v>621.25</v>
      </c>
      <c r="I4571" t="s">
        <v>47</v>
      </c>
      <c r="J4571" t="s">
        <v>84</v>
      </c>
      <c r="K4571" t="s">
        <v>3690</v>
      </c>
      <c r="L4571" s="2">
        <v>46143</v>
      </c>
      <c r="M4571" t="s">
        <v>86</v>
      </c>
      <c r="N4571">
        <v>0</v>
      </c>
      <c r="O4571" t="s">
        <v>26</v>
      </c>
      <c r="P4571" t="s">
        <v>83</v>
      </c>
      <c r="Q4571">
        <v>0</v>
      </c>
    </row>
    <row r="4572" spans="1:17" x14ac:dyDescent="0.3">
      <c r="A4572" t="s">
        <v>17</v>
      </c>
      <c r="B4572">
        <v>64</v>
      </c>
      <c r="C4572" t="s">
        <v>83</v>
      </c>
      <c r="D4572" s="2">
        <v>46148</v>
      </c>
      <c r="E4572" s="3">
        <f t="shared" si="71"/>
        <v>46143</v>
      </c>
      <c r="F4572" t="s">
        <v>3691</v>
      </c>
      <c r="G4572" t="s">
        <v>824</v>
      </c>
      <c r="H4572" s="4">
        <v>78.98</v>
      </c>
      <c r="I4572" t="s">
        <v>108</v>
      </c>
      <c r="J4572" t="s">
        <v>87</v>
      </c>
      <c r="K4572" t="s">
        <v>3692</v>
      </c>
      <c r="L4572" s="2">
        <v>46143</v>
      </c>
      <c r="M4572" t="s">
        <v>89</v>
      </c>
      <c r="N4572">
        <v>0</v>
      </c>
      <c r="O4572" t="s">
        <v>111</v>
      </c>
      <c r="P4572" t="s">
        <v>83</v>
      </c>
      <c r="Q4572">
        <v>0</v>
      </c>
    </row>
    <row r="4573" spans="1:17" x14ac:dyDescent="0.3">
      <c r="A4573" t="s">
        <v>17</v>
      </c>
      <c r="B4573">
        <v>64</v>
      </c>
      <c r="C4573" t="s">
        <v>83</v>
      </c>
      <c r="D4573" s="2">
        <v>46148</v>
      </c>
      <c r="E4573" s="3">
        <f t="shared" si="71"/>
        <v>46143</v>
      </c>
      <c r="F4573" t="s">
        <v>3685</v>
      </c>
      <c r="G4573" t="s">
        <v>1227</v>
      </c>
      <c r="H4573" s="4">
        <v>200</v>
      </c>
      <c r="I4573" t="s">
        <v>47</v>
      </c>
      <c r="J4573" t="s">
        <v>87</v>
      </c>
      <c r="K4573" t="s">
        <v>3693</v>
      </c>
      <c r="L4573" s="2">
        <v>46143</v>
      </c>
      <c r="M4573" t="s">
        <v>89</v>
      </c>
      <c r="N4573">
        <v>0</v>
      </c>
      <c r="O4573" t="s">
        <v>26</v>
      </c>
      <c r="P4573" t="s">
        <v>83</v>
      </c>
      <c r="Q4573">
        <v>0</v>
      </c>
    </row>
    <row r="4574" spans="1:17" x14ac:dyDescent="0.3">
      <c r="A4574" t="s">
        <v>17</v>
      </c>
      <c r="B4574">
        <v>64</v>
      </c>
      <c r="C4574" t="s">
        <v>83</v>
      </c>
      <c r="D4574" s="2">
        <v>46148</v>
      </c>
      <c r="E4574" s="3">
        <f t="shared" si="71"/>
        <v>46143</v>
      </c>
      <c r="F4574" t="s">
        <v>3685</v>
      </c>
      <c r="G4574" t="s">
        <v>1227</v>
      </c>
      <c r="H4574" s="4">
        <v>30.18</v>
      </c>
      <c r="I4574" t="s">
        <v>47</v>
      </c>
      <c r="J4574" t="s">
        <v>87</v>
      </c>
      <c r="K4574" t="s">
        <v>3694</v>
      </c>
      <c r="L4574" s="2">
        <v>46143</v>
      </c>
      <c r="M4574" t="s">
        <v>89</v>
      </c>
      <c r="N4574">
        <v>0</v>
      </c>
      <c r="O4574" t="s">
        <v>26</v>
      </c>
      <c r="P4574" t="s">
        <v>83</v>
      </c>
      <c r="Q4574">
        <v>0</v>
      </c>
    </row>
    <row r="4575" spans="1:17" x14ac:dyDescent="0.3">
      <c r="A4575" t="s">
        <v>17</v>
      </c>
      <c r="B4575">
        <v>64</v>
      </c>
      <c r="C4575" t="s">
        <v>83</v>
      </c>
      <c r="D4575" s="2">
        <v>46148</v>
      </c>
      <c r="E4575" s="3">
        <f t="shared" si="71"/>
        <v>46143</v>
      </c>
      <c r="F4575" t="s">
        <v>3685</v>
      </c>
      <c r="G4575" t="s">
        <v>1227</v>
      </c>
      <c r="H4575" s="4">
        <v>80.95</v>
      </c>
      <c r="I4575" t="s">
        <v>47</v>
      </c>
      <c r="J4575" t="s">
        <v>87</v>
      </c>
      <c r="K4575" t="s">
        <v>3695</v>
      </c>
      <c r="L4575" s="2">
        <v>46143</v>
      </c>
      <c r="M4575" t="s">
        <v>89</v>
      </c>
      <c r="N4575">
        <v>0</v>
      </c>
      <c r="O4575" t="s">
        <v>26</v>
      </c>
      <c r="P4575" t="s">
        <v>83</v>
      </c>
      <c r="Q4575">
        <v>0</v>
      </c>
    </row>
    <row r="4576" spans="1:17" x14ac:dyDescent="0.3">
      <c r="A4576" t="s">
        <v>17</v>
      </c>
      <c r="B4576">
        <v>64</v>
      </c>
      <c r="C4576" t="s">
        <v>83</v>
      </c>
      <c r="D4576" s="2">
        <v>46148</v>
      </c>
      <c r="E4576" s="3">
        <f t="shared" si="71"/>
        <v>46143</v>
      </c>
      <c r="F4576" t="s">
        <v>3685</v>
      </c>
      <c r="G4576" t="s">
        <v>1227</v>
      </c>
      <c r="H4576" s="4">
        <v>29</v>
      </c>
      <c r="I4576" t="s">
        <v>47</v>
      </c>
      <c r="J4576" t="s">
        <v>511</v>
      </c>
      <c r="K4576" t="s">
        <v>3696</v>
      </c>
      <c r="L4576" s="2">
        <v>46143</v>
      </c>
      <c r="M4576" t="s">
        <v>513</v>
      </c>
      <c r="N4576">
        <v>0</v>
      </c>
      <c r="O4576" t="s">
        <v>26</v>
      </c>
      <c r="P4576" t="s">
        <v>83</v>
      </c>
      <c r="Q4576">
        <v>0</v>
      </c>
    </row>
    <row r="4577" spans="1:17" x14ac:dyDescent="0.3">
      <c r="A4577" t="s">
        <v>17</v>
      </c>
      <c r="B4577">
        <v>64</v>
      </c>
      <c r="C4577" t="s">
        <v>83</v>
      </c>
      <c r="D4577" s="2">
        <v>46148</v>
      </c>
      <c r="E4577" s="3">
        <f t="shared" si="71"/>
        <v>46143</v>
      </c>
      <c r="F4577" t="s">
        <v>3685</v>
      </c>
      <c r="G4577" t="s">
        <v>1227</v>
      </c>
      <c r="H4577" s="4">
        <v>29</v>
      </c>
      <c r="I4577" t="s">
        <v>47</v>
      </c>
      <c r="J4577" t="s">
        <v>511</v>
      </c>
      <c r="K4577" t="s">
        <v>3697</v>
      </c>
      <c r="L4577" s="2">
        <v>46143</v>
      </c>
      <c r="M4577" t="s">
        <v>513</v>
      </c>
      <c r="N4577">
        <v>0</v>
      </c>
      <c r="O4577" t="s">
        <v>26</v>
      </c>
      <c r="P4577" t="s">
        <v>83</v>
      </c>
      <c r="Q4577">
        <v>0</v>
      </c>
    </row>
    <row r="4578" spans="1:17" x14ac:dyDescent="0.3">
      <c r="A4578" t="s">
        <v>17</v>
      </c>
      <c r="B4578">
        <v>67</v>
      </c>
      <c r="C4578" t="s">
        <v>28</v>
      </c>
      <c r="D4578" s="2">
        <v>46148</v>
      </c>
      <c r="E4578" s="3">
        <f t="shared" si="71"/>
        <v>46143</v>
      </c>
      <c r="F4578" t="s">
        <v>3698</v>
      </c>
      <c r="G4578" t="s">
        <v>119</v>
      </c>
      <c r="H4578" s="4">
        <v>1321.25</v>
      </c>
      <c r="I4578" t="s">
        <v>31</v>
      </c>
      <c r="J4578" t="s">
        <v>68</v>
      </c>
      <c r="K4578" t="s">
        <v>1567</v>
      </c>
      <c r="L4578" s="2">
        <v>46143</v>
      </c>
      <c r="M4578" t="s">
        <v>68</v>
      </c>
      <c r="N4578">
        <v>0</v>
      </c>
      <c r="O4578" t="s">
        <v>31</v>
      </c>
      <c r="P4578" t="s">
        <v>28</v>
      </c>
      <c r="Q4578">
        <v>0</v>
      </c>
    </row>
    <row r="4579" spans="1:17" x14ac:dyDescent="0.3">
      <c r="A4579" t="s">
        <v>17</v>
      </c>
      <c r="B4579">
        <v>68</v>
      </c>
      <c r="C4579" t="s">
        <v>34</v>
      </c>
      <c r="D4579" s="2">
        <v>46148</v>
      </c>
      <c r="E4579" s="3">
        <f t="shared" si="71"/>
        <v>46143</v>
      </c>
      <c r="F4579" t="s">
        <v>3685</v>
      </c>
      <c r="G4579" t="s">
        <v>1227</v>
      </c>
      <c r="H4579" s="4">
        <v>35</v>
      </c>
      <c r="I4579" t="s">
        <v>47</v>
      </c>
      <c r="J4579" t="s">
        <v>79</v>
      </c>
      <c r="K4579" t="s">
        <v>3699</v>
      </c>
      <c r="L4579" s="2">
        <v>46143</v>
      </c>
      <c r="M4579" t="s">
        <v>79</v>
      </c>
      <c r="N4579">
        <v>0</v>
      </c>
      <c r="O4579" t="s">
        <v>26</v>
      </c>
      <c r="P4579" t="s">
        <v>34</v>
      </c>
      <c r="Q4579">
        <v>0</v>
      </c>
    </row>
    <row r="4580" spans="1:17" x14ac:dyDescent="0.3">
      <c r="A4580" t="s">
        <v>17</v>
      </c>
      <c r="B4580">
        <v>68</v>
      </c>
      <c r="C4580" t="s">
        <v>34</v>
      </c>
      <c r="D4580" s="2">
        <v>46148</v>
      </c>
      <c r="E4580" s="3">
        <f t="shared" si="71"/>
        <v>46143</v>
      </c>
      <c r="F4580" t="s">
        <v>3685</v>
      </c>
      <c r="G4580" t="s">
        <v>1227</v>
      </c>
      <c r="H4580" s="4">
        <v>65.819999999999993</v>
      </c>
      <c r="I4580" t="s">
        <v>47</v>
      </c>
      <c r="J4580" t="s">
        <v>79</v>
      </c>
      <c r="K4580" t="s">
        <v>3700</v>
      </c>
      <c r="L4580" s="2">
        <v>46143</v>
      </c>
      <c r="M4580" t="s">
        <v>79</v>
      </c>
      <c r="N4580">
        <v>0</v>
      </c>
      <c r="O4580" t="s">
        <v>26</v>
      </c>
      <c r="P4580" t="s">
        <v>34</v>
      </c>
      <c r="Q4580">
        <v>0</v>
      </c>
    </row>
    <row r="4581" spans="1:17" x14ac:dyDescent="0.3">
      <c r="A4581" t="s">
        <v>17</v>
      </c>
      <c r="B4581">
        <v>68</v>
      </c>
      <c r="C4581" t="s">
        <v>34</v>
      </c>
      <c r="D4581" s="2">
        <v>46148</v>
      </c>
      <c r="E4581" s="3">
        <f t="shared" si="71"/>
        <v>46143</v>
      </c>
      <c r="F4581" t="s">
        <v>3685</v>
      </c>
      <c r="G4581" t="s">
        <v>1227</v>
      </c>
      <c r="H4581" s="4">
        <v>35</v>
      </c>
      <c r="I4581" t="s">
        <v>47</v>
      </c>
      <c r="J4581" t="s">
        <v>79</v>
      </c>
      <c r="K4581" t="s">
        <v>3699</v>
      </c>
      <c r="L4581" s="2">
        <v>46143</v>
      </c>
      <c r="M4581" t="s">
        <v>79</v>
      </c>
      <c r="N4581">
        <v>0</v>
      </c>
      <c r="O4581" t="s">
        <v>26</v>
      </c>
      <c r="P4581" t="s">
        <v>34</v>
      </c>
      <c r="Q4581">
        <v>0</v>
      </c>
    </row>
    <row r="4582" spans="1:17" x14ac:dyDescent="0.3">
      <c r="A4582" t="s">
        <v>17</v>
      </c>
      <c r="B4582">
        <v>68</v>
      </c>
      <c r="C4582" t="s">
        <v>34</v>
      </c>
      <c r="D4582" s="2">
        <v>46148</v>
      </c>
      <c r="E4582" s="3">
        <f t="shared" si="71"/>
        <v>46143</v>
      </c>
      <c r="F4582" t="s">
        <v>3685</v>
      </c>
      <c r="G4582" t="s">
        <v>1227</v>
      </c>
      <c r="H4582" s="4">
        <v>61.87</v>
      </c>
      <c r="I4582" t="s">
        <v>47</v>
      </c>
      <c r="J4582" t="s">
        <v>79</v>
      </c>
      <c r="K4582" t="s">
        <v>3701</v>
      </c>
      <c r="L4582" s="2">
        <v>46143</v>
      </c>
      <c r="M4582" t="s">
        <v>79</v>
      </c>
      <c r="N4582">
        <v>0</v>
      </c>
      <c r="O4582" t="s">
        <v>26</v>
      </c>
      <c r="P4582" t="s">
        <v>34</v>
      </c>
      <c r="Q4582">
        <v>0</v>
      </c>
    </row>
    <row r="4583" spans="1:17" x14ac:dyDescent="0.3">
      <c r="A4583" t="s">
        <v>17</v>
      </c>
      <c r="B4583">
        <v>68</v>
      </c>
      <c r="C4583" t="s">
        <v>34</v>
      </c>
      <c r="D4583" s="2">
        <v>46148</v>
      </c>
      <c r="E4583" s="3">
        <f t="shared" si="71"/>
        <v>46143</v>
      </c>
      <c r="F4583" t="s">
        <v>3685</v>
      </c>
      <c r="G4583" t="s">
        <v>1227</v>
      </c>
      <c r="H4583" s="4">
        <v>9.8699999999999992</v>
      </c>
      <c r="I4583" t="s">
        <v>47</v>
      </c>
      <c r="J4583" t="s">
        <v>79</v>
      </c>
      <c r="K4583" t="s">
        <v>3700</v>
      </c>
      <c r="L4583" s="2">
        <v>46143</v>
      </c>
      <c r="M4583" t="s">
        <v>79</v>
      </c>
      <c r="N4583">
        <v>0</v>
      </c>
      <c r="O4583" t="s">
        <v>26</v>
      </c>
      <c r="P4583" t="s">
        <v>34</v>
      </c>
      <c r="Q4583">
        <v>0</v>
      </c>
    </row>
    <row r="4584" spans="1:17" x14ac:dyDescent="0.3">
      <c r="A4584" t="s">
        <v>17</v>
      </c>
      <c r="B4584">
        <v>68</v>
      </c>
      <c r="C4584" t="s">
        <v>34</v>
      </c>
      <c r="D4584" s="2">
        <v>46148</v>
      </c>
      <c r="E4584" s="3">
        <f t="shared" si="71"/>
        <v>46143</v>
      </c>
      <c r="F4584" t="s">
        <v>3685</v>
      </c>
      <c r="G4584" t="s">
        <v>1227</v>
      </c>
      <c r="H4584" s="4">
        <v>44.45</v>
      </c>
      <c r="I4584" t="s">
        <v>47</v>
      </c>
      <c r="J4584" t="s">
        <v>79</v>
      </c>
      <c r="K4584" t="s">
        <v>3702</v>
      </c>
      <c r="L4584" s="2">
        <v>46143</v>
      </c>
      <c r="M4584" t="s">
        <v>79</v>
      </c>
      <c r="N4584">
        <v>0</v>
      </c>
      <c r="O4584" t="s">
        <v>26</v>
      </c>
      <c r="P4584" t="s">
        <v>34</v>
      </c>
      <c r="Q4584">
        <v>0</v>
      </c>
    </row>
    <row r="4585" spans="1:17" x14ac:dyDescent="0.3">
      <c r="A4585" t="s">
        <v>17</v>
      </c>
      <c r="B4585">
        <v>68</v>
      </c>
      <c r="C4585" t="s">
        <v>34</v>
      </c>
      <c r="D4585" s="2">
        <v>46148</v>
      </c>
      <c r="E4585" s="3">
        <f t="shared" si="71"/>
        <v>46143</v>
      </c>
      <c r="F4585" t="s">
        <v>3685</v>
      </c>
      <c r="G4585" t="s">
        <v>1227</v>
      </c>
      <c r="H4585" s="4">
        <v>43.89</v>
      </c>
      <c r="I4585" t="s">
        <v>47</v>
      </c>
      <c r="J4585" t="s">
        <v>79</v>
      </c>
      <c r="K4585" t="s">
        <v>3703</v>
      </c>
      <c r="L4585" s="2">
        <v>46143</v>
      </c>
      <c r="M4585" t="s">
        <v>79</v>
      </c>
      <c r="N4585">
        <v>0</v>
      </c>
      <c r="O4585" t="s">
        <v>26</v>
      </c>
      <c r="P4585" t="s">
        <v>34</v>
      </c>
      <c r="Q4585">
        <v>0</v>
      </c>
    </row>
    <row r="4586" spans="1:17" x14ac:dyDescent="0.3">
      <c r="A4586" t="s">
        <v>17</v>
      </c>
      <c r="B4586">
        <v>68</v>
      </c>
      <c r="C4586" t="s">
        <v>34</v>
      </c>
      <c r="D4586" s="2">
        <v>46148</v>
      </c>
      <c r="E4586" s="3">
        <f t="shared" si="71"/>
        <v>46143</v>
      </c>
      <c r="F4586" t="s">
        <v>3704</v>
      </c>
      <c r="G4586" t="s">
        <v>122</v>
      </c>
      <c r="H4586" s="4">
        <v>2622.43</v>
      </c>
      <c r="I4586" t="s">
        <v>108</v>
      </c>
      <c r="J4586" t="s">
        <v>109</v>
      </c>
      <c r="K4586" t="s">
        <v>388</v>
      </c>
      <c r="L4586" s="2">
        <v>46143</v>
      </c>
      <c r="M4586" t="s">
        <v>109</v>
      </c>
      <c r="N4586">
        <v>0</v>
      </c>
      <c r="O4586" t="s">
        <v>111</v>
      </c>
      <c r="P4586" t="s">
        <v>112</v>
      </c>
      <c r="Q4586" t="s">
        <v>113</v>
      </c>
    </row>
    <row r="4587" spans="1:17" x14ac:dyDescent="0.3">
      <c r="A4587" t="s">
        <v>17</v>
      </c>
      <c r="B4587">
        <v>67</v>
      </c>
      <c r="C4587" t="s">
        <v>28</v>
      </c>
      <c r="D4587" s="2">
        <v>46148</v>
      </c>
      <c r="E4587" s="3">
        <f t="shared" si="71"/>
        <v>46143</v>
      </c>
      <c r="F4587" t="s">
        <v>3688</v>
      </c>
      <c r="G4587" t="s">
        <v>101</v>
      </c>
      <c r="H4587" s="4">
        <v>190.53</v>
      </c>
      <c r="I4587" t="s">
        <v>31</v>
      </c>
      <c r="J4587" t="s">
        <v>74</v>
      </c>
      <c r="K4587" t="s">
        <v>3389</v>
      </c>
      <c r="L4587" s="2">
        <v>46143</v>
      </c>
      <c r="M4587" t="s">
        <v>76</v>
      </c>
      <c r="N4587">
        <v>0</v>
      </c>
      <c r="O4587" t="s">
        <v>31</v>
      </c>
      <c r="P4587" t="s">
        <v>28</v>
      </c>
      <c r="Q4587">
        <v>0</v>
      </c>
    </row>
    <row r="4588" spans="1:17" x14ac:dyDescent="0.3">
      <c r="A4588" t="s">
        <v>17</v>
      </c>
      <c r="B4588">
        <v>67</v>
      </c>
      <c r="C4588" t="s">
        <v>28</v>
      </c>
      <c r="D4588" s="2">
        <v>46148</v>
      </c>
      <c r="E4588" s="3">
        <f t="shared" si="71"/>
        <v>46143</v>
      </c>
      <c r="F4588" t="s">
        <v>3688</v>
      </c>
      <c r="G4588" t="s">
        <v>101</v>
      </c>
      <c r="H4588" s="4">
        <v>48.99</v>
      </c>
      <c r="I4588" t="s">
        <v>31</v>
      </c>
      <c r="J4588" t="s">
        <v>74</v>
      </c>
      <c r="K4588" t="s">
        <v>3705</v>
      </c>
      <c r="L4588" s="2">
        <v>46143</v>
      </c>
      <c r="M4588" t="s">
        <v>76</v>
      </c>
      <c r="N4588">
        <v>0</v>
      </c>
      <c r="O4588" t="s">
        <v>31</v>
      </c>
      <c r="P4588" t="s">
        <v>28</v>
      </c>
      <c r="Q4588">
        <v>0</v>
      </c>
    </row>
    <row r="4589" spans="1:17" x14ac:dyDescent="0.3">
      <c r="A4589" t="s">
        <v>17</v>
      </c>
      <c r="B4589">
        <v>67</v>
      </c>
      <c r="C4589" t="s">
        <v>28</v>
      </c>
      <c r="D4589" s="2">
        <v>46148</v>
      </c>
      <c r="E4589" s="3">
        <f t="shared" si="71"/>
        <v>46143</v>
      </c>
      <c r="F4589" t="s">
        <v>3688</v>
      </c>
      <c r="G4589" t="s">
        <v>101</v>
      </c>
      <c r="H4589" s="4">
        <v>1.75</v>
      </c>
      <c r="I4589" t="s">
        <v>31</v>
      </c>
      <c r="J4589" t="s">
        <v>74</v>
      </c>
      <c r="K4589" t="s">
        <v>3389</v>
      </c>
      <c r="L4589" s="2">
        <v>46143</v>
      </c>
      <c r="M4589" t="s">
        <v>76</v>
      </c>
      <c r="N4589">
        <v>0</v>
      </c>
      <c r="O4589" t="s">
        <v>31</v>
      </c>
      <c r="P4589" t="s">
        <v>28</v>
      </c>
      <c r="Q4589">
        <v>0</v>
      </c>
    </row>
    <row r="4590" spans="1:17" x14ac:dyDescent="0.3">
      <c r="A4590" t="s">
        <v>17</v>
      </c>
      <c r="B4590">
        <v>67</v>
      </c>
      <c r="C4590" t="s">
        <v>28</v>
      </c>
      <c r="D4590" s="2">
        <v>46148</v>
      </c>
      <c r="E4590" s="3">
        <f t="shared" si="71"/>
        <v>46143</v>
      </c>
      <c r="F4590" t="s">
        <v>3688</v>
      </c>
      <c r="G4590" t="s">
        <v>101</v>
      </c>
      <c r="H4590" s="4">
        <v>2159.27</v>
      </c>
      <c r="I4590" t="s">
        <v>31</v>
      </c>
      <c r="J4590" t="s">
        <v>74</v>
      </c>
      <c r="K4590" t="s">
        <v>2354</v>
      </c>
      <c r="L4590" s="2">
        <v>46143</v>
      </c>
      <c r="M4590" t="s">
        <v>76</v>
      </c>
      <c r="N4590">
        <v>0</v>
      </c>
      <c r="O4590" t="s">
        <v>31</v>
      </c>
      <c r="P4590" t="s">
        <v>28</v>
      </c>
      <c r="Q4590">
        <v>0</v>
      </c>
    </row>
    <row r="4591" spans="1:17" x14ac:dyDescent="0.3">
      <c r="A4591" t="s">
        <v>17</v>
      </c>
      <c r="B4591">
        <v>67</v>
      </c>
      <c r="C4591" t="s">
        <v>28</v>
      </c>
      <c r="D4591" s="2">
        <v>46148</v>
      </c>
      <c r="E4591" s="3">
        <f t="shared" si="71"/>
        <v>46143</v>
      </c>
      <c r="F4591" t="s">
        <v>3688</v>
      </c>
      <c r="G4591" t="s">
        <v>101</v>
      </c>
      <c r="H4591" s="4">
        <v>99.87</v>
      </c>
      <c r="I4591" t="s">
        <v>31</v>
      </c>
      <c r="J4591" t="s">
        <v>74</v>
      </c>
      <c r="K4591" t="s">
        <v>1889</v>
      </c>
      <c r="L4591" s="2">
        <v>46143</v>
      </c>
      <c r="M4591" t="s">
        <v>76</v>
      </c>
      <c r="N4591">
        <v>0</v>
      </c>
      <c r="O4591" t="s">
        <v>31</v>
      </c>
      <c r="P4591" t="s">
        <v>28</v>
      </c>
      <c r="Q4591">
        <v>0</v>
      </c>
    </row>
    <row r="4592" spans="1:17" x14ac:dyDescent="0.3">
      <c r="A4592" t="s">
        <v>17</v>
      </c>
      <c r="B4592">
        <v>67</v>
      </c>
      <c r="C4592" t="s">
        <v>28</v>
      </c>
      <c r="D4592" s="2">
        <v>46148</v>
      </c>
      <c r="E4592" s="3">
        <f t="shared" si="71"/>
        <v>46143</v>
      </c>
      <c r="F4592" t="s">
        <v>3688</v>
      </c>
      <c r="G4592" t="s">
        <v>101</v>
      </c>
      <c r="H4592" s="4">
        <v>1.5</v>
      </c>
      <c r="I4592" t="s">
        <v>31</v>
      </c>
      <c r="J4592" t="s">
        <v>64</v>
      </c>
      <c r="K4592" t="s">
        <v>1166</v>
      </c>
      <c r="L4592" s="2">
        <v>46143</v>
      </c>
      <c r="M4592" t="s">
        <v>64</v>
      </c>
      <c r="N4592">
        <v>0</v>
      </c>
      <c r="O4592" t="s">
        <v>31</v>
      </c>
      <c r="P4592" t="s">
        <v>28</v>
      </c>
      <c r="Q4592">
        <v>0</v>
      </c>
    </row>
    <row r="4593" spans="1:17" x14ac:dyDescent="0.3">
      <c r="A4593" t="s">
        <v>17</v>
      </c>
      <c r="B4593">
        <v>63</v>
      </c>
      <c r="C4593" t="s">
        <v>18</v>
      </c>
      <c r="D4593" s="2">
        <v>46149</v>
      </c>
      <c r="E4593" s="3">
        <f t="shared" si="71"/>
        <v>46143</v>
      </c>
      <c r="F4593">
        <v>851975</v>
      </c>
      <c r="G4593" t="s">
        <v>125</v>
      </c>
      <c r="H4593" s="4">
        <v>55</v>
      </c>
      <c r="I4593" t="s">
        <v>47</v>
      </c>
      <c r="J4593" t="s">
        <v>22</v>
      </c>
      <c r="K4593" t="s">
        <v>1791</v>
      </c>
      <c r="L4593" s="2">
        <v>46143</v>
      </c>
      <c r="M4593" t="s">
        <v>24</v>
      </c>
      <c r="N4593">
        <v>0</v>
      </c>
      <c r="O4593" t="s">
        <v>26</v>
      </c>
      <c r="P4593" t="s">
        <v>18</v>
      </c>
      <c r="Q4593" t="s">
        <v>27</v>
      </c>
    </row>
    <row r="4594" spans="1:17" x14ac:dyDescent="0.3">
      <c r="A4594" t="s">
        <v>17</v>
      </c>
      <c r="B4594">
        <v>63</v>
      </c>
      <c r="C4594" t="s">
        <v>18</v>
      </c>
      <c r="D4594" s="2">
        <v>46149</v>
      </c>
      <c r="E4594" s="3">
        <f t="shared" si="71"/>
        <v>46143</v>
      </c>
      <c r="F4594">
        <v>851975</v>
      </c>
      <c r="G4594" t="s">
        <v>125</v>
      </c>
      <c r="H4594" s="4">
        <v>275</v>
      </c>
      <c r="I4594" t="s">
        <v>47</v>
      </c>
      <c r="J4594" t="s">
        <v>22</v>
      </c>
      <c r="K4594" t="s">
        <v>3706</v>
      </c>
      <c r="L4594" s="2">
        <v>46143</v>
      </c>
      <c r="M4594" t="s">
        <v>24</v>
      </c>
      <c r="N4594">
        <v>0</v>
      </c>
      <c r="O4594" t="s">
        <v>26</v>
      </c>
      <c r="P4594" t="s">
        <v>18</v>
      </c>
      <c r="Q4594" t="s">
        <v>27</v>
      </c>
    </row>
    <row r="4595" spans="1:17" x14ac:dyDescent="0.3">
      <c r="A4595" t="s">
        <v>17</v>
      </c>
      <c r="B4595">
        <v>68</v>
      </c>
      <c r="C4595" t="s">
        <v>34</v>
      </c>
      <c r="D4595" s="2">
        <v>46149</v>
      </c>
      <c r="E4595" s="3">
        <f t="shared" si="71"/>
        <v>46143</v>
      </c>
      <c r="F4595">
        <v>43149383</v>
      </c>
      <c r="G4595" t="s">
        <v>154</v>
      </c>
      <c r="H4595" s="4">
        <v>95</v>
      </c>
      <c r="I4595" t="s">
        <v>31</v>
      </c>
      <c r="J4595" t="s">
        <v>79</v>
      </c>
      <c r="K4595" t="s">
        <v>3707</v>
      </c>
      <c r="L4595" s="2">
        <v>46143</v>
      </c>
      <c r="M4595" t="s">
        <v>79</v>
      </c>
      <c r="N4595">
        <v>0</v>
      </c>
      <c r="O4595" t="s">
        <v>31</v>
      </c>
      <c r="P4595" t="s">
        <v>34</v>
      </c>
      <c r="Q4595">
        <v>0</v>
      </c>
    </row>
    <row r="4596" spans="1:17" x14ac:dyDescent="0.3">
      <c r="A4596" t="s">
        <v>17</v>
      </c>
      <c r="B4596">
        <v>68</v>
      </c>
      <c r="C4596" t="s">
        <v>34</v>
      </c>
      <c r="D4596" s="2">
        <v>46149</v>
      </c>
      <c r="E4596" s="3">
        <f t="shared" si="71"/>
        <v>46143</v>
      </c>
      <c r="F4596" t="s">
        <v>3708</v>
      </c>
      <c r="G4596" t="s">
        <v>122</v>
      </c>
      <c r="H4596" s="4">
        <v>19.829999999999998</v>
      </c>
      <c r="I4596" t="s">
        <v>108</v>
      </c>
      <c r="J4596" t="s">
        <v>109</v>
      </c>
      <c r="L4596" s="2">
        <v>46143</v>
      </c>
      <c r="M4596" t="s">
        <v>109</v>
      </c>
      <c r="N4596">
        <v>0</v>
      </c>
      <c r="O4596" t="s">
        <v>111</v>
      </c>
      <c r="P4596" t="s">
        <v>112</v>
      </c>
      <c r="Q4596" t="s">
        <v>113</v>
      </c>
    </row>
    <row r="4597" spans="1:17" x14ac:dyDescent="0.3">
      <c r="A4597" t="s">
        <v>17</v>
      </c>
      <c r="B4597">
        <v>68</v>
      </c>
      <c r="C4597" t="s">
        <v>34</v>
      </c>
      <c r="D4597" s="2">
        <v>46149</v>
      </c>
      <c r="E4597" s="3">
        <f t="shared" si="71"/>
        <v>46143</v>
      </c>
      <c r="F4597">
        <v>43149383</v>
      </c>
      <c r="G4597" t="s">
        <v>154</v>
      </c>
      <c r="H4597" s="4">
        <v>25.65</v>
      </c>
      <c r="I4597" t="s">
        <v>31</v>
      </c>
      <c r="J4597" t="s">
        <v>613</v>
      </c>
      <c r="K4597" t="s">
        <v>3709</v>
      </c>
      <c r="L4597" s="2">
        <v>46143</v>
      </c>
      <c r="M4597" t="s">
        <v>613</v>
      </c>
      <c r="N4597">
        <v>0</v>
      </c>
      <c r="O4597" t="s">
        <v>31</v>
      </c>
      <c r="P4597" t="s">
        <v>34</v>
      </c>
      <c r="Q4597">
        <v>0</v>
      </c>
    </row>
    <row r="4598" spans="1:17" x14ac:dyDescent="0.3">
      <c r="A4598" t="s">
        <v>17</v>
      </c>
      <c r="B4598">
        <v>67</v>
      </c>
      <c r="C4598" t="s">
        <v>28</v>
      </c>
      <c r="D4598" s="2">
        <v>46150</v>
      </c>
      <c r="E4598" s="3">
        <f t="shared" si="71"/>
        <v>46143</v>
      </c>
      <c r="F4598" t="s">
        <v>3710</v>
      </c>
      <c r="G4598" t="s">
        <v>67</v>
      </c>
      <c r="H4598" s="4">
        <v>319.58</v>
      </c>
      <c r="I4598" t="s">
        <v>31</v>
      </c>
      <c r="J4598" t="s">
        <v>68</v>
      </c>
      <c r="K4598" t="s">
        <v>3221</v>
      </c>
      <c r="L4598" s="2">
        <v>46143</v>
      </c>
      <c r="M4598" t="s">
        <v>68</v>
      </c>
      <c r="N4598">
        <v>0</v>
      </c>
      <c r="O4598" t="s">
        <v>31</v>
      </c>
      <c r="P4598" t="s">
        <v>28</v>
      </c>
      <c r="Q4598">
        <v>0</v>
      </c>
    </row>
    <row r="4599" spans="1:17" x14ac:dyDescent="0.3">
      <c r="A4599" t="s">
        <v>17</v>
      </c>
      <c r="B4599">
        <v>68</v>
      </c>
      <c r="C4599" t="s">
        <v>34</v>
      </c>
      <c r="D4599" s="2">
        <v>46152</v>
      </c>
      <c r="E4599" s="3">
        <f t="shared" si="71"/>
        <v>46143</v>
      </c>
      <c r="F4599">
        <v>17458</v>
      </c>
      <c r="G4599" t="s">
        <v>131</v>
      </c>
      <c r="H4599" s="4">
        <v>84.31</v>
      </c>
      <c r="I4599" t="s">
        <v>31</v>
      </c>
      <c r="J4599" t="s">
        <v>79</v>
      </c>
      <c r="K4599" t="s">
        <v>1276</v>
      </c>
      <c r="L4599" s="2">
        <v>46143</v>
      </c>
      <c r="M4599" t="s">
        <v>79</v>
      </c>
      <c r="N4599">
        <v>0</v>
      </c>
      <c r="O4599" t="s">
        <v>31</v>
      </c>
      <c r="P4599" t="s">
        <v>34</v>
      </c>
      <c r="Q4599">
        <v>0</v>
      </c>
    </row>
    <row r="4600" spans="1:17" x14ac:dyDescent="0.3">
      <c r="A4600" t="s">
        <v>17</v>
      </c>
      <c r="B4600">
        <v>68</v>
      </c>
      <c r="C4600" t="s">
        <v>34</v>
      </c>
      <c r="D4600" s="2">
        <v>46152</v>
      </c>
      <c r="E4600" s="3">
        <f t="shared" si="71"/>
        <v>46143</v>
      </c>
      <c r="F4600">
        <v>17458</v>
      </c>
      <c r="G4600" t="s">
        <v>131</v>
      </c>
      <c r="H4600" s="4">
        <v>950</v>
      </c>
      <c r="I4600" t="s">
        <v>31</v>
      </c>
      <c r="J4600" t="s">
        <v>79</v>
      </c>
      <c r="K4600" t="s">
        <v>1406</v>
      </c>
      <c r="L4600" s="2">
        <v>46143</v>
      </c>
      <c r="M4600" t="s">
        <v>79</v>
      </c>
      <c r="N4600">
        <v>0</v>
      </c>
      <c r="O4600" t="s">
        <v>31</v>
      </c>
      <c r="P4600" t="s">
        <v>34</v>
      </c>
      <c r="Q4600">
        <v>0</v>
      </c>
    </row>
    <row r="4601" spans="1:17" x14ac:dyDescent="0.3">
      <c r="A4601" t="s">
        <v>17</v>
      </c>
      <c r="B4601">
        <v>68</v>
      </c>
      <c r="C4601" t="s">
        <v>34</v>
      </c>
      <c r="D4601" s="2">
        <v>46153</v>
      </c>
      <c r="E4601" s="3">
        <f t="shared" si="71"/>
        <v>46143</v>
      </c>
      <c r="F4601" t="s">
        <v>3711</v>
      </c>
      <c r="G4601" t="s">
        <v>107</v>
      </c>
      <c r="H4601" s="4">
        <v>6.95</v>
      </c>
      <c r="I4601" t="s">
        <v>108</v>
      </c>
      <c r="J4601" t="s">
        <v>109</v>
      </c>
      <c r="K4601" t="s">
        <v>2822</v>
      </c>
      <c r="L4601" s="2">
        <v>46143</v>
      </c>
      <c r="M4601" t="s">
        <v>109</v>
      </c>
      <c r="N4601">
        <v>0</v>
      </c>
      <c r="O4601" t="s">
        <v>111</v>
      </c>
      <c r="P4601" t="s">
        <v>112</v>
      </c>
      <c r="Q4601" t="s">
        <v>113</v>
      </c>
    </row>
    <row r="4602" spans="1:17" x14ac:dyDescent="0.3">
      <c r="A4602" t="s">
        <v>17</v>
      </c>
      <c r="B4602">
        <v>68</v>
      </c>
      <c r="C4602" t="s">
        <v>34</v>
      </c>
      <c r="D4602" s="2">
        <v>46153</v>
      </c>
      <c r="E4602" s="3">
        <f t="shared" si="71"/>
        <v>46143</v>
      </c>
      <c r="F4602" t="s">
        <v>3711</v>
      </c>
      <c r="G4602" t="s">
        <v>107</v>
      </c>
      <c r="H4602" s="4">
        <v>7.1</v>
      </c>
      <c r="I4602" t="s">
        <v>108</v>
      </c>
      <c r="J4602" t="s">
        <v>109</v>
      </c>
      <c r="K4602" t="s">
        <v>1429</v>
      </c>
      <c r="L4602" s="2">
        <v>46143</v>
      </c>
      <c r="M4602" t="s">
        <v>109</v>
      </c>
      <c r="N4602">
        <v>0</v>
      </c>
      <c r="O4602" t="s">
        <v>111</v>
      </c>
      <c r="P4602" t="s">
        <v>112</v>
      </c>
      <c r="Q4602" t="s">
        <v>113</v>
      </c>
    </row>
    <row r="4603" spans="1:17" x14ac:dyDescent="0.3">
      <c r="A4603" t="s">
        <v>17</v>
      </c>
      <c r="B4603">
        <v>68</v>
      </c>
      <c r="C4603" t="s">
        <v>34</v>
      </c>
      <c r="D4603" s="2">
        <v>46153</v>
      </c>
      <c r="E4603" s="3">
        <f t="shared" si="71"/>
        <v>46143</v>
      </c>
      <c r="F4603" t="s">
        <v>3711</v>
      </c>
      <c r="G4603" t="s">
        <v>107</v>
      </c>
      <c r="H4603" s="4">
        <v>-2.65</v>
      </c>
      <c r="I4603" t="s">
        <v>108</v>
      </c>
      <c r="J4603" t="s">
        <v>109</v>
      </c>
      <c r="K4603" t="s">
        <v>3712</v>
      </c>
      <c r="L4603" s="2">
        <v>46143</v>
      </c>
      <c r="M4603" t="s">
        <v>109</v>
      </c>
      <c r="N4603">
        <v>0</v>
      </c>
      <c r="O4603" t="s">
        <v>111</v>
      </c>
      <c r="P4603" t="s">
        <v>112</v>
      </c>
      <c r="Q4603" t="s">
        <v>113</v>
      </c>
    </row>
    <row r="4604" spans="1:17" x14ac:dyDescent="0.3">
      <c r="A4604" t="s">
        <v>17</v>
      </c>
      <c r="B4604">
        <v>68</v>
      </c>
      <c r="C4604" t="s">
        <v>34</v>
      </c>
      <c r="D4604" s="2">
        <v>46153</v>
      </c>
      <c r="E4604" s="3">
        <f t="shared" si="71"/>
        <v>46143</v>
      </c>
      <c r="F4604" t="s">
        <v>3711</v>
      </c>
      <c r="G4604" t="s">
        <v>107</v>
      </c>
      <c r="H4604" s="4">
        <v>-5.85</v>
      </c>
      <c r="I4604" t="s">
        <v>108</v>
      </c>
      <c r="J4604" t="s">
        <v>109</v>
      </c>
      <c r="K4604" t="s">
        <v>3254</v>
      </c>
      <c r="L4604" s="2">
        <v>46143</v>
      </c>
      <c r="M4604" t="s">
        <v>109</v>
      </c>
      <c r="N4604">
        <v>0</v>
      </c>
      <c r="O4604" t="s">
        <v>111</v>
      </c>
      <c r="P4604" t="s">
        <v>112</v>
      </c>
      <c r="Q4604" t="s">
        <v>113</v>
      </c>
    </row>
    <row r="4605" spans="1:17" x14ac:dyDescent="0.3">
      <c r="A4605" t="s">
        <v>17</v>
      </c>
      <c r="B4605">
        <v>68</v>
      </c>
      <c r="C4605" t="s">
        <v>34</v>
      </c>
      <c r="D4605" s="2">
        <v>46153</v>
      </c>
      <c r="E4605" s="3">
        <f t="shared" si="71"/>
        <v>46143</v>
      </c>
      <c r="F4605" t="s">
        <v>3711</v>
      </c>
      <c r="G4605" t="s">
        <v>107</v>
      </c>
      <c r="H4605" s="4">
        <v>26.46</v>
      </c>
      <c r="I4605" t="s">
        <v>108</v>
      </c>
      <c r="J4605" t="s">
        <v>109</v>
      </c>
      <c r="K4605" t="s">
        <v>1431</v>
      </c>
      <c r="L4605" s="2">
        <v>46143</v>
      </c>
      <c r="M4605" t="s">
        <v>109</v>
      </c>
      <c r="N4605">
        <v>0</v>
      </c>
      <c r="O4605" t="s">
        <v>111</v>
      </c>
      <c r="P4605" t="s">
        <v>112</v>
      </c>
      <c r="Q4605" t="s">
        <v>113</v>
      </c>
    </row>
    <row r="4606" spans="1:17" x14ac:dyDescent="0.3">
      <c r="A4606" t="s">
        <v>17</v>
      </c>
      <c r="B4606">
        <v>68</v>
      </c>
      <c r="C4606" t="s">
        <v>34</v>
      </c>
      <c r="D4606" s="2">
        <v>46153</v>
      </c>
      <c r="E4606" s="3">
        <f t="shared" si="71"/>
        <v>46143</v>
      </c>
      <c r="F4606" t="s">
        <v>3713</v>
      </c>
      <c r="G4606" t="s">
        <v>122</v>
      </c>
      <c r="H4606" s="4">
        <v>41.02</v>
      </c>
      <c r="I4606" t="s">
        <v>108</v>
      </c>
      <c r="J4606" t="s">
        <v>109</v>
      </c>
      <c r="K4606" t="s">
        <v>1838</v>
      </c>
      <c r="L4606" s="2">
        <v>46143</v>
      </c>
      <c r="M4606" t="s">
        <v>109</v>
      </c>
      <c r="N4606">
        <v>0</v>
      </c>
      <c r="O4606" t="s">
        <v>111</v>
      </c>
      <c r="P4606" t="s">
        <v>112</v>
      </c>
      <c r="Q4606" t="s">
        <v>113</v>
      </c>
    </row>
    <row r="4607" spans="1:17" x14ac:dyDescent="0.3">
      <c r="A4607" t="s">
        <v>17</v>
      </c>
      <c r="B4607">
        <v>68</v>
      </c>
      <c r="C4607" t="s">
        <v>34</v>
      </c>
      <c r="D4607" s="2">
        <v>46153</v>
      </c>
      <c r="E4607" s="3">
        <f t="shared" si="71"/>
        <v>46143</v>
      </c>
      <c r="F4607" t="s">
        <v>3713</v>
      </c>
      <c r="G4607" t="s">
        <v>122</v>
      </c>
      <c r="H4607" s="4">
        <v>17.5</v>
      </c>
      <c r="I4607" t="s">
        <v>108</v>
      </c>
      <c r="J4607" t="s">
        <v>109</v>
      </c>
      <c r="L4607" s="2">
        <v>46143</v>
      </c>
      <c r="M4607" t="s">
        <v>109</v>
      </c>
      <c r="N4607">
        <v>0</v>
      </c>
      <c r="O4607" t="s">
        <v>111</v>
      </c>
      <c r="P4607" t="s">
        <v>112</v>
      </c>
      <c r="Q4607" t="s">
        <v>113</v>
      </c>
    </row>
    <row r="4608" spans="1:17" x14ac:dyDescent="0.3">
      <c r="A4608" t="s">
        <v>17</v>
      </c>
      <c r="B4608">
        <v>68</v>
      </c>
      <c r="C4608" t="s">
        <v>34</v>
      </c>
      <c r="D4608" s="2">
        <v>46153</v>
      </c>
      <c r="E4608" s="3">
        <f t="shared" si="71"/>
        <v>46143</v>
      </c>
      <c r="F4608" t="s">
        <v>3713</v>
      </c>
      <c r="G4608" t="s">
        <v>122</v>
      </c>
      <c r="H4608" s="4">
        <v>1.34</v>
      </c>
      <c r="I4608" t="s">
        <v>108</v>
      </c>
      <c r="J4608" t="s">
        <v>109</v>
      </c>
      <c r="L4608" s="2">
        <v>46143</v>
      </c>
      <c r="M4608" t="s">
        <v>109</v>
      </c>
      <c r="N4608">
        <v>0</v>
      </c>
      <c r="O4608" t="s">
        <v>111</v>
      </c>
      <c r="P4608" t="s">
        <v>112</v>
      </c>
      <c r="Q4608" t="s">
        <v>113</v>
      </c>
    </row>
    <row r="4609" spans="1:17" x14ac:dyDescent="0.3">
      <c r="A4609" t="s">
        <v>17</v>
      </c>
      <c r="B4609">
        <v>63</v>
      </c>
      <c r="C4609" t="s">
        <v>18</v>
      </c>
      <c r="D4609" s="2">
        <v>46154</v>
      </c>
      <c r="E4609" s="3">
        <f t="shared" si="71"/>
        <v>46143</v>
      </c>
      <c r="F4609">
        <v>852294</v>
      </c>
      <c r="G4609" t="s">
        <v>125</v>
      </c>
      <c r="H4609" s="4">
        <v>55</v>
      </c>
      <c r="I4609" t="s">
        <v>47</v>
      </c>
      <c r="J4609" t="s">
        <v>22</v>
      </c>
      <c r="K4609" t="s">
        <v>1791</v>
      </c>
      <c r="L4609" s="2">
        <v>46143</v>
      </c>
      <c r="M4609" t="s">
        <v>24</v>
      </c>
      <c r="N4609">
        <v>0</v>
      </c>
      <c r="O4609" t="s">
        <v>26</v>
      </c>
      <c r="P4609" t="s">
        <v>18</v>
      </c>
      <c r="Q4609" t="s">
        <v>27</v>
      </c>
    </row>
    <row r="4610" spans="1:17" x14ac:dyDescent="0.3">
      <c r="A4610" t="s">
        <v>17</v>
      </c>
      <c r="B4610">
        <v>63</v>
      </c>
      <c r="C4610" t="s">
        <v>18</v>
      </c>
      <c r="D4610" s="2">
        <v>46154</v>
      </c>
      <c r="E4610" s="3">
        <f t="shared" si="71"/>
        <v>46143</v>
      </c>
      <c r="F4610">
        <v>852294</v>
      </c>
      <c r="G4610" t="s">
        <v>125</v>
      </c>
      <c r="H4610" s="4">
        <v>275</v>
      </c>
      <c r="I4610" t="s">
        <v>47</v>
      </c>
      <c r="J4610" t="s">
        <v>22</v>
      </c>
      <c r="K4610" t="s">
        <v>3714</v>
      </c>
      <c r="L4610" s="2">
        <v>46143</v>
      </c>
      <c r="M4610" t="s">
        <v>24</v>
      </c>
      <c r="N4610">
        <v>0</v>
      </c>
      <c r="O4610" t="s">
        <v>26</v>
      </c>
      <c r="P4610" t="s">
        <v>18</v>
      </c>
      <c r="Q4610" t="s">
        <v>27</v>
      </c>
    </row>
    <row r="4611" spans="1:17" x14ac:dyDescent="0.3">
      <c r="A4611" t="s">
        <v>17</v>
      </c>
      <c r="B4611">
        <v>66</v>
      </c>
      <c r="C4611" t="s">
        <v>134</v>
      </c>
      <c r="D4611" s="2">
        <v>46154</v>
      </c>
      <c r="E4611" s="3">
        <f t="shared" ref="E4611:E4674" si="72">IF($D4611="","",DATE(YEAR($D4611),MONTH($D4611),1))</f>
        <v>46143</v>
      </c>
      <c r="F4611" t="s">
        <v>3715</v>
      </c>
      <c r="G4611" t="s">
        <v>984</v>
      </c>
      <c r="H4611" s="4">
        <v>30.71</v>
      </c>
      <c r="I4611" t="s">
        <v>108</v>
      </c>
      <c r="J4611" t="s">
        <v>223</v>
      </c>
      <c r="K4611" t="s">
        <v>3716</v>
      </c>
      <c r="L4611" s="2">
        <v>46143</v>
      </c>
      <c r="M4611" t="s">
        <v>223</v>
      </c>
      <c r="N4611">
        <v>0</v>
      </c>
      <c r="O4611" t="s">
        <v>111</v>
      </c>
      <c r="P4611" t="s">
        <v>134</v>
      </c>
      <c r="Q4611">
        <v>0</v>
      </c>
    </row>
    <row r="4612" spans="1:17" x14ac:dyDescent="0.3">
      <c r="A4612" t="s">
        <v>17</v>
      </c>
      <c r="B4612">
        <v>66</v>
      </c>
      <c r="C4612" t="s">
        <v>134</v>
      </c>
      <c r="D4612" s="2">
        <v>46154</v>
      </c>
      <c r="E4612" s="3">
        <f t="shared" si="72"/>
        <v>46143</v>
      </c>
      <c r="F4612" t="s">
        <v>3715</v>
      </c>
      <c r="G4612" t="s">
        <v>984</v>
      </c>
      <c r="H4612" s="4">
        <v>30.71</v>
      </c>
      <c r="I4612" t="s">
        <v>108</v>
      </c>
      <c r="J4612" t="s">
        <v>223</v>
      </c>
      <c r="K4612" t="s">
        <v>3716</v>
      </c>
      <c r="L4612" s="2">
        <v>46143</v>
      </c>
      <c r="M4612" t="s">
        <v>223</v>
      </c>
      <c r="N4612">
        <v>0</v>
      </c>
      <c r="O4612" t="s">
        <v>111</v>
      </c>
      <c r="P4612" t="s">
        <v>134</v>
      </c>
      <c r="Q4612">
        <v>0</v>
      </c>
    </row>
    <row r="4613" spans="1:17" x14ac:dyDescent="0.3">
      <c r="A4613" t="s">
        <v>17</v>
      </c>
      <c r="B4613">
        <v>66</v>
      </c>
      <c r="C4613" t="s">
        <v>134</v>
      </c>
      <c r="D4613" s="2">
        <v>46154</v>
      </c>
      <c r="E4613" s="3">
        <f t="shared" si="72"/>
        <v>46143</v>
      </c>
      <c r="F4613" t="s">
        <v>3715</v>
      </c>
      <c r="G4613" t="s">
        <v>984</v>
      </c>
      <c r="H4613" s="4">
        <v>42.18</v>
      </c>
      <c r="I4613" t="s">
        <v>108</v>
      </c>
      <c r="J4613" t="s">
        <v>223</v>
      </c>
      <c r="K4613" t="s">
        <v>3717</v>
      </c>
      <c r="L4613" s="2">
        <v>46143</v>
      </c>
      <c r="M4613" t="s">
        <v>223</v>
      </c>
      <c r="N4613">
        <v>0</v>
      </c>
      <c r="O4613" t="s">
        <v>111</v>
      </c>
      <c r="P4613" t="s">
        <v>134</v>
      </c>
      <c r="Q4613">
        <v>0</v>
      </c>
    </row>
    <row r="4614" spans="1:17" x14ac:dyDescent="0.3">
      <c r="A4614" t="s">
        <v>17</v>
      </c>
      <c r="B4614">
        <v>66</v>
      </c>
      <c r="C4614" t="s">
        <v>134</v>
      </c>
      <c r="D4614" s="2">
        <v>46154</v>
      </c>
      <c r="E4614" s="3">
        <f t="shared" si="72"/>
        <v>46143</v>
      </c>
      <c r="F4614" t="s">
        <v>3715</v>
      </c>
      <c r="G4614" t="s">
        <v>984</v>
      </c>
      <c r="H4614" s="4">
        <v>42.18</v>
      </c>
      <c r="I4614" t="s">
        <v>108</v>
      </c>
      <c r="J4614" t="s">
        <v>223</v>
      </c>
      <c r="K4614" t="s">
        <v>3717</v>
      </c>
      <c r="L4614" s="2">
        <v>46143</v>
      </c>
      <c r="M4614" t="s">
        <v>223</v>
      </c>
      <c r="N4614">
        <v>0</v>
      </c>
      <c r="O4614" t="s">
        <v>111</v>
      </c>
      <c r="P4614" t="s">
        <v>134</v>
      </c>
      <c r="Q4614">
        <v>0</v>
      </c>
    </row>
    <row r="4615" spans="1:17" x14ac:dyDescent="0.3">
      <c r="A4615" t="s">
        <v>17</v>
      </c>
      <c r="B4615">
        <v>66</v>
      </c>
      <c r="C4615" t="s">
        <v>134</v>
      </c>
      <c r="D4615" s="2">
        <v>46154</v>
      </c>
      <c r="E4615" s="3">
        <f t="shared" si="72"/>
        <v>46143</v>
      </c>
      <c r="F4615" t="s">
        <v>3715</v>
      </c>
      <c r="G4615" t="s">
        <v>984</v>
      </c>
      <c r="H4615" s="4">
        <v>29.23</v>
      </c>
      <c r="I4615" t="s">
        <v>108</v>
      </c>
      <c r="J4615" t="s">
        <v>223</v>
      </c>
      <c r="K4615" t="s">
        <v>3718</v>
      </c>
      <c r="L4615" s="2">
        <v>46143</v>
      </c>
      <c r="M4615" t="s">
        <v>223</v>
      </c>
      <c r="N4615">
        <v>0</v>
      </c>
      <c r="O4615" t="s">
        <v>111</v>
      </c>
      <c r="P4615" t="s">
        <v>134</v>
      </c>
      <c r="Q4615">
        <v>0</v>
      </c>
    </row>
    <row r="4616" spans="1:17" x14ac:dyDescent="0.3">
      <c r="A4616" t="s">
        <v>17</v>
      </c>
      <c r="B4616">
        <v>66</v>
      </c>
      <c r="C4616" t="s">
        <v>134</v>
      </c>
      <c r="D4616" s="2">
        <v>46154</v>
      </c>
      <c r="E4616" s="3">
        <f t="shared" si="72"/>
        <v>46143</v>
      </c>
      <c r="F4616" t="s">
        <v>3715</v>
      </c>
      <c r="G4616" t="s">
        <v>984</v>
      </c>
      <c r="H4616" s="4">
        <v>29.23</v>
      </c>
      <c r="I4616" t="s">
        <v>108</v>
      </c>
      <c r="J4616" t="s">
        <v>223</v>
      </c>
      <c r="K4616" t="s">
        <v>3718</v>
      </c>
      <c r="L4616" s="2">
        <v>46143</v>
      </c>
      <c r="M4616" t="s">
        <v>223</v>
      </c>
      <c r="N4616">
        <v>0</v>
      </c>
      <c r="O4616" t="s">
        <v>111</v>
      </c>
      <c r="P4616" t="s">
        <v>134</v>
      </c>
      <c r="Q4616">
        <v>0</v>
      </c>
    </row>
    <row r="4617" spans="1:17" x14ac:dyDescent="0.3">
      <c r="A4617" t="s">
        <v>17</v>
      </c>
      <c r="B4617">
        <v>66</v>
      </c>
      <c r="C4617" t="s">
        <v>134</v>
      </c>
      <c r="D4617" s="2">
        <v>46154</v>
      </c>
      <c r="E4617" s="3">
        <f t="shared" si="72"/>
        <v>46143</v>
      </c>
      <c r="F4617" t="s">
        <v>3715</v>
      </c>
      <c r="G4617" t="s">
        <v>984</v>
      </c>
      <c r="H4617" s="4">
        <v>41.44</v>
      </c>
      <c r="I4617" t="s">
        <v>108</v>
      </c>
      <c r="J4617" t="s">
        <v>223</v>
      </c>
      <c r="K4617" t="s">
        <v>3719</v>
      </c>
      <c r="L4617" s="2">
        <v>46143</v>
      </c>
      <c r="M4617" t="s">
        <v>223</v>
      </c>
      <c r="N4617">
        <v>0</v>
      </c>
      <c r="O4617" t="s">
        <v>111</v>
      </c>
      <c r="P4617" t="s">
        <v>134</v>
      </c>
      <c r="Q4617">
        <v>0</v>
      </c>
    </row>
    <row r="4618" spans="1:17" x14ac:dyDescent="0.3">
      <c r="A4618" t="s">
        <v>17</v>
      </c>
      <c r="B4618">
        <v>66</v>
      </c>
      <c r="C4618" t="s">
        <v>134</v>
      </c>
      <c r="D4618" s="2">
        <v>46154</v>
      </c>
      <c r="E4618" s="3">
        <f t="shared" si="72"/>
        <v>46143</v>
      </c>
      <c r="F4618" t="s">
        <v>3715</v>
      </c>
      <c r="G4618" t="s">
        <v>984</v>
      </c>
      <c r="H4618" s="4">
        <v>41.44</v>
      </c>
      <c r="I4618" t="s">
        <v>108</v>
      </c>
      <c r="J4618" t="s">
        <v>223</v>
      </c>
      <c r="K4618" t="s">
        <v>3719</v>
      </c>
      <c r="L4618" s="2">
        <v>46143</v>
      </c>
      <c r="M4618" t="s">
        <v>223</v>
      </c>
      <c r="N4618">
        <v>0</v>
      </c>
      <c r="O4618" t="s">
        <v>111</v>
      </c>
      <c r="P4618" t="s">
        <v>134</v>
      </c>
      <c r="Q4618">
        <v>0</v>
      </c>
    </row>
    <row r="4619" spans="1:17" x14ac:dyDescent="0.3">
      <c r="A4619" t="s">
        <v>17</v>
      </c>
      <c r="B4619">
        <v>66</v>
      </c>
      <c r="C4619" t="s">
        <v>134</v>
      </c>
      <c r="D4619" s="2">
        <v>46154</v>
      </c>
      <c r="E4619" s="3">
        <f t="shared" si="72"/>
        <v>46143</v>
      </c>
      <c r="F4619" t="s">
        <v>3715</v>
      </c>
      <c r="G4619" t="s">
        <v>984</v>
      </c>
      <c r="H4619" s="4">
        <v>50.62</v>
      </c>
      <c r="I4619" t="s">
        <v>108</v>
      </c>
      <c r="J4619" t="s">
        <v>223</v>
      </c>
      <c r="K4619" t="s">
        <v>3720</v>
      </c>
      <c r="L4619" s="2">
        <v>46143</v>
      </c>
      <c r="M4619" t="s">
        <v>223</v>
      </c>
      <c r="N4619">
        <v>0</v>
      </c>
      <c r="O4619" t="s">
        <v>111</v>
      </c>
      <c r="P4619" t="s">
        <v>134</v>
      </c>
      <c r="Q4619">
        <v>0</v>
      </c>
    </row>
    <row r="4620" spans="1:17" x14ac:dyDescent="0.3">
      <c r="A4620" t="s">
        <v>17</v>
      </c>
      <c r="B4620">
        <v>66</v>
      </c>
      <c r="C4620" t="s">
        <v>134</v>
      </c>
      <c r="D4620" s="2">
        <v>46154</v>
      </c>
      <c r="E4620" s="3">
        <f t="shared" si="72"/>
        <v>46143</v>
      </c>
      <c r="F4620" t="s">
        <v>3715</v>
      </c>
      <c r="G4620" t="s">
        <v>984</v>
      </c>
      <c r="H4620" s="4">
        <v>50.62</v>
      </c>
      <c r="I4620" t="s">
        <v>108</v>
      </c>
      <c r="J4620" t="s">
        <v>223</v>
      </c>
      <c r="K4620" t="s">
        <v>3720</v>
      </c>
      <c r="L4620" s="2">
        <v>46143</v>
      </c>
      <c r="M4620" t="s">
        <v>223</v>
      </c>
      <c r="N4620">
        <v>0</v>
      </c>
      <c r="O4620" t="s">
        <v>111</v>
      </c>
      <c r="P4620" t="s">
        <v>134</v>
      </c>
      <c r="Q4620">
        <v>0</v>
      </c>
    </row>
    <row r="4621" spans="1:17" x14ac:dyDescent="0.3">
      <c r="A4621" t="s">
        <v>17</v>
      </c>
      <c r="B4621">
        <v>66</v>
      </c>
      <c r="C4621" t="s">
        <v>134</v>
      </c>
      <c r="D4621" s="2">
        <v>46154</v>
      </c>
      <c r="E4621" s="3">
        <f t="shared" si="72"/>
        <v>46143</v>
      </c>
      <c r="F4621" t="s">
        <v>3715</v>
      </c>
      <c r="G4621" t="s">
        <v>984</v>
      </c>
      <c r="H4621" s="4">
        <v>52.5</v>
      </c>
      <c r="I4621" t="s">
        <v>108</v>
      </c>
      <c r="J4621" t="s">
        <v>223</v>
      </c>
      <c r="K4621" t="s">
        <v>3721</v>
      </c>
      <c r="L4621" s="2">
        <v>46143</v>
      </c>
      <c r="M4621" t="s">
        <v>223</v>
      </c>
      <c r="N4621">
        <v>0</v>
      </c>
      <c r="O4621" t="s">
        <v>111</v>
      </c>
      <c r="P4621" t="s">
        <v>134</v>
      </c>
      <c r="Q4621">
        <v>0</v>
      </c>
    </row>
    <row r="4622" spans="1:17" x14ac:dyDescent="0.3">
      <c r="A4622" t="s">
        <v>17</v>
      </c>
      <c r="B4622">
        <v>66</v>
      </c>
      <c r="C4622" t="s">
        <v>134</v>
      </c>
      <c r="D4622" s="2">
        <v>46154</v>
      </c>
      <c r="E4622" s="3">
        <f t="shared" si="72"/>
        <v>46143</v>
      </c>
      <c r="F4622" t="s">
        <v>3715</v>
      </c>
      <c r="G4622" t="s">
        <v>984</v>
      </c>
      <c r="H4622" s="4">
        <v>52.5</v>
      </c>
      <c r="I4622" t="s">
        <v>108</v>
      </c>
      <c r="J4622" t="s">
        <v>223</v>
      </c>
      <c r="K4622" t="s">
        <v>3721</v>
      </c>
      <c r="L4622" s="2">
        <v>46143</v>
      </c>
      <c r="M4622" t="s">
        <v>223</v>
      </c>
      <c r="N4622">
        <v>0</v>
      </c>
      <c r="O4622" t="s">
        <v>111</v>
      </c>
      <c r="P4622" t="s">
        <v>134</v>
      </c>
      <c r="Q4622">
        <v>0</v>
      </c>
    </row>
    <row r="4623" spans="1:17" x14ac:dyDescent="0.3">
      <c r="A4623" t="s">
        <v>17</v>
      </c>
      <c r="B4623">
        <v>66</v>
      </c>
      <c r="C4623" t="s">
        <v>134</v>
      </c>
      <c r="D4623" s="2">
        <v>46154</v>
      </c>
      <c r="E4623" s="3">
        <f t="shared" si="72"/>
        <v>46143</v>
      </c>
      <c r="F4623" t="s">
        <v>3715</v>
      </c>
      <c r="G4623" t="s">
        <v>984</v>
      </c>
      <c r="H4623" s="4">
        <v>29.97</v>
      </c>
      <c r="I4623" t="s">
        <v>108</v>
      </c>
      <c r="J4623" t="s">
        <v>223</v>
      </c>
      <c r="K4623" t="s">
        <v>3722</v>
      </c>
      <c r="L4623" s="2">
        <v>46143</v>
      </c>
      <c r="M4623" t="s">
        <v>223</v>
      </c>
      <c r="N4623">
        <v>0</v>
      </c>
      <c r="O4623" t="s">
        <v>111</v>
      </c>
      <c r="P4623" t="s">
        <v>134</v>
      </c>
      <c r="Q4623">
        <v>0</v>
      </c>
    </row>
    <row r="4624" spans="1:17" x14ac:dyDescent="0.3">
      <c r="A4624" t="s">
        <v>17</v>
      </c>
      <c r="B4624">
        <v>66</v>
      </c>
      <c r="C4624" t="s">
        <v>134</v>
      </c>
      <c r="D4624" s="2">
        <v>46154</v>
      </c>
      <c r="E4624" s="3">
        <f t="shared" si="72"/>
        <v>46143</v>
      </c>
      <c r="F4624" t="s">
        <v>3715</v>
      </c>
      <c r="G4624" t="s">
        <v>984</v>
      </c>
      <c r="H4624" s="4">
        <v>29.97</v>
      </c>
      <c r="I4624" t="s">
        <v>108</v>
      </c>
      <c r="J4624" t="s">
        <v>223</v>
      </c>
      <c r="K4624" t="s">
        <v>3722</v>
      </c>
      <c r="L4624" s="2">
        <v>46143</v>
      </c>
      <c r="M4624" t="s">
        <v>223</v>
      </c>
      <c r="N4624">
        <v>0</v>
      </c>
      <c r="O4624" t="s">
        <v>111</v>
      </c>
      <c r="P4624" t="s">
        <v>134</v>
      </c>
      <c r="Q4624">
        <v>0</v>
      </c>
    </row>
    <row r="4625" spans="1:17" x14ac:dyDescent="0.3">
      <c r="A4625" t="s">
        <v>17</v>
      </c>
      <c r="B4625">
        <v>66</v>
      </c>
      <c r="C4625" t="s">
        <v>134</v>
      </c>
      <c r="D4625" s="2">
        <v>46154</v>
      </c>
      <c r="E4625" s="3">
        <f t="shared" si="72"/>
        <v>46143</v>
      </c>
      <c r="F4625" t="s">
        <v>3715</v>
      </c>
      <c r="G4625" t="s">
        <v>984</v>
      </c>
      <c r="H4625" s="4">
        <v>45.14</v>
      </c>
      <c r="I4625" t="s">
        <v>108</v>
      </c>
      <c r="J4625" t="s">
        <v>223</v>
      </c>
      <c r="K4625" t="s">
        <v>3723</v>
      </c>
      <c r="L4625" s="2">
        <v>46143</v>
      </c>
      <c r="M4625" t="s">
        <v>223</v>
      </c>
      <c r="N4625">
        <v>0</v>
      </c>
      <c r="O4625" t="s">
        <v>111</v>
      </c>
      <c r="P4625" t="s">
        <v>134</v>
      </c>
      <c r="Q4625">
        <v>0</v>
      </c>
    </row>
    <row r="4626" spans="1:17" x14ac:dyDescent="0.3">
      <c r="A4626" t="s">
        <v>17</v>
      </c>
      <c r="B4626">
        <v>66</v>
      </c>
      <c r="C4626" t="s">
        <v>134</v>
      </c>
      <c r="D4626" s="2">
        <v>46154</v>
      </c>
      <c r="E4626" s="3">
        <f t="shared" si="72"/>
        <v>46143</v>
      </c>
      <c r="F4626" t="s">
        <v>3715</v>
      </c>
      <c r="G4626" t="s">
        <v>984</v>
      </c>
      <c r="H4626" s="4">
        <v>45.14</v>
      </c>
      <c r="I4626" t="s">
        <v>108</v>
      </c>
      <c r="J4626" t="s">
        <v>223</v>
      </c>
      <c r="K4626" t="s">
        <v>3723</v>
      </c>
      <c r="L4626" s="2">
        <v>46143</v>
      </c>
      <c r="M4626" t="s">
        <v>223</v>
      </c>
      <c r="N4626">
        <v>0</v>
      </c>
      <c r="O4626" t="s">
        <v>111</v>
      </c>
      <c r="P4626" t="s">
        <v>134</v>
      </c>
      <c r="Q4626">
        <v>0</v>
      </c>
    </row>
    <row r="4627" spans="1:17" x14ac:dyDescent="0.3">
      <c r="A4627" t="s">
        <v>17</v>
      </c>
      <c r="B4627">
        <v>66</v>
      </c>
      <c r="C4627" t="s">
        <v>134</v>
      </c>
      <c r="D4627" s="2">
        <v>46154</v>
      </c>
      <c r="E4627" s="3">
        <f t="shared" si="72"/>
        <v>46143</v>
      </c>
      <c r="F4627" t="s">
        <v>3715</v>
      </c>
      <c r="G4627" t="s">
        <v>984</v>
      </c>
      <c r="H4627" s="4">
        <v>52.91</v>
      </c>
      <c r="I4627" t="s">
        <v>108</v>
      </c>
      <c r="J4627" t="s">
        <v>223</v>
      </c>
      <c r="K4627" t="s">
        <v>3724</v>
      </c>
      <c r="L4627" s="2">
        <v>46143</v>
      </c>
      <c r="M4627" t="s">
        <v>223</v>
      </c>
      <c r="N4627">
        <v>0</v>
      </c>
      <c r="O4627" t="s">
        <v>111</v>
      </c>
      <c r="P4627" t="s">
        <v>134</v>
      </c>
      <c r="Q4627">
        <v>0</v>
      </c>
    </row>
    <row r="4628" spans="1:17" x14ac:dyDescent="0.3">
      <c r="A4628" t="s">
        <v>17</v>
      </c>
      <c r="B4628">
        <v>66</v>
      </c>
      <c r="C4628" t="s">
        <v>134</v>
      </c>
      <c r="D4628" s="2">
        <v>46154</v>
      </c>
      <c r="E4628" s="3">
        <f t="shared" si="72"/>
        <v>46143</v>
      </c>
      <c r="F4628" t="s">
        <v>3715</v>
      </c>
      <c r="G4628" t="s">
        <v>984</v>
      </c>
      <c r="H4628" s="4">
        <v>52.91</v>
      </c>
      <c r="I4628" t="s">
        <v>108</v>
      </c>
      <c r="J4628" t="s">
        <v>223</v>
      </c>
      <c r="K4628" t="s">
        <v>3724</v>
      </c>
      <c r="L4628" s="2">
        <v>46143</v>
      </c>
      <c r="M4628" t="s">
        <v>223</v>
      </c>
      <c r="N4628">
        <v>0</v>
      </c>
      <c r="O4628" t="s">
        <v>111</v>
      </c>
      <c r="P4628" t="s">
        <v>134</v>
      </c>
      <c r="Q4628">
        <v>0</v>
      </c>
    </row>
    <row r="4629" spans="1:17" x14ac:dyDescent="0.3">
      <c r="A4629" t="s">
        <v>17</v>
      </c>
      <c r="B4629">
        <v>66</v>
      </c>
      <c r="C4629" t="s">
        <v>134</v>
      </c>
      <c r="D4629" s="2">
        <v>46154</v>
      </c>
      <c r="E4629" s="3">
        <f t="shared" si="72"/>
        <v>46143</v>
      </c>
      <c r="F4629" t="s">
        <v>3715</v>
      </c>
      <c r="G4629" t="s">
        <v>984</v>
      </c>
      <c r="H4629" s="4">
        <v>65.489999999999995</v>
      </c>
      <c r="I4629" t="s">
        <v>108</v>
      </c>
      <c r="J4629" t="s">
        <v>223</v>
      </c>
      <c r="K4629" t="s">
        <v>3725</v>
      </c>
      <c r="L4629" s="2">
        <v>46143</v>
      </c>
      <c r="M4629" t="s">
        <v>223</v>
      </c>
      <c r="N4629">
        <v>0</v>
      </c>
      <c r="O4629" t="s">
        <v>111</v>
      </c>
      <c r="P4629" t="s">
        <v>134</v>
      </c>
      <c r="Q4629">
        <v>0</v>
      </c>
    </row>
    <row r="4630" spans="1:17" x14ac:dyDescent="0.3">
      <c r="A4630" t="s">
        <v>17</v>
      </c>
      <c r="B4630">
        <v>66</v>
      </c>
      <c r="C4630" t="s">
        <v>134</v>
      </c>
      <c r="D4630" s="2">
        <v>46154</v>
      </c>
      <c r="E4630" s="3">
        <f t="shared" si="72"/>
        <v>46143</v>
      </c>
      <c r="F4630" t="s">
        <v>3715</v>
      </c>
      <c r="G4630" t="s">
        <v>984</v>
      </c>
      <c r="H4630" s="4">
        <v>65.489999999999995</v>
      </c>
      <c r="I4630" t="s">
        <v>108</v>
      </c>
      <c r="J4630" t="s">
        <v>223</v>
      </c>
      <c r="K4630" t="s">
        <v>3725</v>
      </c>
      <c r="L4630" s="2">
        <v>46143</v>
      </c>
      <c r="M4630" t="s">
        <v>223</v>
      </c>
      <c r="N4630">
        <v>0</v>
      </c>
      <c r="O4630" t="s">
        <v>111</v>
      </c>
      <c r="P4630" t="s">
        <v>134</v>
      </c>
      <c r="Q4630">
        <v>0</v>
      </c>
    </row>
    <row r="4631" spans="1:17" x14ac:dyDescent="0.3">
      <c r="A4631" t="s">
        <v>17</v>
      </c>
      <c r="B4631">
        <v>66</v>
      </c>
      <c r="C4631" t="s">
        <v>134</v>
      </c>
      <c r="D4631" s="2">
        <v>46154</v>
      </c>
      <c r="E4631" s="3">
        <f t="shared" si="72"/>
        <v>46143</v>
      </c>
      <c r="F4631" t="s">
        <v>3715</v>
      </c>
      <c r="G4631" t="s">
        <v>984</v>
      </c>
      <c r="H4631" s="4">
        <v>33.299999999999997</v>
      </c>
      <c r="I4631" t="s">
        <v>108</v>
      </c>
      <c r="J4631" t="s">
        <v>223</v>
      </c>
      <c r="K4631" t="s">
        <v>3726</v>
      </c>
      <c r="L4631" s="2">
        <v>46143</v>
      </c>
      <c r="M4631" t="s">
        <v>223</v>
      </c>
      <c r="N4631">
        <v>0</v>
      </c>
      <c r="O4631" t="s">
        <v>111</v>
      </c>
      <c r="P4631" t="s">
        <v>134</v>
      </c>
      <c r="Q4631">
        <v>0</v>
      </c>
    </row>
    <row r="4632" spans="1:17" x14ac:dyDescent="0.3">
      <c r="A4632" t="s">
        <v>17</v>
      </c>
      <c r="B4632">
        <v>66</v>
      </c>
      <c r="C4632" t="s">
        <v>134</v>
      </c>
      <c r="D4632" s="2">
        <v>46154</v>
      </c>
      <c r="E4632" s="3">
        <f t="shared" si="72"/>
        <v>46143</v>
      </c>
      <c r="F4632" t="s">
        <v>3715</v>
      </c>
      <c r="G4632" t="s">
        <v>984</v>
      </c>
      <c r="H4632" s="4">
        <v>45.51</v>
      </c>
      <c r="I4632" t="s">
        <v>108</v>
      </c>
      <c r="J4632" t="s">
        <v>223</v>
      </c>
      <c r="K4632" t="s">
        <v>3727</v>
      </c>
      <c r="L4632" s="2">
        <v>46143</v>
      </c>
      <c r="M4632" t="s">
        <v>223</v>
      </c>
      <c r="N4632">
        <v>0</v>
      </c>
      <c r="O4632" t="s">
        <v>111</v>
      </c>
      <c r="P4632" t="s">
        <v>134</v>
      </c>
      <c r="Q4632">
        <v>0</v>
      </c>
    </row>
    <row r="4633" spans="1:17" x14ac:dyDescent="0.3">
      <c r="A4633" t="s">
        <v>17</v>
      </c>
      <c r="B4633">
        <v>66</v>
      </c>
      <c r="C4633" t="s">
        <v>134</v>
      </c>
      <c r="D4633" s="2">
        <v>46154</v>
      </c>
      <c r="E4633" s="3">
        <f t="shared" si="72"/>
        <v>46143</v>
      </c>
      <c r="F4633" t="s">
        <v>3715</v>
      </c>
      <c r="G4633" t="s">
        <v>984</v>
      </c>
      <c r="H4633" s="4">
        <v>45.51</v>
      </c>
      <c r="I4633" t="s">
        <v>108</v>
      </c>
      <c r="J4633" t="s">
        <v>223</v>
      </c>
      <c r="K4633" t="s">
        <v>3727</v>
      </c>
      <c r="L4633" s="2">
        <v>46143</v>
      </c>
      <c r="M4633" t="s">
        <v>223</v>
      </c>
      <c r="N4633">
        <v>0</v>
      </c>
      <c r="O4633" t="s">
        <v>111</v>
      </c>
      <c r="P4633" t="s">
        <v>134</v>
      </c>
      <c r="Q4633">
        <v>0</v>
      </c>
    </row>
    <row r="4634" spans="1:17" x14ac:dyDescent="0.3">
      <c r="A4634" t="s">
        <v>17</v>
      </c>
      <c r="B4634">
        <v>66</v>
      </c>
      <c r="C4634" t="s">
        <v>134</v>
      </c>
      <c r="D4634" s="2">
        <v>46154</v>
      </c>
      <c r="E4634" s="3">
        <f t="shared" si="72"/>
        <v>46143</v>
      </c>
      <c r="F4634" t="s">
        <v>3715</v>
      </c>
      <c r="G4634" t="s">
        <v>984</v>
      </c>
      <c r="H4634" s="4">
        <v>53.65</v>
      </c>
      <c r="I4634" t="s">
        <v>108</v>
      </c>
      <c r="J4634" t="s">
        <v>223</v>
      </c>
      <c r="K4634" t="s">
        <v>3728</v>
      </c>
      <c r="L4634" s="2">
        <v>46143</v>
      </c>
      <c r="M4634" t="s">
        <v>223</v>
      </c>
      <c r="N4634">
        <v>0</v>
      </c>
      <c r="O4634" t="s">
        <v>111</v>
      </c>
      <c r="P4634" t="s">
        <v>134</v>
      </c>
      <c r="Q4634">
        <v>0</v>
      </c>
    </row>
    <row r="4635" spans="1:17" x14ac:dyDescent="0.3">
      <c r="A4635" t="s">
        <v>17</v>
      </c>
      <c r="B4635">
        <v>66</v>
      </c>
      <c r="C4635" t="s">
        <v>134</v>
      </c>
      <c r="D4635" s="2">
        <v>46154</v>
      </c>
      <c r="E4635" s="3">
        <f t="shared" si="72"/>
        <v>46143</v>
      </c>
      <c r="F4635" t="s">
        <v>3715</v>
      </c>
      <c r="G4635" t="s">
        <v>984</v>
      </c>
      <c r="H4635" s="4">
        <v>53.65</v>
      </c>
      <c r="I4635" t="s">
        <v>108</v>
      </c>
      <c r="J4635" t="s">
        <v>223</v>
      </c>
      <c r="K4635" t="s">
        <v>3728</v>
      </c>
      <c r="L4635" s="2">
        <v>46143</v>
      </c>
      <c r="M4635" t="s">
        <v>223</v>
      </c>
      <c r="N4635">
        <v>0</v>
      </c>
      <c r="O4635" t="s">
        <v>111</v>
      </c>
      <c r="P4635" t="s">
        <v>134</v>
      </c>
      <c r="Q4635">
        <v>0</v>
      </c>
    </row>
    <row r="4636" spans="1:17" x14ac:dyDescent="0.3">
      <c r="A4636" t="s">
        <v>17</v>
      </c>
      <c r="B4636">
        <v>66</v>
      </c>
      <c r="C4636" t="s">
        <v>134</v>
      </c>
      <c r="D4636" s="2">
        <v>46154</v>
      </c>
      <c r="E4636" s="3">
        <f t="shared" si="72"/>
        <v>46143</v>
      </c>
      <c r="F4636" t="s">
        <v>3715</v>
      </c>
      <c r="G4636" t="s">
        <v>984</v>
      </c>
      <c r="H4636" s="4">
        <v>42.92</v>
      </c>
      <c r="I4636" t="s">
        <v>108</v>
      </c>
      <c r="J4636" t="s">
        <v>223</v>
      </c>
      <c r="K4636" t="s">
        <v>3729</v>
      </c>
      <c r="L4636" s="2">
        <v>46143</v>
      </c>
      <c r="M4636" t="s">
        <v>223</v>
      </c>
      <c r="N4636">
        <v>0</v>
      </c>
      <c r="O4636" t="s">
        <v>111</v>
      </c>
      <c r="P4636" t="s">
        <v>134</v>
      </c>
      <c r="Q4636">
        <v>0</v>
      </c>
    </row>
    <row r="4637" spans="1:17" x14ac:dyDescent="0.3">
      <c r="A4637" t="s">
        <v>17</v>
      </c>
      <c r="B4637">
        <v>66</v>
      </c>
      <c r="C4637" t="s">
        <v>134</v>
      </c>
      <c r="D4637" s="2">
        <v>46154</v>
      </c>
      <c r="E4637" s="3">
        <f t="shared" si="72"/>
        <v>46143</v>
      </c>
      <c r="F4637" t="s">
        <v>3715</v>
      </c>
      <c r="G4637" t="s">
        <v>984</v>
      </c>
      <c r="H4637" s="4">
        <v>42.92</v>
      </c>
      <c r="I4637" t="s">
        <v>108</v>
      </c>
      <c r="J4637" t="s">
        <v>223</v>
      </c>
      <c r="K4637" t="s">
        <v>3729</v>
      </c>
      <c r="L4637" s="2">
        <v>46143</v>
      </c>
      <c r="M4637" t="s">
        <v>223</v>
      </c>
      <c r="N4637">
        <v>0</v>
      </c>
      <c r="O4637" t="s">
        <v>111</v>
      </c>
      <c r="P4637" t="s">
        <v>134</v>
      </c>
      <c r="Q4637">
        <v>0</v>
      </c>
    </row>
    <row r="4638" spans="1:17" x14ac:dyDescent="0.3">
      <c r="A4638" t="s">
        <v>17</v>
      </c>
      <c r="B4638">
        <v>66</v>
      </c>
      <c r="C4638" t="s">
        <v>134</v>
      </c>
      <c r="D4638" s="2">
        <v>46154</v>
      </c>
      <c r="E4638" s="3">
        <f t="shared" si="72"/>
        <v>46143</v>
      </c>
      <c r="F4638" t="s">
        <v>3715</v>
      </c>
      <c r="G4638" t="s">
        <v>984</v>
      </c>
      <c r="H4638" s="4">
        <v>51.8</v>
      </c>
      <c r="I4638" t="s">
        <v>108</v>
      </c>
      <c r="J4638" t="s">
        <v>223</v>
      </c>
      <c r="K4638" t="s">
        <v>3730</v>
      </c>
      <c r="L4638" s="2">
        <v>46143</v>
      </c>
      <c r="M4638" t="s">
        <v>223</v>
      </c>
      <c r="N4638">
        <v>0</v>
      </c>
      <c r="O4638" t="s">
        <v>111</v>
      </c>
      <c r="P4638" t="s">
        <v>134</v>
      </c>
      <c r="Q4638">
        <v>0</v>
      </c>
    </row>
    <row r="4639" spans="1:17" x14ac:dyDescent="0.3">
      <c r="A4639" t="s">
        <v>17</v>
      </c>
      <c r="B4639">
        <v>66</v>
      </c>
      <c r="C4639" t="s">
        <v>134</v>
      </c>
      <c r="D4639" s="2">
        <v>46154</v>
      </c>
      <c r="E4639" s="3">
        <f t="shared" si="72"/>
        <v>46143</v>
      </c>
      <c r="F4639" t="s">
        <v>3715</v>
      </c>
      <c r="G4639" t="s">
        <v>984</v>
      </c>
      <c r="H4639" s="4">
        <v>51.8</v>
      </c>
      <c r="I4639" t="s">
        <v>108</v>
      </c>
      <c r="J4639" t="s">
        <v>223</v>
      </c>
      <c r="K4639" t="s">
        <v>3730</v>
      </c>
      <c r="L4639" s="2">
        <v>46143</v>
      </c>
      <c r="M4639" t="s">
        <v>223</v>
      </c>
      <c r="N4639">
        <v>0</v>
      </c>
      <c r="O4639" t="s">
        <v>111</v>
      </c>
      <c r="P4639" t="s">
        <v>134</v>
      </c>
      <c r="Q4639">
        <v>0</v>
      </c>
    </row>
    <row r="4640" spans="1:17" x14ac:dyDescent="0.3">
      <c r="A4640" t="s">
        <v>17</v>
      </c>
      <c r="B4640">
        <v>66</v>
      </c>
      <c r="C4640" t="s">
        <v>134</v>
      </c>
      <c r="D4640" s="2">
        <v>46154</v>
      </c>
      <c r="E4640" s="3">
        <f t="shared" si="72"/>
        <v>46143</v>
      </c>
      <c r="F4640" t="s">
        <v>3715</v>
      </c>
      <c r="G4640" t="s">
        <v>984</v>
      </c>
      <c r="H4640" s="4">
        <v>46.99</v>
      </c>
      <c r="I4640" t="s">
        <v>108</v>
      </c>
      <c r="J4640" t="s">
        <v>223</v>
      </c>
      <c r="K4640" t="s">
        <v>3731</v>
      </c>
      <c r="L4640" s="2">
        <v>46143</v>
      </c>
      <c r="M4640" t="s">
        <v>223</v>
      </c>
      <c r="N4640">
        <v>0</v>
      </c>
      <c r="O4640" t="s">
        <v>111</v>
      </c>
      <c r="P4640" t="s">
        <v>134</v>
      </c>
      <c r="Q4640">
        <v>0</v>
      </c>
    </row>
    <row r="4641" spans="1:17" x14ac:dyDescent="0.3">
      <c r="A4641" t="s">
        <v>17</v>
      </c>
      <c r="B4641">
        <v>66</v>
      </c>
      <c r="C4641" t="s">
        <v>134</v>
      </c>
      <c r="D4641" s="2">
        <v>46154</v>
      </c>
      <c r="E4641" s="3">
        <f t="shared" si="72"/>
        <v>46143</v>
      </c>
      <c r="F4641" t="s">
        <v>3715</v>
      </c>
      <c r="G4641" t="s">
        <v>984</v>
      </c>
      <c r="H4641" s="4">
        <v>46.99</v>
      </c>
      <c r="I4641" t="s">
        <v>108</v>
      </c>
      <c r="J4641" t="s">
        <v>223</v>
      </c>
      <c r="K4641" t="s">
        <v>3731</v>
      </c>
      <c r="L4641" s="2">
        <v>46143</v>
      </c>
      <c r="M4641" t="s">
        <v>223</v>
      </c>
      <c r="N4641">
        <v>0</v>
      </c>
      <c r="O4641" t="s">
        <v>111</v>
      </c>
      <c r="P4641" t="s">
        <v>134</v>
      </c>
      <c r="Q4641">
        <v>0</v>
      </c>
    </row>
    <row r="4642" spans="1:17" x14ac:dyDescent="0.3">
      <c r="A4642" t="s">
        <v>17</v>
      </c>
      <c r="B4642">
        <v>66</v>
      </c>
      <c r="C4642" t="s">
        <v>134</v>
      </c>
      <c r="D4642" s="2">
        <v>46154</v>
      </c>
      <c r="E4642" s="3">
        <f t="shared" si="72"/>
        <v>46143</v>
      </c>
      <c r="F4642" t="s">
        <v>3715</v>
      </c>
      <c r="G4642" t="s">
        <v>984</v>
      </c>
      <c r="H4642" s="4">
        <v>46.99</v>
      </c>
      <c r="I4642" t="s">
        <v>108</v>
      </c>
      <c r="J4642" t="s">
        <v>223</v>
      </c>
      <c r="K4642" t="s">
        <v>3731</v>
      </c>
      <c r="L4642" s="2">
        <v>46143</v>
      </c>
      <c r="M4642" t="s">
        <v>223</v>
      </c>
      <c r="N4642">
        <v>0</v>
      </c>
      <c r="O4642" t="s">
        <v>111</v>
      </c>
      <c r="P4642" t="s">
        <v>134</v>
      </c>
      <c r="Q4642">
        <v>0</v>
      </c>
    </row>
    <row r="4643" spans="1:17" x14ac:dyDescent="0.3">
      <c r="A4643" t="s">
        <v>17</v>
      </c>
      <c r="B4643">
        <v>66</v>
      </c>
      <c r="C4643" t="s">
        <v>134</v>
      </c>
      <c r="D4643" s="2">
        <v>46154</v>
      </c>
      <c r="E4643" s="3">
        <f t="shared" si="72"/>
        <v>46143</v>
      </c>
      <c r="F4643" t="s">
        <v>3715</v>
      </c>
      <c r="G4643" t="s">
        <v>984</v>
      </c>
      <c r="H4643" s="4">
        <v>55.13</v>
      </c>
      <c r="I4643" t="s">
        <v>108</v>
      </c>
      <c r="J4643" t="s">
        <v>223</v>
      </c>
      <c r="K4643" t="s">
        <v>3732</v>
      </c>
      <c r="L4643" s="2">
        <v>46143</v>
      </c>
      <c r="M4643" t="s">
        <v>223</v>
      </c>
      <c r="N4643">
        <v>0</v>
      </c>
      <c r="O4643" t="s">
        <v>111</v>
      </c>
      <c r="P4643" t="s">
        <v>134</v>
      </c>
      <c r="Q4643">
        <v>0</v>
      </c>
    </row>
    <row r="4644" spans="1:17" x14ac:dyDescent="0.3">
      <c r="A4644" t="s">
        <v>17</v>
      </c>
      <c r="B4644">
        <v>66</v>
      </c>
      <c r="C4644" t="s">
        <v>134</v>
      </c>
      <c r="D4644" s="2">
        <v>46154</v>
      </c>
      <c r="E4644" s="3">
        <f t="shared" si="72"/>
        <v>46143</v>
      </c>
      <c r="F4644" t="s">
        <v>3715</v>
      </c>
      <c r="G4644" t="s">
        <v>984</v>
      </c>
      <c r="H4644" s="4">
        <v>55.13</v>
      </c>
      <c r="I4644" t="s">
        <v>108</v>
      </c>
      <c r="J4644" t="s">
        <v>223</v>
      </c>
      <c r="K4644" t="s">
        <v>3732</v>
      </c>
      <c r="L4644" s="2">
        <v>46143</v>
      </c>
      <c r="M4644" t="s">
        <v>223</v>
      </c>
      <c r="N4644">
        <v>0</v>
      </c>
      <c r="O4644" t="s">
        <v>111</v>
      </c>
      <c r="P4644" t="s">
        <v>134</v>
      </c>
      <c r="Q4644">
        <v>0</v>
      </c>
    </row>
    <row r="4645" spans="1:17" x14ac:dyDescent="0.3">
      <c r="A4645" t="s">
        <v>17</v>
      </c>
      <c r="B4645">
        <v>66</v>
      </c>
      <c r="C4645" t="s">
        <v>134</v>
      </c>
      <c r="D4645" s="2">
        <v>46154</v>
      </c>
      <c r="E4645" s="3">
        <f t="shared" si="72"/>
        <v>46143</v>
      </c>
      <c r="F4645" t="s">
        <v>3715</v>
      </c>
      <c r="G4645" t="s">
        <v>984</v>
      </c>
      <c r="H4645" s="4">
        <v>55.13</v>
      </c>
      <c r="I4645" t="s">
        <v>108</v>
      </c>
      <c r="J4645" t="s">
        <v>223</v>
      </c>
      <c r="K4645" t="s">
        <v>3733</v>
      </c>
      <c r="L4645" s="2">
        <v>46143</v>
      </c>
      <c r="M4645" t="s">
        <v>223</v>
      </c>
      <c r="N4645">
        <v>0</v>
      </c>
      <c r="O4645" t="s">
        <v>111</v>
      </c>
      <c r="P4645" t="s">
        <v>134</v>
      </c>
      <c r="Q4645">
        <v>0</v>
      </c>
    </row>
    <row r="4646" spans="1:17" x14ac:dyDescent="0.3">
      <c r="A4646" t="s">
        <v>17</v>
      </c>
      <c r="B4646">
        <v>66</v>
      </c>
      <c r="C4646" t="s">
        <v>134</v>
      </c>
      <c r="D4646" s="2">
        <v>46154</v>
      </c>
      <c r="E4646" s="3">
        <f t="shared" si="72"/>
        <v>46143</v>
      </c>
      <c r="F4646" t="s">
        <v>3715</v>
      </c>
      <c r="G4646" t="s">
        <v>984</v>
      </c>
      <c r="H4646" s="4">
        <v>66.599999999999994</v>
      </c>
      <c r="I4646" t="s">
        <v>108</v>
      </c>
      <c r="J4646" t="s">
        <v>223</v>
      </c>
      <c r="K4646" t="s">
        <v>3734</v>
      </c>
      <c r="L4646" s="2">
        <v>46143</v>
      </c>
      <c r="M4646" t="s">
        <v>223</v>
      </c>
      <c r="N4646">
        <v>0</v>
      </c>
      <c r="O4646" t="s">
        <v>111</v>
      </c>
      <c r="P4646" t="s">
        <v>134</v>
      </c>
      <c r="Q4646">
        <v>0</v>
      </c>
    </row>
    <row r="4647" spans="1:17" x14ac:dyDescent="0.3">
      <c r="A4647" t="s">
        <v>17</v>
      </c>
      <c r="B4647">
        <v>66</v>
      </c>
      <c r="C4647" t="s">
        <v>134</v>
      </c>
      <c r="D4647" s="2">
        <v>46154</v>
      </c>
      <c r="E4647" s="3">
        <f t="shared" si="72"/>
        <v>46143</v>
      </c>
      <c r="F4647" t="s">
        <v>3715</v>
      </c>
      <c r="G4647" t="s">
        <v>984</v>
      </c>
      <c r="H4647" s="4">
        <v>66.599999999999994</v>
      </c>
      <c r="I4647" t="s">
        <v>108</v>
      </c>
      <c r="J4647" t="s">
        <v>223</v>
      </c>
      <c r="K4647" t="s">
        <v>3734</v>
      </c>
      <c r="L4647" s="2">
        <v>46143</v>
      </c>
      <c r="M4647" t="s">
        <v>223</v>
      </c>
      <c r="N4647">
        <v>0</v>
      </c>
      <c r="O4647" t="s">
        <v>111</v>
      </c>
      <c r="P4647" t="s">
        <v>134</v>
      </c>
      <c r="Q4647">
        <v>0</v>
      </c>
    </row>
    <row r="4648" spans="1:17" x14ac:dyDescent="0.3">
      <c r="A4648" t="s">
        <v>17</v>
      </c>
      <c r="B4648">
        <v>66</v>
      </c>
      <c r="C4648" t="s">
        <v>134</v>
      </c>
      <c r="D4648" s="2">
        <v>46154</v>
      </c>
      <c r="E4648" s="3">
        <f t="shared" si="72"/>
        <v>46143</v>
      </c>
      <c r="F4648" t="s">
        <v>3715</v>
      </c>
      <c r="G4648" t="s">
        <v>984</v>
      </c>
      <c r="H4648" s="4">
        <v>73.260000000000005</v>
      </c>
      <c r="I4648" t="s">
        <v>108</v>
      </c>
      <c r="J4648" t="s">
        <v>223</v>
      </c>
      <c r="K4648" t="s">
        <v>3735</v>
      </c>
      <c r="L4648" s="2">
        <v>46143</v>
      </c>
      <c r="M4648" t="s">
        <v>223</v>
      </c>
      <c r="N4648">
        <v>0</v>
      </c>
      <c r="O4648" t="s">
        <v>111</v>
      </c>
      <c r="P4648" t="s">
        <v>134</v>
      </c>
      <c r="Q4648">
        <v>0</v>
      </c>
    </row>
    <row r="4649" spans="1:17" x14ac:dyDescent="0.3">
      <c r="A4649" t="s">
        <v>17</v>
      </c>
      <c r="B4649">
        <v>66</v>
      </c>
      <c r="C4649" t="s">
        <v>134</v>
      </c>
      <c r="D4649" s="2">
        <v>46154</v>
      </c>
      <c r="E4649" s="3">
        <f t="shared" si="72"/>
        <v>46143</v>
      </c>
      <c r="F4649" t="s">
        <v>3715</v>
      </c>
      <c r="G4649" t="s">
        <v>984</v>
      </c>
      <c r="H4649" s="4">
        <v>73.260000000000005</v>
      </c>
      <c r="I4649" t="s">
        <v>108</v>
      </c>
      <c r="J4649" t="s">
        <v>223</v>
      </c>
      <c r="K4649" t="s">
        <v>3735</v>
      </c>
      <c r="L4649" s="2">
        <v>46143</v>
      </c>
      <c r="M4649" t="s">
        <v>223</v>
      </c>
      <c r="N4649">
        <v>0</v>
      </c>
      <c r="O4649" t="s">
        <v>111</v>
      </c>
      <c r="P4649" t="s">
        <v>134</v>
      </c>
      <c r="Q4649">
        <v>0</v>
      </c>
    </row>
    <row r="4650" spans="1:17" x14ac:dyDescent="0.3">
      <c r="A4650" t="s">
        <v>17</v>
      </c>
      <c r="B4650">
        <v>66</v>
      </c>
      <c r="C4650" t="s">
        <v>134</v>
      </c>
      <c r="D4650" s="2">
        <v>46154</v>
      </c>
      <c r="E4650" s="3">
        <f t="shared" si="72"/>
        <v>46143</v>
      </c>
      <c r="F4650" t="s">
        <v>3715</v>
      </c>
      <c r="G4650" t="s">
        <v>984</v>
      </c>
      <c r="H4650" s="4">
        <v>36.26</v>
      </c>
      <c r="I4650" t="s">
        <v>108</v>
      </c>
      <c r="J4650" t="s">
        <v>223</v>
      </c>
      <c r="K4650" t="s">
        <v>3736</v>
      </c>
      <c r="L4650" s="2">
        <v>46143</v>
      </c>
      <c r="M4650" t="s">
        <v>223</v>
      </c>
      <c r="N4650">
        <v>0</v>
      </c>
      <c r="O4650" t="s">
        <v>111</v>
      </c>
      <c r="P4650" t="s">
        <v>134</v>
      </c>
      <c r="Q4650">
        <v>0</v>
      </c>
    </row>
    <row r="4651" spans="1:17" x14ac:dyDescent="0.3">
      <c r="A4651" t="s">
        <v>17</v>
      </c>
      <c r="B4651">
        <v>66</v>
      </c>
      <c r="C4651" t="s">
        <v>134</v>
      </c>
      <c r="D4651" s="2">
        <v>46154</v>
      </c>
      <c r="E4651" s="3">
        <f t="shared" si="72"/>
        <v>46143</v>
      </c>
      <c r="F4651" t="s">
        <v>3715</v>
      </c>
      <c r="G4651" t="s">
        <v>984</v>
      </c>
      <c r="H4651" s="4">
        <v>36.26</v>
      </c>
      <c r="I4651" t="s">
        <v>108</v>
      </c>
      <c r="J4651" t="s">
        <v>223</v>
      </c>
      <c r="K4651" t="s">
        <v>3736</v>
      </c>
      <c r="L4651" s="2">
        <v>46143</v>
      </c>
      <c r="M4651" t="s">
        <v>223</v>
      </c>
      <c r="N4651">
        <v>0</v>
      </c>
      <c r="O4651" t="s">
        <v>111</v>
      </c>
      <c r="P4651" t="s">
        <v>134</v>
      </c>
      <c r="Q4651">
        <v>0</v>
      </c>
    </row>
    <row r="4652" spans="1:17" x14ac:dyDescent="0.3">
      <c r="A4652" t="s">
        <v>17</v>
      </c>
      <c r="B4652">
        <v>66</v>
      </c>
      <c r="C4652" t="s">
        <v>134</v>
      </c>
      <c r="D4652" s="2">
        <v>46154</v>
      </c>
      <c r="E4652" s="3">
        <f t="shared" si="72"/>
        <v>46143</v>
      </c>
      <c r="F4652" t="s">
        <v>3715</v>
      </c>
      <c r="G4652" t="s">
        <v>984</v>
      </c>
      <c r="H4652" s="4">
        <v>36.26</v>
      </c>
      <c r="I4652" t="s">
        <v>108</v>
      </c>
      <c r="J4652" t="s">
        <v>223</v>
      </c>
      <c r="K4652" t="s">
        <v>3736</v>
      </c>
      <c r="L4652" s="2">
        <v>46143</v>
      </c>
      <c r="M4652" t="s">
        <v>223</v>
      </c>
      <c r="N4652">
        <v>0</v>
      </c>
      <c r="O4652" t="s">
        <v>111</v>
      </c>
      <c r="P4652" t="s">
        <v>134</v>
      </c>
      <c r="Q4652">
        <v>0</v>
      </c>
    </row>
    <row r="4653" spans="1:17" x14ac:dyDescent="0.3">
      <c r="A4653" t="s">
        <v>17</v>
      </c>
      <c r="B4653">
        <v>66</v>
      </c>
      <c r="C4653" t="s">
        <v>134</v>
      </c>
      <c r="D4653" s="2">
        <v>46154</v>
      </c>
      <c r="E4653" s="3">
        <f t="shared" si="72"/>
        <v>46143</v>
      </c>
      <c r="F4653" t="s">
        <v>3715</v>
      </c>
      <c r="G4653" t="s">
        <v>984</v>
      </c>
      <c r="H4653" s="4">
        <v>45.51</v>
      </c>
      <c r="I4653" t="s">
        <v>108</v>
      </c>
      <c r="J4653" t="s">
        <v>223</v>
      </c>
      <c r="K4653" t="s">
        <v>3737</v>
      </c>
      <c r="L4653" s="2">
        <v>46143</v>
      </c>
      <c r="M4653" t="s">
        <v>223</v>
      </c>
      <c r="N4653">
        <v>0</v>
      </c>
      <c r="O4653" t="s">
        <v>111</v>
      </c>
      <c r="P4653" t="s">
        <v>134</v>
      </c>
      <c r="Q4653">
        <v>0</v>
      </c>
    </row>
    <row r="4654" spans="1:17" x14ac:dyDescent="0.3">
      <c r="A4654" t="s">
        <v>17</v>
      </c>
      <c r="B4654">
        <v>66</v>
      </c>
      <c r="C4654" t="s">
        <v>134</v>
      </c>
      <c r="D4654" s="2">
        <v>46154</v>
      </c>
      <c r="E4654" s="3">
        <f t="shared" si="72"/>
        <v>46143</v>
      </c>
      <c r="F4654" t="s">
        <v>3715</v>
      </c>
      <c r="G4654" t="s">
        <v>984</v>
      </c>
      <c r="H4654" s="4">
        <v>45.51</v>
      </c>
      <c r="I4654" t="s">
        <v>108</v>
      </c>
      <c r="J4654" t="s">
        <v>223</v>
      </c>
      <c r="K4654" t="s">
        <v>3737</v>
      </c>
      <c r="L4654" s="2">
        <v>46143</v>
      </c>
      <c r="M4654" t="s">
        <v>223</v>
      </c>
      <c r="N4654">
        <v>0</v>
      </c>
      <c r="O4654" t="s">
        <v>111</v>
      </c>
      <c r="P4654" t="s">
        <v>134</v>
      </c>
      <c r="Q4654">
        <v>0</v>
      </c>
    </row>
    <row r="4655" spans="1:17" x14ac:dyDescent="0.3">
      <c r="A4655" t="s">
        <v>17</v>
      </c>
      <c r="B4655">
        <v>66</v>
      </c>
      <c r="C4655" t="s">
        <v>134</v>
      </c>
      <c r="D4655" s="2">
        <v>46154</v>
      </c>
      <c r="E4655" s="3">
        <f t="shared" si="72"/>
        <v>46143</v>
      </c>
      <c r="F4655" t="s">
        <v>3715</v>
      </c>
      <c r="G4655" t="s">
        <v>984</v>
      </c>
      <c r="H4655" s="4">
        <v>45.51</v>
      </c>
      <c r="I4655" t="s">
        <v>108</v>
      </c>
      <c r="J4655" t="s">
        <v>223</v>
      </c>
      <c r="K4655" t="s">
        <v>3738</v>
      </c>
      <c r="L4655" s="2">
        <v>46143</v>
      </c>
      <c r="M4655" t="s">
        <v>223</v>
      </c>
      <c r="N4655">
        <v>0</v>
      </c>
      <c r="O4655" t="s">
        <v>111</v>
      </c>
      <c r="P4655" t="s">
        <v>134</v>
      </c>
      <c r="Q4655">
        <v>0</v>
      </c>
    </row>
    <row r="4656" spans="1:17" x14ac:dyDescent="0.3">
      <c r="A4656" t="s">
        <v>17</v>
      </c>
      <c r="B4656">
        <v>66</v>
      </c>
      <c r="C4656" t="s">
        <v>134</v>
      </c>
      <c r="D4656" s="2">
        <v>46154</v>
      </c>
      <c r="E4656" s="3">
        <f t="shared" si="72"/>
        <v>46143</v>
      </c>
      <c r="F4656" t="s">
        <v>3715</v>
      </c>
      <c r="G4656" t="s">
        <v>984</v>
      </c>
      <c r="H4656" s="4">
        <v>51.06</v>
      </c>
      <c r="I4656" t="s">
        <v>108</v>
      </c>
      <c r="J4656" t="s">
        <v>223</v>
      </c>
      <c r="K4656" t="s">
        <v>3739</v>
      </c>
      <c r="L4656" s="2">
        <v>46143</v>
      </c>
      <c r="M4656" t="s">
        <v>223</v>
      </c>
      <c r="N4656">
        <v>0</v>
      </c>
      <c r="O4656" t="s">
        <v>111</v>
      </c>
      <c r="P4656" t="s">
        <v>134</v>
      </c>
      <c r="Q4656">
        <v>0</v>
      </c>
    </row>
    <row r="4657" spans="1:17" x14ac:dyDescent="0.3">
      <c r="A4657" t="s">
        <v>17</v>
      </c>
      <c r="B4657">
        <v>66</v>
      </c>
      <c r="C4657" t="s">
        <v>134</v>
      </c>
      <c r="D4657" s="2">
        <v>46154</v>
      </c>
      <c r="E4657" s="3">
        <f t="shared" si="72"/>
        <v>46143</v>
      </c>
      <c r="F4657" t="s">
        <v>3715</v>
      </c>
      <c r="G4657" t="s">
        <v>984</v>
      </c>
      <c r="H4657" s="4">
        <v>51.06</v>
      </c>
      <c r="I4657" t="s">
        <v>108</v>
      </c>
      <c r="J4657" t="s">
        <v>223</v>
      </c>
      <c r="K4657" t="s">
        <v>3740</v>
      </c>
      <c r="L4657" s="2">
        <v>46143</v>
      </c>
      <c r="M4657" t="s">
        <v>223</v>
      </c>
      <c r="N4657">
        <v>0</v>
      </c>
      <c r="O4657" t="s">
        <v>111</v>
      </c>
      <c r="P4657" t="s">
        <v>134</v>
      </c>
      <c r="Q4657">
        <v>0</v>
      </c>
    </row>
    <row r="4658" spans="1:17" x14ac:dyDescent="0.3">
      <c r="A4658" t="s">
        <v>17</v>
      </c>
      <c r="B4658">
        <v>66</v>
      </c>
      <c r="C4658" t="s">
        <v>134</v>
      </c>
      <c r="D4658" s="2">
        <v>46154</v>
      </c>
      <c r="E4658" s="3">
        <f t="shared" si="72"/>
        <v>46143</v>
      </c>
      <c r="F4658" t="s">
        <v>3715</v>
      </c>
      <c r="G4658" t="s">
        <v>984</v>
      </c>
      <c r="H4658" s="4">
        <v>51.06</v>
      </c>
      <c r="I4658" t="s">
        <v>108</v>
      </c>
      <c r="J4658" t="s">
        <v>223</v>
      </c>
      <c r="K4658" t="s">
        <v>3741</v>
      </c>
      <c r="L4658" s="2">
        <v>46143</v>
      </c>
      <c r="M4658" t="s">
        <v>223</v>
      </c>
      <c r="N4658">
        <v>0</v>
      </c>
      <c r="O4658" t="s">
        <v>111</v>
      </c>
      <c r="P4658" t="s">
        <v>134</v>
      </c>
      <c r="Q4658">
        <v>0</v>
      </c>
    </row>
    <row r="4659" spans="1:17" x14ac:dyDescent="0.3">
      <c r="A4659" t="s">
        <v>17</v>
      </c>
      <c r="B4659">
        <v>66</v>
      </c>
      <c r="C4659" t="s">
        <v>134</v>
      </c>
      <c r="D4659" s="2">
        <v>46154</v>
      </c>
      <c r="E4659" s="3">
        <f t="shared" si="72"/>
        <v>46143</v>
      </c>
      <c r="F4659" t="s">
        <v>3715</v>
      </c>
      <c r="G4659" t="s">
        <v>984</v>
      </c>
      <c r="H4659" s="4">
        <v>29.6</v>
      </c>
      <c r="I4659" t="s">
        <v>108</v>
      </c>
      <c r="J4659" t="s">
        <v>223</v>
      </c>
      <c r="K4659" t="s">
        <v>3742</v>
      </c>
      <c r="L4659" s="2">
        <v>46143</v>
      </c>
      <c r="M4659" t="s">
        <v>223</v>
      </c>
      <c r="N4659">
        <v>0</v>
      </c>
      <c r="O4659" t="s">
        <v>111</v>
      </c>
      <c r="P4659" t="s">
        <v>134</v>
      </c>
      <c r="Q4659">
        <v>0</v>
      </c>
    </row>
    <row r="4660" spans="1:17" x14ac:dyDescent="0.3">
      <c r="A4660" t="s">
        <v>17</v>
      </c>
      <c r="B4660">
        <v>66</v>
      </c>
      <c r="C4660" t="s">
        <v>134</v>
      </c>
      <c r="D4660" s="2">
        <v>46154</v>
      </c>
      <c r="E4660" s="3">
        <f t="shared" si="72"/>
        <v>46143</v>
      </c>
      <c r="F4660" t="s">
        <v>3715</v>
      </c>
      <c r="G4660" t="s">
        <v>984</v>
      </c>
      <c r="H4660" s="4">
        <v>29.6</v>
      </c>
      <c r="I4660" t="s">
        <v>108</v>
      </c>
      <c r="J4660" t="s">
        <v>223</v>
      </c>
      <c r="K4660" t="s">
        <v>3742</v>
      </c>
      <c r="L4660" s="2">
        <v>46143</v>
      </c>
      <c r="M4660" t="s">
        <v>223</v>
      </c>
      <c r="N4660">
        <v>0</v>
      </c>
      <c r="O4660" t="s">
        <v>111</v>
      </c>
      <c r="P4660" t="s">
        <v>134</v>
      </c>
      <c r="Q4660">
        <v>0</v>
      </c>
    </row>
    <row r="4661" spans="1:17" x14ac:dyDescent="0.3">
      <c r="A4661" t="s">
        <v>17</v>
      </c>
      <c r="B4661">
        <v>66</v>
      </c>
      <c r="C4661" t="s">
        <v>134</v>
      </c>
      <c r="D4661" s="2">
        <v>46154</v>
      </c>
      <c r="E4661" s="3">
        <f t="shared" si="72"/>
        <v>46143</v>
      </c>
      <c r="F4661" t="s">
        <v>3715</v>
      </c>
      <c r="G4661" t="s">
        <v>984</v>
      </c>
      <c r="H4661" s="4">
        <v>29.6</v>
      </c>
      <c r="I4661" t="s">
        <v>108</v>
      </c>
      <c r="J4661" t="s">
        <v>223</v>
      </c>
      <c r="K4661" t="s">
        <v>3742</v>
      </c>
      <c r="L4661" s="2">
        <v>46143</v>
      </c>
      <c r="M4661" t="s">
        <v>223</v>
      </c>
      <c r="N4661">
        <v>0</v>
      </c>
      <c r="O4661" t="s">
        <v>111</v>
      </c>
      <c r="P4661" t="s">
        <v>134</v>
      </c>
      <c r="Q4661">
        <v>0</v>
      </c>
    </row>
    <row r="4662" spans="1:17" x14ac:dyDescent="0.3">
      <c r="A4662" t="s">
        <v>17</v>
      </c>
      <c r="B4662">
        <v>66</v>
      </c>
      <c r="C4662" t="s">
        <v>134</v>
      </c>
      <c r="D4662" s="2">
        <v>46154</v>
      </c>
      <c r="E4662" s="3">
        <f t="shared" si="72"/>
        <v>46143</v>
      </c>
      <c r="F4662" t="s">
        <v>3715</v>
      </c>
      <c r="G4662" t="s">
        <v>984</v>
      </c>
      <c r="H4662" s="4">
        <v>45.51</v>
      </c>
      <c r="I4662" t="s">
        <v>108</v>
      </c>
      <c r="J4662" t="s">
        <v>223</v>
      </c>
      <c r="K4662" t="s">
        <v>3743</v>
      </c>
      <c r="L4662" s="2">
        <v>46143</v>
      </c>
      <c r="M4662" t="s">
        <v>223</v>
      </c>
      <c r="N4662">
        <v>0</v>
      </c>
      <c r="O4662" t="s">
        <v>111</v>
      </c>
      <c r="P4662" t="s">
        <v>134</v>
      </c>
      <c r="Q4662">
        <v>0</v>
      </c>
    </row>
    <row r="4663" spans="1:17" x14ac:dyDescent="0.3">
      <c r="A4663" t="s">
        <v>17</v>
      </c>
      <c r="B4663">
        <v>66</v>
      </c>
      <c r="C4663" t="s">
        <v>134</v>
      </c>
      <c r="D4663" s="2">
        <v>46154</v>
      </c>
      <c r="E4663" s="3">
        <f t="shared" si="72"/>
        <v>46143</v>
      </c>
      <c r="F4663" t="s">
        <v>3715</v>
      </c>
      <c r="G4663" t="s">
        <v>984</v>
      </c>
      <c r="H4663" s="4">
        <v>45.51</v>
      </c>
      <c r="I4663" t="s">
        <v>108</v>
      </c>
      <c r="J4663" t="s">
        <v>223</v>
      </c>
      <c r="K4663" t="s">
        <v>3743</v>
      </c>
      <c r="L4663" s="2">
        <v>46143</v>
      </c>
      <c r="M4663" t="s">
        <v>223</v>
      </c>
      <c r="N4663">
        <v>0</v>
      </c>
      <c r="O4663" t="s">
        <v>111</v>
      </c>
      <c r="P4663" t="s">
        <v>134</v>
      </c>
      <c r="Q4663">
        <v>0</v>
      </c>
    </row>
    <row r="4664" spans="1:17" x14ac:dyDescent="0.3">
      <c r="A4664" t="s">
        <v>17</v>
      </c>
      <c r="B4664">
        <v>66</v>
      </c>
      <c r="C4664" t="s">
        <v>134</v>
      </c>
      <c r="D4664" s="2">
        <v>46154</v>
      </c>
      <c r="E4664" s="3">
        <f t="shared" si="72"/>
        <v>46143</v>
      </c>
      <c r="F4664" t="s">
        <v>3715</v>
      </c>
      <c r="G4664" t="s">
        <v>984</v>
      </c>
      <c r="H4664" s="4">
        <v>45.51</v>
      </c>
      <c r="I4664" t="s">
        <v>108</v>
      </c>
      <c r="J4664" t="s">
        <v>223</v>
      </c>
      <c r="K4664" t="s">
        <v>3743</v>
      </c>
      <c r="L4664" s="2">
        <v>46143</v>
      </c>
      <c r="M4664" t="s">
        <v>223</v>
      </c>
      <c r="N4664">
        <v>0</v>
      </c>
      <c r="O4664" t="s">
        <v>111</v>
      </c>
      <c r="P4664" t="s">
        <v>134</v>
      </c>
      <c r="Q4664">
        <v>0</v>
      </c>
    </row>
    <row r="4665" spans="1:17" x14ac:dyDescent="0.3">
      <c r="A4665" t="s">
        <v>17</v>
      </c>
      <c r="B4665">
        <v>66</v>
      </c>
      <c r="C4665" t="s">
        <v>134</v>
      </c>
      <c r="D4665" s="2">
        <v>46154</v>
      </c>
      <c r="E4665" s="3">
        <f t="shared" si="72"/>
        <v>46143</v>
      </c>
      <c r="F4665" t="s">
        <v>3715</v>
      </c>
      <c r="G4665" t="s">
        <v>984</v>
      </c>
      <c r="H4665" s="4">
        <v>62.9</v>
      </c>
      <c r="I4665" t="s">
        <v>108</v>
      </c>
      <c r="J4665" t="s">
        <v>223</v>
      </c>
      <c r="K4665" t="s">
        <v>3744</v>
      </c>
      <c r="L4665" s="2">
        <v>46143</v>
      </c>
      <c r="M4665" t="s">
        <v>223</v>
      </c>
      <c r="N4665">
        <v>0</v>
      </c>
      <c r="O4665" t="s">
        <v>111</v>
      </c>
      <c r="P4665" t="s">
        <v>134</v>
      </c>
      <c r="Q4665">
        <v>0</v>
      </c>
    </row>
    <row r="4666" spans="1:17" x14ac:dyDescent="0.3">
      <c r="A4666" t="s">
        <v>17</v>
      </c>
      <c r="B4666">
        <v>66</v>
      </c>
      <c r="C4666" t="s">
        <v>134</v>
      </c>
      <c r="D4666" s="2">
        <v>46154</v>
      </c>
      <c r="E4666" s="3">
        <f t="shared" si="72"/>
        <v>46143</v>
      </c>
      <c r="F4666" t="s">
        <v>3715</v>
      </c>
      <c r="G4666" t="s">
        <v>984</v>
      </c>
      <c r="H4666" s="4">
        <v>62.9</v>
      </c>
      <c r="I4666" t="s">
        <v>108</v>
      </c>
      <c r="J4666" t="s">
        <v>223</v>
      </c>
      <c r="K4666" t="s">
        <v>3744</v>
      </c>
      <c r="L4666" s="2">
        <v>46143</v>
      </c>
      <c r="M4666" t="s">
        <v>223</v>
      </c>
      <c r="N4666">
        <v>0</v>
      </c>
      <c r="O4666" t="s">
        <v>111</v>
      </c>
      <c r="P4666" t="s">
        <v>134</v>
      </c>
      <c r="Q4666">
        <v>0</v>
      </c>
    </row>
    <row r="4667" spans="1:17" x14ac:dyDescent="0.3">
      <c r="A4667" t="s">
        <v>17</v>
      </c>
      <c r="B4667">
        <v>66</v>
      </c>
      <c r="C4667" t="s">
        <v>134</v>
      </c>
      <c r="D4667" s="2">
        <v>46154</v>
      </c>
      <c r="E4667" s="3">
        <f t="shared" si="72"/>
        <v>46143</v>
      </c>
      <c r="F4667" t="s">
        <v>3715</v>
      </c>
      <c r="G4667" t="s">
        <v>984</v>
      </c>
      <c r="H4667" s="4">
        <v>62.9</v>
      </c>
      <c r="I4667" t="s">
        <v>108</v>
      </c>
      <c r="J4667" t="s">
        <v>223</v>
      </c>
      <c r="K4667" t="s">
        <v>3744</v>
      </c>
      <c r="L4667" s="2">
        <v>46143</v>
      </c>
      <c r="M4667" t="s">
        <v>223</v>
      </c>
      <c r="N4667">
        <v>0</v>
      </c>
      <c r="O4667" t="s">
        <v>111</v>
      </c>
      <c r="P4667" t="s">
        <v>134</v>
      </c>
      <c r="Q4667">
        <v>0</v>
      </c>
    </row>
    <row r="4668" spans="1:17" x14ac:dyDescent="0.3">
      <c r="A4668" t="s">
        <v>17</v>
      </c>
      <c r="B4668">
        <v>66</v>
      </c>
      <c r="C4668" t="s">
        <v>134</v>
      </c>
      <c r="D4668" s="2">
        <v>46154</v>
      </c>
      <c r="E4668" s="3">
        <f t="shared" si="72"/>
        <v>46143</v>
      </c>
      <c r="F4668" t="s">
        <v>3715</v>
      </c>
      <c r="G4668" t="s">
        <v>984</v>
      </c>
      <c r="H4668" s="4">
        <v>28.86</v>
      </c>
      <c r="I4668" t="s">
        <v>108</v>
      </c>
      <c r="J4668" t="s">
        <v>223</v>
      </c>
      <c r="K4668" t="s">
        <v>3745</v>
      </c>
      <c r="L4668" s="2">
        <v>46143</v>
      </c>
      <c r="M4668" t="s">
        <v>223</v>
      </c>
      <c r="N4668">
        <v>0</v>
      </c>
      <c r="O4668" t="s">
        <v>111</v>
      </c>
      <c r="P4668" t="s">
        <v>134</v>
      </c>
      <c r="Q4668">
        <v>0</v>
      </c>
    </row>
    <row r="4669" spans="1:17" x14ac:dyDescent="0.3">
      <c r="A4669" t="s">
        <v>17</v>
      </c>
      <c r="B4669">
        <v>66</v>
      </c>
      <c r="C4669" t="s">
        <v>134</v>
      </c>
      <c r="D4669" s="2">
        <v>46154</v>
      </c>
      <c r="E4669" s="3">
        <f t="shared" si="72"/>
        <v>46143</v>
      </c>
      <c r="F4669" t="s">
        <v>3715</v>
      </c>
      <c r="G4669" t="s">
        <v>984</v>
      </c>
      <c r="H4669" s="4">
        <v>28.86</v>
      </c>
      <c r="I4669" t="s">
        <v>108</v>
      </c>
      <c r="J4669" t="s">
        <v>223</v>
      </c>
      <c r="K4669" t="s">
        <v>3745</v>
      </c>
      <c r="L4669" s="2">
        <v>46143</v>
      </c>
      <c r="M4669" t="s">
        <v>223</v>
      </c>
      <c r="N4669">
        <v>0</v>
      </c>
      <c r="O4669" t="s">
        <v>111</v>
      </c>
      <c r="P4669" t="s">
        <v>134</v>
      </c>
      <c r="Q4669">
        <v>0</v>
      </c>
    </row>
    <row r="4670" spans="1:17" x14ac:dyDescent="0.3">
      <c r="A4670" t="s">
        <v>17</v>
      </c>
      <c r="B4670">
        <v>66</v>
      </c>
      <c r="C4670" t="s">
        <v>134</v>
      </c>
      <c r="D4670" s="2">
        <v>46154</v>
      </c>
      <c r="E4670" s="3">
        <f t="shared" si="72"/>
        <v>46143</v>
      </c>
      <c r="F4670" t="s">
        <v>3715</v>
      </c>
      <c r="G4670" t="s">
        <v>984</v>
      </c>
      <c r="H4670" s="4">
        <v>28.86</v>
      </c>
      <c r="I4670" t="s">
        <v>108</v>
      </c>
      <c r="J4670" t="s">
        <v>223</v>
      </c>
      <c r="K4670" t="s">
        <v>3745</v>
      </c>
      <c r="L4670" s="2">
        <v>46143</v>
      </c>
      <c r="M4670" t="s">
        <v>223</v>
      </c>
      <c r="N4670">
        <v>0</v>
      </c>
      <c r="O4670" t="s">
        <v>111</v>
      </c>
      <c r="P4670" t="s">
        <v>134</v>
      </c>
      <c r="Q4670">
        <v>0</v>
      </c>
    </row>
    <row r="4671" spans="1:17" x14ac:dyDescent="0.3">
      <c r="A4671" t="s">
        <v>17</v>
      </c>
      <c r="B4671">
        <v>66</v>
      </c>
      <c r="C4671" t="s">
        <v>134</v>
      </c>
      <c r="D4671" s="2">
        <v>46154</v>
      </c>
      <c r="E4671" s="3">
        <f t="shared" si="72"/>
        <v>46143</v>
      </c>
      <c r="F4671" t="s">
        <v>3715</v>
      </c>
      <c r="G4671" t="s">
        <v>984</v>
      </c>
      <c r="H4671" s="4">
        <v>34.04</v>
      </c>
      <c r="I4671" t="s">
        <v>108</v>
      </c>
      <c r="J4671" t="s">
        <v>223</v>
      </c>
      <c r="K4671" t="s">
        <v>3746</v>
      </c>
      <c r="L4671" s="2">
        <v>46143</v>
      </c>
      <c r="M4671" t="s">
        <v>223</v>
      </c>
      <c r="N4671">
        <v>0</v>
      </c>
      <c r="O4671" t="s">
        <v>111</v>
      </c>
      <c r="P4671" t="s">
        <v>134</v>
      </c>
      <c r="Q4671">
        <v>0</v>
      </c>
    </row>
    <row r="4672" spans="1:17" x14ac:dyDescent="0.3">
      <c r="A4672" t="s">
        <v>17</v>
      </c>
      <c r="B4672">
        <v>66</v>
      </c>
      <c r="C4672" t="s">
        <v>134</v>
      </c>
      <c r="D4672" s="2">
        <v>46154</v>
      </c>
      <c r="E4672" s="3">
        <f t="shared" si="72"/>
        <v>46143</v>
      </c>
      <c r="F4672" t="s">
        <v>3715</v>
      </c>
      <c r="G4672" t="s">
        <v>984</v>
      </c>
      <c r="H4672" s="4">
        <v>34.04</v>
      </c>
      <c r="I4672" t="s">
        <v>108</v>
      </c>
      <c r="J4672" t="s">
        <v>223</v>
      </c>
      <c r="K4672" t="s">
        <v>3746</v>
      </c>
      <c r="L4672" s="2">
        <v>46143</v>
      </c>
      <c r="M4672" t="s">
        <v>223</v>
      </c>
      <c r="N4672">
        <v>0</v>
      </c>
      <c r="O4672" t="s">
        <v>111</v>
      </c>
      <c r="P4672" t="s">
        <v>134</v>
      </c>
      <c r="Q4672">
        <v>0</v>
      </c>
    </row>
    <row r="4673" spans="1:17" x14ac:dyDescent="0.3">
      <c r="A4673" t="s">
        <v>17</v>
      </c>
      <c r="B4673">
        <v>66</v>
      </c>
      <c r="C4673" t="s">
        <v>134</v>
      </c>
      <c r="D4673" s="2">
        <v>46154</v>
      </c>
      <c r="E4673" s="3">
        <f t="shared" si="72"/>
        <v>46143</v>
      </c>
      <c r="F4673" t="s">
        <v>3715</v>
      </c>
      <c r="G4673" t="s">
        <v>984</v>
      </c>
      <c r="H4673" s="4">
        <v>34.04</v>
      </c>
      <c r="I4673" t="s">
        <v>108</v>
      </c>
      <c r="J4673" t="s">
        <v>223</v>
      </c>
      <c r="K4673" t="s">
        <v>3746</v>
      </c>
      <c r="L4673" s="2">
        <v>46143</v>
      </c>
      <c r="M4673" t="s">
        <v>223</v>
      </c>
      <c r="N4673">
        <v>0</v>
      </c>
      <c r="O4673" t="s">
        <v>111</v>
      </c>
      <c r="P4673" t="s">
        <v>134</v>
      </c>
      <c r="Q4673">
        <v>0</v>
      </c>
    </row>
    <row r="4674" spans="1:17" x14ac:dyDescent="0.3">
      <c r="A4674" t="s">
        <v>17</v>
      </c>
      <c r="B4674">
        <v>66</v>
      </c>
      <c r="C4674" t="s">
        <v>134</v>
      </c>
      <c r="D4674" s="2">
        <v>46154</v>
      </c>
      <c r="E4674" s="3">
        <f t="shared" si="72"/>
        <v>46143</v>
      </c>
      <c r="F4674" t="s">
        <v>3715</v>
      </c>
      <c r="G4674" t="s">
        <v>984</v>
      </c>
      <c r="H4674" s="4">
        <v>48.84</v>
      </c>
      <c r="I4674" t="s">
        <v>108</v>
      </c>
      <c r="J4674" t="s">
        <v>223</v>
      </c>
      <c r="K4674" t="s">
        <v>3747</v>
      </c>
      <c r="L4674" s="2">
        <v>46143</v>
      </c>
      <c r="M4674" t="s">
        <v>223</v>
      </c>
      <c r="N4674">
        <v>0</v>
      </c>
      <c r="O4674" t="s">
        <v>111</v>
      </c>
      <c r="P4674" t="s">
        <v>134</v>
      </c>
      <c r="Q4674">
        <v>0</v>
      </c>
    </row>
    <row r="4675" spans="1:17" x14ac:dyDescent="0.3">
      <c r="A4675" t="s">
        <v>17</v>
      </c>
      <c r="B4675">
        <v>66</v>
      </c>
      <c r="C4675" t="s">
        <v>134</v>
      </c>
      <c r="D4675" s="2">
        <v>46154</v>
      </c>
      <c r="E4675" s="3">
        <f t="shared" ref="E4675:E4738" si="73">IF($D4675="","",DATE(YEAR($D4675),MONTH($D4675),1))</f>
        <v>46143</v>
      </c>
      <c r="F4675" t="s">
        <v>3715</v>
      </c>
      <c r="G4675" t="s">
        <v>984</v>
      </c>
      <c r="H4675" s="4">
        <v>48.84</v>
      </c>
      <c r="I4675" t="s">
        <v>108</v>
      </c>
      <c r="J4675" t="s">
        <v>223</v>
      </c>
      <c r="K4675" t="s">
        <v>3747</v>
      </c>
      <c r="L4675" s="2">
        <v>46143</v>
      </c>
      <c r="M4675" t="s">
        <v>223</v>
      </c>
      <c r="N4675">
        <v>0</v>
      </c>
      <c r="O4675" t="s">
        <v>111</v>
      </c>
      <c r="P4675" t="s">
        <v>134</v>
      </c>
      <c r="Q4675">
        <v>0</v>
      </c>
    </row>
    <row r="4676" spans="1:17" x14ac:dyDescent="0.3">
      <c r="A4676" t="s">
        <v>17</v>
      </c>
      <c r="B4676">
        <v>66</v>
      </c>
      <c r="C4676" t="s">
        <v>134</v>
      </c>
      <c r="D4676" s="2">
        <v>46154</v>
      </c>
      <c r="E4676" s="3">
        <f t="shared" si="73"/>
        <v>46143</v>
      </c>
      <c r="F4676" t="s">
        <v>3715</v>
      </c>
      <c r="G4676" t="s">
        <v>984</v>
      </c>
      <c r="H4676" s="4">
        <v>48.84</v>
      </c>
      <c r="I4676" t="s">
        <v>108</v>
      </c>
      <c r="J4676" t="s">
        <v>223</v>
      </c>
      <c r="K4676" t="s">
        <v>3747</v>
      </c>
      <c r="L4676" s="2">
        <v>46143</v>
      </c>
      <c r="M4676" t="s">
        <v>223</v>
      </c>
      <c r="N4676">
        <v>0</v>
      </c>
      <c r="O4676" t="s">
        <v>111</v>
      </c>
      <c r="P4676" t="s">
        <v>134</v>
      </c>
      <c r="Q4676">
        <v>0</v>
      </c>
    </row>
    <row r="4677" spans="1:17" x14ac:dyDescent="0.3">
      <c r="A4677" t="s">
        <v>17</v>
      </c>
      <c r="B4677">
        <v>68</v>
      </c>
      <c r="C4677" t="s">
        <v>34</v>
      </c>
      <c r="D4677" s="2">
        <v>46154</v>
      </c>
      <c r="E4677" s="3">
        <f t="shared" si="73"/>
        <v>46143</v>
      </c>
      <c r="F4677" t="s">
        <v>3748</v>
      </c>
      <c r="G4677" t="s">
        <v>122</v>
      </c>
      <c r="H4677" s="4">
        <v>540.79</v>
      </c>
      <c r="I4677" t="s">
        <v>108</v>
      </c>
      <c r="J4677" t="s">
        <v>109</v>
      </c>
      <c r="K4677" t="s">
        <v>1450</v>
      </c>
      <c r="L4677" s="2">
        <v>46143</v>
      </c>
      <c r="M4677" t="s">
        <v>109</v>
      </c>
      <c r="N4677">
        <v>0</v>
      </c>
      <c r="O4677" t="s">
        <v>111</v>
      </c>
      <c r="P4677" t="s">
        <v>112</v>
      </c>
      <c r="Q4677" t="s">
        <v>113</v>
      </c>
    </row>
    <row r="4678" spans="1:17" x14ac:dyDescent="0.3">
      <c r="A4678" t="s">
        <v>17</v>
      </c>
      <c r="B4678">
        <v>68</v>
      </c>
      <c r="C4678" t="s">
        <v>34</v>
      </c>
      <c r="D4678" s="2">
        <v>46154</v>
      </c>
      <c r="E4678" s="3">
        <f t="shared" si="73"/>
        <v>46143</v>
      </c>
      <c r="F4678" t="s">
        <v>3748</v>
      </c>
      <c r="G4678" t="s">
        <v>122</v>
      </c>
      <c r="H4678" s="4">
        <v>17.5</v>
      </c>
      <c r="I4678" t="s">
        <v>108</v>
      </c>
      <c r="J4678" t="s">
        <v>109</v>
      </c>
      <c r="K4678" t="s">
        <v>3082</v>
      </c>
      <c r="L4678" s="2">
        <v>46143</v>
      </c>
      <c r="M4678" t="s">
        <v>109</v>
      </c>
      <c r="N4678">
        <v>0</v>
      </c>
      <c r="O4678" t="s">
        <v>111</v>
      </c>
      <c r="P4678" t="s">
        <v>112</v>
      </c>
      <c r="Q4678" t="s">
        <v>113</v>
      </c>
    </row>
    <row r="4679" spans="1:17" x14ac:dyDescent="0.3">
      <c r="A4679" t="s">
        <v>17</v>
      </c>
      <c r="B4679">
        <v>68</v>
      </c>
      <c r="C4679" t="s">
        <v>34</v>
      </c>
      <c r="D4679" s="2">
        <v>46154</v>
      </c>
      <c r="E4679" s="3">
        <f t="shared" si="73"/>
        <v>46143</v>
      </c>
      <c r="F4679" t="s">
        <v>3748</v>
      </c>
      <c r="G4679" t="s">
        <v>122</v>
      </c>
      <c r="H4679" s="4">
        <v>1.34</v>
      </c>
      <c r="I4679" t="s">
        <v>108</v>
      </c>
      <c r="J4679" t="s">
        <v>109</v>
      </c>
      <c r="K4679" t="s">
        <v>1452</v>
      </c>
      <c r="L4679" s="2">
        <v>46143</v>
      </c>
      <c r="M4679" t="s">
        <v>109</v>
      </c>
      <c r="N4679">
        <v>0</v>
      </c>
      <c r="O4679" t="s">
        <v>111</v>
      </c>
      <c r="P4679" t="s">
        <v>112</v>
      </c>
      <c r="Q4679" t="s">
        <v>113</v>
      </c>
    </row>
    <row r="4680" spans="1:17" x14ac:dyDescent="0.3">
      <c r="A4680" t="s">
        <v>17</v>
      </c>
      <c r="B4680">
        <v>68</v>
      </c>
      <c r="C4680" t="s">
        <v>34</v>
      </c>
      <c r="D4680" s="2">
        <v>46154</v>
      </c>
      <c r="E4680" s="3">
        <f t="shared" si="73"/>
        <v>46143</v>
      </c>
      <c r="F4680" t="s">
        <v>3749</v>
      </c>
      <c r="G4680" t="s">
        <v>122</v>
      </c>
      <c r="H4680" s="4">
        <v>2.97</v>
      </c>
      <c r="I4680" t="s">
        <v>108</v>
      </c>
      <c r="J4680" t="s">
        <v>109</v>
      </c>
      <c r="L4680" s="2">
        <v>46143</v>
      </c>
      <c r="M4680" t="s">
        <v>109</v>
      </c>
      <c r="N4680">
        <v>0</v>
      </c>
      <c r="O4680" t="s">
        <v>111</v>
      </c>
      <c r="P4680" t="s">
        <v>112</v>
      </c>
      <c r="Q4680" t="s">
        <v>113</v>
      </c>
    </row>
    <row r="4681" spans="1:17" x14ac:dyDescent="0.3">
      <c r="A4681" t="s">
        <v>17</v>
      </c>
      <c r="B4681">
        <v>68</v>
      </c>
      <c r="C4681" t="s">
        <v>34</v>
      </c>
      <c r="D4681" s="2">
        <v>46154</v>
      </c>
      <c r="E4681" s="3">
        <f t="shared" si="73"/>
        <v>46143</v>
      </c>
      <c r="F4681" t="s">
        <v>3749</v>
      </c>
      <c r="G4681" t="s">
        <v>122</v>
      </c>
      <c r="H4681" s="4">
        <v>17.5</v>
      </c>
      <c r="I4681" t="s">
        <v>108</v>
      </c>
      <c r="J4681" t="s">
        <v>109</v>
      </c>
      <c r="L4681" s="2">
        <v>46143</v>
      </c>
      <c r="M4681" t="s">
        <v>109</v>
      </c>
      <c r="N4681">
        <v>0</v>
      </c>
      <c r="O4681" t="s">
        <v>111</v>
      </c>
      <c r="P4681" t="s">
        <v>112</v>
      </c>
      <c r="Q4681" t="s">
        <v>113</v>
      </c>
    </row>
    <row r="4682" spans="1:17" x14ac:dyDescent="0.3">
      <c r="A4682" t="s">
        <v>17</v>
      </c>
      <c r="B4682">
        <v>68</v>
      </c>
      <c r="C4682" t="s">
        <v>34</v>
      </c>
      <c r="D4682" s="2">
        <v>46154</v>
      </c>
      <c r="E4682" s="3">
        <f t="shared" si="73"/>
        <v>46143</v>
      </c>
      <c r="F4682" t="s">
        <v>3749</v>
      </c>
      <c r="G4682" t="s">
        <v>122</v>
      </c>
      <c r="H4682" s="4">
        <v>1.34</v>
      </c>
      <c r="I4682" t="s">
        <v>108</v>
      </c>
      <c r="J4682" t="s">
        <v>109</v>
      </c>
      <c r="L4682" s="2">
        <v>46143</v>
      </c>
      <c r="M4682" t="s">
        <v>109</v>
      </c>
      <c r="N4682">
        <v>0</v>
      </c>
      <c r="O4682" t="s">
        <v>111</v>
      </c>
      <c r="P4682" t="s">
        <v>112</v>
      </c>
      <c r="Q4682" t="s">
        <v>113</v>
      </c>
    </row>
    <row r="4683" spans="1:17" x14ac:dyDescent="0.3">
      <c r="A4683" t="s">
        <v>17</v>
      </c>
      <c r="B4683">
        <v>68</v>
      </c>
      <c r="C4683" t="s">
        <v>34</v>
      </c>
      <c r="D4683" s="2">
        <v>46154</v>
      </c>
      <c r="E4683" s="3">
        <f t="shared" si="73"/>
        <v>46143</v>
      </c>
      <c r="F4683" t="s">
        <v>3750</v>
      </c>
      <c r="G4683" t="s">
        <v>122</v>
      </c>
      <c r="H4683" s="4">
        <v>36.85</v>
      </c>
      <c r="I4683" t="s">
        <v>108</v>
      </c>
      <c r="J4683" t="s">
        <v>109</v>
      </c>
      <c r="L4683" s="2">
        <v>46143</v>
      </c>
      <c r="M4683" t="s">
        <v>109</v>
      </c>
      <c r="N4683">
        <v>0</v>
      </c>
      <c r="O4683" t="s">
        <v>111</v>
      </c>
      <c r="P4683" t="s">
        <v>112</v>
      </c>
      <c r="Q4683" t="s">
        <v>113</v>
      </c>
    </row>
    <row r="4684" spans="1:17" x14ac:dyDescent="0.3">
      <c r="A4684" t="s">
        <v>17</v>
      </c>
      <c r="B4684">
        <v>68</v>
      </c>
      <c r="C4684" t="s">
        <v>34</v>
      </c>
      <c r="D4684" s="2">
        <v>46154</v>
      </c>
      <c r="E4684" s="3">
        <f t="shared" si="73"/>
        <v>46143</v>
      </c>
      <c r="F4684" t="s">
        <v>3750</v>
      </c>
      <c r="G4684" t="s">
        <v>122</v>
      </c>
      <c r="H4684" s="4">
        <v>17.5</v>
      </c>
      <c r="I4684" t="s">
        <v>108</v>
      </c>
      <c r="J4684" t="s">
        <v>109</v>
      </c>
      <c r="L4684" s="2">
        <v>46143</v>
      </c>
      <c r="M4684" t="s">
        <v>109</v>
      </c>
      <c r="N4684">
        <v>0</v>
      </c>
      <c r="O4684" t="s">
        <v>111</v>
      </c>
      <c r="P4684" t="s">
        <v>112</v>
      </c>
      <c r="Q4684" t="s">
        <v>113</v>
      </c>
    </row>
    <row r="4685" spans="1:17" x14ac:dyDescent="0.3">
      <c r="A4685" t="s">
        <v>17</v>
      </c>
      <c r="B4685">
        <v>68</v>
      </c>
      <c r="C4685" t="s">
        <v>34</v>
      </c>
      <c r="D4685" s="2">
        <v>46154</v>
      </c>
      <c r="E4685" s="3">
        <f t="shared" si="73"/>
        <v>46143</v>
      </c>
      <c r="F4685" t="s">
        <v>3750</v>
      </c>
      <c r="G4685" t="s">
        <v>122</v>
      </c>
      <c r="H4685" s="4">
        <v>1.34</v>
      </c>
      <c r="I4685" t="s">
        <v>108</v>
      </c>
      <c r="J4685" t="s">
        <v>109</v>
      </c>
      <c r="L4685" s="2">
        <v>46143</v>
      </c>
      <c r="M4685" t="s">
        <v>109</v>
      </c>
      <c r="N4685">
        <v>0</v>
      </c>
      <c r="O4685" t="s">
        <v>111</v>
      </c>
      <c r="P4685" t="s">
        <v>112</v>
      </c>
      <c r="Q4685" t="s">
        <v>113</v>
      </c>
    </row>
    <row r="4686" spans="1:17" x14ac:dyDescent="0.3">
      <c r="A4686" t="s">
        <v>17</v>
      </c>
      <c r="B4686">
        <v>68</v>
      </c>
      <c r="C4686" t="s">
        <v>34</v>
      </c>
      <c r="D4686" s="2">
        <v>46154</v>
      </c>
      <c r="E4686" s="3">
        <f t="shared" si="73"/>
        <v>46143</v>
      </c>
      <c r="F4686" t="s">
        <v>3751</v>
      </c>
      <c r="G4686" t="s">
        <v>122</v>
      </c>
      <c r="H4686" s="4">
        <v>9.7200000000000006</v>
      </c>
      <c r="I4686" t="s">
        <v>108</v>
      </c>
      <c r="J4686" t="s">
        <v>109</v>
      </c>
      <c r="L4686" s="2">
        <v>46143</v>
      </c>
      <c r="M4686" t="s">
        <v>109</v>
      </c>
      <c r="N4686">
        <v>0</v>
      </c>
      <c r="O4686" t="s">
        <v>111</v>
      </c>
      <c r="P4686" t="s">
        <v>112</v>
      </c>
      <c r="Q4686" t="s">
        <v>113</v>
      </c>
    </row>
    <row r="4687" spans="1:17" x14ac:dyDescent="0.3">
      <c r="A4687" t="s">
        <v>17</v>
      </c>
      <c r="B4687">
        <v>68</v>
      </c>
      <c r="C4687" t="s">
        <v>34</v>
      </c>
      <c r="D4687" s="2">
        <v>46154</v>
      </c>
      <c r="E4687" s="3">
        <f t="shared" si="73"/>
        <v>46143</v>
      </c>
      <c r="F4687" t="s">
        <v>3751</v>
      </c>
      <c r="G4687" t="s">
        <v>122</v>
      </c>
      <c r="H4687" s="4">
        <v>17.5</v>
      </c>
      <c r="I4687" t="s">
        <v>108</v>
      </c>
      <c r="J4687" t="s">
        <v>109</v>
      </c>
      <c r="L4687" s="2">
        <v>46143</v>
      </c>
      <c r="M4687" t="s">
        <v>109</v>
      </c>
      <c r="N4687">
        <v>0</v>
      </c>
      <c r="O4687" t="s">
        <v>111</v>
      </c>
      <c r="P4687" t="s">
        <v>112</v>
      </c>
      <c r="Q4687" t="s">
        <v>113</v>
      </c>
    </row>
    <row r="4688" spans="1:17" x14ac:dyDescent="0.3">
      <c r="A4688" t="s">
        <v>17</v>
      </c>
      <c r="B4688">
        <v>68</v>
      </c>
      <c r="C4688" t="s">
        <v>34</v>
      </c>
      <c r="D4688" s="2">
        <v>46154</v>
      </c>
      <c r="E4688" s="3">
        <f t="shared" si="73"/>
        <v>46143</v>
      </c>
      <c r="F4688" t="s">
        <v>3751</v>
      </c>
      <c r="G4688" t="s">
        <v>122</v>
      </c>
      <c r="H4688" s="4">
        <v>1.34</v>
      </c>
      <c r="I4688" t="s">
        <v>108</v>
      </c>
      <c r="J4688" t="s">
        <v>109</v>
      </c>
      <c r="L4688" s="2">
        <v>46143</v>
      </c>
      <c r="M4688" t="s">
        <v>109</v>
      </c>
      <c r="N4688">
        <v>0</v>
      </c>
      <c r="O4688" t="s">
        <v>111</v>
      </c>
      <c r="P4688" t="s">
        <v>112</v>
      </c>
      <c r="Q4688" t="s">
        <v>113</v>
      </c>
    </row>
    <row r="4689" spans="1:17" x14ac:dyDescent="0.3">
      <c r="A4689" t="s">
        <v>17</v>
      </c>
      <c r="B4689">
        <v>67</v>
      </c>
      <c r="C4689" t="s">
        <v>28</v>
      </c>
      <c r="D4689" s="2">
        <v>46155</v>
      </c>
      <c r="E4689" s="3">
        <f t="shared" si="73"/>
        <v>46143</v>
      </c>
      <c r="F4689" t="s">
        <v>3752</v>
      </c>
      <c r="G4689" t="s">
        <v>119</v>
      </c>
      <c r="H4689" s="4">
        <v>240</v>
      </c>
      <c r="I4689" t="s">
        <v>31</v>
      </c>
      <c r="J4689" t="s">
        <v>68</v>
      </c>
      <c r="K4689" t="s">
        <v>3230</v>
      </c>
      <c r="L4689" s="2">
        <v>46143</v>
      </c>
      <c r="M4689" t="s">
        <v>68</v>
      </c>
      <c r="N4689">
        <v>0</v>
      </c>
      <c r="O4689" t="s">
        <v>31</v>
      </c>
      <c r="P4689" t="s">
        <v>28</v>
      </c>
      <c r="Q4689">
        <v>0</v>
      </c>
    </row>
    <row r="4690" spans="1:17" x14ac:dyDescent="0.3">
      <c r="A4690" t="s">
        <v>17</v>
      </c>
      <c r="B4690">
        <v>68</v>
      </c>
      <c r="C4690" t="s">
        <v>34</v>
      </c>
      <c r="D4690" s="2">
        <v>46155</v>
      </c>
      <c r="E4690" s="3">
        <f t="shared" si="73"/>
        <v>46143</v>
      </c>
      <c r="F4690" t="s">
        <v>3753</v>
      </c>
      <c r="G4690" t="s">
        <v>122</v>
      </c>
      <c r="H4690" s="4">
        <v>3739.8</v>
      </c>
      <c r="I4690" t="s">
        <v>108</v>
      </c>
      <c r="J4690" t="s">
        <v>109</v>
      </c>
      <c r="K4690" t="s">
        <v>388</v>
      </c>
      <c r="L4690" s="2">
        <v>46143</v>
      </c>
      <c r="M4690" t="s">
        <v>109</v>
      </c>
      <c r="N4690">
        <v>0</v>
      </c>
      <c r="O4690" t="s">
        <v>111</v>
      </c>
      <c r="P4690" t="s">
        <v>112</v>
      </c>
      <c r="Q4690" t="s">
        <v>113</v>
      </c>
    </row>
    <row r="4691" spans="1:17" x14ac:dyDescent="0.3">
      <c r="A4691" t="s">
        <v>17</v>
      </c>
      <c r="B4691">
        <v>68</v>
      </c>
      <c r="C4691" t="s">
        <v>34</v>
      </c>
      <c r="D4691" s="2">
        <v>46155</v>
      </c>
      <c r="E4691" s="3">
        <f t="shared" si="73"/>
        <v>46143</v>
      </c>
      <c r="F4691" t="s">
        <v>3754</v>
      </c>
      <c r="G4691" t="s">
        <v>122</v>
      </c>
      <c r="H4691" s="4">
        <v>17.95</v>
      </c>
      <c r="I4691" t="s">
        <v>108</v>
      </c>
      <c r="J4691" t="s">
        <v>109</v>
      </c>
      <c r="K4691" t="s">
        <v>1437</v>
      </c>
      <c r="L4691" s="2">
        <v>46143</v>
      </c>
      <c r="M4691" t="s">
        <v>109</v>
      </c>
      <c r="N4691">
        <v>0</v>
      </c>
      <c r="O4691" t="s">
        <v>111</v>
      </c>
      <c r="P4691" t="s">
        <v>112</v>
      </c>
      <c r="Q4691" t="s">
        <v>113</v>
      </c>
    </row>
    <row r="4692" spans="1:17" x14ac:dyDescent="0.3">
      <c r="A4692" t="s">
        <v>17</v>
      </c>
      <c r="B4692">
        <v>68</v>
      </c>
      <c r="C4692" t="s">
        <v>34</v>
      </c>
      <c r="D4692" s="2">
        <v>46155</v>
      </c>
      <c r="E4692" s="3">
        <f t="shared" si="73"/>
        <v>46143</v>
      </c>
      <c r="F4692" t="s">
        <v>3754</v>
      </c>
      <c r="G4692" t="s">
        <v>122</v>
      </c>
      <c r="H4692" s="4">
        <v>0.12</v>
      </c>
      <c r="I4692" t="s">
        <v>108</v>
      </c>
      <c r="J4692" t="s">
        <v>109</v>
      </c>
      <c r="K4692" t="s">
        <v>1436</v>
      </c>
      <c r="L4692" s="2">
        <v>46143</v>
      </c>
      <c r="M4692" t="s">
        <v>109</v>
      </c>
      <c r="N4692">
        <v>0</v>
      </c>
      <c r="O4692" t="s">
        <v>111</v>
      </c>
      <c r="P4692" t="s">
        <v>112</v>
      </c>
      <c r="Q4692" t="s">
        <v>113</v>
      </c>
    </row>
    <row r="4693" spans="1:17" x14ac:dyDescent="0.3">
      <c r="A4693" t="s">
        <v>17</v>
      </c>
      <c r="B4693">
        <v>68</v>
      </c>
      <c r="C4693" t="s">
        <v>34</v>
      </c>
      <c r="D4693" s="2">
        <v>46155</v>
      </c>
      <c r="E4693" s="3">
        <f t="shared" si="73"/>
        <v>46143</v>
      </c>
      <c r="F4693" t="s">
        <v>3754</v>
      </c>
      <c r="G4693" t="s">
        <v>122</v>
      </c>
      <c r="H4693" s="4">
        <v>4.4000000000000004</v>
      </c>
      <c r="I4693" t="s">
        <v>108</v>
      </c>
      <c r="J4693" t="s">
        <v>109</v>
      </c>
      <c r="K4693" t="s">
        <v>1438</v>
      </c>
      <c r="L4693" s="2">
        <v>46143</v>
      </c>
      <c r="M4693" t="s">
        <v>109</v>
      </c>
      <c r="N4693">
        <v>0</v>
      </c>
      <c r="O4693" t="s">
        <v>111</v>
      </c>
      <c r="P4693" t="s">
        <v>112</v>
      </c>
      <c r="Q4693" t="s">
        <v>113</v>
      </c>
    </row>
    <row r="4694" spans="1:17" x14ac:dyDescent="0.3">
      <c r="A4694" t="s">
        <v>17</v>
      </c>
      <c r="B4694">
        <v>68</v>
      </c>
      <c r="C4694" t="s">
        <v>34</v>
      </c>
      <c r="D4694" s="2">
        <v>46155</v>
      </c>
      <c r="E4694" s="3">
        <f t="shared" si="73"/>
        <v>46143</v>
      </c>
      <c r="F4694" t="s">
        <v>3754</v>
      </c>
      <c r="G4694" t="s">
        <v>122</v>
      </c>
      <c r="H4694" s="4">
        <v>45.47</v>
      </c>
      <c r="I4694" t="s">
        <v>108</v>
      </c>
      <c r="J4694" t="s">
        <v>109</v>
      </c>
      <c r="K4694" t="s">
        <v>1681</v>
      </c>
      <c r="L4694" s="2">
        <v>46143</v>
      </c>
      <c r="M4694" t="s">
        <v>109</v>
      </c>
      <c r="N4694">
        <v>0</v>
      </c>
      <c r="O4694" t="s">
        <v>111</v>
      </c>
      <c r="P4694" t="s">
        <v>112</v>
      </c>
      <c r="Q4694" t="s">
        <v>113</v>
      </c>
    </row>
    <row r="4695" spans="1:17" x14ac:dyDescent="0.3">
      <c r="A4695" t="s">
        <v>17</v>
      </c>
      <c r="B4695">
        <v>68</v>
      </c>
      <c r="C4695" t="s">
        <v>34</v>
      </c>
      <c r="D4695" s="2">
        <v>46155</v>
      </c>
      <c r="E4695" s="3">
        <f t="shared" si="73"/>
        <v>46143</v>
      </c>
      <c r="F4695" t="s">
        <v>3755</v>
      </c>
      <c r="G4695" t="s">
        <v>122</v>
      </c>
      <c r="H4695" s="4">
        <v>3.91</v>
      </c>
      <c r="I4695" t="s">
        <v>108</v>
      </c>
      <c r="J4695" t="s">
        <v>109</v>
      </c>
      <c r="K4695" t="s">
        <v>1686</v>
      </c>
      <c r="L4695" s="2">
        <v>46143</v>
      </c>
      <c r="M4695" t="s">
        <v>109</v>
      </c>
      <c r="N4695">
        <v>0</v>
      </c>
      <c r="O4695" t="s">
        <v>111</v>
      </c>
      <c r="P4695" t="s">
        <v>112</v>
      </c>
      <c r="Q4695" t="s">
        <v>113</v>
      </c>
    </row>
    <row r="4696" spans="1:17" x14ac:dyDescent="0.3">
      <c r="A4696" t="s">
        <v>17</v>
      </c>
      <c r="B4696">
        <v>68</v>
      </c>
      <c r="C4696" t="s">
        <v>34</v>
      </c>
      <c r="D4696" s="2">
        <v>46155</v>
      </c>
      <c r="E4696" s="3">
        <f t="shared" si="73"/>
        <v>46143</v>
      </c>
      <c r="F4696" t="s">
        <v>3755</v>
      </c>
      <c r="G4696" t="s">
        <v>122</v>
      </c>
      <c r="H4696" s="4">
        <v>17.5</v>
      </c>
      <c r="I4696" t="s">
        <v>108</v>
      </c>
      <c r="J4696" t="s">
        <v>109</v>
      </c>
      <c r="L4696" s="2">
        <v>46143</v>
      </c>
      <c r="M4696" t="s">
        <v>109</v>
      </c>
      <c r="N4696">
        <v>0</v>
      </c>
      <c r="O4696" t="s">
        <v>111</v>
      </c>
      <c r="P4696" t="s">
        <v>112</v>
      </c>
      <c r="Q4696" t="s">
        <v>113</v>
      </c>
    </row>
    <row r="4697" spans="1:17" x14ac:dyDescent="0.3">
      <c r="A4697" t="s">
        <v>17</v>
      </c>
      <c r="B4697">
        <v>68</v>
      </c>
      <c r="C4697" t="s">
        <v>34</v>
      </c>
      <c r="D4697" s="2">
        <v>46155</v>
      </c>
      <c r="E4697" s="3">
        <f t="shared" si="73"/>
        <v>46143</v>
      </c>
      <c r="F4697" t="s">
        <v>3755</v>
      </c>
      <c r="G4697" t="s">
        <v>122</v>
      </c>
      <c r="H4697" s="4">
        <v>1.34</v>
      </c>
      <c r="I4697" t="s">
        <v>108</v>
      </c>
      <c r="J4697" t="s">
        <v>109</v>
      </c>
      <c r="L4697" s="2">
        <v>46143</v>
      </c>
      <c r="M4697" t="s">
        <v>109</v>
      </c>
      <c r="N4697">
        <v>0</v>
      </c>
      <c r="O4697" t="s">
        <v>111</v>
      </c>
      <c r="P4697" t="s">
        <v>112</v>
      </c>
      <c r="Q4697" t="s">
        <v>113</v>
      </c>
    </row>
    <row r="4698" spans="1:17" x14ac:dyDescent="0.3">
      <c r="A4698" t="s">
        <v>17</v>
      </c>
      <c r="B4698">
        <v>68</v>
      </c>
      <c r="C4698" t="s">
        <v>34</v>
      </c>
      <c r="D4698" s="2">
        <v>46156</v>
      </c>
      <c r="E4698" s="3">
        <f t="shared" si="73"/>
        <v>46143</v>
      </c>
      <c r="F4698" t="s">
        <v>3756</v>
      </c>
      <c r="G4698" t="s">
        <v>122</v>
      </c>
      <c r="H4698" s="4">
        <v>36.21</v>
      </c>
      <c r="I4698" t="s">
        <v>108</v>
      </c>
      <c r="J4698" t="s">
        <v>109</v>
      </c>
      <c r="K4698" t="s">
        <v>3757</v>
      </c>
      <c r="L4698" s="2">
        <v>46143</v>
      </c>
      <c r="M4698" t="s">
        <v>109</v>
      </c>
      <c r="N4698">
        <v>0</v>
      </c>
      <c r="O4698" t="s">
        <v>111</v>
      </c>
      <c r="P4698" t="s">
        <v>112</v>
      </c>
      <c r="Q4698" t="s">
        <v>113</v>
      </c>
    </row>
    <row r="4699" spans="1:17" x14ac:dyDescent="0.3">
      <c r="A4699" t="s">
        <v>17</v>
      </c>
      <c r="B4699">
        <v>68</v>
      </c>
      <c r="C4699" t="s">
        <v>34</v>
      </c>
      <c r="D4699" s="2">
        <v>46156</v>
      </c>
      <c r="E4699" s="3">
        <f t="shared" si="73"/>
        <v>46143</v>
      </c>
      <c r="F4699" t="s">
        <v>3756</v>
      </c>
      <c r="G4699" t="s">
        <v>122</v>
      </c>
      <c r="H4699" s="4">
        <v>17.5</v>
      </c>
      <c r="I4699" t="s">
        <v>108</v>
      </c>
      <c r="J4699" t="s">
        <v>109</v>
      </c>
      <c r="K4699" t="s">
        <v>3757</v>
      </c>
      <c r="L4699" s="2">
        <v>46143</v>
      </c>
      <c r="M4699" t="s">
        <v>109</v>
      </c>
      <c r="N4699">
        <v>0</v>
      </c>
      <c r="O4699" t="s">
        <v>111</v>
      </c>
      <c r="P4699" t="s">
        <v>112</v>
      </c>
      <c r="Q4699" t="s">
        <v>113</v>
      </c>
    </row>
    <row r="4700" spans="1:17" x14ac:dyDescent="0.3">
      <c r="A4700" t="s">
        <v>17</v>
      </c>
      <c r="B4700">
        <v>68</v>
      </c>
      <c r="C4700" t="s">
        <v>34</v>
      </c>
      <c r="D4700" s="2">
        <v>46156</v>
      </c>
      <c r="E4700" s="3">
        <f t="shared" si="73"/>
        <v>46143</v>
      </c>
      <c r="F4700" t="s">
        <v>3756</v>
      </c>
      <c r="G4700" t="s">
        <v>122</v>
      </c>
      <c r="H4700" s="4">
        <v>1.34</v>
      </c>
      <c r="I4700" t="s">
        <v>108</v>
      </c>
      <c r="J4700" t="s">
        <v>109</v>
      </c>
      <c r="K4700" t="s">
        <v>3757</v>
      </c>
      <c r="L4700" s="2">
        <v>46143</v>
      </c>
      <c r="M4700" t="s">
        <v>109</v>
      </c>
      <c r="N4700">
        <v>0</v>
      </c>
      <c r="O4700" t="s">
        <v>111</v>
      </c>
      <c r="P4700" t="s">
        <v>112</v>
      </c>
      <c r="Q4700" t="s">
        <v>113</v>
      </c>
    </row>
    <row r="4701" spans="1:17" x14ac:dyDescent="0.3">
      <c r="A4701" t="s">
        <v>17</v>
      </c>
      <c r="B4701">
        <v>68</v>
      </c>
      <c r="C4701" t="s">
        <v>34</v>
      </c>
      <c r="D4701" s="2">
        <v>46157</v>
      </c>
      <c r="E4701" s="3">
        <f t="shared" si="73"/>
        <v>46143</v>
      </c>
      <c r="F4701" t="s">
        <v>3758</v>
      </c>
      <c r="G4701" t="s">
        <v>122</v>
      </c>
      <c r="H4701" s="4">
        <v>43.99</v>
      </c>
      <c r="I4701" t="s">
        <v>108</v>
      </c>
      <c r="J4701" t="s">
        <v>109</v>
      </c>
      <c r="K4701" t="s">
        <v>3759</v>
      </c>
      <c r="L4701" s="2">
        <v>46143</v>
      </c>
      <c r="M4701" t="s">
        <v>109</v>
      </c>
      <c r="N4701">
        <v>0</v>
      </c>
      <c r="O4701" t="s">
        <v>111</v>
      </c>
      <c r="P4701" t="s">
        <v>112</v>
      </c>
      <c r="Q4701" t="s">
        <v>113</v>
      </c>
    </row>
    <row r="4702" spans="1:17" x14ac:dyDescent="0.3">
      <c r="A4702" t="s">
        <v>17</v>
      </c>
      <c r="B4702">
        <v>68</v>
      </c>
      <c r="C4702" t="s">
        <v>34</v>
      </c>
      <c r="D4702" s="2">
        <v>46157</v>
      </c>
      <c r="E4702" s="3">
        <f t="shared" si="73"/>
        <v>46143</v>
      </c>
      <c r="F4702" t="s">
        <v>3758</v>
      </c>
      <c r="G4702" t="s">
        <v>122</v>
      </c>
      <c r="H4702" s="4">
        <v>17.5</v>
      </c>
      <c r="I4702" t="s">
        <v>108</v>
      </c>
      <c r="J4702" t="s">
        <v>109</v>
      </c>
      <c r="K4702" t="s">
        <v>3759</v>
      </c>
      <c r="L4702" s="2">
        <v>46143</v>
      </c>
      <c r="M4702" t="s">
        <v>109</v>
      </c>
      <c r="N4702">
        <v>0</v>
      </c>
      <c r="O4702" t="s">
        <v>111</v>
      </c>
      <c r="P4702" t="s">
        <v>112</v>
      </c>
      <c r="Q4702" t="s">
        <v>113</v>
      </c>
    </row>
    <row r="4703" spans="1:17" x14ac:dyDescent="0.3">
      <c r="A4703" t="s">
        <v>17</v>
      </c>
      <c r="B4703">
        <v>68</v>
      </c>
      <c r="C4703" t="s">
        <v>34</v>
      </c>
      <c r="D4703" s="2">
        <v>46157</v>
      </c>
      <c r="E4703" s="3">
        <f t="shared" si="73"/>
        <v>46143</v>
      </c>
      <c r="F4703" t="s">
        <v>3758</v>
      </c>
      <c r="G4703" t="s">
        <v>122</v>
      </c>
      <c r="H4703" s="4">
        <v>1.34</v>
      </c>
      <c r="I4703" t="s">
        <v>108</v>
      </c>
      <c r="J4703" t="s">
        <v>109</v>
      </c>
      <c r="K4703" t="s">
        <v>3759</v>
      </c>
      <c r="L4703" s="2">
        <v>46143</v>
      </c>
      <c r="M4703" t="s">
        <v>109</v>
      </c>
      <c r="N4703">
        <v>0</v>
      </c>
      <c r="O4703" t="s">
        <v>111</v>
      </c>
      <c r="P4703" t="s">
        <v>112</v>
      </c>
      <c r="Q4703" t="s">
        <v>113</v>
      </c>
    </row>
    <row r="4704" spans="1:17" x14ac:dyDescent="0.3">
      <c r="A4704" t="s">
        <v>17</v>
      </c>
      <c r="B4704">
        <v>68</v>
      </c>
      <c r="C4704" t="s">
        <v>34</v>
      </c>
      <c r="D4704" s="2">
        <v>46157</v>
      </c>
      <c r="E4704" s="3">
        <f t="shared" si="73"/>
        <v>46143</v>
      </c>
      <c r="F4704" t="s">
        <v>3760</v>
      </c>
      <c r="G4704" t="s">
        <v>122</v>
      </c>
      <c r="H4704" s="4">
        <v>15</v>
      </c>
      <c r="I4704" t="s">
        <v>108</v>
      </c>
      <c r="J4704" t="s">
        <v>109</v>
      </c>
      <c r="K4704" t="s">
        <v>3761</v>
      </c>
      <c r="L4704" s="2">
        <v>46143</v>
      </c>
      <c r="M4704" t="s">
        <v>109</v>
      </c>
      <c r="N4704">
        <v>0</v>
      </c>
      <c r="O4704" t="s">
        <v>111</v>
      </c>
      <c r="P4704" t="s">
        <v>112</v>
      </c>
      <c r="Q4704" t="s">
        <v>113</v>
      </c>
    </row>
    <row r="4705" spans="1:17" x14ac:dyDescent="0.3">
      <c r="A4705" t="s">
        <v>17</v>
      </c>
      <c r="B4705">
        <v>68</v>
      </c>
      <c r="C4705" t="s">
        <v>34</v>
      </c>
      <c r="D4705" s="2">
        <v>46157</v>
      </c>
      <c r="E4705" s="3">
        <f t="shared" si="73"/>
        <v>46143</v>
      </c>
      <c r="F4705" t="s">
        <v>3760</v>
      </c>
      <c r="G4705" t="s">
        <v>122</v>
      </c>
      <c r="H4705" s="4">
        <v>441.61</v>
      </c>
      <c r="I4705" t="s">
        <v>108</v>
      </c>
      <c r="J4705" t="s">
        <v>109</v>
      </c>
      <c r="K4705" t="s">
        <v>1450</v>
      </c>
      <c r="L4705" s="2">
        <v>46143</v>
      </c>
      <c r="M4705" t="s">
        <v>109</v>
      </c>
      <c r="N4705">
        <v>0</v>
      </c>
      <c r="O4705" t="s">
        <v>111</v>
      </c>
      <c r="P4705" t="s">
        <v>112</v>
      </c>
      <c r="Q4705" t="s">
        <v>113</v>
      </c>
    </row>
    <row r="4706" spans="1:17" x14ac:dyDescent="0.3">
      <c r="A4706" t="s">
        <v>17</v>
      </c>
      <c r="B4706">
        <v>68</v>
      </c>
      <c r="C4706" t="s">
        <v>34</v>
      </c>
      <c r="D4706" s="2">
        <v>46157</v>
      </c>
      <c r="E4706" s="3">
        <f t="shared" si="73"/>
        <v>46143</v>
      </c>
      <c r="F4706" t="s">
        <v>3760</v>
      </c>
      <c r="G4706" t="s">
        <v>122</v>
      </c>
      <c r="H4706" s="4">
        <v>17.5</v>
      </c>
      <c r="I4706" t="s">
        <v>108</v>
      </c>
      <c r="J4706" t="s">
        <v>109</v>
      </c>
      <c r="K4706" t="s">
        <v>3082</v>
      </c>
      <c r="L4706" s="2">
        <v>46143</v>
      </c>
      <c r="M4706" t="s">
        <v>109</v>
      </c>
      <c r="N4706">
        <v>0</v>
      </c>
      <c r="O4706" t="s">
        <v>111</v>
      </c>
      <c r="P4706" t="s">
        <v>112</v>
      </c>
      <c r="Q4706" t="s">
        <v>113</v>
      </c>
    </row>
    <row r="4707" spans="1:17" x14ac:dyDescent="0.3">
      <c r="A4707" t="s">
        <v>17</v>
      </c>
      <c r="B4707">
        <v>68</v>
      </c>
      <c r="C4707" t="s">
        <v>34</v>
      </c>
      <c r="D4707" s="2">
        <v>46157</v>
      </c>
      <c r="E4707" s="3">
        <f t="shared" si="73"/>
        <v>46143</v>
      </c>
      <c r="F4707" t="s">
        <v>3760</v>
      </c>
      <c r="G4707" t="s">
        <v>122</v>
      </c>
      <c r="H4707" s="4">
        <v>1.34</v>
      </c>
      <c r="I4707" t="s">
        <v>108</v>
      </c>
      <c r="J4707" t="s">
        <v>109</v>
      </c>
      <c r="K4707" t="s">
        <v>2579</v>
      </c>
      <c r="L4707" s="2">
        <v>46143</v>
      </c>
      <c r="M4707" t="s">
        <v>109</v>
      </c>
      <c r="N4707">
        <v>0</v>
      </c>
      <c r="O4707" t="s">
        <v>111</v>
      </c>
      <c r="P4707" t="s">
        <v>112</v>
      </c>
      <c r="Q4707" t="s">
        <v>113</v>
      </c>
    </row>
    <row r="4708" spans="1:17" x14ac:dyDescent="0.3">
      <c r="A4708" t="s">
        <v>17</v>
      </c>
      <c r="B4708">
        <v>68</v>
      </c>
      <c r="C4708" t="s">
        <v>34</v>
      </c>
      <c r="D4708" s="2">
        <v>46157</v>
      </c>
      <c r="E4708" s="3">
        <f t="shared" si="73"/>
        <v>46143</v>
      </c>
      <c r="F4708" t="s">
        <v>3760</v>
      </c>
      <c r="G4708" t="s">
        <v>122</v>
      </c>
      <c r="H4708" s="4">
        <v>0.15</v>
      </c>
      <c r="I4708" t="s">
        <v>108</v>
      </c>
      <c r="J4708" t="s">
        <v>109</v>
      </c>
      <c r="K4708" t="s">
        <v>3762</v>
      </c>
      <c r="L4708" s="2">
        <v>46143</v>
      </c>
      <c r="M4708" t="s">
        <v>109</v>
      </c>
      <c r="N4708">
        <v>0</v>
      </c>
      <c r="O4708" t="s">
        <v>111</v>
      </c>
      <c r="P4708" t="s">
        <v>112</v>
      </c>
      <c r="Q4708" t="s">
        <v>113</v>
      </c>
    </row>
    <row r="4709" spans="1:17" x14ac:dyDescent="0.3">
      <c r="A4709" t="s">
        <v>17</v>
      </c>
      <c r="B4709">
        <v>68</v>
      </c>
      <c r="C4709" t="s">
        <v>34</v>
      </c>
      <c r="D4709" s="2">
        <v>46157</v>
      </c>
      <c r="E4709" s="3">
        <f t="shared" si="73"/>
        <v>46143</v>
      </c>
      <c r="F4709" t="s">
        <v>3760</v>
      </c>
      <c r="G4709" t="s">
        <v>122</v>
      </c>
      <c r="H4709" s="4">
        <v>33.58</v>
      </c>
      <c r="I4709" t="s">
        <v>108</v>
      </c>
      <c r="J4709" t="s">
        <v>109</v>
      </c>
      <c r="K4709" t="s">
        <v>3763</v>
      </c>
      <c r="L4709" s="2">
        <v>46143</v>
      </c>
      <c r="M4709" t="s">
        <v>109</v>
      </c>
      <c r="N4709">
        <v>0</v>
      </c>
      <c r="O4709" t="s">
        <v>111</v>
      </c>
      <c r="P4709" t="s">
        <v>112</v>
      </c>
      <c r="Q4709" t="s">
        <v>113</v>
      </c>
    </row>
    <row r="4710" spans="1:17" x14ac:dyDescent="0.3">
      <c r="A4710" t="s">
        <v>17</v>
      </c>
      <c r="B4710">
        <v>67</v>
      </c>
      <c r="C4710" t="s">
        <v>28</v>
      </c>
      <c r="D4710" s="2">
        <v>46157</v>
      </c>
      <c r="E4710" s="3">
        <f t="shared" si="73"/>
        <v>46143</v>
      </c>
      <c r="F4710" t="s">
        <v>3764</v>
      </c>
      <c r="H4710" s="4">
        <v>-19.55</v>
      </c>
      <c r="I4710" t="s">
        <v>31</v>
      </c>
      <c r="J4710" t="s">
        <v>60</v>
      </c>
      <c r="L4710" s="2">
        <v>46143</v>
      </c>
      <c r="M4710" t="s">
        <v>60</v>
      </c>
      <c r="N4710">
        <v>0</v>
      </c>
      <c r="O4710" t="s">
        <v>31</v>
      </c>
      <c r="P4710" t="s">
        <v>28</v>
      </c>
      <c r="Q4710">
        <v>0</v>
      </c>
    </row>
    <row r="4711" spans="1:17" x14ac:dyDescent="0.3">
      <c r="A4711" t="s">
        <v>17</v>
      </c>
      <c r="B4711">
        <v>67</v>
      </c>
      <c r="C4711" t="s">
        <v>28</v>
      </c>
      <c r="D4711" s="2">
        <v>46157</v>
      </c>
      <c r="E4711" s="3">
        <f t="shared" si="73"/>
        <v>46143</v>
      </c>
      <c r="F4711" t="s">
        <v>3764</v>
      </c>
      <c r="H4711" s="4">
        <v>-18.22</v>
      </c>
      <c r="I4711" t="s">
        <v>31</v>
      </c>
      <c r="J4711" t="s">
        <v>60</v>
      </c>
      <c r="L4711" s="2">
        <v>46143</v>
      </c>
      <c r="M4711" t="s">
        <v>60</v>
      </c>
      <c r="N4711">
        <v>0</v>
      </c>
      <c r="O4711" t="s">
        <v>31</v>
      </c>
      <c r="P4711" t="s">
        <v>28</v>
      </c>
      <c r="Q4711">
        <v>0</v>
      </c>
    </row>
    <row r="4712" spans="1:17" x14ac:dyDescent="0.3">
      <c r="A4712" t="s">
        <v>17</v>
      </c>
      <c r="B4712">
        <v>67</v>
      </c>
      <c r="C4712" t="s">
        <v>28</v>
      </c>
      <c r="D4712" s="2">
        <v>46157</v>
      </c>
      <c r="E4712" s="3">
        <f t="shared" si="73"/>
        <v>46143</v>
      </c>
      <c r="F4712" t="s">
        <v>3764</v>
      </c>
      <c r="H4712" s="4">
        <v>-100.75</v>
      </c>
      <c r="I4712" t="s">
        <v>31</v>
      </c>
      <c r="J4712" t="s">
        <v>60</v>
      </c>
      <c r="L4712" s="2">
        <v>46143</v>
      </c>
      <c r="M4712" t="s">
        <v>60</v>
      </c>
      <c r="N4712">
        <v>0</v>
      </c>
      <c r="O4712" t="s">
        <v>31</v>
      </c>
      <c r="P4712" t="s">
        <v>28</v>
      </c>
      <c r="Q4712">
        <v>0</v>
      </c>
    </row>
    <row r="4713" spans="1:17" x14ac:dyDescent="0.3">
      <c r="A4713" t="s">
        <v>17</v>
      </c>
      <c r="B4713">
        <v>67</v>
      </c>
      <c r="C4713" t="s">
        <v>28</v>
      </c>
      <c r="D4713" s="2">
        <v>46157</v>
      </c>
      <c r="E4713" s="3">
        <f t="shared" si="73"/>
        <v>46143</v>
      </c>
      <c r="F4713" t="s">
        <v>3764</v>
      </c>
      <c r="H4713" s="4">
        <v>-15.23</v>
      </c>
      <c r="I4713" t="s">
        <v>31</v>
      </c>
      <c r="J4713" t="s">
        <v>60</v>
      </c>
      <c r="L4713" s="2">
        <v>46143</v>
      </c>
      <c r="M4713" t="s">
        <v>60</v>
      </c>
      <c r="N4713">
        <v>0</v>
      </c>
      <c r="O4713" t="s">
        <v>31</v>
      </c>
      <c r="P4713" t="s">
        <v>28</v>
      </c>
      <c r="Q4713">
        <v>0</v>
      </c>
    </row>
    <row r="4714" spans="1:17" x14ac:dyDescent="0.3">
      <c r="A4714" t="s">
        <v>17</v>
      </c>
      <c r="B4714">
        <v>67</v>
      </c>
      <c r="C4714" t="s">
        <v>28</v>
      </c>
      <c r="D4714" s="2">
        <v>46157</v>
      </c>
      <c r="E4714" s="3">
        <f t="shared" si="73"/>
        <v>46143</v>
      </c>
      <c r="F4714" t="s">
        <v>3764</v>
      </c>
      <c r="H4714" s="4">
        <v>-1.3</v>
      </c>
      <c r="I4714" t="s">
        <v>31</v>
      </c>
      <c r="J4714" t="s">
        <v>60</v>
      </c>
      <c r="L4714" s="2">
        <v>46143</v>
      </c>
      <c r="M4714" t="s">
        <v>60</v>
      </c>
      <c r="N4714">
        <v>0</v>
      </c>
      <c r="O4714" t="s">
        <v>31</v>
      </c>
      <c r="P4714" t="s">
        <v>28</v>
      </c>
      <c r="Q4714">
        <v>0</v>
      </c>
    </row>
    <row r="4715" spans="1:17" x14ac:dyDescent="0.3">
      <c r="A4715" t="s">
        <v>17</v>
      </c>
      <c r="B4715">
        <v>67</v>
      </c>
      <c r="C4715" t="s">
        <v>28</v>
      </c>
      <c r="D4715" s="2">
        <v>46157</v>
      </c>
      <c r="E4715" s="3">
        <f t="shared" si="73"/>
        <v>46143</v>
      </c>
      <c r="F4715" t="s">
        <v>3764</v>
      </c>
      <c r="H4715" s="4">
        <v>-57.57</v>
      </c>
      <c r="I4715" t="s">
        <v>31</v>
      </c>
      <c r="J4715" t="s">
        <v>60</v>
      </c>
      <c r="L4715" s="2">
        <v>46143</v>
      </c>
      <c r="M4715" t="s">
        <v>60</v>
      </c>
      <c r="N4715">
        <v>0</v>
      </c>
      <c r="O4715" t="s">
        <v>31</v>
      </c>
      <c r="P4715" t="s">
        <v>28</v>
      </c>
      <c r="Q4715">
        <v>0</v>
      </c>
    </row>
    <row r="4716" spans="1:17" x14ac:dyDescent="0.3">
      <c r="A4716" t="s">
        <v>17</v>
      </c>
      <c r="B4716">
        <v>67</v>
      </c>
      <c r="C4716" t="s">
        <v>28</v>
      </c>
      <c r="D4716" s="2">
        <v>46157</v>
      </c>
      <c r="E4716" s="3">
        <f t="shared" si="73"/>
        <v>46143</v>
      </c>
      <c r="F4716" t="s">
        <v>3764</v>
      </c>
      <c r="H4716" s="4">
        <v>-98.15</v>
      </c>
      <c r="I4716" t="s">
        <v>31</v>
      </c>
      <c r="J4716" t="s">
        <v>60</v>
      </c>
      <c r="L4716" s="2">
        <v>46143</v>
      </c>
      <c r="M4716" t="s">
        <v>60</v>
      </c>
      <c r="N4716">
        <v>0</v>
      </c>
      <c r="O4716" t="s">
        <v>31</v>
      </c>
      <c r="P4716" t="s">
        <v>28</v>
      </c>
      <c r="Q4716">
        <v>0</v>
      </c>
    </row>
    <row r="4717" spans="1:17" x14ac:dyDescent="0.3">
      <c r="A4717" t="s">
        <v>17</v>
      </c>
      <c r="B4717">
        <v>67</v>
      </c>
      <c r="C4717" t="s">
        <v>28</v>
      </c>
      <c r="D4717" s="2">
        <v>46157</v>
      </c>
      <c r="E4717" s="3">
        <f t="shared" si="73"/>
        <v>46143</v>
      </c>
      <c r="F4717" t="s">
        <v>3764</v>
      </c>
      <c r="H4717" s="4">
        <v>-42.71</v>
      </c>
      <c r="I4717" t="s">
        <v>31</v>
      </c>
      <c r="J4717" t="s">
        <v>60</v>
      </c>
      <c r="L4717" s="2">
        <v>46143</v>
      </c>
      <c r="M4717" t="s">
        <v>60</v>
      </c>
      <c r="N4717">
        <v>0</v>
      </c>
      <c r="O4717" t="s">
        <v>31</v>
      </c>
      <c r="P4717" t="s">
        <v>28</v>
      </c>
      <c r="Q4717">
        <v>0</v>
      </c>
    </row>
    <row r="4718" spans="1:17" x14ac:dyDescent="0.3">
      <c r="A4718" t="s">
        <v>17</v>
      </c>
      <c r="B4718">
        <v>67</v>
      </c>
      <c r="C4718" t="s">
        <v>28</v>
      </c>
      <c r="D4718" s="2">
        <v>46157</v>
      </c>
      <c r="E4718" s="3">
        <f t="shared" si="73"/>
        <v>46143</v>
      </c>
      <c r="F4718" t="s">
        <v>3765</v>
      </c>
      <c r="G4718" t="s">
        <v>3766</v>
      </c>
      <c r="H4718" s="4">
        <v>2.0699999999999998</v>
      </c>
      <c r="I4718" t="s">
        <v>31</v>
      </c>
      <c r="J4718" t="s">
        <v>64</v>
      </c>
      <c r="K4718" t="s">
        <v>3767</v>
      </c>
      <c r="L4718" s="2">
        <v>46143</v>
      </c>
      <c r="M4718" t="s">
        <v>64</v>
      </c>
      <c r="N4718">
        <v>0</v>
      </c>
      <c r="O4718" t="s">
        <v>31</v>
      </c>
      <c r="P4718" t="s">
        <v>28</v>
      </c>
      <c r="Q4718">
        <v>0</v>
      </c>
    </row>
    <row r="4719" spans="1:17" x14ac:dyDescent="0.3">
      <c r="A4719" t="s">
        <v>17</v>
      </c>
      <c r="B4719">
        <v>67</v>
      </c>
      <c r="C4719" t="s">
        <v>28</v>
      </c>
      <c r="D4719" s="2">
        <v>46157</v>
      </c>
      <c r="E4719" s="3">
        <f t="shared" si="73"/>
        <v>46143</v>
      </c>
      <c r="F4719" t="s">
        <v>3768</v>
      </c>
      <c r="H4719" s="4">
        <v>240.28</v>
      </c>
      <c r="I4719" t="s">
        <v>31</v>
      </c>
      <c r="J4719" t="s">
        <v>64</v>
      </c>
      <c r="K4719" t="s">
        <v>168</v>
      </c>
      <c r="L4719" s="2">
        <v>46143</v>
      </c>
      <c r="M4719" t="s">
        <v>64</v>
      </c>
      <c r="N4719">
        <v>0</v>
      </c>
      <c r="O4719" t="s">
        <v>31</v>
      </c>
      <c r="P4719" t="s">
        <v>28</v>
      </c>
      <c r="Q4719">
        <v>0</v>
      </c>
    </row>
    <row r="4720" spans="1:17" x14ac:dyDescent="0.3">
      <c r="A4720" t="s">
        <v>17</v>
      </c>
      <c r="B4720">
        <v>68</v>
      </c>
      <c r="C4720" t="s">
        <v>34</v>
      </c>
      <c r="D4720" s="2">
        <v>46157</v>
      </c>
      <c r="E4720" s="3">
        <f t="shared" si="73"/>
        <v>46143</v>
      </c>
      <c r="F4720" t="s">
        <v>3769</v>
      </c>
      <c r="H4720" s="4">
        <v>1727.39</v>
      </c>
      <c r="I4720" t="s">
        <v>31</v>
      </c>
      <c r="J4720" t="s">
        <v>613</v>
      </c>
      <c r="K4720" t="s">
        <v>3770</v>
      </c>
      <c r="L4720" s="2">
        <v>46143</v>
      </c>
      <c r="M4720" t="s">
        <v>613</v>
      </c>
      <c r="N4720">
        <v>0</v>
      </c>
      <c r="O4720" t="s">
        <v>31</v>
      </c>
      <c r="P4720" t="s">
        <v>34</v>
      </c>
      <c r="Q4720">
        <v>0</v>
      </c>
    </row>
    <row r="4721" spans="1:17" x14ac:dyDescent="0.3">
      <c r="A4721" t="s">
        <v>17</v>
      </c>
      <c r="B4721">
        <v>68</v>
      </c>
      <c r="C4721" t="s">
        <v>34</v>
      </c>
      <c r="D4721" s="2">
        <v>46158</v>
      </c>
      <c r="E4721" s="3">
        <f t="shared" si="73"/>
        <v>46143</v>
      </c>
      <c r="F4721" t="s">
        <v>3771</v>
      </c>
      <c r="G4721" t="s">
        <v>122</v>
      </c>
      <c r="H4721" s="4">
        <v>5.58</v>
      </c>
      <c r="I4721" t="s">
        <v>108</v>
      </c>
      <c r="J4721" t="s">
        <v>109</v>
      </c>
      <c r="K4721" t="s">
        <v>3759</v>
      </c>
      <c r="L4721" s="2">
        <v>46143</v>
      </c>
      <c r="M4721" t="s">
        <v>109</v>
      </c>
      <c r="N4721">
        <v>0</v>
      </c>
      <c r="O4721" t="s">
        <v>111</v>
      </c>
      <c r="P4721" t="s">
        <v>112</v>
      </c>
      <c r="Q4721" t="s">
        <v>113</v>
      </c>
    </row>
    <row r="4722" spans="1:17" x14ac:dyDescent="0.3">
      <c r="A4722" t="s">
        <v>17</v>
      </c>
      <c r="B4722">
        <v>68</v>
      </c>
      <c r="C4722" t="s">
        <v>34</v>
      </c>
      <c r="D4722" s="2">
        <v>46158</v>
      </c>
      <c r="E4722" s="3">
        <f t="shared" si="73"/>
        <v>46143</v>
      </c>
      <c r="F4722" t="s">
        <v>3771</v>
      </c>
      <c r="G4722" t="s">
        <v>122</v>
      </c>
      <c r="H4722" s="4">
        <v>17.5</v>
      </c>
      <c r="I4722" t="s">
        <v>108</v>
      </c>
      <c r="J4722" t="s">
        <v>109</v>
      </c>
      <c r="K4722" t="s">
        <v>3759</v>
      </c>
      <c r="L4722" s="2">
        <v>46143</v>
      </c>
      <c r="M4722" t="s">
        <v>109</v>
      </c>
      <c r="N4722">
        <v>0</v>
      </c>
      <c r="O4722" t="s">
        <v>111</v>
      </c>
      <c r="P4722" t="s">
        <v>112</v>
      </c>
      <c r="Q4722" t="s">
        <v>113</v>
      </c>
    </row>
    <row r="4723" spans="1:17" x14ac:dyDescent="0.3">
      <c r="A4723" t="s">
        <v>17</v>
      </c>
      <c r="B4723">
        <v>68</v>
      </c>
      <c r="C4723" t="s">
        <v>34</v>
      </c>
      <c r="D4723" s="2">
        <v>46158</v>
      </c>
      <c r="E4723" s="3">
        <f t="shared" si="73"/>
        <v>46143</v>
      </c>
      <c r="F4723" t="s">
        <v>3771</v>
      </c>
      <c r="G4723" t="s">
        <v>122</v>
      </c>
      <c r="H4723" s="4">
        <v>1.34</v>
      </c>
      <c r="I4723" t="s">
        <v>108</v>
      </c>
      <c r="J4723" t="s">
        <v>109</v>
      </c>
      <c r="K4723" t="s">
        <v>3759</v>
      </c>
      <c r="L4723" s="2">
        <v>46143</v>
      </c>
      <c r="M4723" t="s">
        <v>109</v>
      </c>
      <c r="N4723">
        <v>0</v>
      </c>
      <c r="O4723" t="s">
        <v>111</v>
      </c>
      <c r="P4723" t="s">
        <v>112</v>
      </c>
      <c r="Q4723" t="s">
        <v>113</v>
      </c>
    </row>
    <row r="4724" spans="1:17" x14ac:dyDescent="0.3">
      <c r="A4724" t="s">
        <v>17</v>
      </c>
      <c r="B4724">
        <v>68</v>
      </c>
      <c r="C4724" t="s">
        <v>34</v>
      </c>
      <c r="D4724" s="2">
        <v>46158</v>
      </c>
      <c r="E4724" s="3">
        <f t="shared" si="73"/>
        <v>46143</v>
      </c>
      <c r="F4724" t="s">
        <v>3772</v>
      </c>
      <c r="G4724" t="s">
        <v>122</v>
      </c>
      <c r="H4724" s="4">
        <v>1.4</v>
      </c>
      <c r="I4724" t="s">
        <v>108</v>
      </c>
      <c r="J4724" t="s">
        <v>109</v>
      </c>
      <c r="K4724" t="s">
        <v>3759</v>
      </c>
      <c r="L4724" s="2">
        <v>46143</v>
      </c>
      <c r="M4724" t="s">
        <v>109</v>
      </c>
      <c r="N4724">
        <v>0</v>
      </c>
      <c r="O4724" t="s">
        <v>111</v>
      </c>
      <c r="P4724" t="s">
        <v>112</v>
      </c>
      <c r="Q4724" t="s">
        <v>113</v>
      </c>
    </row>
    <row r="4725" spans="1:17" x14ac:dyDescent="0.3">
      <c r="A4725" t="s">
        <v>17</v>
      </c>
      <c r="B4725">
        <v>68</v>
      </c>
      <c r="C4725" t="s">
        <v>34</v>
      </c>
      <c r="D4725" s="2">
        <v>46158</v>
      </c>
      <c r="E4725" s="3">
        <f t="shared" si="73"/>
        <v>46143</v>
      </c>
      <c r="F4725" t="s">
        <v>3772</v>
      </c>
      <c r="G4725" t="s">
        <v>122</v>
      </c>
      <c r="H4725" s="4">
        <v>17.5</v>
      </c>
      <c r="I4725" t="s">
        <v>108</v>
      </c>
      <c r="J4725" t="s">
        <v>109</v>
      </c>
      <c r="K4725" t="s">
        <v>3759</v>
      </c>
      <c r="L4725" s="2">
        <v>46143</v>
      </c>
      <c r="M4725" t="s">
        <v>109</v>
      </c>
      <c r="N4725">
        <v>0</v>
      </c>
      <c r="O4725" t="s">
        <v>111</v>
      </c>
      <c r="P4725" t="s">
        <v>112</v>
      </c>
      <c r="Q4725" t="s">
        <v>113</v>
      </c>
    </row>
    <row r="4726" spans="1:17" x14ac:dyDescent="0.3">
      <c r="A4726" t="s">
        <v>17</v>
      </c>
      <c r="B4726">
        <v>68</v>
      </c>
      <c r="C4726" t="s">
        <v>34</v>
      </c>
      <c r="D4726" s="2">
        <v>46158</v>
      </c>
      <c r="E4726" s="3">
        <f t="shared" si="73"/>
        <v>46143</v>
      </c>
      <c r="F4726" t="s">
        <v>3772</v>
      </c>
      <c r="G4726" t="s">
        <v>122</v>
      </c>
      <c r="H4726" s="4">
        <v>1.34</v>
      </c>
      <c r="I4726" t="s">
        <v>108</v>
      </c>
      <c r="J4726" t="s">
        <v>109</v>
      </c>
      <c r="K4726" t="s">
        <v>3759</v>
      </c>
      <c r="L4726" s="2">
        <v>46143</v>
      </c>
      <c r="M4726" t="s">
        <v>109</v>
      </c>
      <c r="N4726">
        <v>0</v>
      </c>
      <c r="O4726" t="s">
        <v>111</v>
      </c>
      <c r="P4726" t="s">
        <v>112</v>
      </c>
      <c r="Q4726" t="s">
        <v>113</v>
      </c>
    </row>
    <row r="4727" spans="1:17" x14ac:dyDescent="0.3">
      <c r="A4727" t="s">
        <v>17</v>
      </c>
      <c r="B4727">
        <v>68</v>
      </c>
      <c r="C4727" t="s">
        <v>34</v>
      </c>
      <c r="D4727" s="2">
        <v>46160</v>
      </c>
      <c r="E4727" s="3">
        <f t="shared" si="73"/>
        <v>46143</v>
      </c>
      <c r="F4727" t="s">
        <v>3773</v>
      </c>
      <c r="G4727" t="s">
        <v>122</v>
      </c>
      <c r="H4727" s="4">
        <v>2.48</v>
      </c>
      <c r="I4727" t="s">
        <v>108</v>
      </c>
      <c r="J4727" t="s">
        <v>109</v>
      </c>
      <c r="K4727" t="s">
        <v>3759</v>
      </c>
      <c r="L4727" s="2">
        <v>46143</v>
      </c>
      <c r="M4727" t="s">
        <v>109</v>
      </c>
      <c r="N4727">
        <v>0</v>
      </c>
      <c r="O4727" t="s">
        <v>111</v>
      </c>
      <c r="P4727" t="s">
        <v>112</v>
      </c>
      <c r="Q4727" t="s">
        <v>113</v>
      </c>
    </row>
    <row r="4728" spans="1:17" x14ac:dyDescent="0.3">
      <c r="A4728" t="s">
        <v>17</v>
      </c>
      <c r="B4728">
        <v>68</v>
      </c>
      <c r="C4728" t="s">
        <v>34</v>
      </c>
      <c r="D4728" s="2">
        <v>46160</v>
      </c>
      <c r="E4728" s="3">
        <f t="shared" si="73"/>
        <v>46143</v>
      </c>
      <c r="F4728" t="s">
        <v>3773</v>
      </c>
      <c r="G4728" t="s">
        <v>122</v>
      </c>
      <c r="H4728" s="4">
        <v>17.5</v>
      </c>
      <c r="I4728" t="s">
        <v>108</v>
      </c>
      <c r="J4728" t="s">
        <v>109</v>
      </c>
      <c r="K4728" t="s">
        <v>3759</v>
      </c>
      <c r="L4728" s="2">
        <v>46143</v>
      </c>
      <c r="M4728" t="s">
        <v>109</v>
      </c>
      <c r="N4728">
        <v>0</v>
      </c>
      <c r="O4728" t="s">
        <v>111</v>
      </c>
      <c r="P4728" t="s">
        <v>112</v>
      </c>
      <c r="Q4728" t="s">
        <v>113</v>
      </c>
    </row>
    <row r="4729" spans="1:17" x14ac:dyDescent="0.3">
      <c r="A4729" t="s">
        <v>17</v>
      </c>
      <c r="B4729">
        <v>68</v>
      </c>
      <c r="C4729" t="s">
        <v>34</v>
      </c>
      <c r="D4729" s="2">
        <v>46160</v>
      </c>
      <c r="E4729" s="3">
        <f t="shared" si="73"/>
        <v>46143</v>
      </c>
      <c r="F4729" t="s">
        <v>3773</v>
      </c>
      <c r="G4729" t="s">
        <v>122</v>
      </c>
      <c r="H4729" s="4">
        <v>1.34</v>
      </c>
      <c r="I4729" t="s">
        <v>108</v>
      </c>
      <c r="J4729" t="s">
        <v>109</v>
      </c>
      <c r="K4729" t="s">
        <v>3759</v>
      </c>
      <c r="L4729" s="2">
        <v>46143</v>
      </c>
      <c r="M4729" t="s">
        <v>109</v>
      </c>
      <c r="N4729">
        <v>0</v>
      </c>
      <c r="O4729" t="s">
        <v>111</v>
      </c>
      <c r="P4729" t="s">
        <v>112</v>
      </c>
      <c r="Q4729" t="s">
        <v>113</v>
      </c>
    </row>
    <row r="4730" spans="1:17" x14ac:dyDescent="0.3">
      <c r="A4730" t="s">
        <v>17</v>
      </c>
      <c r="B4730">
        <v>63</v>
      </c>
      <c r="C4730" t="s">
        <v>18</v>
      </c>
      <c r="D4730" s="2">
        <v>46161</v>
      </c>
      <c r="E4730" s="3">
        <f t="shared" si="73"/>
        <v>46143</v>
      </c>
      <c r="F4730">
        <v>852775</v>
      </c>
      <c r="G4730" t="s">
        <v>125</v>
      </c>
      <c r="H4730" s="4">
        <v>110</v>
      </c>
      <c r="I4730" t="s">
        <v>47</v>
      </c>
      <c r="J4730" t="s">
        <v>22</v>
      </c>
      <c r="K4730" t="s">
        <v>3774</v>
      </c>
      <c r="L4730" s="2">
        <v>46143</v>
      </c>
      <c r="M4730" t="s">
        <v>24</v>
      </c>
      <c r="N4730">
        <v>0</v>
      </c>
      <c r="O4730" t="s">
        <v>26</v>
      </c>
      <c r="P4730" t="s">
        <v>18</v>
      </c>
      <c r="Q4730" t="s">
        <v>27</v>
      </c>
    </row>
    <row r="4731" spans="1:17" x14ac:dyDescent="0.3">
      <c r="A4731" t="s">
        <v>17</v>
      </c>
      <c r="B4731">
        <v>63</v>
      </c>
      <c r="C4731" t="s">
        <v>18</v>
      </c>
      <c r="D4731" s="2">
        <v>46161</v>
      </c>
      <c r="E4731" s="3">
        <f t="shared" si="73"/>
        <v>46143</v>
      </c>
      <c r="F4731">
        <v>852775</v>
      </c>
      <c r="G4731" t="s">
        <v>125</v>
      </c>
      <c r="H4731" s="4">
        <v>550</v>
      </c>
      <c r="I4731" t="s">
        <v>47</v>
      </c>
      <c r="J4731" t="s">
        <v>22</v>
      </c>
      <c r="K4731" t="s">
        <v>3775</v>
      </c>
      <c r="L4731" s="2">
        <v>46143</v>
      </c>
      <c r="M4731" t="s">
        <v>24</v>
      </c>
      <c r="N4731">
        <v>0</v>
      </c>
      <c r="O4731" t="s">
        <v>26</v>
      </c>
      <c r="P4731" t="s">
        <v>18</v>
      </c>
      <c r="Q4731" t="s">
        <v>27</v>
      </c>
    </row>
    <row r="4732" spans="1:17" x14ac:dyDescent="0.3">
      <c r="A4732" t="s">
        <v>17</v>
      </c>
      <c r="B4732">
        <v>68</v>
      </c>
      <c r="C4732" t="s">
        <v>34</v>
      </c>
      <c r="D4732" s="2">
        <v>46161</v>
      </c>
      <c r="E4732" s="3">
        <f t="shared" si="73"/>
        <v>46143</v>
      </c>
      <c r="F4732" t="s">
        <v>3776</v>
      </c>
      <c r="G4732" t="s">
        <v>122</v>
      </c>
      <c r="H4732" s="4">
        <v>22.02</v>
      </c>
      <c r="I4732" t="s">
        <v>108</v>
      </c>
      <c r="J4732" t="s">
        <v>109</v>
      </c>
      <c r="K4732" t="s">
        <v>3759</v>
      </c>
      <c r="L4732" s="2">
        <v>46143</v>
      </c>
      <c r="M4732" t="s">
        <v>109</v>
      </c>
      <c r="N4732">
        <v>0</v>
      </c>
      <c r="O4732" t="s">
        <v>111</v>
      </c>
      <c r="P4732" t="s">
        <v>112</v>
      </c>
      <c r="Q4732" t="s">
        <v>113</v>
      </c>
    </row>
    <row r="4733" spans="1:17" x14ac:dyDescent="0.3">
      <c r="A4733" t="s">
        <v>17</v>
      </c>
      <c r="B4733">
        <v>68</v>
      </c>
      <c r="C4733" t="s">
        <v>34</v>
      </c>
      <c r="D4733" s="2">
        <v>46161</v>
      </c>
      <c r="E4733" s="3">
        <f t="shared" si="73"/>
        <v>46143</v>
      </c>
      <c r="F4733" t="s">
        <v>3777</v>
      </c>
      <c r="G4733" t="s">
        <v>122</v>
      </c>
      <c r="H4733" s="4">
        <v>17.510000000000002</v>
      </c>
      <c r="I4733" t="s">
        <v>108</v>
      </c>
      <c r="J4733" t="s">
        <v>109</v>
      </c>
      <c r="K4733" t="s">
        <v>3759</v>
      </c>
      <c r="L4733" s="2">
        <v>46143</v>
      </c>
      <c r="M4733" t="s">
        <v>109</v>
      </c>
      <c r="N4733">
        <v>0</v>
      </c>
      <c r="O4733" t="s">
        <v>111</v>
      </c>
      <c r="P4733" t="s">
        <v>112</v>
      </c>
      <c r="Q4733" t="s">
        <v>113</v>
      </c>
    </row>
    <row r="4734" spans="1:17" x14ac:dyDescent="0.3">
      <c r="A4734" t="s">
        <v>17</v>
      </c>
      <c r="B4734">
        <v>68</v>
      </c>
      <c r="C4734" t="s">
        <v>34</v>
      </c>
      <c r="D4734" s="2">
        <v>46161</v>
      </c>
      <c r="E4734" s="3">
        <f t="shared" si="73"/>
        <v>46143</v>
      </c>
      <c r="F4734" t="s">
        <v>3777</v>
      </c>
      <c r="G4734" t="s">
        <v>122</v>
      </c>
      <c r="H4734" s="4">
        <v>17.5</v>
      </c>
      <c r="I4734" t="s">
        <v>108</v>
      </c>
      <c r="J4734" t="s">
        <v>109</v>
      </c>
      <c r="K4734" t="s">
        <v>3759</v>
      </c>
      <c r="L4734" s="2">
        <v>46143</v>
      </c>
      <c r="M4734" t="s">
        <v>109</v>
      </c>
      <c r="N4734">
        <v>0</v>
      </c>
      <c r="O4734" t="s">
        <v>111</v>
      </c>
      <c r="P4734" t="s">
        <v>112</v>
      </c>
      <c r="Q4734" t="s">
        <v>113</v>
      </c>
    </row>
    <row r="4735" spans="1:17" x14ac:dyDescent="0.3">
      <c r="A4735" t="s">
        <v>17</v>
      </c>
      <c r="B4735">
        <v>68</v>
      </c>
      <c r="C4735" t="s">
        <v>34</v>
      </c>
      <c r="D4735" s="2">
        <v>46161</v>
      </c>
      <c r="E4735" s="3">
        <f t="shared" si="73"/>
        <v>46143</v>
      </c>
      <c r="F4735" t="s">
        <v>3777</v>
      </c>
      <c r="G4735" t="s">
        <v>122</v>
      </c>
      <c r="H4735" s="4">
        <v>1.34</v>
      </c>
      <c r="I4735" t="s">
        <v>108</v>
      </c>
      <c r="J4735" t="s">
        <v>109</v>
      </c>
      <c r="K4735" t="s">
        <v>3759</v>
      </c>
      <c r="L4735" s="2">
        <v>46143</v>
      </c>
      <c r="M4735" t="s">
        <v>109</v>
      </c>
      <c r="N4735">
        <v>0</v>
      </c>
      <c r="O4735" t="s">
        <v>111</v>
      </c>
      <c r="P4735" t="s">
        <v>112</v>
      </c>
      <c r="Q4735" t="s">
        <v>113</v>
      </c>
    </row>
    <row r="4736" spans="1:17" x14ac:dyDescent="0.3">
      <c r="A4736" t="s">
        <v>17</v>
      </c>
      <c r="B4736">
        <v>68</v>
      </c>
      <c r="C4736" t="s">
        <v>34</v>
      </c>
      <c r="D4736" s="2">
        <v>46161</v>
      </c>
      <c r="E4736" s="3">
        <f t="shared" si="73"/>
        <v>46143</v>
      </c>
      <c r="F4736" t="s">
        <v>3778</v>
      </c>
      <c r="G4736" t="s">
        <v>122</v>
      </c>
      <c r="H4736" s="4">
        <v>188.16</v>
      </c>
      <c r="I4736" t="s">
        <v>108</v>
      </c>
      <c r="J4736" t="s">
        <v>109</v>
      </c>
      <c r="K4736" t="s">
        <v>3759</v>
      </c>
      <c r="L4736" s="2">
        <v>46143</v>
      </c>
      <c r="M4736" t="s">
        <v>109</v>
      </c>
      <c r="N4736">
        <v>0</v>
      </c>
      <c r="O4736" t="s">
        <v>111</v>
      </c>
      <c r="P4736" t="s">
        <v>112</v>
      </c>
      <c r="Q4736" t="s">
        <v>113</v>
      </c>
    </row>
    <row r="4737" spans="1:17" x14ac:dyDescent="0.3">
      <c r="A4737" t="s">
        <v>17</v>
      </c>
      <c r="B4737">
        <v>68</v>
      </c>
      <c r="C4737" t="s">
        <v>34</v>
      </c>
      <c r="D4737" s="2">
        <v>46161</v>
      </c>
      <c r="E4737" s="3">
        <f t="shared" si="73"/>
        <v>46143</v>
      </c>
      <c r="F4737" t="s">
        <v>3778</v>
      </c>
      <c r="G4737" t="s">
        <v>122</v>
      </c>
      <c r="H4737" s="4">
        <v>17.5</v>
      </c>
      <c r="I4737" t="s">
        <v>108</v>
      </c>
      <c r="J4737" t="s">
        <v>109</v>
      </c>
      <c r="K4737" t="s">
        <v>3759</v>
      </c>
      <c r="L4737" s="2">
        <v>46143</v>
      </c>
      <c r="M4737" t="s">
        <v>109</v>
      </c>
      <c r="N4737">
        <v>0</v>
      </c>
      <c r="O4737" t="s">
        <v>111</v>
      </c>
      <c r="P4737" t="s">
        <v>112</v>
      </c>
      <c r="Q4737" t="s">
        <v>113</v>
      </c>
    </row>
    <row r="4738" spans="1:17" x14ac:dyDescent="0.3">
      <c r="A4738" t="s">
        <v>17</v>
      </c>
      <c r="B4738">
        <v>68</v>
      </c>
      <c r="C4738" t="s">
        <v>34</v>
      </c>
      <c r="D4738" s="2">
        <v>46161</v>
      </c>
      <c r="E4738" s="3">
        <f t="shared" si="73"/>
        <v>46143</v>
      </c>
      <c r="F4738" t="s">
        <v>3778</v>
      </c>
      <c r="G4738" t="s">
        <v>122</v>
      </c>
      <c r="H4738" s="4">
        <v>1.34</v>
      </c>
      <c r="I4738" t="s">
        <v>108</v>
      </c>
      <c r="J4738" t="s">
        <v>109</v>
      </c>
      <c r="K4738" t="s">
        <v>3759</v>
      </c>
      <c r="L4738" s="2">
        <v>46143</v>
      </c>
      <c r="M4738" t="s">
        <v>109</v>
      </c>
      <c r="N4738">
        <v>0</v>
      </c>
      <c r="O4738" t="s">
        <v>111</v>
      </c>
      <c r="P4738" t="s">
        <v>112</v>
      </c>
      <c r="Q4738" t="s">
        <v>113</v>
      </c>
    </row>
    <row r="4739" spans="1:17" x14ac:dyDescent="0.3">
      <c r="A4739" t="s">
        <v>17</v>
      </c>
      <c r="B4739">
        <v>68</v>
      </c>
      <c r="C4739" t="s">
        <v>34</v>
      </c>
      <c r="D4739" s="2">
        <v>46161</v>
      </c>
      <c r="E4739" s="3">
        <f t="shared" ref="E4739:E4802" si="74">IF($D4739="","",DATE(YEAR($D4739),MONTH($D4739),1))</f>
        <v>46143</v>
      </c>
      <c r="F4739" t="s">
        <v>3779</v>
      </c>
      <c r="G4739" t="s">
        <v>122</v>
      </c>
      <c r="H4739" s="4">
        <v>23.99</v>
      </c>
      <c r="I4739" t="s">
        <v>108</v>
      </c>
      <c r="J4739" t="s">
        <v>109</v>
      </c>
      <c r="K4739" t="s">
        <v>3759</v>
      </c>
      <c r="L4739" s="2">
        <v>46143</v>
      </c>
      <c r="M4739" t="s">
        <v>109</v>
      </c>
      <c r="N4739">
        <v>0</v>
      </c>
      <c r="O4739" t="s">
        <v>111</v>
      </c>
      <c r="P4739" t="s">
        <v>112</v>
      </c>
      <c r="Q4739" t="s">
        <v>113</v>
      </c>
    </row>
    <row r="4740" spans="1:17" x14ac:dyDescent="0.3">
      <c r="A4740" t="s">
        <v>17</v>
      </c>
      <c r="B4740">
        <v>68</v>
      </c>
      <c r="C4740" t="s">
        <v>34</v>
      </c>
      <c r="D4740" s="2">
        <v>46161</v>
      </c>
      <c r="E4740" s="3">
        <f t="shared" si="74"/>
        <v>46143</v>
      </c>
      <c r="F4740" t="s">
        <v>3779</v>
      </c>
      <c r="G4740" t="s">
        <v>122</v>
      </c>
      <c r="H4740" s="4">
        <v>17.5</v>
      </c>
      <c r="I4740" t="s">
        <v>108</v>
      </c>
      <c r="J4740" t="s">
        <v>109</v>
      </c>
      <c r="K4740" t="s">
        <v>3759</v>
      </c>
      <c r="L4740" s="2">
        <v>46143</v>
      </c>
      <c r="M4740" t="s">
        <v>109</v>
      </c>
      <c r="N4740">
        <v>0</v>
      </c>
      <c r="O4740" t="s">
        <v>111</v>
      </c>
      <c r="P4740" t="s">
        <v>112</v>
      </c>
      <c r="Q4740" t="s">
        <v>113</v>
      </c>
    </row>
    <row r="4741" spans="1:17" x14ac:dyDescent="0.3">
      <c r="A4741" t="s">
        <v>17</v>
      </c>
      <c r="B4741">
        <v>68</v>
      </c>
      <c r="C4741" t="s">
        <v>34</v>
      </c>
      <c r="D4741" s="2">
        <v>46161</v>
      </c>
      <c r="E4741" s="3">
        <f t="shared" si="74"/>
        <v>46143</v>
      </c>
      <c r="F4741" t="s">
        <v>3779</v>
      </c>
      <c r="G4741" t="s">
        <v>122</v>
      </c>
      <c r="H4741" s="4">
        <v>1.34</v>
      </c>
      <c r="I4741" t="s">
        <v>108</v>
      </c>
      <c r="J4741" t="s">
        <v>109</v>
      </c>
      <c r="K4741" t="s">
        <v>3759</v>
      </c>
      <c r="L4741" s="2">
        <v>46143</v>
      </c>
      <c r="M4741" t="s">
        <v>109</v>
      </c>
      <c r="N4741">
        <v>0</v>
      </c>
      <c r="O4741" t="s">
        <v>111</v>
      </c>
      <c r="P4741" t="s">
        <v>112</v>
      </c>
      <c r="Q4741" t="s">
        <v>113</v>
      </c>
    </row>
    <row r="4742" spans="1:17" x14ac:dyDescent="0.3">
      <c r="A4742" t="s">
        <v>17</v>
      </c>
      <c r="B4742">
        <v>68</v>
      </c>
      <c r="C4742" t="s">
        <v>34</v>
      </c>
      <c r="D4742" s="2">
        <v>46161</v>
      </c>
      <c r="E4742" s="3">
        <f t="shared" si="74"/>
        <v>46143</v>
      </c>
      <c r="F4742" t="s">
        <v>3780</v>
      </c>
      <c r="G4742" t="s">
        <v>122</v>
      </c>
      <c r="H4742" s="4">
        <v>3.2</v>
      </c>
      <c r="I4742" t="s">
        <v>108</v>
      </c>
      <c r="J4742" t="s">
        <v>109</v>
      </c>
      <c r="K4742" t="s">
        <v>3759</v>
      </c>
      <c r="L4742" s="2">
        <v>46143</v>
      </c>
      <c r="M4742" t="s">
        <v>109</v>
      </c>
      <c r="N4742">
        <v>0</v>
      </c>
      <c r="O4742" t="s">
        <v>111</v>
      </c>
      <c r="P4742" t="s">
        <v>112</v>
      </c>
      <c r="Q4742" t="s">
        <v>113</v>
      </c>
    </row>
    <row r="4743" spans="1:17" x14ac:dyDescent="0.3">
      <c r="A4743" t="s">
        <v>17</v>
      </c>
      <c r="B4743">
        <v>68</v>
      </c>
      <c r="C4743" t="s">
        <v>34</v>
      </c>
      <c r="D4743" s="2">
        <v>46161</v>
      </c>
      <c r="E4743" s="3">
        <f t="shared" si="74"/>
        <v>46143</v>
      </c>
      <c r="F4743" t="s">
        <v>3780</v>
      </c>
      <c r="G4743" t="s">
        <v>122</v>
      </c>
      <c r="H4743" s="4">
        <v>17.5</v>
      </c>
      <c r="I4743" t="s">
        <v>108</v>
      </c>
      <c r="J4743" t="s">
        <v>109</v>
      </c>
      <c r="K4743" t="s">
        <v>3759</v>
      </c>
      <c r="L4743" s="2">
        <v>46143</v>
      </c>
      <c r="M4743" t="s">
        <v>109</v>
      </c>
      <c r="N4743">
        <v>0</v>
      </c>
      <c r="O4743" t="s">
        <v>111</v>
      </c>
      <c r="P4743" t="s">
        <v>112</v>
      </c>
      <c r="Q4743" t="s">
        <v>113</v>
      </c>
    </row>
    <row r="4744" spans="1:17" x14ac:dyDescent="0.3">
      <c r="A4744" t="s">
        <v>17</v>
      </c>
      <c r="B4744">
        <v>68</v>
      </c>
      <c r="C4744" t="s">
        <v>34</v>
      </c>
      <c r="D4744" s="2">
        <v>46161</v>
      </c>
      <c r="E4744" s="3">
        <f t="shared" si="74"/>
        <v>46143</v>
      </c>
      <c r="F4744" t="s">
        <v>3780</v>
      </c>
      <c r="G4744" t="s">
        <v>122</v>
      </c>
      <c r="H4744" s="4">
        <v>1.34</v>
      </c>
      <c r="I4744" t="s">
        <v>108</v>
      </c>
      <c r="J4744" t="s">
        <v>109</v>
      </c>
      <c r="K4744" t="s">
        <v>3759</v>
      </c>
      <c r="L4744" s="2">
        <v>46143</v>
      </c>
      <c r="M4744" t="s">
        <v>109</v>
      </c>
      <c r="N4744">
        <v>0</v>
      </c>
      <c r="O4744" t="s">
        <v>111</v>
      </c>
      <c r="P4744" t="s">
        <v>112</v>
      </c>
      <c r="Q4744" t="s">
        <v>113</v>
      </c>
    </row>
    <row r="4745" spans="1:17" x14ac:dyDescent="0.3">
      <c r="A4745" t="s">
        <v>17</v>
      </c>
      <c r="B4745">
        <v>67</v>
      </c>
      <c r="C4745" t="s">
        <v>28</v>
      </c>
      <c r="D4745" s="2">
        <v>46162</v>
      </c>
      <c r="E4745" s="3">
        <f t="shared" si="74"/>
        <v>46143</v>
      </c>
      <c r="F4745" t="s">
        <v>3781</v>
      </c>
      <c r="G4745" t="s">
        <v>119</v>
      </c>
      <c r="H4745" s="4">
        <v>540</v>
      </c>
      <c r="I4745" t="s">
        <v>31</v>
      </c>
      <c r="J4745" t="s">
        <v>68</v>
      </c>
      <c r="K4745" t="s">
        <v>1387</v>
      </c>
      <c r="L4745" s="2">
        <v>46143</v>
      </c>
      <c r="M4745" t="s">
        <v>68</v>
      </c>
      <c r="N4745">
        <v>0</v>
      </c>
      <c r="O4745" t="s">
        <v>31</v>
      </c>
      <c r="P4745" t="s">
        <v>28</v>
      </c>
      <c r="Q4745">
        <v>0</v>
      </c>
    </row>
    <row r="4746" spans="1:17" x14ac:dyDescent="0.3">
      <c r="A4746" t="s">
        <v>17</v>
      </c>
      <c r="B4746">
        <v>67</v>
      </c>
      <c r="C4746" t="s">
        <v>28</v>
      </c>
      <c r="D4746" s="2">
        <v>46162</v>
      </c>
      <c r="E4746" s="3">
        <f t="shared" si="74"/>
        <v>46143</v>
      </c>
      <c r="F4746" t="s">
        <v>3781</v>
      </c>
      <c r="G4746" t="s">
        <v>119</v>
      </c>
      <c r="H4746" s="4">
        <v>520</v>
      </c>
      <c r="I4746" t="s">
        <v>31</v>
      </c>
      <c r="J4746" t="s">
        <v>68</v>
      </c>
      <c r="K4746" t="s">
        <v>1567</v>
      </c>
      <c r="L4746" s="2">
        <v>46143</v>
      </c>
      <c r="M4746" t="s">
        <v>68</v>
      </c>
      <c r="N4746">
        <v>0</v>
      </c>
      <c r="O4746" t="s">
        <v>31</v>
      </c>
      <c r="P4746" t="s">
        <v>28</v>
      </c>
      <c r="Q4746">
        <v>0</v>
      </c>
    </row>
    <row r="4747" spans="1:17" x14ac:dyDescent="0.3">
      <c r="A4747" t="s">
        <v>17</v>
      </c>
      <c r="B4747">
        <v>68</v>
      </c>
      <c r="C4747" t="s">
        <v>34</v>
      </c>
      <c r="D4747" s="2">
        <v>46162</v>
      </c>
      <c r="E4747" s="3">
        <f t="shared" si="74"/>
        <v>46143</v>
      </c>
      <c r="F4747" t="s">
        <v>3782</v>
      </c>
      <c r="G4747" t="s">
        <v>122</v>
      </c>
      <c r="H4747" s="4">
        <v>76.16</v>
      </c>
      <c r="I4747" t="s">
        <v>108</v>
      </c>
      <c r="J4747" t="s">
        <v>109</v>
      </c>
      <c r="K4747" t="s">
        <v>3759</v>
      </c>
      <c r="L4747" s="2">
        <v>46143</v>
      </c>
      <c r="M4747" t="s">
        <v>109</v>
      </c>
      <c r="N4747">
        <v>0</v>
      </c>
      <c r="O4747" t="s">
        <v>111</v>
      </c>
      <c r="P4747" t="s">
        <v>112</v>
      </c>
      <c r="Q4747" t="s">
        <v>113</v>
      </c>
    </row>
    <row r="4748" spans="1:17" x14ac:dyDescent="0.3">
      <c r="A4748" t="s">
        <v>17</v>
      </c>
      <c r="B4748">
        <v>68</v>
      </c>
      <c r="C4748" t="s">
        <v>34</v>
      </c>
      <c r="D4748" s="2">
        <v>46162</v>
      </c>
      <c r="E4748" s="3">
        <f t="shared" si="74"/>
        <v>46143</v>
      </c>
      <c r="F4748" t="s">
        <v>3782</v>
      </c>
      <c r="G4748" t="s">
        <v>122</v>
      </c>
      <c r="H4748" s="4">
        <v>17.5</v>
      </c>
      <c r="I4748" t="s">
        <v>108</v>
      </c>
      <c r="J4748" t="s">
        <v>109</v>
      </c>
      <c r="K4748" t="s">
        <v>3759</v>
      </c>
      <c r="L4748" s="2">
        <v>46143</v>
      </c>
      <c r="M4748" t="s">
        <v>109</v>
      </c>
      <c r="N4748">
        <v>0</v>
      </c>
      <c r="O4748" t="s">
        <v>111</v>
      </c>
      <c r="P4748" t="s">
        <v>112</v>
      </c>
      <c r="Q4748" t="s">
        <v>113</v>
      </c>
    </row>
    <row r="4749" spans="1:17" x14ac:dyDescent="0.3">
      <c r="A4749" t="s">
        <v>17</v>
      </c>
      <c r="B4749">
        <v>68</v>
      </c>
      <c r="C4749" t="s">
        <v>34</v>
      </c>
      <c r="D4749" s="2">
        <v>46162</v>
      </c>
      <c r="E4749" s="3">
        <f t="shared" si="74"/>
        <v>46143</v>
      </c>
      <c r="F4749" t="s">
        <v>3782</v>
      </c>
      <c r="G4749" t="s">
        <v>122</v>
      </c>
      <c r="H4749" s="4">
        <v>1.34</v>
      </c>
      <c r="I4749" t="s">
        <v>108</v>
      </c>
      <c r="J4749" t="s">
        <v>109</v>
      </c>
      <c r="K4749" t="s">
        <v>3759</v>
      </c>
      <c r="L4749" s="2">
        <v>46143</v>
      </c>
      <c r="M4749" t="s">
        <v>109</v>
      </c>
      <c r="N4749">
        <v>0</v>
      </c>
      <c r="O4749" t="s">
        <v>111</v>
      </c>
      <c r="P4749" t="s">
        <v>112</v>
      </c>
      <c r="Q4749" t="s">
        <v>113</v>
      </c>
    </row>
    <row r="4750" spans="1:17" x14ac:dyDescent="0.3">
      <c r="A4750" t="s">
        <v>17</v>
      </c>
      <c r="B4750">
        <v>68</v>
      </c>
      <c r="C4750" t="s">
        <v>34</v>
      </c>
      <c r="D4750" s="2">
        <v>46162</v>
      </c>
      <c r="E4750" s="3">
        <f t="shared" si="74"/>
        <v>46143</v>
      </c>
      <c r="F4750" t="s">
        <v>3783</v>
      </c>
      <c r="G4750" t="s">
        <v>122</v>
      </c>
      <c r="H4750" s="4">
        <v>192.87</v>
      </c>
      <c r="I4750" t="s">
        <v>108</v>
      </c>
      <c r="J4750" t="s">
        <v>109</v>
      </c>
      <c r="K4750" t="s">
        <v>1287</v>
      </c>
      <c r="L4750" s="2">
        <v>46143</v>
      </c>
      <c r="M4750" t="s">
        <v>109</v>
      </c>
      <c r="N4750">
        <v>0</v>
      </c>
      <c r="O4750" t="s">
        <v>111</v>
      </c>
      <c r="P4750" t="s">
        <v>112</v>
      </c>
      <c r="Q4750" t="s">
        <v>113</v>
      </c>
    </row>
    <row r="4751" spans="1:17" x14ac:dyDescent="0.3">
      <c r="A4751" t="s">
        <v>17</v>
      </c>
      <c r="B4751">
        <v>68</v>
      </c>
      <c r="C4751" t="s">
        <v>34</v>
      </c>
      <c r="D4751" s="2">
        <v>46162</v>
      </c>
      <c r="E4751" s="3">
        <f t="shared" si="74"/>
        <v>46143</v>
      </c>
      <c r="F4751" t="s">
        <v>3784</v>
      </c>
      <c r="G4751" t="s">
        <v>122</v>
      </c>
      <c r="H4751" s="4">
        <v>616.44000000000005</v>
      </c>
      <c r="I4751" t="s">
        <v>108</v>
      </c>
      <c r="J4751" t="s">
        <v>109</v>
      </c>
      <c r="K4751" t="s">
        <v>1287</v>
      </c>
      <c r="L4751" s="2">
        <v>46143</v>
      </c>
      <c r="M4751" t="s">
        <v>109</v>
      </c>
      <c r="N4751">
        <v>0</v>
      </c>
      <c r="O4751" t="s">
        <v>111</v>
      </c>
      <c r="P4751" t="s">
        <v>112</v>
      </c>
      <c r="Q4751" t="s">
        <v>113</v>
      </c>
    </row>
    <row r="4752" spans="1:17" x14ac:dyDescent="0.3">
      <c r="A4752" t="s">
        <v>17</v>
      </c>
      <c r="B4752">
        <v>68</v>
      </c>
      <c r="C4752" t="s">
        <v>34</v>
      </c>
      <c r="D4752" s="2">
        <v>46163</v>
      </c>
      <c r="E4752" s="3">
        <f t="shared" si="74"/>
        <v>46143</v>
      </c>
      <c r="F4752" t="s">
        <v>3785</v>
      </c>
      <c r="G4752" t="s">
        <v>174</v>
      </c>
      <c r="H4752" s="4">
        <v>48.54</v>
      </c>
      <c r="I4752" t="s">
        <v>31</v>
      </c>
      <c r="J4752" t="s">
        <v>79</v>
      </c>
      <c r="K4752" t="s">
        <v>3786</v>
      </c>
      <c r="L4752" s="2">
        <v>46143</v>
      </c>
      <c r="M4752" t="s">
        <v>79</v>
      </c>
      <c r="N4752">
        <v>0</v>
      </c>
      <c r="O4752" t="s">
        <v>31</v>
      </c>
      <c r="P4752" t="s">
        <v>34</v>
      </c>
      <c r="Q4752">
        <v>0</v>
      </c>
    </row>
    <row r="4753" spans="1:17" x14ac:dyDescent="0.3">
      <c r="A4753" t="s">
        <v>17</v>
      </c>
      <c r="B4753">
        <v>68</v>
      </c>
      <c r="C4753" t="s">
        <v>34</v>
      </c>
      <c r="D4753" s="2">
        <v>46163</v>
      </c>
      <c r="E4753" s="3">
        <f t="shared" si="74"/>
        <v>46143</v>
      </c>
      <c r="F4753" t="s">
        <v>3785</v>
      </c>
      <c r="G4753" t="s">
        <v>174</v>
      </c>
      <c r="H4753" s="4">
        <v>25.97</v>
      </c>
      <c r="I4753" t="s">
        <v>31</v>
      </c>
      <c r="J4753" t="s">
        <v>79</v>
      </c>
      <c r="K4753" t="s">
        <v>3787</v>
      </c>
      <c r="L4753" s="2">
        <v>46143</v>
      </c>
      <c r="M4753" t="s">
        <v>79</v>
      </c>
      <c r="N4753">
        <v>0</v>
      </c>
      <c r="O4753" t="s">
        <v>31</v>
      </c>
      <c r="P4753" t="s">
        <v>34</v>
      </c>
      <c r="Q4753">
        <v>0</v>
      </c>
    </row>
    <row r="4754" spans="1:17" x14ac:dyDescent="0.3">
      <c r="A4754" t="s">
        <v>17</v>
      </c>
      <c r="B4754">
        <v>68</v>
      </c>
      <c r="C4754" t="s">
        <v>34</v>
      </c>
      <c r="D4754" s="2">
        <v>46163</v>
      </c>
      <c r="E4754" s="3">
        <f t="shared" si="74"/>
        <v>46143</v>
      </c>
      <c r="F4754" t="s">
        <v>3785</v>
      </c>
      <c r="G4754" t="s">
        <v>174</v>
      </c>
      <c r="H4754" s="4">
        <v>395</v>
      </c>
      <c r="I4754" t="s">
        <v>31</v>
      </c>
      <c r="J4754" t="s">
        <v>79</v>
      </c>
      <c r="K4754" t="s">
        <v>3788</v>
      </c>
      <c r="L4754" s="2">
        <v>46143</v>
      </c>
      <c r="M4754" t="s">
        <v>79</v>
      </c>
      <c r="N4754">
        <v>0</v>
      </c>
      <c r="O4754" t="s">
        <v>31</v>
      </c>
      <c r="P4754" t="s">
        <v>34</v>
      </c>
      <c r="Q4754">
        <v>0</v>
      </c>
    </row>
    <row r="4755" spans="1:17" x14ac:dyDescent="0.3">
      <c r="A4755" t="s">
        <v>17</v>
      </c>
      <c r="B4755">
        <v>67</v>
      </c>
      <c r="C4755" t="s">
        <v>28</v>
      </c>
      <c r="D4755" s="2">
        <v>46164</v>
      </c>
      <c r="E4755" s="3">
        <f t="shared" si="74"/>
        <v>46143</v>
      </c>
      <c r="F4755" t="s">
        <v>3789</v>
      </c>
      <c r="G4755" t="s">
        <v>67</v>
      </c>
      <c r="H4755" s="4">
        <v>452.69</v>
      </c>
      <c r="I4755" t="s">
        <v>31</v>
      </c>
      <c r="J4755" t="s">
        <v>68</v>
      </c>
      <c r="K4755" t="s">
        <v>3221</v>
      </c>
      <c r="L4755" s="2">
        <v>46143</v>
      </c>
      <c r="M4755" t="s">
        <v>68</v>
      </c>
      <c r="N4755">
        <v>0</v>
      </c>
      <c r="O4755" t="s">
        <v>31</v>
      </c>
      <c r="P4755" t="s">
        <v>28</v>
      </c>
      <c r="Q4755">
        <v>0</v>
      </c>
    </row>
    <row r="4756" spans="1:17" x14ac:dyDescent="0.3">
      <c r="A4756" t="s">
        <v>17</v>
      </c>
      <c r="B4756">
        <v>68</v>
      </c>
      <c r="C4756" t="s">
        <v>34</v>
      </c>
      <c r="D4756" s="2">
        <v>46164</v>
      </c>
      <c r="E4756" s="3">
        <f t="shared" si="74"/>
        <v>46143</v>
      </c>
      <c r="F4756" t="s">
        <v>3790</v>
      </c>
      <c r="G4756" t="s">
        <v>122</v>
      </c>
      <c r="H4756" s="4">
        <v>2.64</v>
      </c>
      <c r="I4756" t="s">
        <v>108</v>
      </c>
      <c r="J4756" t="s">
        <v>109</v>
      </c>
      <c r="L4756" s="2">
        <v>46143</v>
      </c>
      <c r="M4756" t="s">
        <v>109</v>
      </c>
      <c r="N4756">
        <v>0</v>
      </c>
      <c r="O4756" t="s">
        <v>111</v>
      </c>
      <c r="P4756" t="s">
        <v>112</v>
      </c>
      <c r="Q4756" t="s">
        <v>113</v>
      </c>
    </row>
    <row r="4757" spans="1:17" x14ac:dyDescent="0.3">
      <c r="A4757" t="s">
        <v>17</v>
      </c>
      <c r="B4757">
        <v>68</v>
      </c>
      <c r="C4757" t="s">
        <v>34</v>
      </c>
      <c r="D4757" s="2">
        <v>46164</v>
      </c>
      <c r="E4757" s="3">
        <f t="shared" si="74"/>
        <v>46143</v>
      </c>
      <c r="F4757" t="s">
        <v>3790</v>
      </c>
      <c r="G4757" t="s">
        <v>122</v>
      </c>
      <c r="H4757" s="4">
        <v>17.5</v>
      </c>
      <c r="I4757" t="s">
        <v>108</v>
      </c>
      <c r="J4757" t="s">
        <v>109</v>
      </c>
      <c r="L4757" s="2">
        <v>46143</v>
      </c>
      <c r="M4757" t="s">
        <v>109</v>
      </c>
      <c r="N4757">
        <v>0</v>
      </c>
      <c r="O4757" t="s">
        <v>111</v>
      </c>
      <c r="P4757" t="s">
        <v>112</v>
      </c>
      <c r="Q4757" t="s">
        <v>113</v>
      </c>
    </row>
    <row r="4758" spans="1:17" x14ac:dyDescent="0.3">
      <c r="A4758" t="s">
        <v>17</v>
      </c>
      <c r="B4758">
        <v>68</v>
      </c>
      <c r="C4758" t="s">
        <v>34</v>
      </c>
      <c r="D4758" s="2">
        <v>46164</v>
      </c>
      <c r="E4758" s="3">
        <f t="shared" si="74"/>
        <v>46143</v>
      </c>
      <c r="F4758" t="s">
        <v>3790</v>
      </c>
      <c r="G4758" t="s">
        <v>122</v>
      </c>
      <c r="H4758" s="4">
        <v>1.34</v>
      </c>
      <c r="I4758" t="s">
        <v>108</v>
      </c>
      <c r="J4758" t="s">
        <v>109</v>
      </c>
      <c r="L4758" s="2">
        <v>46143</v>
      </c>
      <c r="M4758" t="s">
        <v>109</v>
      </c>
      <c r="N4758">
        <v>0</v>
      </c>
      <c r="O4758" t="s">
        <v>111</v>
      </c>
      <c r="P4758" t="s">
        <v>112</v>
      </c>
      <c r="Q4758" t="s">
        <v>113</v>
      </c>
    </row>
    <row r="4759" spans="1:17" x14ac:dyDescent="0.3">
      <c r="A4759" t="s">
        <v>17</v>
      </c>
      <c r="B4759">
        <v>68</v>
      </c>
      <c r="C4759" t="s">
        <v>34</v>
      </c>
      <c r="D4759" s="2">
        <v>46164</v>
      </c>
      <c r="E4759" s="3">
        <f t="shared" si="74"/>
        <v>46143</v>
      </c>
      <c r="F4759" t="s">
        <v>3791</v>
      </c>
      <c r="G4759" t="s">
        <v>122</v>
      </c>
      <c r="H4759" s="4">
        <v>19.010000000000002</v>
      </c>
      <c r="I4759" t="s">
        <v>108</v>
      </c>
      <c r="J4759" t="s">
        <v>109</v>
      </c>
      <c r="K4759" t="s">
        <v>3061</v>
      </c>
      <c r="L4759" s="2">
        <v>46143</v>
      </c>
      <c r="M4759" t="s">
        <v>109</v>
      </c>
      <c r="N4759">
        <v>0</v>
      </c>
      <c r="O4759" t="s">
        <v>111</v>
      </c>
      <c r="P4759" t="s">
        <v>112</v>
      </c>
      <c r="Q4759" t="s">
        <v>113</v>
      </c>
    </row>
    <row r="4760" spans="1:17" x14ac:dyDescent="0.3">
      <c r="A4760" t="s">
        <v>17</v>
      </c>
      <c r="B4760">
        <v>68</v>
      </c>
      <c r="C4760" t="s">
        <v>34</v>
      </c>
      <c r="D4760" s="2">
        <v>46164</v>
      </c>
      <c r="E4760" s="3">
        <f t="shared" si="74"/>
        <v>46143</v>
      </c>
      <c r="F4760" t="s">
        <v>3792</v>
      </c>
      <c r="H4760" s="4">
        <v>1710.85</v>
      </c>
      <c r="I4760" t="s">
        <v>31</v>
      </c>
      <c r="J4760" t="s">
        <v>613</v>
      </c>
      <c r="K4760" t="s">
        <v>3793</v>
      </c>
      <c r="L4760" s="2">
        <v>46143</v>
      </c>
      <c r="M4760" t="s">
        <v>613</v>
      </c>
      <c r="N4760">
        <v>0</v>
      </c>
      <c r="O4760" t="s">
        <v>31</v>
      </c>
      <c r="P4760" t="s">
        <v>34</v>
      </c>
      <c r="Q4760">
        <v>0</v>
      </c>
    </row>
    <row r="4761" spans="1:17" x14ac:dyDescent="0.3">
      <c r="A4761" t="s">
        <v>17</v>
      </c>
      <c r="B4761">
        <v>64</v>
      </c>
      <c r="C4761" t="s">
        <v>83</v>
      </c>
      <c r="D4761" s="2">
        <v>46168</v>
      </c>
      <c r="E4761" s="3">
        <f t="shared" si="74"/>
        <v>46143</v>
      </c>
      <c r="F4761" t="s">
        <v>3794</v>
      </c>
      <c r="G4761" t="s">
        <v>158</v>
      </c>
      <c r="H4761" s="4">
        <v>142.41999999999999</v>
      </c>
      <c r="I4761" t="s">
        <v>159</v>
      </c>
      <c r="J4761" t="s">
        <v>91</v>
      </c>
      <c r="K4761" t="s">
        <v>3795</v>
      </c>
      <c r="L4761" s="2">
        <v>46143</v>
      </c>
      <c r="M4761" t="s">
        <v>93</v>
      </c>
      <c r="N4761">
        <v>0</v>
      </c>
      <c r="O4761" t="s">
        <v>159</v>
      </c>
      <c r="P4761" t="s">
        <v>83</v>
      </c>
      <c r="Q4761">
        <v>0</v>
      </c>
    </row>
    <row r="4762" spans="1:17" x14ac:dyDescent="0.3">
      <c r="A4762" t="s">
        <v>17</v>
      </c>
      <c r="B4762">
        <v>64</v>
      </c>
      <c r="C4762" t="s">
        <v>83</v>
      </c>
      <c r="D4762" s="2">
        <v>46168</v>
      </c>
      <c r="E4762" s="3">
        <f t="shared" si="74"/>
        <v>46143</v>
      </c>
      <c r="F4762" t="s">
        <v>3794</v>
      </c>
      <c r="G4762" t="s">
        <v>158</v>
      </c>
      <c r="H4762" s="4">
        <v>57.69</v>
      </c>
      <c r="I4762" t="s">
        <v>159</v>
      </c>
      <c r="J4762" t="s">
        <v>91</v>
      </c>
      <c r="K4762" t="s">
        <v>3796</v>
      </c>
      <c r="L4762" s="2">
        <v>46143</v>
      </c>
      <c r="M4762" t="s">
        <v>93</v>
      </c>
      <c r="N4762">
        <v>0</v>
      </c>
      <c r="O4762" t="s">
        <v>159</v>
      </c>
      <c r="P4762" t="s">
        <v>83</v>
      </c>
      <c r="Q4762">
        <v>0</v>
      </c>
    </row>
    <row r="4763" spans="1:17" x14ac:dyDescent="0.3">
      <c r="A4763" t="s">
        <v>17</v>
      </c>
      <c r="B4763">
        <v>64</v>
      </c>
      <c r="C4763" t="s">
        <v>83</v>
      </c>
      <c r="D4763" s="2">
        <v>46168</v>
      </c>
      <c r="E4763" s="3">
        <f t="shared" si="74"/>
        <v>46143</v>
      </c>
      <c r="F4763" t="s">
        <v>3794</v>
      </c>
      <c r="G4763" t="s">
        <v>158</v>
      </c>
      <c r="H4763" s="4">
        <v>10.24</v>
      </c>
      <c r="I4763" t="s">
        <v>159</v>
      </c>
      <c r="J4763" t="s">
        <v>91</v>
      </c>
      <c r="K4763" t="s">
        <v>3797</v>
      </c>
      <c r="L4763" s="2">
        <v>46143</v>
      </c>
      <c r="M4763" t="s">
        <v>93</v>
      </c>
      <c r="N4763">
        <v>0</v>
      </c>
      <c r="O4763" t="s">
        <v>159</v>
      </c>
      <c r="P4763" t="s">
        <v>83</v>
      </c>
      <c r="Q4763">
        <v>0</v>
      </c>
    </row>
    <row r="4764" spans="1:17" x14ac:dyDescent="0.3">
      <c r="A4764" t="s">
        <v>17</v>
      </c>
      <c r="B4764">
        <v>64</v>
      </c>
      <c r="C4764" t="s">
        <v>83</v>
      </c>
      <c r="D4764" s="2">
        <v>46168</v>
      </c>
      <c r="E4764" s="3">
        <f t="shared" si="74"/>
        <v>46143</v>
      </c>
      <c r="F4764" t="s">
        <v>3794</v>
      </c>
      <c r="G4764" t="s">
        <v>158</v>
      </c>
      <c r="H4764" s="4">
        <v>75.17</v>
      </c>
      <c r="I4764" t="s">
        <v>159</v>
      </c>
      <c r="J4764" t="s">
        <v>91</v>
      </c>
      <c r="K4764" t="s">
        <v>3798</v>
      </c>
      <c r="L4764" s="2">
        <v>46143</v>
      </c>
      <c r="M4764" t="s">
        <v>93</v>
      </c>
      <c r="N4764">
        <v>0</v>
      </c>
      <c r="O4764" t="s">
        <v>159</v>
      </c>
      <c r="P4764" t="s">
        <v>83</v>
      </c>
      <c r="Q4764">
        <v>0</v>
      </c>
    </row>
    <row r="4765" spans="1:17" x14ac:dyDescent="0.3">
      <c r="A4765" t="s">
        <v>17</v>
      </c>
      <c r="B4765">
        <v>64</v>
      </c>
      <c r="C4765" t="s">
        <v>83</v>
      </c>
      <c r="D4765" s="2">
        <v>46168</v>
      </c>
      <c r="E4765" s="3">
        <f t="shared" si="74"/>
        <v>46143</v>
      </c>
      <c r="F4765" t="s">
        <v>3794</v>
      </c>
      <c r="G4765" t="s">
        <v>158</v>
      </c>
      <c r="H4765" s="4">
        <v>61.07</v>
      </c>
      <c r="I4765" t="s">
        <v>159</v>
      </c>
      <c r="J4765" t="s">
        <v>91</v>
      </c>
      <c r="K4765" t="s">
        <v>3797</v>
      </c>
      <c r="L4765" s="2">
        <v>46143</v>
      </c>
      <c r="M4765" t="s">
        <v>93</v>
      </c>
      <c r="N4765">
        <v>0</v>
      </c>
      <c r="O4765" t="s">
        <v>159</v>
      </c>
      <c r="P4765" t="s">
        <v>83</v>
      </c>
      <c r="Q4765">
        <v>0</v>
      </c>
    </row>
    <row r="4766" spans="1:17" x14ac:dyDescent="0.3">
      <c r="A4766" t="s">
        <v>17</v>
      </c>
      <c r="B4766">
        <v>64</v>
      </c>
      <c r="C4766" t="s">
        <v>83</v>
      </c>
      <c r="D4766" s="2">
        <v>46168</v>
      </c>
      <c r="E4766" s="3">
        <f t="shared" si="74"/>
        <v>46143</v>
      </c>
      <c r="F4766" t="s">
        <v>3794</v>
      </c>
      <c r="G4766" t="s">
        <v>158</v>
      </c>
      <c r="H4766" s="4">
        <v>53</v>
      </c>
      <c r="I4766" t="s">
        <v>159</v>
      </c>
      <c r="J4766" t="s">
        <v>2817</v>
      </c>
      <c r="K4766" t="s">
        <v>3799</v>
      </c>
      <c r="L4766" s="2">
        <v>46143</v>
      </c>
      <c r="M4766" t="s">
        <v>2819</v>
      </c>
      <c r="N4766">
        <v>0</v>
      </c>
      <c r="O4766" t="s">
        <v>159</v>
      </c>
      <c r="P4766" t="s">
        <v>83</v>
      </c>
      <c r="Q4766">
        <v>0</v>
      </c>
    </row>
    <row r="4767" spans="1:17" x14ac:dyDescent="0.3">
      <c r="A4767" t="s">
        <v>17</v>
      </c>
      <c r="B4767">
        <v>64</v>
      </c>
      <c r="C4767" t="s">
        <v>83</v>
      </c>
      <c r="D4767" s="2">
        <v>46168</v>
      </c>
      <c r="E4767" s="3">
        <f t="shared" si="74"/>
        <v>46143</v>
      </c>
      <c r="F4767" t="s">
        <v>3794</v>
      </c>
      <c r="G4767" t="s">
        <v>158</v>
      </c>
      <c r="H4767" s="4">
        <v>53</v>
      </c>
      <c r="I4767" t="s">
        <v>159</v>
      </c>
      <c r="J4767" t="s">
        <v>2817</v>
      </c>
      <c r="K4767" t="s">
        <v>3800</v>
      </c>
      <c r="L4767" s="2">
        <v>46143</v>
      </c>
      <c r="M4767" t="s">
        <v>2819</v>
      </c>
      <c r="N4767">
        <v>0</v>
      </c>
      <c r="O4767" t="s">
        <v>159</v>
      </c>
      <c r="P4767" t="s">
        <v>83</v>
      </c>
      <c r="Q4767">
        <v>0</v>
      </c>
    </row>
    <row r="4768" spans="1:17" x14ac:dyDescent="0.3">
      <c r="A4768" t="s">
        <v>17</v>
      </c>
      <c r="B4768">
        <v>68</v>
      </c>
      <c r="C4768" t="s">
        <v>34</v>
      </c>
      <c r="D4768" s="2">
        <v>46168</v>
      </c>
      <c r="E4768" s="3">
        <f t="shared" si="74"/>
        <v>46143</v>
      </c>
      <c r="F4768" t="s">
        <v>3801</v>
      </c>
      <c r="G4768" t="s">
        <v>122</v>
      </c>
      <c r="H4768" s="4">
        <v>19.329999999999998</v>
      </c>
      <c r="I4768" t="s">
        <v>108</v>
      </c>
      <c r="J4768" t="s">
        <v>109</v>
      </c>
      <c r="K4768" t="s">
        <v>3802</v>
      </c>
      <c r="L4768" s="2">
        <v>46143</v>
      </c>
      <c r="M4768" t="s">
        <v>109</v>
      </c>
      <c r="N4768">
        <v>0</v>
      </c>
      <c r="O4768" t="s">
        <v>111</v>
      </c>
      <c r="P4768" t="s">
        <v>112</v>
      </c>
      <c r="Q4768" t="s">
        <v>113</v>
      </c>
    </row>
    <row r="4769" spans="1:17" x14ac:dyDescent="0.3">
      <c r="A4769" t="s">
        <v>17</v>
      </c>
      <c r="B4769">
        <v>68</v>
      </c>
      <c r="C4769" t="s">
        <v>34</v>
      </c>
      <c r="D4769" s="2">
        <v>46168</v>
      </c>
      <c r="E4769" s="3">
        <f t="shared" si="74"/>
        <v>46143</v>
      </c>
      <c r="F4769" t="s">
        <v>3803</v>
      </c>
      <c r="G4769" t="s">
        <v>122</v>
      </c>
      <c r="H4769" s="4">
        <v>9.27</v>
      </c>
      <c r="I4769" t="s">
        <v>108</v>
      </c>
      <c r="J4769" t="s">
        <v>109</v>
      </c>
      <c r="L4769" s="2">
        <v>46143</v>
      </c>
      <c r="M4769" t="s">
        <v>109</v>
      </c>
      <c r="N4769">
        <v>0</v>
      </c>
      <c r="O4769" t="s">
        <v>111</v>
      </c>
      <c r="P4769" t="s">
        <v>112</v>
      </c>
      <c r="Q4769" t="s">
        <v>113</v>
      </c>
    </row>
    <row r="4770" spans="1:17" x14ac:dyDescent="0.3">
      <c r="A4770" t="s">
        <v>17</v>
      </c>
      <c r="B4770">
        <v>68</v>
      </c>
      <c r="C4770" t="s">
        <v>34</v>
      </c>
      <c r="D4770" s="2">
        <v>46168</v>
      </c>
      <c r="E4770" s="3">
        <f t="shared" si="74"/>
        <v>46143</v>
      </c>
      <c r="F4770" t="s">
        <v>3803</v>
      </c>
      <c r="G4770" t="s">
        <v>122</v>
      </c>
      <c r="H4770" s="4">
        <v>17.5</v>
      </c>
      <c r="I4770" t="s">
        <v>108</v>
      </c>
      <c r="J4770" t="s">
        <v>109</v>
      </c>
      <c r="L4770" s="2">
        <v>46143</v>
      </c>
      <c r="M4770" t="s">
        <v>109</v>
      </c>
      <c r="N4770">
        <v>0</v>
      </c>
      <c r="O4770" t="s">
        <v>111</v>
      </c>
      <c r="P4770" t="s">
        <v>112</v>
      </c>
      <c r="Q4770" t="s">
        <v>113</v>
      </c>
    </row>
    <row r="4771" spans="1:17" x14ac:dyDescent="0.3">
      <c r="A4771" t="s">
        <v>17</v>
      </c>
      <c r="B4771">
        <v>68</v>
      </c>
      <c r="C4771" t="s">
        <v>34</v>
      </c>
      <c r="D4771" s="2">
        <v>46168</v>
      </c>
      <c r="E4771" s="3">
        <f t="shared" si="74"/>
        <v>46143</v>
      </c>
      <c r="F4771" t="s">
        <v>3803</v>
      </c>
      <c r="G4771" t="s">
        <v>122</v>
      </c>
      <c r="H4771" s="4">
        <v>1.34</v>
      </c>
      <c r="I4771" t="s">
        <v>108</v>
      </c>
      <c r="J4771" t="s">
        <v>109</v>
      </c>
      <c r="L4771" s="2">
        <v>46143</v>
      </c>
      <c r="M4771" t="s">
        <v>109</v>
      </c>
      <c r="N4771">
        <v>0</v>
      </c>
      <c r="O4771" t="s">
        <v>111</v>
      </c>
      <c r="P4771" t="s">
        <v>112</v>
      </c>
      <c r="Q4771" t="s">
        <v>113</v>
      </c>
    </row>
    <row r="4772" spans="1:17" x14ac:dyDescent="0.3">
      <c r="A4772" t="s">
        <v>17</v>
      </c>
      <c r="B4772">
        <v>67</v>
      </c>
      <c r="C4772" t="s">
        <v>28</v>
      </c>
      <c r="D4772" s="2">
        <v>46168</v>
      </c>
      <c r="E4772" s="3">
        <f t="shared" si="74"/>
        <v>46143</v>
      </c>
      <c r="F4772" t="s">
        <v>3804</v>
      </c>
      <c r="G4772" t="s">
        <v>205</v>
      </c>
      <c r="H4772" s="4">
        <v>1000</v>
      </c>
      <c r="I4772" t="s">
        <v>31</v>
      </c>
      <c r="J4772" t="s">
        <v>32</v>
      </c>
      <c r="K4772" t="s">
        <v>3805</v>
      </c>
      <c r="L4772" s="2">
        <v>46143</v>
      </c>
      <c r="M4772" t="s">
        <v>32</v>
      </c>
      <c r="N4772">
        <v>0</v>
      </c>
      <c r="O4772" t="s">
        <v>31</v>
      </c>
      <c r="P4772" t="s">
        <v>28</v>
      </c>
      <c r="Q4772">
        <v>0</v>
      </c>
    </row>
    <row r="4773" spans="1:17" x14ac:dyDescent="0.3">
      <c r="A4773" t="s">
        <v>17</v>
      </c>
      <c r="B4773">
        <v>67</v>
      </c>
      <c r="C4773" t="s">
        <v>28</v>
      </c>
      <c r="D4773" s="2">
        <v>46168</v>
      </c>
      <c r="E4773" s="3">
        <f t="shared" si="74"/>
        <v>46143</v>
      </c>
      <c r="F4773" t="s">
        <v>3806</v>
      </c>
      <c r="G4773" t="s">
        <v>208</v>
      </c>
      <c r="H4773" s="4">
        <v>500</v>
      </c>
      <c r="I4773" t="s">
        <v>31</v>
      </c>
      <c r="J4773" t="s">
        <v>32</v>
      </c>
      <c r="K4773" t="s">
        <v>3805</v>
      </c>
      <c r="L4773" s="2">
        <v>46143</v>
      </c>
      <c r="M4773" t="s">
        <v>32</v>
      </c>
      <c r="N4773">
        <v>0</v>
      </c>
      <c r="O4773" t="s">
        <v>31</v>
      </c>
      <c r="P4773" t="s">
        <v>28</v>
      </c>
      <c r="Q4773">
        <v>0</v>
      </c>
    </row>
    <row r="4774" spans="1:17" x14ac:dyDescent="0.3">
      <c r="A4774" t="s">
        <v>17</v>
      </c>
      <c r="B4774">
        <v>67</v>
      </c>
      <c r="C4774" t="s">
        <v>28</v>
      </c>
      <c r="D4774" s="2">
        <v>46168</v>
      </c>
      <c r="E4774" s="3">
        <f t="shared" si="74"/>
        <v>46143</v>
      </c>
      <c r="F4774" t="s">
        <v>3794</v>
      </c>
      <c r="G4774" t="s">
        <v>158</v>
      </c>
      <c r="H4774" s="4">
        <v>49.99</v>
      </c>
      <c r="I4774" t="s">
        <v>159</v>
      </c>
      <c r="J4774" t="s">
        <v>74</v>
      </c>
      <c r="K4774" t="s">
        <v>3807</v>
      </c>
      <c r="L4774" s="2">
        <v>46143</v>
      </c>
      <c r="M4774" t="s">
        <v>76</v>
      </c>
      <c r="N4774">
        <v>0</v>
      </c>
      <c r="O4774" t="s">
        <v>159</v>
      </c>
      <c r="P4774" t="s">
        <v>28</v>
      </c>
      <c r="Q4774">
        <v>0</v>
      </c>
    </row>
    <row r="4775" spans="1:17" x14ac:dyDescent="0.3">
      <c r="A4775" t="s">
        <v>17</v>
      </c>
      <c r="B4775">
        <v>67</v>
      </c>
      <c r="C4775" t="s">
        <v>28</v>
      </c>
      <c r="D4775" s="2">
        <v>46168</v>
      </c>
      <c r="E4775" s="3">
        <f t="shared" si="74"/>
        <v>46143</v>
      </c>
      <c r="F4775" t="s">
        <v>3794</v>
      </c>
      <c r="G4775" t="s">
        <v>158</v>
      </c>
      <c r="H4775" s="4">
        <v>21.78</v>
      </c>
      <c r="I4775" t="s">
        <v>159</v>
      </c>
      <c r="J4775" t="s">
        <v>74</v>
      </c>
      <c r="K4775" t="s">
        <v>3808</v>
      </c>
      <c r="L4775" s="2">
        <v>46143</v>
      </c>
      <c r="M4775" t="s">
        <v>76</v>
      </c>
      <c r="N4775">
        <v>0</v>
      </c>
      <c r="O4775" t="s">
        <v>159</v>
      </c>
      <c r="P4775" t="s">
        <v>28</v>
      </c>
      <c r="Q4775">
        <v>0</v>
      </c>
    </row>
    <row r="4776" spans="1:17" x14ac:dyDescent="0.3">
      <c r="A4776" t="s">
        <v>17</v>
      </c>
      <c r="B4776">
        <v>67</v>
      </c>
      <c r="C4776" t="s">
        <v>28</v>
      </c>
      <c r="D4776" s="2">
        <v>46168</v>
      </c>
      <c r="E4776" s="3">
        <f t="shared" si="74"/>
        <v>46143</v>
      </c>
      <c r="F4776" t="s">
        <v>3794</v>
      </c>
      <c r="G4776" t="s">
        <v>158</v>
      </c>
      <c r="H4776" s="4">
        <v>9.17</v>
      </c>
      <c r="I4776" t="s">
        <v>159</v>
      </c>
      <c r="J4776" t="s">
        <v>74</v>
      </c>
      <c r="K4776" t="s">
        <v>3809</v>
      </c>
      <c r="L4776" s="2">
        <v>46143</v>
      </c>
      <c r="M4776" t="s">
        <v>76</v>
      </c>
      <c r="N4776">
        <v>0</v>
      </c>
      <c r="O4776" t="s">
        <v>159</v>
      </c>
      <c r="P4776" t="s">
        <v>28</v>
      </c>
      <c r="Q4776">
        <v>0</v>
      </c>
    </row>
    <row r="4777" spans="1:17" x14ac:dyDescent="0.3">
      <c r="A4777" t="s">
        <v>17</v>
      </c>
      <c r="B4777">
        <v>67</v>
      </c>
      <c r="C4777" t="s">
        <v>28</v>
      </c>
      <c r="D4777" s="2">
        <v>46168</v>
      </c>
      <c r="E4777" s="3">
        <f t="shared" si="74"/>
        <v>46143</v>
      </c>
      <c r="F4777" t="s">
        <v>3794</v>
      </c>
      <c r="G4777" t="s">
        <v>158</v>
      </c>
      <c r="H4777" s="4">
        <v>21.78</v>
      </c>
      <c r="I4777" t="s">
        <v>159</v>
      </c>
      <c r="J4777" t="s">
        <v>74</v>
      </c>
      <c r="K4777" t="s">
        <v>3810</v>
      </c>
      <c r="L4777" s="2">
        <v>46143</v>
      </c>
      <c r="M4777" t="s">
        <v>76</v>
      </c>
      <c r="N4777">
        <v>0</v>
      </c>
      <c r="O4777" t="s">
        <v>159</v>
      </c>
      <c r="P4777" t="s">
        <v>28</v>
      </c>
      <c r="Q4777">
        <v>0</v>
      </c>
    </row>
    <row r="4778" spans="1:17" x14ac:dyDescent="0.3">
      <c r="A4778" t="s">
        <v>17</v>
      </c>
      <c r="B4778">
        <v>67</v>
      </c>
      <c r="C4778" t="s">
        <v>28</v>
      </c>
      <c r="D4778" s="2">
        <v>46168</v>
      </c>
      <c r="E4778" s="3">
        <f t="shared" si="74"/>
        <v>46143</v>
      </c>
      <c r="F4778" t="s">
        <v>3794</v>
      </c>
      <c r="G4778" t="s">
        <v>158</v>
      </c>
      <c r="H4778" s="4">
        <v>48.99</v>
      </c>
      <c r="I4778" t="s">
        <v>159</v>
      </c>
      <c r="J4778" t="s">
        <v>74</v>
      </c>
      <c r="K4778" t="s">
        <v>3811</v>
      </c>
      <c r="L4778" s="2">
        <v>46143</v>
      </c>
      <c r="M4778" t="s">
        <v>76</v>
      </c>
      <c r="N4778">
        <v>0</v>
      </c>
      <c r="O4778" t="s">
        <v>159</v>
      </c>
      <c r="P4778" t="s">
        <v>28</v>
      </c>
      <c r="Q4778">
        <v>0</v>
      </c>
    </row>
    <row r="4779" spans="1:17" x14ac:dyDescent="0.3">
      <c r="A4779" t="s">
        <v>17</v>
      </c>
      <c r="B4779">
        <v>67</v>
      </c>
      <c r="C4779" t="s">
        <v>28</v>
      </c>
      <c r="D4779" s="2">
        <v>46168</v>
      </c>
      <c r="E4779" s="3">
        <f t="shared" si="74"/>
        <v>46143</v>
      </c>
      <c r="F4779" t="s">
        <v>3794</v>
      </c>
      <c r="G4779" t="s">
        <v>158</v>
      </c>
      <c r="H4779" s="4">
        <v>48.99</v>
      </c>
      <c r="I4779" t="s">
        <v>159</v>
      </c>
      <c r="J4779" t="s">
        <v>74</v>
      </c>
      <c r="K4779" t="s">
        <v>3812</v>
      </c>
      <c r="L4779" s="2">
        <v>46143</v>
      </c>
      <c r="M4779" t="s">
        <v>76</v>
      </c>
      <c r="N4779">
        <v>0</v>
      </c>
      <c r="O4779" t="s">
        <v>159</v>
      </c>
      <c r="P4779" t="s">
        <v>28</v>
      </c>
      <c r="Q4779">
        <v>0</v>
      </c>
    </row>
    <row r="4780" spans="1:17" x14ac:dyDescent="0.3">
      <c r="A4780" t="s">
        <v>17</v>
      </c>
      <c r="B4780">
        <v>63</v>
      </c>
      <c r="C4780" t="s">
        <v>18</v>
      </c>
      <c r="D4780" s="2">
        <v>46169</v>
      </c>
      <c r="E4780" s="3">
        <f t="shared" si="74"/>
        <v>46143</v>
      </c>
      <c r="F4780">
        <v>853482</v>
      </c>
      <c r="G4780" t="s">
        <v>125</v>
      </c>
      <c r="H4780" s="4">
        <v>55</v>
      </c>
      <c r="I4780" t="s">
        <v>47</v>
      </c>
      <c r="J4780" t="s">
        <v>22</v>
      </c>
      <c r="K4780" t="s">
        <v>1791</v>
      </c>
      <c r="L4780" s="2">
        <v>46143</v>
      </c>
      <c r="M4780" t="s">
        <v>24</v>
      </c>
      <c r="N4780">
        <v>0</v>
      </c>
      <c r="O4780" t="s">
        <v>26</v>
      </c>
      <c r="P4780" t="s">
        <v>18</v>
      </c>
      <c r="Q4780" t="s">
        <v>27</v>
      </c>
    </row>
    <row r="4781" spans="1:17" x14ac:dyDescent="0.3">
      <c r="A4781" t="s">
        <v>17</v>
      </c>
      <c r="B4781">
        <v>63</v>
      </c>
      <c r="C4781" t="s">
        <v>18</v>
      </c>
      <c r="D4781" s="2">
        <v>46169</v>
      </c>
      <c r="E4781" s="3">
        <f t="shared" si="74"/>
        <v>46143</v>
      </c>
      <c r="F4781">
        <v>853482</v>
      </c>
      <c r="G4781" t="s">
        <v>125</v>
      </c>
      <c r="H4781" s="4">
        <v>275</v>
      </c>
      <c r="I4781" t="s">
        <v>47</v>
      </c>
      <c r="J4781" t="s">
        <v>22</v>
      </c>
      <c r="K4781" t="s">
        <v>3813</v>
      </c>
      <c r="L4781" s="2">
        <v>46143</v>
      </c>
      <c r="M4781" t="s">
        <v>24</v>
      </c>
      <c r="N4781">
        <v>0</v>
      </c>
      <c r="O4781" t="s">
        <v>26</v>
      </c>
      <c r="P4781" t="s">
        <v>18</v>
      </c>
      <c r="Q4781" t="s">
        <v>27</v>
      </c>
    </row>
    <row r="4782" spans="1:17" x14ac:dyDescent="0.3">
      <c r="A4782" t="s">
        <v>17</v>
      </c>
      <c r="B4782">
        <v>67</v>
      </c>
      <c r="C4782" t="s">
        <v>28</v>
      </c>
      <c r="D4782" s="2">
        <v>46169</v>
      </c>
      <c r="E4782" s="3">
        <f t="shared" si="74"/>
        <v>46143</v>
      </c>
      <c r="F4782" t="s">
        <v>3814</v>
      </c>
      <c r="G4782" t="s">
        <v>119</v>
      </c>
      <c r="H4782" s="4">
        <v>2935</v>
      </c>
      <c r="I4782" t="s">
        <v>31</v>
      </c>
      <c r="J4782" t="s">
        <v>68</v>
      </c>
      <c r="K4782" t="s">
        <v>1567</v>
      </c>
      <c r="L4782" s="2">
        <v>46143</v>
      </c>
      <c r="M4782" t="s">
        <v>68</v>
      </c>
      <c r="N4782">
        <v>0</v>
      </c>
      <c r="O4782" t="s">
        <v>31</v>
      </c>
      <c r="P4782" t="s">
        <v>28</v>
      </c>
      <c r="Q4782">
        <v>0</v>
      </c>
    </row>
    <row r="4783" spans="1:17" x14ac:dyDescent="0.3">
      <c r="A4783" t="s">
        <v>17</v>
      </c>
      <c r="B4783">
        <v>68</v>
      </c>
      <c r="C4783" t="s">
        <v>34</v>
      </c>
      <c r="D4783" s="2">
        <v>46169</v>
      </c>
      <c r="E4783" s="3">
        <f t="shared" si="74"/>
        <v>46143</v>
      </c>
      <c r="F4783" t="s">
        <v>3815</v>
      </c>
      <c r="G4783" t="s">
        <v>122</v>
      </c>
      <c r="H4783" s="4">
        <v>29.78</v>
      </c>
      <c r="I4783" t="s">
        <v>108</v>
      </c>
      <c r="J4783" t="s">
        <v>109</v>
      </c>
      <c r="K4783" t="s">
        <v>3061</v>
      </c>
      <c r="L4783" s="2">
        <v>46143</v>
      </c>
      <c r="M4783" t="s">
        <v>109</v>
      </c>
      <c r="N4783">
        <v>0</v>
      </c>
      <c r="O4783" t="s">
        <v>111</v>
      </c>
      <c r="P4783" t="s">
        <v>112</v>
      </c>
      <c r="Q4783" t="s">
        <v>113</v>
      </c>
    </row>
    <row r="4784" spans="1:17" x14ac:dyDescent="0.3">
      <c r="A4784" t="s">
        <v>17</v>
      </c>
      <c r="B4784">
        <v>68</v>
      </c>
      <c r="C4784" t="s">
        <v>34</v>
      </c>
      <c r="D4784" s="2">
        <v>46169</v>
      </c>
      <c r="E4784" s="3">
        <f t="shared" si="74"/>
        <v>46143</v>
      </c>
      <c r="F4784" t="s">
        <v>3816</v>
      </c>
      <c r="G4784" t="s">
        <v>122</v>
      </c>
      <c r="H4784" s="4">
        <v>897.96</v>
      </c>
      <c r="I4784" t="s">
        <v>108</v>
      </c>
      <c r="J4784" t="s">
        <v>109</v>
      </c>
      <c r="K4784" t="s">
        <v>388</v>
      </c>
      <c r="L4784" s="2">
        <v>46143</v>
      </c>
      <c r="M4784" t="s">
        <v>109</v>
      </c>
      <c r="N4784">
        <v>0</v>
      </c>
      <c r="O4784" t="s">
        <v>111</v>
      </c>
      <c r="P4784" t="s">
        <v>112</v>
      </c>
      <c r="Q4784" t="s">
        <v>113</v>
      </c>
    </row>
    <row r="4785" spans="1:17" x14ac:dyDescent="0.3">
      <c r="A4785" t="s">
        <v>17</v>
      </c>
      <c r="B4785">
        <v>68</v>
      </c>
      <c r="C4785" t="s">
        <v>34</v>
      </c>
      <c r="D4785" s="2">
        <v>46169</v>
      </c>
      <c r="E4785" s="3">
        <f t="shared" si="74"/>
        <v>46143</v>
      </c>
      <c r="F4785" t="s">
        <v>3817</v>
      </c>
      <c r="G4785" t="s">
        <v>43</v>
      </c>
      <c r="H4785" s="4">
        <v>20</v>
      </c>
      <c r="I4785" t="s">
        <v>31</v>
      </c>
      <c r="J4785" t="s">
        <v>37</v>
      </c>
      <c r="K4785" t="s">
        <v>3498</v>
      </c>
      <c r="L4785" s="2">
        <v>46143</v>
      </c>
      <c r="M4785" t="s">
        <v>37</v>
      </c>
      <c r="N4785">
        <v>0</v>
      </c>
      <c r="O4785" t="s">
        <v>31</v>
      </c>
      <c r="P4785" t="s">
        <v>34</v>
      </c>
      <c r="Q4785">
        <v>0</v>
      </c>
    </row>
    <row r="4786" spans="1:17" x14ac:dyDescent="0.3">
      <c r="A4786" t="s">
        <v>17</v>
      </c>
      <c r="B4786">
        <v>68</v>
      </c>
      <c r="C4786" t="s">
        <v>34</v>
      </c>
      <c r="D4786" s="2">
        <v>46169</v>
      </c>
      <c r="E4786" s="3">
        <f t="shared" si="74"/>
        <v>46143</v>
      </c>
      <c r="F4786" t="s">
        <v>3817</v>
      </c>
      <c r="G4786" t="s">
        <v>43</v>
      </c>
      <c r="H4786" s="4">
        <v>11.71</v>
      </c>
      <c r="I4786" t="s">
        <v>31</v>
      </c>
      <c r="J4786" t="s">
        <v>37</v>
      </c>
      <c r="K4786" t="s">
        <v>1276</v>
      </c>
      <c r="L4786" s="2">
        <v>46143</v>
      </c>
      <c r="M4786" t="s">
        <v>37</v>
      </c>
      <c r="N4786">
        <v>0</v>
      </c>
      <c r="O4786" t="s">
        <v>31</v>
      </c>
      <c r="P4786" t="s">
        <v>34</v>
      </c>
      <c r="Q4786">
        <v>0</v>
      </c>
    </row>
    <row r="4787" spans="1:17" x14ac:dyDescent="0.3">
      <c r="A4787" t="s">
        <v>17</v>
      </c>
      <c r="B4787">
        <v>68</v>
      </c>
      <c r="C4787" t="s">
        <v>34</v>
      </c>
      <c r="D4787" s="2">
        <v>46169</v>
      </c>
      <c r="E4787" s="3">
        <f t="shared" si="74"/>
        <v>46143</v>
      </c>
      <c r="F4787" t="s">
        <v>3817</v>
      </c>
      <c r="G4787" t="s">
        <v>43</v>
      </c>
      <c r="H4787" s="4">
        <v>239</v>
      </c>
      <c r="I4787" t="s">
        <v>31</v>
      </c>
      <c r="J4787" t="s">
        <v>37</v>
      </c>
      <c r="K4787" t="s">
        <v>1734</v>
      </c>
      <c r="L4787" s="2">
        <v>46143</v>
      </c>
      <c r="M4787" t="s">
        <v>37</v>
      </c>
      <c r="N4787">
        <v>0</v>
      </c>
      <c r="O4787" t="s">
        <v>31</v>
      </c>
      <c r="P4787" t="s">
        <v>34</v>
      </c>
      <c r="Q4787">
        <v>0</v>
      </c>
    </row>
    <row r="4788" spans="1:17" x14ac:dyDescent="0.3">
      <c r="A4788" t="s">
        <v>17</v>
      </c>
      <c r="B4788">
        <v>64</v>
      </c>
      <c r="C4788" t="s">
        <v>83</v>
      </c>
      <c r="D4788" s="2">
        <v>46170</v>
      </c>
      <c r="E4788" s="3">
        <f t="shared" si="74"/>
        <v>46143</v>
      </c>
      <c r="F4788" t="s">
        <v>3818</v>
      </c>
      <c r="G4788" t="s">
        <v>1334</v>
      </c>
      <c r="H4788" s="4">
        <v>13.63</v>
      </c>
      <c r="I4788" t="s">
        <v>31</v>
      </c>
      <c r="J4788" t="s">
        <v>91</v>
      </c>
      <c r="K4788" t="s">
        <v>1018</v>
      </c>
      <c r="L4788" s="2">
        <v>46143</v>
      </c>
      <c r="M4788" t="s">
        <v>93</v>
      </c>
      <c r="N4788">
        <v>0</v>
      </c>
      <c r="O4788" t="s">
        <v>31</v>
      </c>
      <c r="P4788" t="s">
        <v>83</v>
      </c>
      <c r="Q4788">
        <v>0</v>
      </c>
    </row>
    <row r="4789" spans="1:17" x14ac:dyDescent="0.3">
      <c r="A4789" t="s">
        <v>17</v>
      </c>
      <c r="B4789">
        <v>64</v>
      </c>
      <c r="C4789" t="s">
        <v>83</v>
      </c>
      <c r="D4789" s="2">
        <v>46170</v>
      </c>
      <c r="E4789" s="3">
        <f t="shared" si="74"/>
        <v>46143</v>
      </c>
      <c r="F4789" t="s">
        <v>3818</v>
      </c>
      <c r="G4789" t="s">
        <v>1334</v>
      </c>
      <c r="H4789" s="4">
        <v>126.29</v>
      </c>
      <c r="I4789" t="s">
        <v>31</v>
      </c>
      <c r="J4789" t="s">
        <v>91</v>
      </c>
      <c r="K4789" t="s">
        <v>3819</v>
      </c>
      <c r="L4789" s="2">
        <v>46143</v>
      </c>
      <c r="M4789" t="s">
        <v>93</v>
      </c>
      <c r="N4789">
        <v>0</v>
      </c>
      <c r="O4789" t="s">
        <v>31</v>
      </c>
      <c r="P4789" t="s">
        <v>83</v>
      </c>
      <c r="Q4789">
        <v>0</v>
      </c>
    </row>
    <row r="4790" spans="1:17" x14ac:dyDescent="0.3">
      <c r="A4790" t="s">
        <v>17</v>
      </c>
      <c r="B4790">
        <v>64</v>
      </c>
      <c r="C4790" t="s">
        <v>83</v>
      </c>
      <c r="D4790" s="2">
        <v>46170</v>
      </c>
      <c r="E4790" s="3">
        <f t="shared" si="74"/>
        <v>46143</v>
      </c>
      <c r="F4790" t="s">
        <v>3818</v>
      </c>
      <c r="G4790" t="s">
        <v>1334</v>
      </c>
      <c r="H4790" s="4">
        <v>16.399999999999999</v>
      </c>
      <c r="I4790" t="s">
        <v>31</v>
      </c>
      <c r="J4790" t="s">
        <v>91</v>
      </c>
      <c r="K4790" t="s">
        <v>1018</v>
      </c>
      <c r="L4790" s="2">
        <v>46143</v>
      </c>
      <c r="M4790" t="s">
        <v>93</v>
      </c>
      <c r="N4790">
        <v>0</v>
      </c>
      <c r="O4790" t="s">
        <v>31</v>
      </c>
      <c r="P4790" t="s">
        <v>83</v>
      </c>
      <c r="Q4790">
        <v>0</v>
      </c>
    </row>
    <row r="4791" spans="1:17" x14ac:dyDescent="0.3">
      <c r="A4791" t="s">
        <v>17</v>
      </c>
      <c r="B4791">
        <v>64</v>
      </c>
      <c r="C4791" t="s">
        <v>83</v>
      </c>
      <c r="D4791" s="2">
        <v>46170</v>
      </c>
      <c r="E4791" s="3">
        <f t="shared" si="74"/>
        <v>46143</v>
      </c>
      <c r="F4791" t="s">
        <v>3818</v>
      </c>
      <c r="G4791" t="s">
        <v>1334</v>
      </c>
      <c r="H4791" s="4">
        <v>14.43</v>
      </c>
      <c r="I4791" t="s">
        <v>31</v>
      </c>
      <c r="J4791" t="s">
        <v>91</v>
      </c>
      <c r="K4791" t="s">
        <v>1018</v>
      </c>
      <c r="L4791" s="2">
        <v>46143</v>
      </c>
      <c r="M4791" t="s">
        <v>93</v>
      </c>
      <c r="N4791">
        <v>0</v>
      </c>
      <c r="O4791" t="s">
        <v>31</v>
      </c>
      <c r="P4791" t="s">
        <v>83</v>
      </c>
      <c r="Q4791">
        <v>0</v>
      </c>
    </row>
    <row r="4792" spans="1:17" x14ac:dyDescent="0.3">
      <c r="A4792" t="s">
        <v>17</v>
      </c>
      <c r="B4792">
        <v>64</v>
      </c>
      <c r="C4792" t="s">
        <v>83</v>
      </c>
      <c r="D4792" s="2">
        <v>46170</v>
      </c>
      <c r="E4792" s="3">
        <f t="shared" si="74"/>
        <v>46143</v>
      </c>
      <c r="F4792" t="s">
        <v>3820</v>
      </c>
      <c r="G4792" t="s">
        <v>1039</v>
      </c>
      <c r="H4792" s="4">
        <v>456.8</v>
      </c>
      <c r="I4792" t="s">
        <v>137</v>
      </c>
      <c r="J4792" t="s">
        <v>530</v>
      </c>
      <c r="K4792" t="s">
        <v>3821</v>
      </c>
      <c r="L4792" s="2">
        <v>46143</v>
      </c>
      <c r="M4792" t="s">
        <v>531</v>
      </c>
      <c r="N4792" t="s">
        <v>141</v>
      </c>
      <c r="O4792" t="s">
        <v>141</v>
      </c>
      <c r="P4792" t="s">
        <v>83</v>
      </c>
      <c r="Q4792">
        <v>0</v>
      </c>
    </row>
    <row r="4793" spans="1:17" x14ac:dyDescent="0.3">
      <c r="A4793" t="s">
        <v>17</v>
      </c>
      <c r="B4793">
        <v>64</v>
      </c>
      <c r="C4793" t="s">
        <v>83</v>
      </c>
      <c r="D4793" s="2">
        <v>46170</v>
      </c>
      <c r="E4793" s="3">
        <f t="shared" si="74"/>
        <v>46143</v>
      </c>
      <c r="F4793" t="s">
        <v>3820</v>
      </c>
      <c r="G4793" t="s">
        <v>1039</v>
      </c>
      <c r="H4793" s="4">
        <v>343.56</v>
      </c>
      <c r="I4793" t="s">
        <v>137</v>
      </c>
      <c r="J4793" t="s">
        <v>87</v>
      </c>
      <c r="K4793" t="s">
        <v>3822</v>
      </c>
      <c r="L4793" s="2">
        <v>46143</v>
      </c>
      <c r="M4793" t="s">
        <v>89</v>
      </c>
      <c r="N4793" t="s">
        <v>141</v>
      </c>
      <c r="O4793" t="s">
        <v>141</v>
      </c>
      <c r="P4793" t="s">
        <v>83</v>
      </c>
      <c r="Q4793">
        <v>0</v>
      </c>
    </row>
    <row r="4794" spans="1:17" x14ac:dyDescent="0.3">
      <c r="A4794" t="s">
        <v>17</v>
      </c>
      <c r="B4794">
        <v>64</v>
      </c>
      <c r="C4794" t="s">
        <v>83</v>
      </c>
      <c r="D4794" s="2">
        <v>46170</v>
      </c>
      <c r="E4794" s="3">
        <f t="shared" si="74"/>
        <v>46143</v>
      </c>
      <c r="F4794" t="s">
        <v>3820</v>
      </c>
      <c r="G4794" t="s">
        <v>1039</v>
      </c>
      <c r="H4794" s="4">
        <v>15.25</v>
      </c>
      <c r="I4794" t="s">
        <v>137</v>
      </c>
      <c r="J4794" t="s">
        <v>87</v>
      </c>
      <c r="K4794" t="s">
        <v>3823</v>
      </c>
      <c r="L4794" s="2">
        <v>46143</v>
      </c>
      <c r="M4794" t="s">
        <v>89</v>
      </c>
      <c r="N4794" t="s">
        <v>141</v>
      </c>
      <c r="O4794" t="s">
        <v>141</v>
      </c>
      <c r="P4794" t="s">
        <v>83</v>
      </c>
      <c r="Q4794">
        <v>0</v>
      </c>
    </row>
    <row r="4795" spans="1:17" x14ac:dyDescent="0.3">
      <c r="A4795" t="s">
        <v>17</v>
      </c>
      <c r="B4795">
        <v>64</v>
      </c>
      <c r="C4795" t="s">
        <v>83</v>
      </c>
      <c r="D4795" s="2">
        <v>46170</v>
      </c>
      <c r="E4795" s="3">
        <f t="shared" si="74"/>
        <v>46143</v>
      </c>
      <c r="F4795" t="s">
        <v>3820</v>
      </c>
      <c r="G4795" t="s">
        <v>1039</v>
      </c>
      <c r="H4795" s="4">
        <v>15.25</v>
      </c>
      <c r="I4795" t="s">
        <v>137</v>
      </c>
      <c r="J4795" t="s">
        <v>87</v>
      </c>
      <c r="K4795" t="s">
        <v>3824</v>
      </c>
      <c r="L4795" s="2">
        <v>46143</v>
      </c>
      <c r="M4795" t="s">
        <v>89</v>
      </c>
      <c r="N4795" t="s">
        <v>141</v>
      </c>
      <c r="O4795" t="s">
        <v>141</v>
      </c>
      <c r="P4795" t="s">
        <v>83</v>
      </c>
      <c r="Q4795">
        <v>0</v>
      </c>
    </row>
    <row r="4796" spans="1:17" x14ac:dyDescent="0.3">
      <c r="A4796" t="s">
        <v>17</v>
      </c>
      <c r="B4796">
        <v>64</v>
      </c>
      <c r="C4796" t="s">
        <v>83</v>
      </c>
      <c r="D4796" s="2">
        <v>46170</v>
      </c>
      <c r="E4796" s="3">
        <f t="shared" si="74"/>
        <v>46143</v>
      </c>
      <c r="F4796" t="s">
        <v>3818</v>
      </c>
      <c r="G4796" t="s">
        <v>1334</v>
      </c>
      <c r="H4796" s="4">
        <v>47.91</v>
      </c>
      <c r="I4796" t="s">
        <v>31</v>
      </c>
      <c r="J4796" t="s">
        <v>87</v>
      </c>
      <c r="K4796" t="s">
        <v>2933</v>
      </c>
      <c r="L4796" s="2">
        <v>46143</v>
      </c>
      <c r="M4796" t="s">
        <v>89</v>
      </c>
      <c r="N4796">
        <v>0</v>
      </c>
      <c r="O4796" t="s">
        <v>31</v>
      </c>
      <c r="P4796" t="s">
        <v>83</v>
      </c>
      <c r="Q4796">
        <v>0</v>
      </c>
    </row>
    <row r="4797" spans="1:17" x14ac:dyDescent="0.3">
      <c r="A4797" t="s">
        <v>17</v>
      </c>
      <c r="B4797">
        <v>64</v>
      </c>
      <c r="C4797" t="s">
        <v>83</v>
      </c>
      <c r="D4797" s="2">
        <v>46170</v>
      </c>
      <c r="E4797" s="3">
        <f t="shared" si="74"/>
        <v>46143</v>
      </c>
      <c r="F4797" t="s">
        <v>3820</v>
      </c>
      <c r="G4797" t="s">
        <v>1039</v>
      </c>
      <c r="H4797" s="4">
        <v>63.92</v>
      </c>
      <c r="I4797" t="s">
        <v>137</v>
      </c>
      <c r="J4797" t="s">
        <v>87</v>
      </c>
      <c r="K4797" t="s">
        <v>3825</v>
      </c>
      <c r="L4797" s="2">
        <v>46143</v>
      </c>
      <c r="M4797" t="s">
        <v>89</v>
      </c>
      <c r="N4797" t="s">
        <v>141</v>
      </c>
      <c r="O4797" t="s">
        <v>141</v>
      </c>
      <c r="P4797" t="s">
        <v>83</v>
      </c>
      <c r="Q4797">
        <v>0</v>
      </c>
    </row>
    <row r="4798" spans="1:17" x14ac:dyDescent="0.3">
      <c r="A4798" t="s">
        <v>17</v>
      </c>
      <c r="B4798">
        <v>64</v>
      </c>
      <c r="C4798" t="s">
        <v>83</v>
      </c>
      <c r="D4798" s="2">
        <v>46170</v>
      </c>
      <c r="E4798" s="3">
        <f t="shared" si="74"/>
        <v>46143</v>
      </c>
      <c r="F4798" t="s">
        <v>3820</v>
      </c>
      <c r="G4798" t="s">
        <v>1039</v>
      </c>
      <c r="H4798" s="4">
        <v>33.96</v>
      </c>
      <c r="I4798" t="s">
        <v>137</v>
      </c>
      <c r="J4798" t="s">
        <v>2817</v>
      </c>
      <c r="K4798" t="s">
        <v>3821</v>
      </c>
      <c r="L4798" s="2">
        <v>46143</v>
      </c>
      <c r="M4798" t="s">
        <v>2819</v>
      </c>
      <c r="N4798" t="s">
        <v>141</v>
      </c>
      <c r="O4798" t="s">
        <v>141</v>
      </c>
      <c r="P4798" t="s">
        <v>83</v>
      </c>
      <c r="Q4798">
        <v>0</v>
      </c>
    </row>
    <row r="4799" spans="1:17" x14ac:dyDescent="0.3">
      <c r="A4799" t="s">
        <v>17</v>
      </c>
      <c r="B4799">
        <v>64</v>
      </c>
      <c r="C4799" t="s">
        <v>83</v>
      </c>
      <c r="D4799" s="2">
        <v>46170</v>
      </c>
      <c r="E4799" s="3">
        <f t="shared" si="74"/>
        <v>46143</v>
      </c>
      <c r="F4799" t="s">
        <v>3820</v>
      </c>
      <c r="G4799" t="s">
        <v>1039</v>
      </c>
      <c r="H4799" s="4">
        <v>22.26</v>
      </c>
      <c r="I4799" t="s">
        <v>137</v>
      </c>
      <c r="J4799" t="s">
        <v>2817</v>
      </c>
      <c r="K4799" t="s">
        <v>3822</v>
      </c>
      <c r="L4799" s="2">
        <v>46143</v>
      </c>
      <c r="M4799" t="s">
        <v>2819</v>
      </c>
      <c r="N4799" t="s">
        <v>141</v>
      </c>
      <c r="O4799" t="s">
        <v>141</v>
      </c>
      <c r="P4799" t="s">
        <v>83</v>
      </c>
      <c r="Q4799">
        <v>0</v>
      </c>
    </row>
    <row r="4800" spans="1:17" x14ac:dyDescent="0.3">
      <c r="A4800" t="s">
        <v>17</v>
      </c>
      <c r="B4800">
        <v>64</v>
      </c>
      <c r="C4800" t="s">
        <v>83</v>
      </c>
      <c r="D4800" s="2">
        <v>46170</v>
      </c>
      <c r="E4800" s="3">
        <f t="shared" si="74"/>
        <v>46143</v>
      </c>
      <c r="F4800" t="s">
        <v>3820</v>
      </c>
      <c r="G4800" t="s">
        <v>1039</v>
      </c>
      <c r="H4800" s="4">
        <v>22.16</v>
      </c>
      <c r="I4800" t="s">
        <v>137</v>
      </c>
      <c r="J4800" t="s">
        <v>2817</v>
      </c>
      <c r="K4800" t="s">
        <v>3822</v>
      </c>
      <c r="L4800" s="2">
        <v>46143</v>
      </c>
      <c r="M4800" t="s">
        <v>2819</v>
      </c>
      <c r="N4800" t="s">
        <v>141</v>
      </c>
      <c r="O4800" t="s">
        <v>141</v>
      </c>
      <c r="P4800" t="s">
        <v>83</v>
      </c>
      <c r="Q4800">
        <v>0</v>
      </c>
    </row>
    <row r="4801" spans="1:17" x14ac:dyDescent="0.3">
      <c r="A4801" t="s">
        <v>17</v>
      </c>
      <c r="B4801">
        <v>68</v>
      </c>
      <c r="C4801" t="s">
        <v>34</v>
      </c>
      <c r="D4801" s="2">
        <v>46170</v>
      </c>
      <c r="E4801" s="3">
        <f t="shared" si="74"/>
        <v>46143</v>
      </c>
      <c r="F4801" t="s">
        <v>3818</v>
      </c>
      <c r="G4801" t="s">
        <v>1334</v>
      </c>
      <c r="H4801" s="4">
        <v>93.97</v>
      </c>
      <c r="I4801" t="s">
        <v>31</v>
      </c>
      <c r="J4801" t="s">
        <v>79</v>
      </c>
      <c r="K4801" t="s">
        <v>3826</v>
      </c>
      <c r="L4801" s="2">
        <v>46143</v>
      </c>
      <c r="M4801" t="s">
        <v>79</v>
      </c>
      <c r="N4801">
        <v>0</v>
      </c>
      <c r="O4801" t="s">
        <v>31</v>
      </c>
      <c r="P4801" t="s">
        <v>34</v>
      </c>
      <c r="Q4801">
        <v>0</v>
      </c>
    </row>
    <row r="4802" spans="1:17" x14ac:dyDescent="0.3">
      <c r="A4802" t="s">
        <v>17</v>
      </c>
      <c r="B4802">
        <v>68</v>
      </c>
      <c r="C4802" t="s">
        <v>34</v>
      </c>
      <c r="D4802" s="2">
        <v>46170</v>
      </c>
      <c r="E4802" s="3">
        <f t="shared" si="74"/>
        <v>46143</v>
      </c>
      <c r="F4802" t="s">
        <v>3827</v>
      </c>
      <c r="G4802" t="s">
        <v>122</v>
      </c>
      <c r="H4802" s="4">
        <v>1.49</v>
      </c>
      <c r="I4802" t="s">
        <v>108</v>
      </c>
      <c r="J4802" t="s">
        <v>109</v>
      </c>
      <c r="K4802" t="s">
        <v>1450</v>
      </c>
      <c r="L4802" s="2">
        <v>46143</v>
      </c>
      <c r="M4802" t="s">
        <v>109</v>
      </c>
      <c r="N4802">
        <v>0</v>
      </c>
      <c r="O4802" t="s">
        <v>111</v>
      </c>
      <c r="P4802" t="s">
        <v>112</v>
      </c>
      <c r="Q4802" t="s">
        <v>113</v>
      </c>
    </row>
    <row r="4803" spans="1:17" x14ac:dyDescent="0.3">
      <c r="A4803" t="s">
        <v>17</v>
      </c>
      <c r="B4803">
        <v>68</v>
      </c>
      <c r="C4803" t="s">
        <v>34</v>
      </c>
      <c r="D4803" s="2">
        <v>46170</v>
      </c>
      <c r="E4803" s="3">
        <f t="shared" ref="E4803:E4866" si="75">IF($D4803="","",DATE(YEAR($D4803),MONTH($D4803),1))</f>
        <v>46143</v>
      </c>
      <c r="F4803" t="s">
        <v>3827</v>
      </c>
      <c r="G4803" t="s">
        <v>122</v>
      </c>
      <c r="H4803" s="4">
        <v>17.5</v>
      </c>
      <c r="I4803" t="s">
        <v>108</v>
      </c>
      <c r="J4803" t="s">
        <v>109</v>
      </c>
      <c r="K4803" t="s">
        <v>3441</v>
      </c>
      <c r="L4803" s="2">
        <v>46143</v>
      </c>
      <c r="M4803" t="s">
        <v>109</v>
      </c>
      <c r="N4803">
        <v>0</v>
      </c>
      <c r="O4803" t="s">
        <v>111</v>
      </c>
      <c r="P4803" t="s">
        <v>112</v>
      </c>
      <c r="Q4803" t="s">
        <v>113</v>
      </c>
    </row>
    <row r="4804" spans="1:17" x14ac:dyDescent="0.3">
      <c r="A4804" t="s">
        <v>17</v>
      </c>
      <c r="B4804">
        <v>68</v>
      </c>
      <c r="C4804" t="s">
        <v>34</v>
      </c>
      <c r="D4804" s="2">
        <v>46170</v>
      </c>
      <c r="E4804" s="3">
        <f t="shared" si="75"/>
        <v>46143</v>
      </c>
      <c r="F4804" t="s">
        <v>3827</v>
      </c>
      <c r="G4804" t="s">
        <v>122</v>
      </c>
      <c r="H4804" s="4">
        <v>1.34</v>
      </c>
      <c r="I4804" t="s">
        <v>108</v>
      </c>
      <c r="J4804" t="s">
        <v>109</v>
      </c>
      <c r="K4804" t="s">
        <v>2579</v>
      </c>
      <c r="L4804" s="2">
        <v>46143</v>
      </c>
      <c r="M4804" t="s">
        <v>109</v>
      </c>
      <c r="N4804">
        <v>0</v>
      </c>
      <c r="O4804" t="s">
        <v>111</v>
      </c>
      <c r="P4804" t="s">
        <v>112</v>
      </c>
      <c r="Q4804" t="s">
        <v>113</v>
      </c>
    </row>
    <row r="4805" spans="1:17" x14ac:dyDescent="0.3">
      <c r="A4805" t="s">
        <v>17</v>
      </c>
      <c r="B4805">
        <v>67</v>
      </c>
      <c r="C4805" t="s">
        <v>28</v>
      </c>
      <c r="D4805" s="2">
        <v>46170</v>
      </c>
      <c r="E4805" s="3">
        <f t="shared" si="75"/>
        <v>46143</v>
      </c>
      <c r="F4805" t="s">
        <v>3818</v>
      </c>
      <c r="G4805" t="s">
        <v>1334</v>
      </c>
      <c r="H4805" s="4">
        <v>11.56</v>
      </c>
      <c r="I4805" t="s">
        <v>31</v>
      </c>
      <c r="J4805" t="s">
        <v>74</v>
      </c>
      <c r="K4805" t="s">
        <v>3562</v>
      </c>
      <c r="L4805" s="2">
        <v>46143</v>
      </c>
      <c r="M4805" t="s">
        <v>76</v>
      </c>
      <c r="N4805">
        <v>0</v>
      </c>
      <c r="O4805" t="s">
        <v>31</v>
      </c>
      <c r="P4805" t="s">
        <v>28</v>
      </c>
      <c r="Q4805">
        <v>0</v>
      </c>
    </row>
    <row r="4806" spans="1:17" x14ac:dyDescent="0.3">
      <c r="A4806" t="s">
        <v>17</v>
      </c>
      <c r="B4806">
        <v>67</v>
      </c>
      <c r="C4806" t="s">
        <v>28</v>
      </c>
      <c r="D4806" s="2">
        <v>46170</v>
      </c>
      <c r="E4806" s="3">
        <f t="shared" si="75"/>
        <v>46143</v>
      </c>
      <c r="F4806" t="s">
        <v>3818</v>
      </c>
      <c r="G4806" t="s">
        <v>1334</v>
      </c>
      <c r="H4806" s="4">
        <v>185.09</v>
      </c>
      <c r="I4806" t="s">
        <v>31</v>
      </c>
      <c r="J4806" t="s">
        <v>74</v>
      </c>
      <c r="K4806" t="s">
        <v>3117</v>
      </c>
      <c r="L4806" s="2">
        <v>46143</v>
      </c>
      <c r="M4806" t="s">
        <v>76</v>
      </c>
      <c r="N4806">
        <v>0</v>
      </c>
      <c r="O4806" t="s">
        <v>31</v>
      </c>
      <c r="P4806" t="s">
        <v>28</v>
      </c>
      <c r="Q4806">
        <v>0</v>
      </c>
    </row>
    <row r="4807" spans="1:17" x14ac:dyDescent="0.3">
      <c r="A4807" t="s">
        <v>17</v>
      </c>
      <c r="B4807">
        <v>67</v>
      </c>
      <c r="C4807" t="s">
        <v>28</v>
      </c>
      <c r="D4807" s="2">
        <v>46170</v>
      </c>
      <c r="E4807" s="3">
        <f t="shared" si="75"/>
        <v>46143</v>
      </c>
      <c r="F4807" t="s">
        <v>3818</v>
      </c>
      <c r="G4807" t="s">
        <v>1334</v>
      </c>
      <c r="H4807" s="4">
        <v>11.3</v>
      </c>
      <c r="I4807" t="s">
        <v>31</v>
      </c>
      <c r="J4807" t="s">
        <v>74</v>
      </c>
      <c r="K4807" t="s">
        <v>3562</v>
      </c>
      <c r="L4807" s="2">
        <v>46143</v>
      </c>
      <c r="M4807" t="s">
        <v>76</v>
      </c>
      <c r="N4807">
        <v>0</v>
      </c>
      <c r="O4807" t="s">
        <v>31</v>
      </c>
      <c r="P4807" t="s">
        <v>28</v>
      </c>
      <c r="Q4807">
        <v>0</v>
      </c>
    </row>
    <row r="4808" spans="1:17" x14ac:dyDescent="0.3">
      <c r="A4808" t="s">
        <v>17</v>
      </c>
      <c r="B4808">
        <v>67</v>
      </c>
      <c r="C4808" t="s">
        <v>28</v>
      </c>
      <c r="D4808" s="2">
        <v>46170</v>
      </c>
      <c r="E4808" s="3">
        <f t="shared" si="75"/>
        <v>46143</v>
      </c>
      <c r="F4808" t="s">
        <v>3818</v>
      </c>
      <c r="G4808" t="s">
        <v>1334</v>
      </c>
      <c r="H4808" s="4">
        <v>98.39</v>
      </c>
      <c r="I4808" t="s">
        <v>31</v>
      </c>
      <c r="J4808" t="s">
        <v>74</v>
      </c>
      <c r="K4808" t="s">
        <v>2139</v>
      </c>
      <c r="L4808" s="2">
        <v>46143</v>
      </c>
      <c r="M4808" t="s">
        <v>76</v>
      </c>
      <c r="N4808">
        <v>0</v>
      </c>
      <c r="O4808" t="s">
        <v>31</v>
      </c>
      <c r="P4808" t="s">
        <v>28</v>
      </c>
      <c r="Q4808">
        <v>0</v>
      </c>
    </row>
    <row r="4809" spans="1:17" x14ac:dyDescent="0.3">
      <c r="A4809" t="s">
        <v>17</v>
      </c>
      <c r="B4809">
        <v>67</v>
      </c>
      <c r="C4809" t="s">
        <v>28</v>
      </c>
      <c r="D4809" s="2">
        <v>46170</v>
      </c>
      <c r="E4809" s="3">
        <f t="shared" si="75"/>
        <v>46143</v>
      </c>
      <c r="F4809" t="s">
        <v>3818</v>
      </c>
      <c r="G4809" t="s">
        <v>1334</v>
      </c>
      <c r="H4809" s="4">
        <v>163.31</v>
      </c>
      <c r="I4809" t="s">
        <v>31</v>
      </c>
      <c r="J4809" t="s">
        <v>74</v>
      </c>
      <c r="K4809" t="s">
        <v>247</v>
      </c>
      <c r="L4809" s="2">
        <v>46143</v>
      </c>
      <c r="M4809" t="s">
        <v>76</v>
      </c>
      <c r="N4809">
        <v>0</v>
      </c>
      <c r="O4809" t="s">
        <v>31</v>
      </c>
      <c r="P4809" t="s">
        <v>28</v>
      </c>
      <c r="Q4809">
        <v>0</v>
      </c>
    </row>
    <row r="4810" spans="1:17" x14ac:dyDescent="0.3">
      <c r="A4810" t="s">
        <v>17</v>
      </c>
      <c r="B4810">
        <v>67</v>
      </c>
      <c r="C4810" t="s">
        <v>28</v>
      </c>
      <c r="D4810" s="2">
        <v>46170</v>
      </c>
      <c r="E4810" s="3">
        <f t="shared" si="75"/>
        <v>46143</v>
      </c>
      <c r="F4810" t="s">
        <v>3818</v>
      </c>
      <c r="G4810" t="s">
        <v>1334</v>
      </c>
      <c r="H4810" s="4">
        <v>11.98</v>
      </c>
      <c r="I4810" t="s">
        <v>31</v>
      </c>
      <c r="J4810" t="s">
        <v>74</v>
      </c>
      <c r="K4810" t="s">
        <v>3828</v>
      </c>
      <c r="L4810" s="2">
        <v>46143</v>
      </c>
      <c r="M4810" t="s">
        <v>76</v>
      </c>
      <c r="N4810">
        <v>0</v>
      </c>
      <c r="O4810" t="s">
        <v>31</v>
      </c>
      <c r="P4810" t="s">
        <v>28</v>
      </c>
      <c r="Q4810">
        <v>0</v>
      </c>
    </row>
    <row r="4811" spans="1:17" x14ac:dyDescent="0.3">
      <c r="A4811" t="s">
        <v>17</v>
      </c>
      <c r="B4811">
        <v>67</v>
      </c>
      <c r="C4811" t="s">
        <v>28</v>
      </c>
      <c r="D4811" s="2">
        <v>46170</v>
      </c>
      <c r="E4811" s="3">
        <f t="shared" si="75"/>
        <v>46143</v>
      </c>
      <c r="F4811" t="s">
        <v>3818</v>
      </c>
      <c r="G4811" t="s">
        <v>1334</v>
      </c>
      <c r="H4811" s="4">
        <v>98.18</v>
      </c>
      <c r="I4811" t="s">
        <v>31</v>
      </c>
      <c r="J4811" t="s">
        <v>74</v>
      </c>
      <c r="K4811" t="s">
        <v>2139</v>
      </c>
      <c r="L4811" s="2">
        <v>46143</v>
      </c>
      <c r="M4811" t="s">
        <v>76</v>
      </c>
      <c r="N4811">
        <v>0</v>
      </c>
      <c r="O4811" t="s">
        <v>31</v>
      </c>
      <c r="P4811" t="s">
        <v>28</v>
      </c>
      <c r="Q4811">
        <v>0</v>
      </c>
    </row>
    <row r="4812" spans="1:17" x14ac:dyDescent="0.3">
      <c r="A4812" t="s">
        <v>17</v>
      </c>
      <c r="B4812">
        <v>67</v>
      </c>
      <c r="C4812" t="s">
        <v>28</v>
      </c>
      <c r="D4812" s="2">
        <v>46170</v>
      </c>
      <c r="E4812" s="3">
        <f t="shared" si="75"/>
        <v>46143</v>
      </c>
      <c r="F4812" t="s">
        <v>3818</v>
      </c>
      <c r="G4812" t="s">
        <v>1334</v>
      </c>
      <c r="H4812" s="4">
        <v>217.75</v>
      </c>
      <c r="I4812" t="s">
        <v>31</v>
      </c>
      <c r="J4812" t="s">
        <v>74</v>
      </c>
      <c r="K4812" t="s">
        <v>2139</v>
      </c>
      <c r="L4812" s="2">
        <v>46143</v>
      </c>
      <c r="M4812" t="s">
        <v>76</v>
      </c>
      <c r="N4812">
        <v>0</v>
      </c>
      <c r="O4812" t="s">
        <v>31</v>
      </c>
      <c r="P4812" t="s">
        <v>28</v>
      </c>
      <c r="Q4812">
        <v>0</v>
      </c>
    </row>
    <row r="4813" spans="1:17" x14ac:dyDescent="0.3">
      <c r="A4813" t="s">
        <v>17</v>
      </c>
      <c r="B4813">
        <v>67</v>
      </c>
      <c r="C4813" t="s">
        <v>28</v>
      </c>
      <c r="D4813" s="2">
        <v>46171</v>
      </c>
      <c r="E4813" s="3">
        <f t="shared" si="75"/>
        <v>46143</v>
      </c>
      <c r="F4813" t="s">
        <v>3829</v>
      </c>
      <c r="H4813" s="4">
        <v>-23.34</v>
      </c>
      <c r="I4813" t="s">
        <v>31</v>
      </c>
      <c r="J4813" t="s">
        <v>60</v>
      </c>
      <c r="L4813" s="2">
        <v>46143</v>
      </c>
      <c r="M4813" t="s">
        <v>60</v>
      </c>
      <c r="N4813">
        <v>0</v>
      </c>
      <c r="O4813" t="s">
        <v>31</v>
      </c>
      <c r="P4813" t="s">
        <v>28</v>
      </c>
      <c r="Q4813">
        <v>0</v>
      </c>
    </row>
    <row r="4814" spans="1:17" x14ac:dyDescent="0.3">
      <c r="A4814" t="s">
        <v>17</v>
      </c>
      <c r="B4814">
        <v>67</v>
      </c>
      <c r="C4814" t="s">
        <v>28</v>
      </c>
      <c r="D4814" s="2">
        <v>46171</v>
      </c>
      <c r="E4814" s="3">
        <f t="shared" si="75"/>
        <v>46143</v>
      </c>
      <c r="F4814" t="s">
        <v>3829</v>
      </c>
      <c r="H4814" s="4">
        <v>-18.22</v>
      </c>
      <c r="I4814" t="s">
        <v>31</v>
      </c>
      <c r="J4814" t="s">
        <v>60</v>
      </c>
      <c r="L4814" s="2">
        <v>46143</v>
      </c>
      <c r="M4814" t="s">
        <v>60</v>
      </c>
      <c r="N4814">
        <v>0</v>
      </c>
      <c r="O4814" t="s">
        <v>31</v>
      </c>
      <c r="P4814" t="s">
        <v>28</v>
      </c>
      <c r="Q4814">
        <v>0</v>
      </c>
    </row>
    <row r="4815" spans="1:17" x14ac:dyDescent="0.3">
      <c r="A4815" t="s">
        <v>17</v>
      </c>
      <c r="B4815">
        <v>67</v>
      </c>
      <c r="C4815" t="s">
        <v>28</v>
      </c>
      <c r="D4815" s="2">
        <v>46171</v>
      </c>
      <c r="E4815" s="3">
        <f t="shared" si="75"/>
        <v>46143</v>
      </c>
      <c r="F4815" t="s">
        <v>3829</v>
      </c>
      <c r="H4815" s="4">
        <v>-63.33</v>
      </c>
      <c r="I4815" t="s">
        <v>31</v>
      </c>
      <c r="J4815" t="s">
        <v>60</v>
      </c>
      <c r="L4815" s="2">
        <v>46143</v>
      </c>
      <c r="M4815" t="s">
        <v>60</v>
      </c>
      <c r="N4815">
        <v>0</v>
      </c>
      <c r="O4815" t="s">
        <v>31</v>
      </c>
      <c r="P4815" t="s">
        <v>28</v>
      </c>
      <c r="Q4815">
        <v>0</v>
      </c>
    </row>
    <row r="4816" spans="1:17" x14ac:dyDescent="0.3">
      <c r="A4816" t="s">
        <v>17</v>
      </c>
      <c r="B4816">
        <v>67</v>
      </c>
      <c r="C4816" t="s">
        <v>28</v>
      </c>
      <c r="D4816" s="2">
        <v>46171</v>
      </c>
      <c r="E4816" s="3">
        <f t="shared" si="75"/>
        <v>46143</v>
      </c>
      <c r="F4816" t="s">
        <v>3829</v>
      </c>
      <c r="H4816" s="4">
        <v>-15.23</v>
      </c>
      <c r="I4816" t="s">
        <v>31</v>
      </c>
      <c r="J4816" t="s">
        <v>60</v>
      </c>
      <c r="L4816" s="2">
        <v>46143</v>
      </c>
      <c r="M4816" t="s">
        <v>60</v>
      </c>
      <c r="N4816">
        <v>0</v>
      </c>
      <c r="O4816" t="s">
        <v>31</v>
      </c>
      <c r="P4816" t="s">
        <v>28</v>
      </c>
      <c r="Q4816">
        <v>0</v>
      </c>
    </row>
    <row r="4817" spans="1:17" x14ac:dyDescent="0.3">
      <c r="A4817" t="s">
        <v>17</v>
      </c>
      <c r="B4817">
        <v>67</v>
      </c>
      <c r="C4817" t="s">
        <v>28</v>
      </c>
      <c r="D4817" s="2">
        <v>46171</v>
      </c>
      <c r="E4817" s="3">
        <f t="shared" si="75"/>
        <v>46143</v>
      </c>
      <c r="F4817" t="s">
        <v>3829</v>
      </c>
      <c r="H4817" s="4">
        <v>-1.3</v>
      </c>
      <c r="I4817" t="s">
        <v>31</v>
      </c>
      <c r="J4817" t="s">
        <v>60</v>
      </c>
      <c r="L4817" s="2">
        <v>46143</v>
      </c>
      <c r="M4817" t="s">
        <v>60</v>
      </c>
      <c r="N4817">
        <v>0</v>
      </c>
      <c r="O4817" t="s">
        <v>31</v>
      </c>
      <c r="P4817" t="s">
        <v>28</v>
      </c>
      <c r="Q4817">
        <v>0</v>
      </c>
    </row>
    <row r="4818" spans="1:17" x14ac:dyDescent="0.3">
      <c r="A4818" t="s">
        <v>17</v>
      </c>
      <c r="B4818">
        <v>67</v>
      </c>
      <c r="C4818" t="s">
        <v>28</v>
      </c>
      <c r="D4818" s="2">
        <v>46171</v>
      </c>
      <c r="E4818" s="3">
        <f t="shared" si="75"/>
        <v>46143</v>
      </c>
      <c r="F4818" t="s">
        <v>3829</v>
      </c>
      <c r="H4818" s="4">
        <v>-57.57</v>
      </c>
      <c r="I4818" t="s">
        <v>31</v>
      </c>
      <c r="J4818" t="s">
        <v>60</v>
      </c>
      <c r="L4818" s="2">
        <v>46143</v>
      </c>
      <c r="M4818" t="s">
        <v>60</v>
      </c>
      <c r="N4818">
        <v>0</v>
      </c>
      <c r="O4818" t="s">
        <v>31</v>
      </c>
      <c r="P4818" t="s">
        <v>28</v>
      </c>
      <c r="Q4818">
        <v>0</v>
      </c>
    </row>
    <row r="4819" spans="1:17" x14ac:dyDescent="0.3">
      <c r="A4819" t="s">
        <v>17</v>
      </c>
      <c r="B4819">
        <v>67</v>
      </c>
      <c r="C4819" t="s">
        <v>28</v>
      </c>
      <c r="D4819" s="2">
        <v>46171</v>
      </c>
      <c r="E4819" s="3">
        <f t="shared" si="75"/>
        <v>46143</v>
      </c>
      <c r="F4819" t="s">
        <v>3829</v>
      </c>
      <c r="H4819" s="4">
        <v>-98.15</v>
      </c>
      <c r="I4819" t="s">
        <v>31</v>
      </c>
      <c r="J4819" t="s">
        <v>60</v>
      </c>
      <c r="L4819" s="2">
        <v>46143</v>
      </c>
      <c r="M4819" t="s">
        <v>60</v>
      </c>
      <c r="N4819">
        <v>0</v>
      </c>
      <c r="O4819" t="s">
        <v>31</v>
      </c>
      <c r="P4819" t="s">
        <v>28</v>
      </c>
      <c r="Q4819">
        <v>0</v>
      </c>
    </row>
    <row r="4820" spans="1:17" x14ac:dyDescent="0.3">
      <c r="A4820" t="s">
        <v>17</v>
      </c>
      <c r="B4820">
        <v>67</v>
      </c>
      <c r="C4820" t="s">
        <v>28</v>
      </c>
      <c r="D4820" s="2">
        <v>46171</v>
      </c>
      <c r="E4820" s="3">
        <f t="shared" si="75"/>
        <v>46143</v>
      </c>
      <c r="F4820" t="s">
        <v>3829</v>
      </c>
      <c r="H4820" s="4">
        <v>-42.71</v>
      </c>
      <c r="I4820" t="s">
        <v>31</v>
      </c>
      <c r="J4820" t="s">
        <v>60</v>
      </c>
      <c r="L4820" s="2">
        <v>46143</v>
      </c>
      <c r="M4820" t="s">
        <v>60</v>
      </c>
      <c r="N4820">
        <v>0</v>
      </c>
      <c r="O4820" t="s">
        <v>31</v>
      </c>
      <c r="P4820" t="s">
        <v>28</v>
      </c>
      <c r="Q4820">
        <v>0</v>
      </c>
    </row>
    <row r="4821" spans="1:17" x14ac:dyDescent="0.3">
      <c r="A4821" t="s">
        <v>17</v>
      </c>
      <c r="B4821">
        <v>64</v>
      </c>
      <c r="C4821" t="s">
        <v>83</v>
      </c>
      <c r="D4821" s="2">
        <v>46173</v>
      </c>
      <c r="E4821" s="3">
        <f t="shared" si="75"/>
        <v>46143</v>
      </c>
      <c r="F4821" t="s">
        <v>3830</v>
      </c>
      <c r="G4821" t="s">
        <v>174</v>
      </c>
      <c r="H4821" s="4">
        <v>24.88</v>
      </c>
      <c r="I4821" t="s">
        <v>31</v>
      </c>
      <c r="J4821" t="s">
        <v>91</v>
      </c>
      <c r="K4821" t="s">
        <v>3430</v>
      </c>
      <c r="L4821" s="2">
        <v>46143</v>
      </c>
      <c r="M4821" t="s">
        <v>93</v>
      </c>
      <c r="N4821">
        <v>0</v>
      </c>
      <c r="O4821" t="s">
        <v>31</v>
      </c>
      <c r="P4821" t="s">
        <v>83</v>
      </c>
      <c r="Q4821">
        <v>0</v>
      </c>
    </row>
    <row r="4822" spans="1:17" x14ac:dyDescent="0.3">
      <c r="A4822" t="s">
        <v>17</v>
      </c>
      <c r="B4822">
        <v>64</v>
      </c>
      <c r="C4822" t="s">
        <v>83</v>
      </c>
      <c r="D4822" s="2">
        <v>46173</v>
      </c>
      <c r="E4822" s="3">
        <f t="shared" si="75"/>
        <v>46143</v>
      </c>
      <c r="F4822" t="s">
        <v>3831</v>
      </c>
      <c r="G4822" t="s">
        <v>190</v>
      </c>
      <c r="H4822" s="4">
        <v>11.25</v>
      </c>
      <c r="I4822" t="s">
        <v>21</v>
      </c>
      <c r="J4822" t="s">
        <v>87</v>
      </c>
      <c r="K4822" t="s">
        <v>3832</v>
      </c>
      <c r="L4822" s="2">
        <v>46143</v>
      </c>
      <c r="M4822" t="s">
        <v>89</v>
      </c>
      <c r="N4822" t="s">
        <v>25</v>
      </c>
      <c r="O4822" t="s">
        <v>81</v>
      </c>
      <c r="P4822" t="s">
        <v>83</v>
      </c>
      <c r="Q4822">
        <v>0</v>
      </c>
    </row>
    <row r="4823" spans="1:17" x14ac:dyDescent="0.3">
      <c r="A4823" t="s">
        <v>17</v>
      </c>
      <c r="B4823">
        <v>64</v>
      </c>
      <c r="C4823" t="s">
        <v>83</v>
      </c>
      <c r="D4823" s="2">
        <v>46173</v>
      </c>
      <c r="E4823" s="3">
        <f t="shared" si="75"/>
        <v>46143</v>
      </c>
      <c r="F4823" t="s">
        <v>3831</v>
      </c>
      <c r="G4823" t="s">
        <v>190</v>
      </c>
      <c r="H4823" s="4">
        <v>11.25</v>
      </c>
      <c r="I4823" t="s">
        <v>21</v>
      </c>
      <c r="J4823" t="s">
        <v>87</v>
      </c>
      <c r="K4823" t="s">
        <v>3832</v>
      </c>
      <c r="L4823" s="2">
        <v>46143</v>
      </c>
      <c r="M4823" t="s">
        <v>89</v>
      </c>
      <c r="N4823" t="s">
        <v>25</v>
      </c>
      <c r="O4823" t="s">
        <v>81</v>
      </c>
      <c r="P4823" t="s">
        <v>83</v>
      </c>
      <c r="Q4823">
        <v>0</v>
      </c>
    </row>
    <row r="4824" spans="1:17" x14ac:dyDescent="0.3">
      <c r="A4824" t="s">
        <v>17</v>
      </c>
      <c r="B4824">
        <v>64</v>
      </c>
      <c r="C4824" t="s">
        <v>83</v>
      </c>
      <c r="D4824" s="2">
        <v>46173</v>
      </c>
      <c r="E4824" s="3">
        <f t="shared" si="75"/>
        <v>46143</v>
      </c>
      <c r="F4824" t="s">
        <v>3833</v>
      </c>
      <c r="G4824" t="s">
        <v>222</v>
      </c>
      <c r="H4824" s="4">
        <v>42.95</v>
      </c>
      <c r="I4824" t="s">
        <v>104</v>
      </c>
      <c r="J4824" t="s">
        <v>87</v>
      </c>
      <c r="K4824" t="s">
        <v>3834</v>
      </c>
      <c r="L4824" s="2">
        <v>46143</v>
      </c>
      <c r="M4824" t="s">
        <v>89</v>
      </c>
      <c r="N4824">
        <v>0</v>
      </c>
      <c r="O4824" t="s">
        <v>104</v>
      </c>
      <c r="P4824" t="s">
        <v>83</v>
      </c>
      <c r="Q4824">
        <v>0</v>
      </c>
    </row>
    <row r="4825" spans="1:17" x14ac:dyDescent="0.3">
      <c r="A4825" t="s">
        <v>17</v>
      </c>
      <c r="B4825">
        <v>67</v>
      </c>
      <c r="C4825" t="s">
        <v>28</v>
      </c>
      <c r="D4825" s="2">
        <v>46173</v>
      </c>
      <c r="E4825" s="3">
        <f t="shared" si="75"/>
        <v>46143</v>
      </c>
      <c r="F4825" t="s">
        <v>3835</v>
      </c>
      <c r="H4825" s="4">
        <v>833.34</v>
      </c>
      <c r="I4825" t="s">
        <v>31</v>
      </c>
      <c r="J4825" t="s">
        <v>48</v>
      </c>
      <c r="K4825" t="s">
        <v>937</v>
      </c>
      <c r="L4825" s="2">
        <v>46143</v>
      </c>
      <c r="M4825" t="s">
        <v>50</v>
      </c>
      <c r="N4825">
        <v>0</v>
      </c>
      <c r="O4825" t="s">
        <v>31</v>
      </c>
      <c r="P4825" t="s">
        <v>28</v>
      </c>
      <c r="Q4825">
        <v>0</v>
      </c>
    </row>
    <row r="4826" spans="1:17" x14ac:dyDescent="0.3">
      <c r="A4826" t="s">
        <v>17</v>
      </c>
      <c r="B4826">
        <v>67</v>
      </c>
      <c r="C4826" t="s">
        <v>28</v>
      </c>
      <c r="D4826" s="2">
        <v>46173</v>
      </c>
      <c r="E4826" s="3">
        <f t="shared" si="75"/>
        <v>46143</v>
      </c>
      <c r="F4826" t="s">
        <v>3836</v>
      </c>
      <c r="H4826" s="4">
        <v>131.58000000000001</v>
      </c>
      <c r="I4826" t="s">
        <v>31</v>
      </c>
      <c r="J4826" t="s">
        <v>48</v>
      </c>
      <c r="K4826" t="s">
        <v>3837</v>
      </c>
      <c r="L4826" s="2">
        <v>46143</v>
      </c>
      <c r="M4826" t="s">
        <v>50</v>
      </c>
      <c r="N4826">
        <v>0</v>
      </c>
      <c r="O4826" t="s">
        <v>31</v>
      </c>
      <c r="P4826" t="s">
        <v>28</v>
      </c>
      <c r="Q4826">
        <v>0</v>
      </c>
    </row>
    <row r="4827" spans="1:17" x14ac:dyDescent="0.3">
      <c r="A4827" t="s">
        <v>17</v>
      </c>
      <c r="B4827">
        <v>63</v>
      </c>
      <c r="C4827" t="s">
        <v>18</v>
      </c>
      <c r="D4827" s="2">
        <v>46173</v>
      </c>
      <c r="E4827" s="3">
        <f t="shared" si="75"/>
        <v>46143</v>
      </c>
      <c r="F4827" t="s">
        <v>3838</v>
      </c>
      <c r="H4827" s="4">
        <v>5361.69</v>
      </c>
      <c r="I4827" t="s">
        <v>47</v>
      </c>
      <c r="J4827" t="s">
        <v>272</v>
      </c>
      <c r="K4827" t="s">
        <v>2977</v>
      </c>
      <c r="L4827" s="2">
        <v>46143</v>
      </c>
      <c r="M4827" t="s">
        <v>272</v>
      </c>
      <c r="N4827">
        <v>0</v>
      </c>
      <c r="O4827" t="s">
        <v>26</v>
      </c>
      <c r="P4827" t="s">
        <v>18</v>
      </c>
      <c r="Q4827" t="s">
        <v>274</v>
      </c>
    </row>
    <row r="4828" spans="1:17" x14ac:dyDescent="0.3">
      <c r="A4828" t="s">
        <v>17</v>
      </c>
      <c r="B4828">
        <v>63</v>
      </c>
      <c r="C4828" t="s">
        <v>18</v>
      </c>
      <c r="D4828" s="2">
        <v>46173</v>
      </c>
      <c r="E4828" s="3">
        <f t="shared" si="75"/>
        <v>46143</v>
      </c>
      <c r="F4828" t="s">
        <v>3839</v>
      </c>
      <c r="H4828" s="4">
        <v>1308.24</v>
      </c>
      <c r="I4828" t="s">
        <v>47</v>
      </c>
      <c r="J4828" t="s">
        <v>326</v>
      </c>
      <c r="K4828" t="s">
        <v>3840</v>
      </c>
      <c r="L4828" s="2">
        <v>46143</v>
      </c>
      <c r="M4828" t="s">
        <v>328</v>
      </c>
      <c r="N4828">
        <v>0</v>
      </c>
      <c r="O4828" t="s">
        <v>26</v>
      </c>
      <c r="P4828" t="s">
        <v>18</v>
      </c>
      <c r="Q4828" t="s">
        <v>329</v>
      </c>
    </row>
    <row r="4829" spans="1:17" x14ac:dyDescent="0.3">
      <c r="A4829" t="s">
        <v>17</v>
      </c>
      <c r="B4829">
        <v>65</v>
      </c>
      <c r="C4829" t="s">
        <v>54</v>
      </c>
      <c r="D4829" s="2">
        <v>46173</v>
      </c>
      <c r="E4829" s="3">
        <f t="shared" si="75"/>
        <v>46143</v>
      </c>
      <c r="F4829" t="s">
        <v>3841</v>
      </c>
      <c r="H4829" s="4">
        <v>-31017.18</v>
      </c>
      <c r="I4829" t="s">
        <v>31</v>
      </c>
      <c r="J4829" t="s">
        <v>55</v>
      </c>
      <c r="L4829" s="2">
        <v>46143</v>
      </c>
      <c r="M4829" t="s">
        <v>55</v>
      </c>
      <c r="N4829">
        <v>0</v>
      </c>
      <c r="O4829" t="s">
        <v>31</v>
      </c>
      <c r="P4829" t="s">
        <v>54</v>
      </c>
      <c r="Q4829">
        <v>0</v>
      </c>
    </row>
    <row r="4830" spans="1:17" x14ac:dyDescent="0.3">
      <c r="A4830" t="s">
        <v>17</v>
      </c>
      <c r="B4830">
        <v>68</v>
      </c>
      <c r="C4830" t="s">
        <v>34</v>
      </c>
      <c r="D4830" s="2">
        <v>46173</v>
      </c>
      <c r="E4830" s="3">
        <f t="shared" si="75"/>
        <v>46143</v>
      </c>
      <c r="F4830" t="s">
        <v>3842</v>
      </c>
      <c r="G4830" t="s">
        <v>266</v>
      </c>
      <c r="H4830" s="4">
        <v>5.35</v>
      </c>
      <c r="I4830" t="s">
        <v>31</v>
      </c>
      <c r="J4830" t="s">
        <v>79</v>
      </c>
      <c r="K4830" t="s">
        <v>3843</v>
      </c>
      <c r="L4830" s="2">
        <v>46143</v>
      </c>
      <c r="M4830" t="s">
        <v>79</v>
      </c>
      <c r="N4830">
        <v>0</v>
      </c>
      <c r="O4830" t="s">
        <v>31</v>
      </c>
      <c r="P4830" t="s">
        <v>34</v>
      </c>
      <c r="Q4830">
        <v>0</v>
      </c>
    </row>
    <row r="4831" spans="1:17" x14ac:dyDescent="0.3">
      <c r="A4831" t="s">
        <v>17</v>
      </c>
      <c r="B4831">
        <v>68</v>
      </c>
      <c r="C4831" t="s">
        <v>34</v>
      </c>
      <c r="D4831" s="2">
        <v>46173</v>
      </c>
      <c r="E4831" s="3">
        <f t="shared" si="75"/>
        <v>46143</v>
      </c>
      <c r="F4831" t="s">
        <v>3842</v>
      </c>
      <c r="G4831" t="s">
        <v>266</v>
      </c>
      <c r="H4831" s="4">
        <v>13.69</v>
      </c>
      <c r="I4831" t="s">
        <v>31</v>
      </c>
      <c r="J4831" t="s">
        <v>79</v>
      </c>
      <c r="K4831" t="s">
        <v>3844</v>
      </c>
      <c r="L4831" s="2">
        <v>46143</v>
      </c>
      <c r="M4831" t="s">
        <v>79</v>
      </c>
      <c r="N4831">
        <v>0</v>
      </c>
      <c r="O4831" t="s">
        <v>31</v>
      </c>
      <c r="P4831" t="s">
        <v>34</v>
      </c>
      <c r="Q4831">
        <v>0</v>
      </c>
    </row>
    <row r="4832" spans="1:17" x14ac:dyDescent="0.3">
      <c r="A4832" t="s">
        <v>17</v>
      </c>
      <c r="B4832">
        <v>68</v>
      </c>
      <c r="C4832" t="s">
        <v>34</v>
      </c>
      <c r="D4832" s="2">
        <v>46173</v>
      </c>
      <c r="E4832" s="3">
        <f t="shared" si="75"/>
        <v>46143</v>
      </c>
      <c r="F4832" t="s">
        <v>3842</v>
      </c>
      <c r="G4832" t="s">
        <v>266</v>
      </c>
      <c r="H4832" s="4">
        <v>8.99</v>
      </c>
      <c r="I4832" t="s">
        <v>31</v>
      </c>
      <c r="J4832" t="s">
        <v>79</v>
      </c>
      <c r="K4832" t="s">
        <v>3845</v>
      </c>
      <c r="L4832" s="2">
        <v>46143</v>
      </c>
      <c r="M4832" t="s">
        <v>79</v>
      </c>
      <c r="N4832">
        <v>0</v>
      </c>
      <c r="O4832" t="s">
        <v>31</v>
      </c>
      <c r="P4832" t="s">
        <v>34</v>
      </c>
      <c r="Q4832">
        <v>0</v>
      </c>
    </row>
    <row r="4833" spans="1:17" x14ac:dyDescent="0.3">
      <c r="A4833" t="s">
        <v>17</v>
      </c>
      <c r="B4833">
        <v>68</v>
      </c>
      <c r="C4833" t="s">
        <v>34</v>
      </c>
      <c r="D4833" s="2">
        <v>46173</v>
      </c>
      <c r="E4833" s="3">
        <f t="shared" si="75"/>
        <v>46143</v>
      </c>
      <c r="F4833" t="s">
        <v>3842</v>
      </c>
      <c r="G4833" t="s">
        <v>266</v>
      </c>
      <c r="H4833" s="4">
        <v>6.89</v>
      </c>
      <c r="I4833" t="s">
        <v>31</v>
      </c>
      <c r="J4833" t="s">
        <v>79</v>
      </c>
      <c r="K4833" t="s">
        <v>3846</v>
      </c>
      <c r="L4833" s="2">
        <v>46143</v>
      </c>
      <c r="M4833" t="s">
        <v>79</v>
      </c>
      <c r="N4833">
        <v>0</v>
      </c>
      <c r="O4833" t="s">
        <v>31</v>
      </c>
      <c r="P4833" t="s">
        <v>34</v>
      </c>
      <c r="Q4833">
        <v>0</v>
      </c>
    </row>
    <row r="4834" spans="1:17" x14ac:dyDescent="0.3">
      <c r="A4834" t="s">
        <v>17</v>
      </c>
      <c r="B4834">
        <v>68</v>
      </c>
      <c r="C4834" t="s">
        <v>34</v>
      </c>
      <c r="D4834" s="2">
        <v>46173</v>
      </c>
      <c r="E4834" s="3">
        <f t="shared" si="75"/>
        <v>46143</v>
      </c>
      <c r="F4834" t="s">
        <v>3842</v>
      </c>
      <c r="G4834" t="s">
        <v>266</v>
      </c>
      <c r="H4834" s="4">
        <v>14.28</v>
      </c>
      <c r="I4834" t="s">
        <v>31</v>
      </c>
      <c r="J4834" t="s">
        <v>79</v>
      </c>
      <c r="K4834" t="s">
        <v>3847</v>
      </c>
      <c r="L4834" s="2">
        <v>46143</v>
      </c>
      <c r="M4834" t="s">
        <v>79</v>
      </c>
      <c r="N4834">
        <v>0</v>
      </c>
      <c r="O4834" t="s">
        <v>31</v>
      </c>
      <c r="P4834" t="s">
        <v>34</v>
      </c>
      <c r="Q4834">
        <v>0</v>
      </c>
    </row>
    <row r="4835" spans="1:17" x14ac:dyDescent="0.3">
      <c r="A4835" t="s">
        <v>17</v>
      </c>
      <c r="B4835">
        <v>68</v>
      </c>
      <c r="C4835" t="s">
        <v>34</v>
      </c>
      <c r="D4835" s="2">
        <v>46173</v>
      </c>
      <c r="E4835" s="3">
        <f t="shared" si="75"/>
        <v>46143</v>
      </c>
      <c r="F4835" t="s">
        <v>3842</v>
      </c>
      <c r="G4835" t="s">
        <v>266</v>
      </c>
      <c r="H4835" s="4">
        <v>69.989999999999995</v>
      </c>
      <c r="I4835" t="s">
        <v>31</v>
      </c>
      <c r="J4835" t="s">
        <v>79</v>
      </c>
      <c r="K4835" t="s">
        <v>3848</v>
      </c>
      <c r="L4835" s="2">
        <v>46143</v>
      </c>
      <c r="M4835" t="s">
        <v>79</v>
      </c>
      <c r="N4835">
        <v>0</v>
      </c>
      <c r="O4835" t="s">
        <v>31</v>
      </c>
      <c r="P4835" t="s">
        <v>34</v>
      </c>
      <c r="Q4835">
        <v>0</v>
      </c>
    </row>
    <row r="4836" spans="1:17" x14ac:dyDescent="0.3">
      <c r="A4836" t="s">
        <v>17</v>
      </c>
      <c r="B4836">
        <v>68</v>
      </c>
      <c r="C4836" t="s">
        <v>34</v>
      </c>
      <c r="D4836" s="2">
        <v>46173</v>
      </c>
      <c r="E4836" s="3">
        <f t="shared" si="75"/>
        <v>46143</v>
      </c>
      <c r="F4836" t="s">
        <v>3842</v>
      </c>
      <c r="G4836" t="s">
        <v>266</v>
      </c>
      <c r="H4836" s="4">
        <v>39.97</v>
      </c>
      <c r="I4836" t="s">
        <v>31</v>
      </c>
      <c r="J4836" t="s">
        <v>79</v>
      </c>
      <c r="K4836" t="s">
        <v>3849</v>
      </c>
      <c r="L4836" s="2">
        <v>46143</v>
      </c>
      <c r="M4836" t="s">
        <v>79</v>
      </c>
      <c r="N4836">
        <v>0</v>
      </c>
      <c r="O4836" t="s">
        <v>31</v>
      </c>
      <c r="P4836" t="s">
        <v>34</v>
      </c>
      <c r="Q4836">
        <v>0</v>
      </c>
    </row>
    <row r="4837" spans="1:17" x14ac:dyDescent="0.3">
      <c r="A4837" t="s">
        <v>17</v>
      </c>
      <c r="B4837">
        <v>68</v>
      </c>
      <c r="C4837" t="s">
        <v>34</v>
      </c>
      <c r="D4837" s="2">
        <v>46173</v>
      </c>
      <c r="E4837" s="3">
        <f t="shared" si="75"/>
        <v>46143</v>
      </c>
      <c r="F4837" t="s">
        <v>3842</v>
      </c>
      <c r="G4837" t="s">
        <v>266</v>
      </c>
      <c r="H4837" s="4">
        <v>6.89</v>
      </c>
      <c r="I4837" t="s">
        <v>31</v>
      </c>
      <c r="J4837" t="s">
        <v>79</v>
      </c>
      <c r="K4837" t="s">
        <v>3850</v>
      </c>
      <c r="L4837" s="2">
        <v>46143</v>
      </c>
      <c r="M4837" t="s">
        <v>79</v>
      </c>
      <c r="N4837">
        <v>0</v>
      </c>
      <c r="O4837" t="s">
        <v>31</v>
      </c>
      <c r="P4837" t="s">
        <v>34</v>
      </c>
      <c r="Q4837">
        <v>0</v>
      </c>
    </row>
    <row r="4838" spans="1:17" x14ac:dyDescent="0.3">
      <c r="A4838" t="s">
        <v>17</v>
      </c>
      <c r="B4838">
        <v>68</v>
      </c>
      <c r="C4838" t="s">
        <v>34</v>
      </c>
      <c r="D4838" s="2">
        <v>46173</v>
      </c>
      <c r="E4838" s="3">
        <f t="shared" si="75"/>
        <v>46143</v>
      </c>
      <c r="F4838" t="s">
        <v>3842</v>
      </c>
      <c r="G4838" t="s">
        <v>266</v>
      </c>
      <c r="H4838" s="4">
        <v>6.36</v>
      </c>
      <c r="I4838" t="s">
        <v>31</v>
      </c>
      <c r="J4838" t="s">
        <v>79</v>
      </c>
      <c r="K4838" t="s">
        <v>3851</v>
      </c>
      <c r="L4838" s="2">
        <v>46143</v>
      </c>
      <c r="M4838" t="s">
        <v>79</v>
      </c>
      <c r="N4838">
        <v>0</v>
      </c>
      <c r="O4838" t="s">
        <v>31</v>
      </c>
      <c r="P4838" t="s">
        <v>34</v>
      </c>
      <c r="Q4838">
        <v>0</v>
      </c>
    </row>
    <row r="4839" spans="1:17" x14ac:dyDescent="0.3">
      <c r="A4839" t="s">
        <v>17</v>
      </c>
      <c r="B4839">
        <v>68</v>
      </c>
      <c r="C4839" t="s">
        <v>34</v>
      </c>
      <c r="D4839" s="2">
        <v>46173</v>
      </c>
      <c r="E4839" s="3">
        <f t="shared" si="75"/>
        <v>46143</v>
      </c>
      <c r="F4839" t="s">
        <v>3842</v>
      </c>
      <c r="G4839" t="s">
        <v>266</v>
      </c>
      <c r="H4839" s="4">
        <v>17.98</v>
      </c>
      <c r="I4839" t="s">
        <v>31</v>
      </c>
      <c r="J4839" t="s">
        <v>79</v>
      </c>
      <c r="K4839" t="s">
        <v>3852</v>
      </c>
      <c r="L4839" s="2">
        <v>46143</v>
      </c>
      <c r="M4839" t="s">
        <v>79</v>
      </c>
      <c r="N4839">
        <v>0</v>
      </c>
      <c r="O4839" t="s">
        <v>31</v>
      </c>
      <c r="P4839" t="s">
        <v>34</v>
      </c>
      <c r="Q4839">
        <v>0</v>
      </c>
    </row>
    <row r="4840" spans="1:17" x14ac:dyDescent="0.3">
      <c r="A4840" t="s">
        <v>17</v>
      </c>
      <c r="B4840">
        <v>68</v>
      </c>
      <c r="C4840" t="s">
        <v>34</v>
      </c>
      <c r="D4840" s="2">
        <v>46173</v>
      </c>
      <c r="E4840" s="3">
        <f t="shared" si="75"/>
        <v>46143</v>
      </c>
      <c r="F4840" t="s">
        <v>3842</v>
      </c>
      <c r="G4840" t="s">
        <v>266</v>
      </c>
      <c r="H4840" s="4">
        <v>27.18</v>
      </c>
      <c r="I4840" t="s">
        <v>31</v>
      </c>
      <c r="J4840" t="s">
        <v>79</v>
      </c>
      <c r="K4840" t="s">
        <v>3853</v>
      </c>
      <c r="L4840" s="2">
        <v>46143</v>
      </c>
      <c r="M4840" t="s">
        <v>79</v>
      </c>
      <c r="N4840">
        <v>0</v>
      </c>
      <c r="O4840" t="s">
        <v>31</v>
      </c>
      <c r="P4840" t="s">
        <v>34</v>
      </c>
      <c r="Q4840">
        <v>0</v>
      </c>
    </row>
    <row r="4841" spans="1:17" x14ac:dyDescent="0.3">
      <c r="A4841" t="s">
        <v>17</v>
      </c>
      <c r="B4841">
        <v>68</v>
      </c>
      <c r="C4841" t="s">
        <v>34</v>
      </c>
      <c r="D4841" s="2">
        <v>46173</v>
      </c>
      <c r="E4841" s="3">
        <f t="shared" si="75"/>
        <v>46143</v>
      </c>
      <c r="F4841" t="s">
        <v>3842</v>
      </c>
      <c r="G4841" t="s">
        <v>266</v>
      </c>
      <c r="H4841" s="4">
        <v>10.99</v>
      </c>
      <c r="I4841" t="s">
        <v>31</v>
      </c>
      <c r="J4841" t="s">
        <v>79</v>
      </c>
      <c r="K4841" t="s">
        <v>1276</v>
      </c>
      <c r="L4841" s="2">
        <v>46143</v>
      </c>
      <c r="M4841" t="s">
        <v>79</v>
      </c>
      <c r="N4841">
        <v>0</v>
      </c>
      <c r="O4841" t="s">
        <v>31</v>
      </c>
      <c r="P4841" t="s">
        <v>34</v>
      </c>
      <c r="Q4841">
        <v>0</v>
      </c>
    </row>
    <row r="4842" spans="1:17" x14ac:dyDescent="0.3">
      <c r="A4842" t="s">
        <v>17</v>
      </c>
      <c r="B4842">
        <v>68</v>
      </c>
      <c r="C4842" t="s">
        <v>34</v>
      </c>
      <c r="D4842" s="2">
        <v>46173</v>
      </c>
      <c r="E4842" s="3">
        <f t="shared" si="75"/>
        <v>46143</v>
      </c>
      <c r="F4842" t="s">
        <v>3842</v>
      </c>
      <c r="G4842" t="s">
        <v>266</v>
      </c>
      <c r="H4842" s="4">
        <v>14.28</v>
      </c>
      <c r="I4842" t="s">
        <v>31</v>
      </c>
      <c r="J4842" t="s">
        <v>79</v>
      </c>
      <c r="K4842" t="s">
        <v>3854</v>
      </c>
      <c r="L4842" s="2">
        <v>46143</v>
      </c>
      <c r="M4842" t="s">
        <v>79</v>
      </c>
      <c r="N4842">
        <v>0</v>
      </c>
      <c r="O4842" t="s">
        <v>31</v>
      </c>
      <c r="P4842" t="s">
        <v>34</v>
      </c>
      <c r="Q4842">
        <v>0</v>
      </c>
    </row>
    <row r="4843" spans="1:17" x14ac:dyDescent="0.3">
      <c r="A4843" t="s">
        <v>17</v>
      </c>
      <c r="B4843">
        <v>68</v>
      </c>
      <c r="C4843" t="s">
        <v>34</v>
      </c>
      <c r="D4843" s="2">
        <v>46173</v>
      </c>
      <c r="E4843" s="3">
        <f t="shared" si="75"/>
        <v>46143</v>
      </c>
      <c r="F4843" t="s">
        <v>3855</v>
      </c>
      <c r="H4843" s="4">
        <v>42.8</v>
      </c>
      <c r="I4843" t="s">
        <v>21</v>
      </c>
      <c r="J4843" t="s">
        <v>79</v>
      </c>
      <c r="K4843" t="s">
        <v>320</v>
      </c>
      <c r="L4843" s="2">
        <v>46143</v>
      </c>
      <c r="M4843" t="s">
        <v>79</v>
      </c>
      <c r="N4843" t="s">
        <v>25</v>
      </c>
      <c r="O4843" t="s">
        <v>81</v>
      </c>
      <c r="P4843" t="s">
        <v>34</v>
      </c>
      <c r="Q4843">
        <v>0</v>
      </c>
    </row>
    <row r="4844" spans="1:17" x14ac:dyDescent="0.3">
      <c r="A4844" t="s">
        <v>17</v>
      </c>
      <c r="B4844">
        <v>68</v>
      </c>
      <c r="C4844" t="s">
        <v>34</v>
      </c>
      <c r="D4844" s="2">
        <v>46173</v>
      </c>
      <c r="E4844" s="3">
        <f t="shared" si="75"/>
        <v>46143</v>
      </c>
      <c r="F4844" t="s">
        <v>3856</v>
      </c>
      <c r="G4844" t="s">
        <v>122</v>
      </c>
      <c r="H4844" s="4">
        <v>102.74</v>
      </c>
      <c r="I4844" t="s">
        <v>108</v>
      </c>
      <c r="J4844" t="s">
        <v>109</v>
      </c>
      <c r="K4844" t="s">
        <v>3857</v>
      </c>
      <c r="L4844" s="2">
        <v>46143</v>
      </c>
      <c r="M4844" t="s">
        <v>109</v>
      </c>
      <c r="N4844">
        <v>0</v>
      </c>
      <c r="O4844" t="s">
        <v>111</v>
      </c>
      <c r="P4844" t="s">
        <v>112</v>
      </c>
      <c r="Q4844" t="s">
        <v>113</v>
      </c>
    </row>
    <row r="4845" spans="1:17" x14ac:dyDescent="0.3">
      <c r="A4845" t="s">
        <v>17</v>
      </c>
      <c r="B4845">
        <v>68</v>
      </c>
      <c r="C4845" t="s">
        <v>34</v>
      </c>
      <c r="D4845" s="2">
        <v>46173</v>
      </c>
      <c r="E4845" s="3">
        <f t="shared" si="75"/>
        <v>46143</v>
      </c>
      <c r="F4845" t="s">
        <v>3858</v>
      </c>
      <c r="G4845" t="s">
        <v>122</v>
      </c>
      <c r="H4845" s="4">
        <v>301.43</v>
      </c>
      <c r="I4845" t="s">
        <v>108</v>
      </c>
      <c r="J4845" t="s">
        <v>109</v>
      </c>
      <c r="K4845" t="s">
        <v>388</v>
      </c>
      <c r="L4845" s="2">
        <v>46143</v>
      </c>
      <c r="M4845" t="s">
        <v>109</v>
      </c>
      <c r="N4845">
        <v>0</v>
      </c>
      <c r="O4845" t="s">
        <v>111</v>
      </c>
      <c r="P4845" t="s">
        <v>112</v>
      </c>
      <c r="Q4845" t="s">
        <v>113</v>
      </c>
    </row>
    <row r="4846" spans="1:17" x14ac:dyDescent="0.3">
      <c r="A4846" t="s">
        <v>17</v>
      </c>
      <c r="B4846">
        <v>67</v>
      </c>
      <c r="C4846" t="s">
        <v>28</v>
      </c>
      <c r="D4846" s="2">
        <v>46173</v>
      </c>
      <c r="E4846" s="3">
        <f t="shared" si="75"/>
        <v>46143</v>
      </c>
      <c r="F4846" t="s">
        <v>3859</v>
      </c>
      <c r="H4846" s="4">
        <v>3463.68</v>
      </c>
      <c r="I4846" t="s">
        <v>31</v>
      </c>
      <c r="J4846" t="s">
        <v>32</v>
      </c>
      <c r="K4846" t="s">
        <v>3548</v>
      </c>
      <c r="L4846" s="2">
        <v>46143</v>
      </c>
      <c r="M4846" t="s">
        <v>32</v>
      </c>
      <c r="N4846">
        <v>0</v>
      </c>
      <c r="O4846" t="s">
        <v>31</v>
      </c>
      <c r="P4846" t="s">
        <v>28</v>
      </c>
      <c r="Q4846">
        <v>0</v>
      </c>
    </row>
    <row r="4847" spans="1:17" x14ac:dyDescent="0.3">
      <c r="A4847" t="s">
        <v>17</v>
      </c>
      <c r="B4847">
        <v>67</v>
      </c>
      <c r="C4847" t="s">
        <v>28</v>
      </c>
      <c r="D4847" s="2">
        <v>46173</v>
      </c>
      <c r="E4847" s="3">
        <f t="shared" si="75"/>
        <v>46143</v>
      </c>
      <c r="F4847" t="s">
        <v>3860</v>
      </c>
      <c r="H4847" s="4">
        <v>557.91999999999996</v>
      </c>
      <c r="I4847" t="s">
        <v>31</v>
      </c>
      <c r="J4847" t="s">
        <v>60</v>
      </c>
      <c r="K4847" t="s">
        <v>3304</v>
      </c>
      <c r="L4847" s="2">
        <v>46143</v>
      </c>
      <c r="M4847" t="s">
        <v>60</v>
      </c>
      <c r="N4847">
        <v>0</v>
      </c>
      <c r="O4847" t="s">
        <v>31</v>
      </c>
      <c r="P4847" t="s">
        <v>28</v>
      </c>
      <c r="Q4847">
        <v>0</v>
      </c>
    </row>
    <row r="4848" spans="1:17" x14ac:dyDescent="0.3">
      <c r="A4848" t="s">
        <v>17</v>
      </c>
      <c r="B4848">
        <v>67</v>
      </c>
      <c r="C4848" t="s">
        <v>28</v>
      </c>
      <c r="D4848" s="2">
        <v>46173</v>
      </c>
      <c r="E4848" s="3">
        <f t="shared" si="75"/>
        <v>46143</v>
      </c>
      <c r="F4848" t="s">
        <v>3861</v>
      </c>
      <c r="H4848" s="4">
        <v>862.19</v>
      </c>
      <c r="I4848" t="s">
        <v>31</v>
      </c>
      <c r="J4848" t="s">
        <v>60</v>
      </c>
      <c r="K4848" t="s">
        <v>3302</v>
      </c>
      <c r="L4848" s="2">
        <v>46143</v>
      </c>
      <c r="M4848" t="s">
        <v>60</v>
      </c>
      <c r="N4848">
        <v>0</v>
      </c>
      <c r="O4848" t="s">
        <v>31</v>
      </c>
      <c r="P4848" t="s">
        <v>28</v>
      </c>
      <c r="Q4848">
        <v>0</v>
      </c>
    </row>
    <row r="4849" spans="1:17" x14ac:dyDescent="0.3">
      <c r="A4849" t="s">
        <v>17</v>
      </c>
      <c r="B4849">
        <v>67</v>
      </c>
      <c r="C4849" t="s">
        <v>28</v>
      </c>
      <c r="D4849" s="2">
        <v>46173</v>
      </c>
      <c r="E4849" s="3">
        <f t="shared" si="75"/>
        <v>46143</v>
      </c>
      <c r="F4849" t="s">
        <v>3862</v>
      </c>
      <c r="H4849" s="4">
        <v>785.13</v>
      </c>
      <c r="I4849" t="s">
        <v>31</v>
      </c>
      <c r="J4849" t="s">
        <v>60</v>
      </c>
      <c r="K4849" t="s">
        <v>2887</v>
      </c>
      <c r="L4849" s="2">
        <v>46143</v>
      </c>
      <c r="M4849" t="s">
        <v>60</v>
      </c>
      <c r="N4849">
        <v>0</v>
      </c>
      <c r="O4849" t="s">
        <v>31</v>
      </c>
      <c r="P4849" t="s">
        <v>28</v>
      </c>
      <c r="Q4849">
        <v>0</v>
      </c>
    </row>
    <row r="4850" spans="1:17" x14ac:dyDescent="0.3">
      <c r="A4850" t="s">
        <v>17</v>
      </c>
      <c r="B4850">
        <v>67</v>
      </c>
      <c r="C4850" t="s">
        <v>28</v>
      </c>
      <c r="D4850" s="2">
        <v>46173</v>
      </c>
      <c r="E4850" s="3">
        <f t="shared" si="75"/>
        <v>46143</v>
      </c>
      <c r="F4850" t="s">
        <v>3863</v>
      </c>
      <c r="H4850" s="4">
        <v>1191.25</v>
      </c>
      <c r="I4850" t="s">
        <v>31</v>
      </c>
      <c r="J4850" t="s">
        <v>60</v>
      </c>
      <c r="K4850" t="s">
        <v>2884</v>
      </c>
      <c r="L4850" s="2">
        <v>46143</v>
      </c>
      <c r="M4850" t="s">
        <v>60</v>
      </c>
      <c r="N4850">
        <v>0</v>
      </c>
      <c r="O4850" t="s">
        <v>31</v>
      </c>
      <c r="P4850" t="s">
        <v>28</v>
      </c>
      <c r="Q4850">
        <v>0</v>
      </c>
    </row>
    <row r="4851" spans="1:17" x14ac:dyDescent="0.3">
      <c r="A4851" t="s">
        <v>17</v>
      </c>
      <c r="B4851">
        <v>67</v>
      </c>
      <c r="C4851" t="s">
        <v>28</v>
      </c>
      <c r="D4851" s="2">
        <v>46173</v>
      </c>
      <c r="E4851" s="3">
        <f t="shared" si="75"/>
        <v>46143</v>
      </c>
      <c r="F4851" t="s">
        <v>3864</v>
      </c>
      <c r="H4851" s="4">
        <v>1490.05</v>
      </c>
      <c r="I4851" t="s">
        <v>31</v>
      </c>
      <c r="J4851" t="s">
        <v>60</v>
      </c>
      <c r="K4851" t="s">
        <v>3554</v>
      </c>
      <c r="L4851" s="2">
        <v>46143</v>
      </c>
      <c r="M4851" t="s">
        <v>60</v>
      </c>
      <c r="N4851">
        <v>0</v>
      </c>
      <c r="O4851" t="s">
        <v>31</v>
      </c>
      <c r="P4851" t="s">
        <v>28</v>
      </c>
      <c r="Q4851">
        <v>0</v>
      </c>
    </row>
    <row r="4852" spans="1:17" x14ac:dyDescent="0.3">
      <c r="A4852" t="s">
        <v>17</v>
      </c>
      <c r="B4852">
        <v>67</v>
      </c>
      <c r="C4852" t="s">
        <v>28</v>
      </c>
      <c r="D4852" s="2">
        <v>46173</v>
      </c>
      <c r="E4852" s="3">
        <f t="shared" si="75"/>
        <v>46143</v>
      </c>
      <c r="F4852" t="s">
        <v>3833</v>
      </c>
      <c r="G4852" t="s">
        <v>222</v>
      </c>
      <c r="H4852" s="4">
        <v>21.78</v>
      </c>
      <c r="I4852" t="s">
        <v>104</v>
      </c>
      <c r="J4852" t="s">
        <v>74</v>
      </c>
      <c r="K4852" t="s">
        <v>3865</v>
      </c>
      <c r="L4852" s="2">
        <v>46143</v>
      </c>
      <c r="M4852" t="s">
        <v>76</v>
      </c>
      <c r="N4852">
        <v>0</v>
      </c>
      <c r="O4852" t="s">
        <v>104</v>
      </c>
      <c r="P4852" t="s">
        <v>28</v>
      </c>
      <c r="Q4852">
        <v>0</v>
      </c>
    </row>
    <row r="4853" spans="1:17" x14ac:dyDescent="0.3">
      <c r="A4853" t="s">
        <v>17</v>
      </c>
      <c r="B4853">
        <v>67</v>
      </c>
      <c r="C4853" t="s">
        <v>28</v>
      </c>
      <c r="D4853" s="2">
        <v>46173</v>
      </c>
      <c r="E4853" s="3">
        <f t="shared" si="75"/>
        <v>46143</v>
      </c>
      <c r="F4853" t="s">
        <v>3833</v>
      </c>
      <c r="G4853" t="s">
        <v>222</v>
      </c>
      <c r="H4853" s="4">
        <v>20</v>
      </c>
      <c r="I4853" t="s">
        <v>104</v>
      </c>
      <c r="J4853" t="s">
        <v>74</v>
      </c>
      <c r="K4853" t="s">
        <v>3866</v>
      </c>
      <c r="L4853" s="2">
        <v>46143</v>
      </c>
      <c r="M4853" t="s">
        <v>76</v>
      </c>
      <c r="N4853">
        <v>0</v>
      </c>
      <c r="O4853" t="s">
        <v>104</v>
      </c>
      <c r="P4853" t="s">
        <v>28</v>
      </c>
      <c r="Q4853">
        <v>0</v>
      </c>
    </row>
    <row r="4854" spans="1:17" x14ac:dyDescent="0.3">
      <c r="A4854" t="s">
        <v>17</v>
      </c>
      <c r="B4854">
        <v>67</v>
      </c>
      <c r="C4854" t="s">
        <v>28</v>
      </c>
      <c r="D4854" s="2">
        <v>46173</v>
      </c>
      <c r="E4854" s="3">
        <f t="shared" si="75"/>
        <v>46143</v>
      </c>
      <c r="F4854" t="s">
        <v>3833</v>
      </c>
      <c r="G4854" t="s">
        <v>222</v>
      </c>
      <c r="H4854" s="4">
        <v>20</v>
      </c>
      <c r="I4854" t="s">
        <v>104</v>
      </c>
      <c r="J4854" t="s">
        <v>74</v>
      </c>
      <c r="K4854" t="s">
        <v>3867</v>
      </c>
      <c r="L4854" s="2">
        <v>46143</v>
      </c>
      <c r="M4854" t="s">
        <v>76</v>
      </c>
      <c r="N4854">
        <v>0</v>
      </c>
      <c r="O4854" t="s">
        <v>104</v>
      </c>
      <c r="P4854" t="s">
        <v>28</v>
      </c>
      <c r="Q4854">
        <v>0</v>
      </c>
    </row>
    <row r="4855" spans="1:17" x14ac:dyDescent="0.3">
      <c r="A4855" t="s">
        <v>17</v>
      </c>
      <c r="B4855">
        <v>67</v>
      </c>
      <c r="C4855" t="s">
        <v>28</v>
      </c>
      <c r="D4855" s="2">
        <v>46173</v>
      </c>
      <c r="E4855" s="3">
        <f t="shared" si="75"/>
        <v>46143</v>
      </c>
      <c r="F4855" t="s">
        <v>3868</v>
      </c>
      <c r="H4855" s="4">
        <v>1494</v>
      </c>
      <c r="I4855" t="s">
        <v>104</v>
      </c>
      <c r="J4855" t="s">
        <v>74</v>
      </c>
      <c r="K4855" t="s">
        <v>3869</v>
      </c>
      <c r="L4855" s="2">
        <v>46143</v>
      </c>
      <c r="M4855" t="s">
        <v>76</v>
      </c>
      <c r="N4855">
        <v>0</v>
      </c>
      <c r="O4855" t="s">
        <v>104</v>
      </c>
      <c r="P4855" t="s">
        <v>28</v>
      </c>
      <c r="Q4855">
        <v>0</v>
      </c>
    </row>
    <row r="4856" spans="1:17" x14ac:dyDescent="0.3">
      <c r="A4856" t="s">
        <v>17</v>
      </c>
      <c r="B4856">
        <v>67</v>
      </c>
      <c r="C4856" t="s">
        <v>28</v>
      </c>
      <c r="D4856" s="2">
        <v>46173</v>
      </c>
      <c r="E4856" s="3">
        <f t="shared" si="75"/>
        <v>46143</v>
      </c>
      <c r="F4856" t="s">
        <v>3870</v>
      </c>
      <c r="H4856" s="4">
        <v>2502.4499999999998</v>
      </c>
      <c r="I4856" t="s">
        <v>31</v>
      </c>
      <c r="J4856" t="s">
        <v>74</v>
      </c>
      <c r="K4856" t="s">
        <v>3871</v>
      </c>
      <c r="L4856" s="2">
        <v>46143</v>
      </c>
      <c r="M4856" t="s">
        <v>76</v>
      </c>
      <c r="N4856">
        <v>0</v>
      </c>
      <c r="O4856" t="s">
        <v>31</v>
      </c>
      <c r="P4856" t="s">
        <v>28</v>
      </c>
      <c r="Q4856">
        <v>0</v>
      </c>
    </row>
    <row r="4857" spans="1:17" x14ac:dyDescent="0.3">
      <c r="A4857" t="s">
        <v>17</v>
      </c>
      <c r="B4857">
        <v>67</v>
      </c>
      <c r="C4857" t="s">
        <v>28</v>
      </c>
      <c r="D4857" s="2">
        <v>46173</v>
      </c>
      <c r="E4857" s="3">
        <f t="shared" si="75"/>
        <v>46143</v>
      </c>
      <c r="F4857" t="s">
        <v>3872</v>
      </c>
      <c r="H4857" s="4">
        <v>21.76</v>
      </c>
      <c r="I4857" t="s">
        <v>159</v>
      </c>
      <c r="J4857" t="s">
        <v>74</v>
      </c>
      <c r="K4857" t="s">
        <v>3569</v>
      </c>
      <c r="L4857" s="2">
        <v>46143</v>
      </c>
      <c r="M4857" t="s">
        <v>76</v>
      </c>
      <c r="N4857">
        <v>0</v>
      </c>
      <c r="O4857" t="s">
        <v>159</v>
      </c>
      <c r="P4857" t="s">
        <v>28</v>
      </c>
      <c r="Q4857">
        <v>0</v>
      </c>
    </row>
    <row r="4858" spans="1:17" x14ac:dyDescent="0.3">
      <c r="A4858" t="s">
        <v>17</v>
      </c>
      <c r="B4858">
        <v>67</v>
      </c>
      <c r="C4858" t="s">
        <v>28</v>
      </c>
      <c r="D4858" s="2">
        <v>46173</v>
      </c>
      <c r="E4858" s="3">
        <f t="shared" si="75"/>
        <v>46143</v>
      </c>
      <c r="F4858" t="s">
        <v>3873</v>
      </c>
      <c r="H4858" s="4">
        <v>18.149999999999999</v>
      </c>
      <c r="I4858" t="s">
        <v>31</v>
      </c>
      <c r="J4858" t="s">
        <v>74</v>
      </c>
      <c r="K4858" t="s">
        <v>3580</v>
      </c>
      <c r="L4858" s="2">
        <v>46143</v>
      </c>
      <c r="M4858" t="s">
        <v>76</v>
      </c>
      <c r="N4858">
        <v>0</v>
      </c>
      <c r="O4858" t="s">
        <v>31</v>
      </c>
      <c r="P4858" t="s">
        <v>28</v>
      </c>
      <c r="Q4858">
        <v>0</v>
      </c>
    </row>
    <row r="4859" spans="1:17" x14ac:dyDescent="0.3">
      <c r="A4859" t="s">
        <v>17</v>
      </c>
      <c r="B4859">
        <v>67</v>
      </c>
      <c r="C4859" t="s">
        <v>28</v>
      </c>
      <c r="D4859" s="2">
        <v>46173</v>
      </c>
      <c r="E4859" s="3">
        <f t="shared" si="75"/>
        <v>46143</v>
      </c>
      <c r="F4859" t="s">
        <v>3874</v>
      </c>
      <c r="H4859" s="4">
        <v>18.149999999999999</v>
      </c>
      <c r="I4859" t="s">
        <v>108</v>
      </c>
      <c r="J4859" t="s">
        <v>74</v>
      </c>
      <c r="K4859" t="s">
        <v>2366</v>
      </c>
      <c r="L4859" s="2">
        <v>46143</v>
      </c>
      <c r="M4859" t="s">
        <v>76</v>
      </c>
      <c r="N4859">
        <v>0</v>
      </c>
      <c r="O4859" t="s">
        <v>111</v>
      </c>
      <c r="P4859" t="s">
        <v>28</v>
      </c>
      <c r="Q4859">
        <v>0</v>
      </c>
    </row>
    <row r="4860" spans="1:17" x14ac:dyDescent="0.3">
      <c r="A4860" t="s">
        <v>17</v>
      </c>
      <c r="B4860">
        <v>67</v>
      </c>
      <c r="C4860" t="s">
        <v>28</v>
      </c>
      <c r="D4860" s="2">
        <v>46173</v>
      </c>
      <c r="E4860" s="3">
        <f t="shared" si="75"/>
        <v>46143</v>
      </c>
      <c r="F4860" t="s">
        <v>3875</v>
      </c>
      <c r="H4860" s="4">
        <v>208.29</v>
      </c>
      <c r="I4860" t="s">
        <v>47</v>
      </c>
      <c r="J4860" t="s">
        <v>74</v>
      </c>
      <c r="K4860" t="s">
        <v>3876</v>
      </c>
      <c r="L4860" s="2">
        <v>46143</v>
      </c>
      <c r="M4860" t="s">
        <v>76</v>
      </c>
      <c r="N4860">
        <v>0</v>
      </c>
      <c r="O4860" t="s">
        <v>26</v>
      </c>
      <c r="P4860" t="s">
        <v>28</v>
      </c>
      <c r="Q4860">
        <v>0</v>
      </c>
    </row>
    <row r="4861" spans="1:17" x14ac:dyDescent="0.3">
      <c r="A4861" t="s">
        <v>17</v>
      </c>
      <c r="B4861">
        <v>67</v>
      </c>
      <c r="C4861" t="s">
        <v>28</v>
      </c>
      <c r="D4861" s="2">
        <v>46173</v>
      </c>
      <c r="E4861" s="3">
        <f t="shared" si="75"/>
        <v>46143</v>
      </c>
      <c r="F4861" t="s">
        <v>3877</v>
      </c>
      <c r="H4861" s="4">
        <v>411.58</v>
      </c>
      <c r="I4861" t="s">
        <v>31</v>
      </c>
      <c r="J4861" t="s">
        <v>74</v>
      </c>
      <c r="K4861" t="s">
        <v>1501</v>
      </c>
      <c r="L4861" s="2">
        <v>46143</v>
      </c>
      <c r="M4861" t="s">
        <v>76</v>
      </c>
      <c r="N4861">
        <v>0</v>
      </c>
      <c r="O4861" t="s">
        <v>31</v>
      </c>
      <c r="P4861" t="s">
        <v>28</v>
      </c>
      <c r="Q4861">
        <v>0</v>
      </c>
    </row>
    <row r="4862" spans="1:17" x14ac:dyDescent="0.3">
      <c r="A4862" t="s">
        <v>17</v>
      </c>
      <c r="B4862">
        <v>67</v>
      </c>
      <c r="C4862" t="s">
        <v>28</v>
      </c>
      <c r="D4862" s="2">
        <v>46173</v>
      </c>
      <c r="E4862" s="3">
        <f t="shared" si="75"/>
        <v>46143</v>
      </c>
      <c r="F4862" t="s">
        <v>3878</v>
      </c>
      <c r="H4862" s="4">
        <v>9.99</v>
      </c>
      <c r="I4862" t="s">
        <v>31</v>
      </c>
      <c r="J4862" t="s">
        <v>74</v>
      </c>
      <c r="K4862" t="s">
        <v>1494</v>
      </c>
      <c r="L4862" s="2">
        <v>46143</v>
      </c>
      <c r="M4862" t="s">
        <v>76</v>
      </c>
      <c r="N4862">
        <v>0</v>
      </c>
      <c r="O4862" t="s">
        <v>31</v>
      </c>
      <c r="P4862" t="s">
        <v>28</v>
      </c>
      <c r="Q4862">
        <v>0</v>
      </c>
    </row>
    <row r="4863" spans="1:17" x14ac:dyDescent="0.3">
      <c r="A4863" t="s">
        <v>17</v>
      </c>
      <c r="B4863">
        <v>67</v>
      </c>
      <c r="C4863" t="s">
        <v>28</v>
      </c>
      <c r="D4863" s="2">
        <v>46173</v>
      </c>
      <c r="E4863" s="3">
        <f t="shared" si="75"/>
        <v>46143</v>
      </c>
      <c r="F4863" t="s">
        <v>3879</v>
      </c>
      <c r="H4863" s="4">
        <v>133.32</v>
      </c>
      <c r="I4863" t="s">
        <v>47</v>
      </c>
      <c r="J4863" t="s">
        <v>74</v>
      </c>
      <c r="K4863" t="s">
        <v>3880</v>
      </c>
      <c r="L4863" s="2">
        <v>46143</v>
      </c>
      <c r="M4863" t="s">
        <v>76</v>
      </c>
      <c r="N4863">
        <v>0</v>
      </c>
      <c r="O4863" t="s">
        <v>26</v>
      </c>
      <c r="P4863" t="s">
        <v>28</v>
      </c>
      <c r="Q4863">
        <v>0</v>
      </c>
    </row>
    <row r="4864" spans="1:17" x14ac:dyDescent="0.3">
      <c r="A4864" t="s">
        <v>17</v>
      </c>
      <c r="B4864">
        <v>67</v>
      </c>
      <c r="C4864" t="s">
        <v>28</v>
      </c>
      <c r="D4864" s="2">
        <v>46173</v>
      </c>
      <c r="E4864" s="3">
        <f t="shared" si="75"/>
        <v>46143</v>
      </c>
      <c r="F4864" t="s">
        <v>3881</v>
      </c>
      <c r="H4864" s="4">
        <v>21.76</v>
      </c>
      <c r="I4864" t="s">
        <v>31</v>
      </c>
      <c r="J4864" t="s">
        <v>74</v>
      </c>
      <c r="K4864" t="s">
        <v>3327</v>
      </c>
      <c r="L4864" s="2">
        <v>46143</v>
      </c>
      <c r="M4864" t="s">
        <v>76</v>
      </c>
      <c r="N4864">
        <v>0</v>
      </c>
      <c r="O4864" t="s">
        <v>31</v>
      </c>
      <c r="P4864" t="s">
        <v>28</v>
      </c>
      <c r="Q4864">
        <v>0</v>
      </c>
    </row>
    <row r="4865" spans="1:17" x14ac:dyDescent="0.3">
      <c r="A4865" t="s">
        <v>17</v>
      </c>
      <c r="B4865">
        <v>67</v>
      </c>
      <c r="C4865" t="s">
        <v>28</v>
      </c>
      <c r="D4865" s="2">
        <v>46173</v>
      </c>
      <c r="E4865" s="3">
        <f t="shared" si="75"/>
        <v>46143</v>
      </c>
      <c r="F4865" t="s">
        <v>3882</v>
      </c>
      <c r="H4865" s="4">
        <v>203.03</v>
      </c>
      <c r="I4865" t="s">
        <v>31</v>
      </c>
      <c r="J4865" t="s">
        <v>74</v>
      </c>
      <c r="K4865" t="s">
        <v>3578</v>
      </c>
      <c r="L4865" s="2">
        <v>46143</v>
      </c>
      <c r="M4865" t="s">
        <v>76</v>
      </c>
      <c r="N4865">
        <v>0</v>
      </c>
      <c r="O4865" t="s">
        <v>31</v>
      </c>
      <c r="P4865" t="s">
        <v>28</v>
      </c>
      <c r="Q4865">
        <v>0</v>
      </c>
    </row>
    <row r="4866" spans="1:17" x14ac:dyDescent="0.3">
      <c r="A4866" t="s">
        <v>17</v>
      </c>
      <c r="B4866">
        <v>67</v>
      </c>
      <c r="C4866" t="s">
        <v>28</v>
      </c>
      <c r="D4866" s="2">
        <v>46173</v>
      </c>
      <c r="E4866" s="3">
        <f t="shared" si="75"/>
        <v>46143</v>
      </c>
      <c r="F4866" t="s">
        <v>3883</v>
      </c>
      <c r="H4866" s="4">
        <v>4148.25</v>
      </c>
      <c r="I4866" t="s">
        <v>31</v>
      </c>
      <c r="J4866" t="s">
        <v>74</v>
      </c>
      <c r="K4866" t="s">
        <v>3323</v>
      </c>
      <c r="L4866" s="2">
        <v>46143</v>
      </c>
      <c r="M4866" t="s">
        <v>76</v>
      </c>
      <c r="N4866">
        <v>0</v>
      </c>
      <c r="O4866" t="s">
        <v>31</v>
      </c>
      <c r="P4866" t="s">
        <v>28</v>
      </c>
      <c r="Q4866">
        <v>0</v>
      </c>
    </row>
    <row r="4867" spans="1:17" x14ac:dyDescent="0.3">
      <c r="A4867" t="s">
        <v>17</v>
      </c>
      <c r="B4867">
        <v>67</v>
      </c>
      <c r="C4867" t="s">
        <v>28</v>
      </c>
      <c r="D4867" s="2">
        <v>46173</v>
      </c>
      <c r="E4867" s="3">
        <f t="shared" ref="E4867:E4930" si="76">IF($D4867="","",DATE(YEAR($D4867),MONTH($D4867),1))</f>
        <v>46143</v>
      </c>
      <c r="F4867" t="s">
        <v>3884</v>
      </c>
      <c r="H4867" s="4">
        <v>421.68</v>
      </c>
      <c r="I4867" t="s">
        <v>31</v>
      </c>
      <c r="J4867" t="s">
        <v>74</v>
      </c>
      <c r="K4867" t="s">
        <v>3325</v>
      </c>
      <c r="L4867" s="2">
        <v>46143</v>
      </c>
      <c r="M4867" t="s">
        <v>76</v>
      </c>
      <c r="N4867">
        <v>0</v>
      </c>
      <c r="O4867" t="s">
        <v>31</v>
      </c>
      <c r="P4867" t="s">
        <v>28</v>
      </c>
      <c r="Q4867">
        <v>0</v>
      </c>
    </row>
    <row r="4868" spans="1:17" x14ac:dyDescent="0.3">
      <c r="A4868" t="s">
        <v>17</v>
      </c>
      <c r="B4868">
        <v>67</v>
      </c>
      <c r="C4868" t="s">
        <v>28</v>
      </c>
      <c r="D4868" s="2">
        <v>46173</v>
      </c>
      <c r="E4868" s="3">
        <f t="shared" si="76"/>
        <v>46143</v>
      </c>
      <c r="F4868" t="s">
        <v>3885</v>
      </c>
      <c r="H4868" s="4">
        <v>19.600000000000001</v>
      </c>
      <c r="I4868" t="s">
        <v>159</v>
      </c>
      <c r="J4868" t="s">
        <v>74</v>
      </c>
      <c r="K4868" t="s">
        <v>2659</v>
      </c>
      <c r="L4868" s="2">
        <v>46143</v>
      </c>
      <c r="M4868" t="s">
        <v>76</v>
      </c>
      <c r="N4868">
        <v>0</v>
      </c>
      <c r="O4868" t="s">
        <v>159</v>
      </c>
      <c r="P4868" t="s">
        <v>28</v>
      </c>
      <c r="Q4868">
        <v>0</v>
      </c>
    </row>
    <row r="4869" spans="1:17" x14ac:dyDescent="0.3">
      <c r="A4869" t="s">
        <v>17</v>
      </c>
      <c r="B4869">
        <v>67</v>
      </c>
      <c r="C4869" t="s">
        <v>28</v>
      </c>
      <c r="D4869" s="2">
        <v>46173</v>
      </c>
      <c r="E4869" s="3">
        <f t="shared" si="76"/>
        <v>46143</v>
      </c>
      <c r="F4869" t="s">
        <v>3886</v>
      </c>
      <c r="H4869" s="4">
        <v>171.5</v>
      </c>
      <c r="I4869" t="s">
        <v>47</v>
      </c>
      <c r="J4869" t="s">
        <v>74</v>
      </c>
      <c r="K4869" t="s">
        <v>3887</v>
      </c>
      <c r="L4869" s="2">
        <v>46143</v>
      </c>
      <c r="M4869" t="s">
        <v>76</v>
      </c>
      <c r="N4869">
        <v>0</v>
      </c>
      <c r="O4869" t="s">
        <v>26</v>
      </c>
      <c r="P4869" t="s">
        <v>28</v>
      </c>
      <c r="Q4869">
        <v>0</v>
      </c>
    </row>
    <row r="4870" spans="1:17" x14ac:dyDescent="0.3">
      <c r="A4870" t="s">
        <v>17</v>
      </c>
      <c r="B4870">
        <v>68</v>
      </c>
      <c r="C4870" t="s">
        <v>34</v>
      </c>
      <c r="D4870" s="2">
        <v>46173</v>
      </c>
      <c r="E4870" s="3">
        <f t="shared" si="76"/>
        <v>46143</v>
      </c>
      <c r="F4870" t="s">
        <v>3888</v>
      </c>
      <c r="H4870" s="4">
        <v>372.96</v>
      </c>
      <c r="I4870" t="s">
        <v>31</v>
      </c>
      <c r="J4870" t="s">
        <v>37</v>
      </c>
      <c r="K4870" t="s">
        <v>3889</v>
      </c>
      <c r="L4870" s="2">
        <v>46143</v>
      </c>
      <c r="M4870" t="s">
        <v>37</v>
      </c>
      <c r="N4870">
        <v>0</v>
      </c>
      <c r="O4870" t="s">
        <v>31</v>
      </c>
      <c r="P4870" t="s">
        <v>34</v>
      </c>
      <c r="Q4870">
        <v>0</v>
      </c>
    </row>
    <row r="4871" spans="1:17" x14ac:dyDescent="0.3">
      <c r="A4871" t="s">
        <v>17</v>
      </c>
      <c r="B4871">
        <v>65</v>
      </c>
      <c r="C4871" t="s">
        <v>54</v>
      </c>
      <c r="D4871" s="2">
        <v>46173</v>
      </c>
      <c r="E4871" s="3">
        <f t="shared" si="76"/>
        <v>46143</v>
      </c>
      <c r="F4871" t="s">
        <v>3841</v>
      </c>
      <c r="H4871" s="4">
        <v>-289</v>
      </c>
      <c r="I4871" t="s">
        <v>31</v>
      </c>
      <c r="J4871" t="s">
        <v>155</v>
      </c>
      <c r="K4871" t="s">
        <v>3890</v>
      </c>
      <c r="L4871" s="2">
        <v>46143</v>
      </c>
      <c r="M4871" t="s">
        <v>155</v>
      </c>
      <c r="N4871">
        <v>0</v>
      </c>
      <c r="O4871" t="s">
        <v>31</v>
      </c>
      <c r="P4871" t="s">
        <v>54</v>
      </c>
      <c r="Q4871">
        <v>0</v>
      </c>
    </row>
    <row r="4872" spans="1:17" x14ac:dyDescent="0.3">
      <c r="A4872" t="s">
        <v>17</v>
      </c>
      <c r="B4872">
        <v>67</v>
      </c>
      <c r="C4872" t="s">
        <v>28</v>
      </c>
      <c r="D4872" s="2">
        <v>46173</v>
      </c>
      <c r="E4872" s="3">
        <f t="shared" si="76"/>
        <v>46143</v>
      </c>
      <c r="F4872" t="s">
        <v>3891</v>
      </c>
      <c r="H4872" s="4">
        <v>175</v>
      </c>
      <c r="I4872" t="s">
        <v>108</v>
      </c>
      <c r="J4872" t="s">
        <v>352</v>
      </c>
      <c r="K4872" t="s">
        <v>3892</v>
      </c>
      <c r="L4872" s="2">
        <v>46143</v>
      </c>
      <c r="M4872" t="s">
        <v>352</v>
      </c>
      <c r="N4872">
        <v>0</v>
      </c>
      <c r="O4872" t="s">
        <v>111</v>
      </c>
      <c r="P4872" t="s">
        <v>28</v>
      </c>
      <c r="Q4872">
        <v>0</v>
      </c>
    </row>
    <row r="4873" spans="1:17" x14ac:dyDescent="0.3">
      <c r="A4873" t="s">
        <v>17</v>
      </c>
      <c r="B4873">
        <v>68</v>
      </c>
      <c r="C4873" t="s">
        <v>34</v>
      </c>
      <c r="D4873" s="2">
        <v>46173</v>
      </c>
      <c r="E4873" s="3">
        <f t="shared" si="76"/>
        <v>46143</v>
      </c>
      <c r="F4873" t="s">
        <v>3893</v>
      </c>
      <c r="H4873" s="4">
        <v>5000</v>
      </c>
      <c r="I4873" t="s">
        <v>21</v>
      </c>
      <c r="J4873" t="s">
        <v>726</v>
      </c>
      <c r="K4873" t="s">
        <v>3894</v>
      </c>
      <c r="L4873" s="2">
        <v>46143</v>
      </c>
      <c r="M4873" t="s">
        <v>726</v>
      </c>
      <c r="N4873" t="s">
        <v>25</v>
      </c>
      <c r="O4873" t="s">
        <v>81</v>
      </c>
      <c r="P4873" t="s">
        <v>34</v>
      </c>
      <c r="Q4873">
        <v>0</v>
      </c>
    </row>
    <row r="4874" spans="1:17" x14ac:dyDescent="0.3">
      <c r="A4874" t="s">
        <v>17</v>
      </c>
      <c r="B4874">
        <v>69</v>
      </c>
      <c r="C4874" t="s">
        <v>297</v>
      </c>
      <c r="D4874" s="2">
        <v>46173</v>
      </c>
      <c r="E4874" s="3">
        <f t="shared" si="76"/>
        <v>46143</v>
      </c>
      <c r="F4874" t="s">
        <v>3895</v>
      </c>
      <c r="H4874" s="4">
        <v>24.41</v>
      </c>
      <c r="I4874" t="s">
        <v>31</v>
      </c>
      <c r="J4874" t="s">
        <v>3589</v>
      </c>
      <c r="L4874" s="2">
        <v>46143</v>
      </c>
      <c r="M4874" t="s">
        <v>361</v>
      </c>
      <c r="N4874">
        <v>0</v>
      </c>
      <c r="O4874" t="s">
        <v>31</v>
      </c>
      <c r="P4874" t="s">
        <v>297</v>
      </c>
      <c r="Q4874">
        <v>0</v>
      </c>
    </row>
    <row r="4875" spans="1:17" x14ac:dyDescent="0.3">
      <c r="A4875" t="s">
        <v>17</v>
      </c>
      <c r="B4875">
        <v>69</v>
      </c>
      <c r="C4875" t="s">
        <v>297</v>
      </c>
      <c r="D4875" s="2">
        <v>46173</v>
      </c>
      <c r="E4875" s="3">
        <f t="shared" si="76"/>
        <v>46143</v>
      </c>
      <c r="F4875" t="s">
        <v>3895</v>
      </c>
      <c r="H4875" s="4">
        <v>27.49</v>
      </c>
      <c r="I4875" t="s">
        <v>108</v>
      </c>
      <c r="J4875" t="s">
        <v>3589</v>
      </c>
      <c r="L4875" s="2">
        <v>46143</v>
      </c>
      <c r="M4875" t="s">
        <v>361</v>
      </c>
      <c r="N4875">
        <v>0</v>
      </c>
      <c r="O4875" t="s">
        <v>111</v>
      </c>
      <c r="P4875" t="s">
        <v>297</v>
      </c>
      <c r="Q4875">
        <v>0</v>
      </c>
    </row>
    <row r="4876" spans="1:17" x14ac:dyDescent="0.3">
      <c r="A4876" t="s">
        <v>17</v>
      </c>
      <c r="B4876">
        <v>69</v>
      </c>
      <c r="C4876" t="s">
        <v>297</v>
      </c>
      <c r="D4876" s="2">
        <v>46173</v>
      </c>
      <c r="E4876" s="3">
        <f t="shared" si="76"/>
        <v>46143</v>
      </c>
      <c r="F4876" t="s">
        <v>3895</v>
      </c>
      <c r="H4876" s="4">
        <v>238.77</v>
      </c>
      <c r="I4876" t="s">
        <v>137</v>
      </c>
      <c r="J4876" t="s">
        <v>3590</v>
      </c>
      <c r="L4876" s="2">
        <v>46143</v>
      </c>
      <c r="M4876" t="s">
        <v>350</v>
      </c>
      <c r="N4876" t="s">
        <v>141</v>
      </c>
      <c r="O4876" t="s">
        <v>141</v>
      </c>
      <c r="P4876" t="s">
        <v>297</v>
      </c>
      <c r="Q4876">
        <v>0</v>
      </c>
    </row>
    <row r="4877" spans="1:17" x14ac:dyDescent="0.3">
      <c r="A4877" t="s">
        <v>17</v>
      </c>
      <c r="B4877">
        <v>69</v>
      </c>
      <c r="C4877" t="s">
        <v>297</v>
      </c>
      <c r="D4877" s="2">
        <v>46173</v>
      </c>
      <c r="E4877" s="3">
        <f t="shared" si="76"/>
        <v>46143</v>
      </c>
      <c r="F4877" t="s">
        <v>3895</v>
      </c>
      <c r="H4877" s="4">
        <v>58.03</v>
      </c>
      <c r="I4877" t="s">
        <v>31</v>
      </c>
      <c r="J4877" t="s">
        <v>3590</v>
      </c>
      <c r="L4877" s="2">
        <v>46143</v>
      </c>
      <c r="M4877" t="s">
        <v>350</v>
      </c>
      <c r="N4877">
        <v>0</v>
      </c>
      <c r="O4877" t="s">
        <v>31</v>
      </c>
      <c r="P4877" t="s">
        <v>297</v>
      </c>
      <c r="Q4877">
        <v>0</v>
      </c>
    </row>
    <row r="4878" spans="1:17" x14ac:dyDescent="0.3">
      <c r="A4878" t="s">
        <v>17</v>
      </c>
      <c r="B4878">
        <v>69</v>
      </c>
      <c r="C4878" t="s">
        <v>297</v>
      </c>
      <c r="D4878" s="2">
        <v>46173</v>
      </c>
      <c r="E4878" s="3">
        <f t="shared" si="76"/>
        <v>46143</v>
      </c>
      <c r="F4878" t="s">
        <v>3895</v>
      </c>
      <c r="H4878" s="4">
        <v>66.72</v>
      </c>
      <c r="I4878" t="s">
        <v>159</v>
      </c>
      <c r="J4878" t="s">
        <v>3591</v>
      </c>
      <c r="L4878" s="2">
        <v>46143</v>
      </c>
      <c r="M4878" t="s">
        <v>347</v>
      </c>
      <c r="N4878">
        <v>0</v>
      </c>
      <c r="O4878" t="s">
        <v>159</v>
      </c>
      <c r="P4878" t="s">
        <v>297</v>
      </c>
      <c r="Q4878">
        <v>0</v>
      </c>
    </row>
    <row r="4879" spans="1:17" x14ac:dyDescent="0.3">
      <c r="A4879" t="s">
        <v>17</v>
      </c>
      <c r="B4879">
        <v>69</v>
      </c>
      <c r="C4879" t="s">
        <v>297</v>
      </c>
      <c r="D4879" s="2">
        <v>46173</v>
      </c>
      <c r="E4879" s="3">
        <f t="shared" si="76"/>
        <v>46143</v>
      </c>
      <c r="F4879" t="s">
        <v>3895</v>
      </c>
      <c r="H4879" s="4">
        <v>113.67</v>
      </c>
      <c r="I4879" t="s">
        <v>137</v>
      </c>
      <c r="J4879" t="s">
        <v>3591</v>
      </c>
      <c r="L4879" s="2">
        <v>46143</v>
      </c>
      <c r="M4879" t="s">
        <v>347</v>
      </c>
      <c r="N4879" t="s">
        <v>141</v>
      </c>
      <c r="O4879" t="s">
        <v>141</v>
      </c>
      <c r="P4879" t="s">
        <v>297</v>
      </c>
      <c r="Q4879">
        <v>0</v>
      </c>
    </row>
    <row r="4880" spans="1:17" x14ac:dyDescent="0.3">
      <c r="A4880" t="s">
        <v>17</v>
      </c>
      <c r="B4880">
        <v>69</v>
      </c>
      <c r="C4880" t="s">
        <v>297</v>
      </c>
      <c r="D4880" s="2">
        <v>46173</v>
      </c>
      <c r="E4880" s="3">
        <f t="shared" si="76"/>
        <v>46143</v>
      </c>
      <c r="F4880" t="s">
        <v>3895</v>
      </c>
      <c r="H4880" s="4">
        <v>274.3</v>
      </c>
      <c r="I4880" t="s">
        <v>21</v>
      </c>
      <c r="J4880" t="s">
        <v>3591</v>
      </c>
      <c r="L4880" s="2">
        <v>46143</v>
      </c>
      <c r="M4880" t="s">
        <v>347</v>
      </c>
      <c r="N4880" t="s">
        <v>25</v>
      </c>
      <c r="O4880" t="s">
        <v>81</v>
      </c>
      <c r="P4880" t="s">
        <v>297</v>
      </c>
      <c r="Q4880">
        <v>0</v>
      </c>
    </row>
    <row r="4881" spans="1:17" x14ac:dyDescent="0.3">
      <c r="A4881" t="s">
        <v>17</v>
      </c>
      <c r="B4881">
        <v>69</v>
      </c>
      <c r="C4881" t="s">
        <v>297</v>
      </c>
      <c r="D4881" s="2">
        <v>46173</v>
      </c>
      <c r="E4881" s="3">
        <f t="shared" si="76"/>
        <v>46143</v>
      </c>
      <c r="F4881" t="s">
        <v>3895</v>
      </c>
      <c r="H4881" s="4">
        <v>190.17</v>
      </c>
      <c r="I4881" t="s">
        <v>108</v>
      </c>
      <c r="J4881" t="s">
        <v>3591</v>
      </c>
      <c r="L4881" s="2">
        <v>46143</v>
      </c>
      <c r="M4881" t="s">
        <v>347</v>
      </c>
      <c r="N4881">
        <v>0</v>
      </c>
      <c r="O4881" t="s">
        <v>111</v>
      </c>
      <c r="P4881" t="s">
        <v>297</v>
      </c>
      <c r="Q4881">
        <v>0</v>
      </c>
    </row>
    <row r="4882" spans="1:17" x14ac:dyDescent="0.3">
      <c r="A4882" t="s">
        <v>17</v>
      </c>
      <c r="B4882">
        <v>69</v>
      </c>
      <c r="C4882" t="s">
        <v>297</v>
      </c>
      <c r="D4882" s="2">
        <v>46173</v>
      </c>
      <c r="E4882" s="3">
        <f t="shared" si="76"/>
        <v>46143</v>
      </c>
      <c r="F4882" t="s">
        <v>3895</v>
      </c>
      <c r="H4882" s="4">
        <v>141.08000000000001</v>
      </c>
      <c r="I4882" t="s">
        <v>104</v>
      </c>
      <c r="J4882" t="s">
        <v>3591</v>
      </c>
      <c r="L4882" s="2">
        <v>46143</v>
      </c>
      <c r="M4882" t="s">
        <v>347</v>
      </c>
      <c r="N4882">
        <v>0</v>
      </c>
      <c r="O4882" t="s">
        <v>104</v>
      </c>
      <c r="P4882" t="s">
        <v>297</v>
      </c>
      <c r="Q4882">
        <v>0</v>
      </c>
    </row>
    <row r="4883" spans="1:17" x14ac:dyDescent="0.3">
      <c r="A4883" t="s">
        <v>17</v>
      </c>
      <c r="B4883">
        <v>69</v>
      </c>
      <c r="C4883" t="s">
        <v>297</v>
      </c>
      <c r="D4883" s="2">
        <v>46173</v>
      </c>
      <c r="E4883" s="3">
        <f t="shared" si="76"/>
        <v>46143</v>
      </c>
      <c r="F4883" t="s">
        <v>3895</v>
      </c>
      <c r="H4883" s="4">
        <v>0</v>
      </c>
      <c r="I4883" t="s">
        <v>348</v>
      </c>
      <c r="J4883" t="s">
        <v>3591</v>
      </c>
      <c r="L4883" s="2">
        <v>46143</v>
      </c>
      <c r="M4883" t="s">
        <v>347</v>
      </c>
      <c r="N4883">
        <v>0</v>
      </c>
      <c r="O4883" t="s">
        <v>348</v>
      </c>
      <c r="P4883" t="s">
        <v>297</v>
      </c>
      <c r="Q4883">
        <v>0</v>
      </c>
    </row>
    <row r="4884" spans="1:17" x14ac:dyDescent="0.3">
      <c r="A4884" t="s">
        <v>17</v>
      </c>
      <c r="B4884">
        <v>69</v>
      </c>
      <c r="C4884" t="s">
        <v>297</v>
      </c>
      <c r="D4884" s="2">
        <v>46173</v>
      </c>
      <c r="E4884" s="3">
        <f t="shared" si="76"/>
        <v>46143</v>
      </c>
      <c r="F4884" t="s">
        <v>3895</v>
      </c>
      <c r="H4884" s="4">
        <v>149.81</v>
      </c>
      <c r="I4884" t="s">
        <v>47</v>
      </c>
      <c r="J4884" t="s">
        <v>3591</v>
      </c>
      <c r="L4884" s="2">
        <v>46143</v>
      </c>
      <c r="M4884" t="s">
        <v>347</v>
      </c>
      <c r="N4884">
        <v>0</v>
      </c>
      <c r="O4884" t="s">
        <v>26</v>
      </c>
      <c r="P4884" t="s">
        <v>297</v>
      </c>
      <c r="Q4884">
        <v>0</v>
      </c>
    </row>
    <row r="4885" spans="1:17" x14ac:dyDescent="0.3">
      <c r="A4885" t="s">
        <v>17</v>
      </c>
      <c r="B4885">
        <v>69</v>
      </c>
      <c r="C4885" t="s">
        <v>297</v>
      </c>
      <c r="D4885" s="2">
        <v>46173</v>
      </c>
      <c r="E4885" s="3">
        <f t="shared" si="76"/>
        <v>46143</v>
      </c>
      <c r="F4885" t="s">
        <v>3895</v>
      </c>
      <c r="H4885" s="4">
        <v>3614.06</v>
      </c>
      <c r="I4885" t="s">
        <v>31</v>
      </c>
      <c r="J4885" t="s">
        <v>3591</v>
      </c>
      <c r="L4885" s="2">
        <v>46143</v>
      </c>
      <c r="M4885" t="s">
        <v>347</v>
      </c>
      <c r="N4885">
        <v>0</v>
      </c>
      <c r="O4885" t="s">
        <v>31</v>
      </c>
      <c r="P4885" t="s">
        <v>297</v>
      </c>
      <c r="Q4885">
        <v>0</v>
      </c>
    </row>
    <row r="4886" spans="1:17" x14ac:dyDescent="0.3">
      <c r="A4886" t="s">
        <v>17</v>
      </c>
      <c r="B4886">
        <v>69</v>
      </c>
      <c r="C4886" t="s">
        <v>297</v>
      </c>
      <c r="D4886" s="2">
        <v>46173</v>
      </c>
      <c r="E4886" s="3">
        <f t="shared" si="76"/>
        <v>46143</v>
      </c>
      <c r="F4886" t="s">
        <v>3896</v>
      </c>
      <c r="H4886" s="4">
        <v>1954.72</v>
      </c>
      <c r="I4886" t="s">
        <v>31</v>
      </c>
      <c r="J4886" t="s">
        <v>299</v>
      </c>
      <c r="K4886" t="s">
        <v>300</v>
      </c>
      <c r="L4886" s="2">
        <v>46143</v>
      </c>
      <c r="M4886" t="s">
        <v>301</v>
      </c>
      <c r="N4886">
        <v>0</v>
      </c>
      <c r="O4886" t="s">
        <v>31</v>
      </c>
      <c r="P4886" t="s">
        <v>297</v>
      </c>
      <c r="Q4886">
        <v>0</v>
      </c>
    </row>
    <row r="4887" spans="1:17" x14ac:dyDescent="0.3">
      <c r="A4887" t="s">
        <v>17</v>
      </c>
      <c r="B4887">
        <v>65</v>
      </c>
      <c r="C4887" t="s">
        <v>54</v>
      </c>
      <c r="D4887" s="2">
        <v>46173</v>
      </c>
      <c r="E4887" s="3">
        <f t="shared" si="76"/>
        <v>46143</v>
      </c>
      <c r="F4887" t="s">
        <v>3841</v>
      </c>
      <c r="H4887" s="4">
        <v>23940.66</v>
      </c>
      <c r="I4887" t="s">
        <v>31</v>
      </c>
      <c r="J4887" t="s">
        <v>296</v>
      </c>
      <c r="L4887" s="2">
        <v>46143</v>
      </c>
      <c r="M4887" t="s">
        <v>296</v>
      </c>
      <c r="N4887">
        <v>0</v>
      </c>
      <c r="O4887" t="s">
        <v>31</v>
      </c>
      <c r="P4887" t="s">
        <v>54</v>
      </c>
      <c r="Q4887">
        <v>0</v>
      </c>
    </row>
    <row r="4888" spans="1:17" x14ac:dyDescent="0.3">
      <c r="A4888" t="s">
        <v>17</v>
      </c>
      <c r="B4888">
        <v>64</v>
      </c>
      <c r="C4888" t="s">
        <v>83</v>
      </c>
      <c r="D4888" s="2">
        <v>46175</v>
      </c>
      <c r="E4888" s="3">
        <f t="shared" si="76"/>
        <v>46174</v>
      </c>
      <c r="F4888" t="s">
        <v>3897</v>
      </c>
      <c r="G4888" t="s">
        <v>1227</v>
      </c>
      <c r="H4888" s="4">
        <v>68.02</v>
      </c>
      <c r="I4888" t="s">
        <v>47</v>
      </c>
      <c r="J4888" t="s">
        <v>91</v>
      </c>
      <c r="K4888" t="s">
        <v>3898</v>
      </c>
      <c r="L4888" s="2">
        <v>46174</v>
      </c>
      <c r="M4888" t="s">
        <v>93</v>
      </c>
      <c r="N4888">
        <v>0</v>
      </c>
      <c r="O4888" t="s">
        <v>26</v>
      </c>
      <c r="P4888" t="s">
        <v>83</v>
      </c>
      <c r="Q4888">
        <v>0</v>
      </c>
    </row>
    <row r="4889" spans="1:17" x14ac:dyDescent="0.3">
      <c r="A4889" t="s">
        <v>17</v>
      </c>
      <c r="B4889">
        <v>64</v>
      </c>
      <c r="C4889" t="s">
        <v>83</v>
      </c>
      <c r="D4889" s="2">
        <v>46175</v>
      </c>
      <c r="E4889" s="3">
        <f t="shared" si="76"/>
        <v>46174</v>
      </c>
      <c r="F4889" t="s">
        <v>3897</v>
      </c>
      <c r="G4889" t="s">
        <v>1227</v>
      </c>
      <c r="H4889" s="4">
        <v>43.3</v>
      </c>
      <c r="I4889" t="s">
        <v>47</v>
      </c>
      <c r="J4889" t="s">
        <v>91</v>
      </c>
      <c r="K4889" t="s">
        <v>3898</v>
      </c>
      <c r="L4889" s="2">
        <v>46174</v>
      </c>
      <c r="M4889" t="s">
        <v>93</v>
      </c>
      <c r="N4889">
        <v>0</v>
      </c>
      <c r="O4889" t="s">
        <v>26</v>
      </c>
      <c r="P4889" t="s">
        <v>83</v>
      </c>
      <c r="Q4889">
        <v>0</v>
      </c>
    </row>
    <row r="4890" spans="1:17" x14ac:dyDescent="0.3">
      <c r="A4890" t="s">
        <v>17</v>
      </c>
      <c r="B4890">
        <v>64</v>
      </c>
      <c r="C4890" t="s">
        <v>83</v>
      </c>
      <c r="D4890" s="2">
        <v>46175</v>
      </c>
      <c r="E4890" s="3">
        <f t="shared" si="76"/>
        <v>46174</v>
      </c>
      <c r="F4890" t="s">
        <v>3897</v>
      </c>
      <c r="G4890" t="s">
        <v>1227</v>
      </c>
      <c r="H4890" s="4">
        <v>27.02</v>
      </c>
      <c r="I4890" t="s">
        <v>47</v>
      </c>
      <c r="J4890" t="s">
        <v>91</v>
      </c>
      <c r="K4890" t="s">
        <v>3898</v>
      </c>
      <c r="L4890" s="2">
        <v>46174</v>
      </c>
      <c r="M4890" t="s">
        <v>93</v>
      </c>
      <c r="N4890">
        <v>0</v>
      </c>
      <c r="O4890" t="s">
        <v>26</v>
      </c>
      <c r="P4890" t="s">
        <v>83</v>
      </c>
      <c r="Q4890">
        <v>0</v>
      </c>
    </row>
    <row r="4891" spans="1:17" x14ac:dyDescent="0.3">
      <c r="A4891" t="s">
        <v>17</v>
      </c>
      <c r="B4891">
        <v>64</v>
      </c>
      <c r="C4891" t="s">
        <v>83</v>
      </c>
      <c r="D4891" s="2">
        <v>46177</v>
      </c>
      <c r="E4891" s="3">
        <f t="shared" si="76"/>
        <v>46174</v>
      </c>
      <c r="F4891" t="s">
        <v>3899</v>
      </c>
      <c r="G4891" t="s">
        <v>158</v>
      </c>
      <c r="H4891" s="4">
        <v>17.34</v>
      </c>
      <c r="I4891" t="s">
        <v>159</v>
      </c>
      <c r="J4891" t="s">
        <v>91</v>
      </c>
      <c r="K4891" t="s">
        <v>3900</v>
      </c>
      <c r="L4891" s="2">
        <v>46174</v>
      </c>
      <c r="M4891" t="s">
        <v>93</v>
      </c>
      <c r="N4891">
        <v>0</v>
      </c>
      <c r="O4891" t="s">
        <v>159</v>
      </c>
      <c r="P4891" t="s">
        <v>83</v>
      </c>
      <c r="Q4891">
        <v>0</v>
      </c>
    </row>
    <row r="4892" spans="1:17" x14ac:dyDescent="0.3">
      <c r="A4892" t="s">
        <v>17</v>
      </c>
      <c r="B4892">
        <v>64</v>
      </c>
      <c r="C4892" t="s">
        <v>83</v>
      </c>
      <c r="D4892" s="2">
        <v>46177</v>
      </c>
      <c r="E4892" s="3">
        <f t="shared" si="76"/>
        <v>46174</v>
      </c>
      <c r="F4892" t="s">
        <v>3899</v>
      </c>
      <c r="G4892" t="s">
        <v>158</v>
      </c>
      <c r="H4892" s="4">
        <v>101.63</v>
      </c>
      <c r="I4892" t="s">
        <v>159</v>
      </c>
      <c r="J4892" t="s">
        <v>91</v>
      </c>
      <c r="K4892" t="s">
        <v>3901</v>
      </c>
      <c r="L4892" s="2">
        <v>46174</v>
      </c>
      <c r="M4892" t="s">
        <v>93</v>
      </c>
      <c r="N4892">
        <v>0</v>
      </c>
      <c r="O4892" t="s">
        <v>159</v>
      </c>
      <c r="P4892" t="s">
        <v>83</v>
      </c>
      <c r="Q4892">
        <v>0</v>
      </c>
    </row>
    <row r="4893" spans="1:17" x14ac:dyDescent="0.3">
      <c r="A4893" t="s">
        <v>17</v>
      </c>
      <c r="B4893">
        <v>64</v>
      </c>
      <c r="C4893" t="s">
        <v>83</v>
      </c>
      <c r="D4893" s="2">
        <v>46177</v>
      </c>
      <c r="E4893" s="3">
        <f t="shared" si="76"/>
        <v>46174</v>
      </c>
      <c r="F4893" t="s">
        <v>3899</v>
      </c>
      <c r="G4893" t="s">
        <v>158</v>
      </c>
      <c r="H4893" s="4">
        <v>4.51</v>
      </c>
      <c r="I4893" t="s">
        <v>159</v>
      </c>
      <c r="J4893" t="s">
        <v>91</v>
      </c>
      <c r="K4893" t="s">
        <v>3902</v>
      </c>
      <c r="L4893" s="2">
        <v>46174</v>
      </c>
      <c r="M4893" t="s">
        <v>93</v>
      </c>
      <c r="N4893">
        <v>0</v>
      </c>
      <c r="O4893" t="s">
        <v>159</v>
      </c>
      <c r="P4893" t="s">
        <v>83</v>
      </c>
      <c r="Q4893">
        <v>0</v>
      </c>
    </row>
    <row r="4894" spans="1:17" x14ac:dyDescent="0.3">
      <c r="A4894" t="s">
        <v>17</v>
      </c>
      <c r="B4894">
        <v>64</v>
      </c>
      <c r="C4894" t="s">
        <v>83</v>
      </c>
      <c r="D4894" s="2">
        <v>46177</v>
      </c>
      <c r="E4894" s="3">
        <f t="shared" si="76"/>
        <v>46174</v>
      </c>
      <c r="F4894" t="s">
        <v>3899</v>
      </c>
      <c r="G4894" t="s">
        <v>158</v>
      </c>
      <c r="H4894" s="4">
        <v>24.5</v>
      </c>
      <c r="I4894" t="s">
        <v>159</v>
      </c>
      <c r="J4894" t="s">
        <v>91</v>
      </c>
      <c r="K4894" t="s">
        <v>3903</v>
      </c>
      <c r="L4894" s="2">
        <v>46174</v>
      </c>
      <c r="M4894" t="s">
        <v>93</v>
      </c>
      <c r="N4894">
        <v>0</v>
      </c>
      <c r="O4894" t="s">
        <v>159</v>
      </c>
      <c r="P4894" t="s">
        <v>83</v>
      </c>
      <c r="Q4894">
        <v>0</v>
      </c>
    </row>
    <row r="4895" spans="1:17" x14ac:dyDescent="0.3">
      <c r="A4895" t="s">
        <v>17</v>
      </c>
      <c r="B4895">
        <v>64</v>
      </c>
      <c r="C4895" t="s">
        <v>83</v>
      </c>
      <c r="D4895" s="2">
        <v>46177</v>
      </c>
      <c r="E4895" s="3">
        <f t="shared" si="76"/>
        <v>46174</v>
      </c>
      <c r="F4895" t="s">
        <v>3899</v>
      </c>
      <c r="G4895" t="s">
        <v>158</v>
      </c>
      <c r="H4895" s="4">
        <v>232.18</v>
      </c>
      <c r="I4895" t="s">
        <v>159</v>
      </c>
      <c r="J4895" t="s">
        <v>91</v>
      </c>
      <c r="K4895" t="s">
        <v>3904</v>
      </c>
      <c r="L4895" s="2">
        <v>46174</v>
      </c>
      <c r="M4895" t="s">
        <v>93</v>
      </c>
      <c r="N4895">
        <v>0</v>
      </c>
      <c r="O4895" t="s">
        <v>159</v>
      </c>
      <c r="P4895" t="s">
        <v>83</v>
      </c>
      <c r="Q4895">
        <v>0</v>
      </c>
    </row>
    <row r="4896" spans="1:17" x14ac:dyDescent="0.3">
      <c r="A4896" t="s">
        <v>17</v>
      </c>
      <c r="B4896">
        <v>64</v>
      </c>
      <c r="C4896" t="s">
        <v>83</v>
      </c>
      <c r="D4896" s="2">
        <v>46177</v>
      </c>
      <c r="E4896" s="3">
        <f t="shared" si="76"/>
        <v>46174</v>
      </c>
      <c r="F4896" t="s">
        <v>3899</v>
      </c>
      <c r="G4896" t="s">
        <v>158</v>
      </c>
      <c r="H4896" s="4">
        <v>36.450000000000003</v>
      </c>
      <c r="I4896" t="s">
        <v>159</v>
      </c>
      <c r="J4896" t="s">
        <v>91</v>
      </c>
      <c r="K4896" t="s">
        <v>3905</v>
      </c>
      <c r="L4896" s="2">
        <v>46174</v>
      </c>
      <c r="M4896" t="s">
        <v>93</v>
      </c>
      <c r="N4896">
        <v>0</v>
      </c>
      <c r="O4896" t="s">
        <v>159</v>
      </c>
      <c r="P4896" t="s">
        <v>83</v>
      </c>
      <c r="Q4896">
        <v>0</v>
      </c>
    </row>
    <row r="4897" spans="1:17" x14ac:dyDescent="0.3">
      <c r="A4897" t="s">
        <v>17</v>
      </c>
      <c r="B4897">
        <v>64</v>
      </c>
      <c r="C4897" t="s">
        <v>83</v>
      </c>
      <c r="D4897" s="2">
        <v>46177</v>
      </c>
      <c r="E4897" s="3">
        <f t="shared" si="76"/>
        <v>46174</v>
      </c>
      <c r="F4897" t="s">
        <v>3899</v>
      </c>
      <c r="G4897" t="s">
        <v>158</v>
      </c>
      <c r="H4897" s="4">
        <v>47.46</v>
      </c>
      <c r="I4897" t="s">
        <v>159</v>
      </c>
      <c r="J4897" t="s">
        <v>91</v>
      </c>
      <c r="K4897" t="s">
        <v>3903</v>
      </c>
      <c r="L4897" s="2">
        <v>46174</v>
      </c>
      <c r="M4897" t="s">
        <v>93</v>
      </c>
      <c r="N4897">
        <v>0</v>
      </c>
      <c r="O4897" t="s">
        <v>159</v>
      </c>
      <c r="P4897" t="s">
        <v>83</v>
      </c>
      <c r="Q4897">
        <v>0</v>
      </c>
    </row>
    <row r="4898" spans="1:17" x14ac:dyDescent="0.3">
      <c r="A4898" t="s">
        <v>17</v>
      </c>
      <c r="B4898">
        <v>64</v>
      </c>
      <c r="C4898" t="s">
        <v>83</v>
      </c>
      <c r="D4898" s="2">
        <v>46177</v>
      </c>
      <c r="E4898" s="3">
        <f t="shared" si="76"/>
        <v>46174</v>
      </c>
      <c r="F4898" t="s">
        <v>3899</v>
      </c>
      <c r="G4898" t="s">
        <v>158</v>
      </c>
      <c r="H4898" s="4">
        <v>8.6300000000000008</v>
      </c>
      <c r="I4898" t="s">
        <v>159</v>
      </c>
      <c r="J4898" t="s">
        <v>91</v>
      </c>
      <c r="K4898" t="s">
        <v>3906</v>
      </c>
      <c r="L4898" s="2">
        <v>46174</v>
      </c>
      <c r="M4898" t="s">
        <v>93</v>
      </c>
      <c r="N4898">
        <v>0</v>
      </c>
      <c r="O4898" t="s">
        <v>159</v>
      </c>
      <c r="P4898" t="s">
        <v>83</v>
      </c>
      <c r="Q4898">
        <v>0</v>
      </c>
    </row>
    <row r="4899" spans="1:17" x14ac:dyDescent="0.3">
      <c r="A4899" t="s">
        <v>17</v>
      </c>
      <c r="B4899">
        <v>64</v>
      </c>
      <c r="C4899" t="s">
        <v>83</v>
      </c>
      <c r="D4899" s="2">
        <v>46177</v>
      </c>
      <c r="E4899" s="3">
        <f t="shared" si="76"/>
        <v>46174</v>
      </c>
      <c r="F4899" t="s">
        <v>3899</v>
      </c>
      <c r="G4899" t="s">
        <v>158</v>
      </c>
      <c r="H4899" s="4">
        <v>100.78</v>
      </c>
      <c r="I4899" t="s">
        <v>159</v>
      </c>
      <c r="J4899" t="s">
        <v>91</v>
      </c>
      <c r="K4899" t="s">
        <v>3907</v>
      </c>
      <c r="L4899" s="2">
        <v>46174</v>
      </c>
      <c r="M4899" t="s">
        <v>93</v>
      </c>
      <c r="N4899">
        <v>0</v>
      </c>
      <c r="O4899" t="s">
        <v>159</v>
      </c>
      <c r="P4899" t="s">
        <v>83</v>
      </c>
      <c r="Q4899">
        <v>0</v>
      </c>
    </row>
    <row r="4900" spans="1:17" x14ac:dyDescent="0.3">
      <c r="A4900" t="s">
        <v>17</v>
      </c>
      <c r="B4900">
        <v>64</v>
      </c>
      <c r="C4900" t="s">
        <v>83</v>
      </c>
      <c r="D4900" s="2">
        <v>46180</v>
      </c>
      <c r="E4900" s="3">
        <f t="shared" si="76"/>
        <v>46174</v>
      </c>
      <c r="F4900" t="s">
        <v>3908</v>
      </c>
      <c r="G4900" t="s">
        <v>174</v>
      </c>
      <c r="H4900" s="4">
        <v>122.16</v>
      </c>
      <c r="I4900" t="s">
        <v>31</v>
      </c>
      <c r="J4900" t="s">
        <v>91</v>
      </c>
      <c r="K4900" t="s">
        <v>1201</v>
      </c>
      <c r="L4900" s="2">
        <v>46174</v>
      </c>
      <c r="M4900" t="s">
        <v>93</v>
      </c>
      <c r="N4900">
        <v>0</v>
      </c>
      <c r="O4900" t="s">
        <v>31</v>
      </c>
      <c r="P4900" t="s">
        <v>83</v>
      </c>
      <c r="Q4900">
        <v>0</v>
      </c>
    </row>
    <row r="4901" spans="1:17" x14ac:dyDescent="0.3">
      <c r="A4901" t="s">
        <v>17</v>
      </c>
      <c r="B4901">
        <v>64</v>
      </c>
      <c r="C4901" t="s">
        <v>83</v>
      </c>
      <c r="D4901" s="2">
        <v>46180</v>
      </c>
      <c r="E4901" s="3">
        <f t="shared" si="76"/>
        <v>46174</v>
      </c>
      <c r="F4901" t="s">
        <v>3908</v>
      </c>
      <c r="G4901" t="s">
        <v>174</v>
      </c>
      <c r="H4901" s="4">
        <v>46.39</v>
      </c>
      <c r="I4901" t="s">
        <v>31</v>
      </c>
      <c r="J4901" t="s">
        <v>91</v>
      </c>
      <c r="K4901" t="s">
        <v>3909</v>
      </c>
      <c r="L4901" s="2">
        <v>46174</v>
      </c>
      <c r="M4901" t="s">
        <v>93</v>
      </c>
      <c r="N4901">
        <v>0</v>
      </c>
      <c r="O4901" t="s">
        <v>31</v>
      </c>
      <c r="P4901" t="s">
        <v>83</v>
      </c>
      <c r="Q4901">
        <v>0</v>
      </c>
    </row>
    <row r="4902" spans="1:17" x14ac:dyDescent="0.3">
      <c r="A4902" t="s">
        <v>17</v>
      </c>
      <c r="B4902">
        <v>64</v>
      </c>
      <c r="C4902" t="s">
        <v>83</v>
      </c>
      <c r="D4902" s="2">
        <v>46180</v>
      </c>
      <c r="E4902" s="3">
        <f t="shared" si="76"/>
        <v>46174</v>
      </c>
      <c r="F4902" t="s">
        <v>3908</v>
      </c>
      <c r="G4902" t="s">
        <v>174</v>
      </c>
      <c r="H4902" s="4">
        <v>28.98</v>
      </c>
      <c r="I4902" t="s">
        <v>31</v>
      </c>
      <c r="J4902" t="s">
        <v>91</v>
      </c>
      <c r="K4902" t="s">
        <v>2192</v>
      </c>
      <c r="L4902" s="2">
        <v>46174</v>
      </c>
      <c r="M4902" t="s">
        <v>93</v>
      </c>
      <c r="N4902">
        <v>0</v>
      </c>
      <c r="O4902" t="s">
        <v>31</v>
      </c>
      <c r="P4902" t="s">
        <v>83</v>
      </c>
      <c r="Q4902">
        <v>0</v>
      </c>
    </row>
    <row r="4903" spans="1:17" x14ac:dyDescent="0.3">
      <c r="A4903" t="s">
        <v>17</v>
      </c>
      <c r="B4903">
        <v>64</v>
      </c>
      <c r="C4903" t="s">
        <v>83</v>
      </c>
      <c r="D4903" s="2">
        <v>46180</v>
      </c>
      <c r="E4903" s="3">
        <f t="shared" si="76"/>
        <v>46174</v>
      </c>
      <c r="F4903" t="s">
        <v>3908</v>
      </c>
      <c r="G4903" t="s">
        <v>174</v>
      </c>
      <c r="H4903" s="4">
        <v>275.79000000000002</v>
      </c>
      <c r="I4903" t="s">
        <v>31</v>
      </c>
      <c r="J4903" t="s">
        <v>91</v>
      </c>
      <c r="K4903" t="s">
        <v>3910</v>
      </c>
      <c r="L4903" s="2">
        <v>46174</v>
      </c>
      <c r="M4903" t="s">
        <v>93</v>
      </c>
      <c r="N4903">
        <v>0</v>
      </c>
      <c r="O4903" t="s">
        <v>31</v>
      </c>
      <c r="P4903" t="s">
        <v>83</v>
      </c>
      <c r="Q4903">
        <v>0</v>
      </c>
    </row>
    <row r="4904" spans="1:17" x14ac:dyDescent="0.3">
      <c r="A4904" t="s">
        <v>17</v>
      </c>
      <c r="B4904">
        <v>64</v>
      </c>
      <c r="C4904" t="s">
        <v>83</v>
      </c>
      <c r="D4904" s="2">
        <v>46180</v>
      </c>
      <c r="E4904" s="3">
        <f t="shared" si="76"/>
        <v>46174</v>
      </c>
      <c r="F4904" t="s">
        <v>3908</v>
      </c>
      <c r="G4904" t="s">
        <v>174</v>
      </c>
      <c r="H4904" s="4">
        <v>13.34</v>
      </c>
      <c r="I4904" t="s">
        <v>31</v>
      </c>
      <c r="J4904" t="s">
        <v>91</v>
      </c>
      <c r="K4904" t="s">
        <v>2914</v>
      </c>
      <c r="L4904" s="2">
        <v>46174</v>
      </c>
      <c r="M4904" t="s">
        <v>93</v>
      </c>
      <c r="N4904">
        <v>0</v>
      </c>
      <c r="O4904" t="s">
        <v>31</v>
      </c>
      <c r="P4904" t="s">
        <v>83</v>
      </c>
      <c r="Q4904">
        <v>0</v>
      </c>
    </row>
    <row r="4905" spans="1:17" x14ac:dyDescent="0.3">
      <c r="A4905" t="s">
        <v>17</v>
      </c>
      <c r="B4905">
        <v>64</v>
      </c>
      <c r="C4905" t="s">
        <v>83</v>
      </c>
      <c r="D4905" s="2">
        <v>46180</v>
      </c>
      <c r="E4905" s="3">
        <f t="shared" si="76"/>
        <v>46174</v>
      </c>
      <c r="F4905" t="s">
        <v>3908</v>
      </c>
      <c r="G4905" t="s">
        <v>174</v>
      </c>
      <c r="H4905" s="4">
        <v>14.05</v>
      </c>
      <c r="I4905" t="s">
        <v>31</v>
      </c>
      <c r="J4905" t="s">
        <v>91</v>
      </c>
      <c r="K4905" t="s">
        <v>2914</v>
      </c>
      <c r="L4905" s="2">
        <v>46174</v>
      </c>
      <c r="M4905" t="s">
        <v>93</v>
      </c>
      <c r="N4905">
        <v>0</v>
      </c>
      <c r="O4905" t="s">
        <v>31</v>
      </c>
      <c r="P4905" t="s">
        <v>83</v>
      </c>
      <c r="Q4905">
        <v>0</v>
      </c>
    </row>
    <row r="4906" spans="1:17" x14ac:dyDescent="0.3">
      <c r="A4906" t="s">
        <v>17</v>
      </c>
      <c r="B4906">
        <v>64</v>
      </c>
      <c r="C4906" t="s">
        <v>83</v>
      </c>
      <c r="D4906" s="2">
        <v>46184</v>
      </c>
      <c r="E4906" s="3">
        <f t="shared" si="76"/>
        <v>46174</v>
      </c>
      <c r="F4906" t="s">
        <v>3911</v>
      </c>
      <c r="G4906" t="s">
        <v>824</v>
      </c>
      <c r="H4906" s="4">
        <v>37.700000000000003</v>
      </c>
      <c r="I4906" t="s">
        <v>108</v>
      </c>
      <c r="J4906" t="s">
        <v>91</v>
      </c>
      <c r="K4906" t="s">
        <v>3912</v>
      </c>
      <c r="L4906" s="2">
        <v>46174</v>
      </c>
      <c r="M4906" t="s">
        <v>93</v>
      </c>
      <c r="N4906">
        <v>0</v>
      </c>
      <c r="O4906" t="s">
        <v>111</v>
      </c>
      <c r="P4906" t="s">
        <v>83</v>
      </c>
      <c r="Q4906">
        <v>0</v>
      </c>
    </row>
    <row r="4907" spans="1:17" x14ac:dyDescent="0.3">
      <c r="A4907" t="s">
        <v>17</v>
      </c>
      <c r="B4907">
        <v>64</v>
      </c>
      <c r="C4907" t="s">
        <v>83</v>
      </c>
      <c r="D4907" s="2">
        <v>46184</v>
      </c>
      <c r="E4907" s="3">
        <f t="shared" si="76"/>
        <v>46174</v>
      </c>
      <c r="F4907" t="s">
        <v>3911</v>
      </c>
      <c r="G4907" t="s">
        <v>824</v>
      </c>
      <c r="H4907" s="4">
        <v>64.680000000000007</v>
      </c>
      <c r="I4907" t="s">
        <v>108</v>
      </c>
      <c r="J4907" t="s">
        <v>91</v>
      </c>
      <c r="K4907" t="s">
        <v>3913</v>
      </c>
      <c r="L4907" s="2">
        <v>46174</v>
      </c>
      <c r="M4907" t="s">
        <v>93</v>
      </c>
      <c r="N4907">
        <v>0</v>
      </c>
      <c r="O4907" t="s">
        <v>111</v>
      </c>
      <c r="P4907" t="s">
        <v>83</v>
      </c>
      <c r="Q4907">
        <v>0</v>
      </c>
    </row>
    <row r="4908" spans="1:17" x14ac:dyDescent="0.3">
      <c r="A4908" t="s">
        <v>17</v>
      </c>
      <c r="B4908">
        <v>64</v>
      </c>
      <c r="C4908" t="s">
        <v>83</v>
      </c>
      <c r="D4908" s="2">
        <v>46184</v>
      </c>
      <c r="E4908" s="3">
        <f t="shared" si="76"/>
        <v>46174</v>
      </c>
      <c r="F4908" t="s">
        <v>3911</v>
      </c>
      <c r="G4908" t="s">
        <v>824</v>
      </c>
      <c r="H4908" s="4">
        <v>168.86</v>
      </c>
      <c r="I4908" t="s">
        <v>108</v>
      </c>
      <c r="J4908" t="s">
        <v>91</v>
      </c>
      <c r="K4908" t="s">
        <v>3914</v>
      </c>
      <c r="L4908" s="2">
        <v>46174</v>
      </c>
      <c r="M4908" t="s">
        <v>93</v>
      </c>
      <c r="N4908">
        <v>0</v>
      </c>
      <c r="O4908" t="s">
        <v>111</v>
      </c>
      <c r="P4908" t="s">
        <v>83</v>
      </c>
      <c r="Q4908">
        <v>0</v>
      </c>
    </row>
    <row r="4909" spans="1:17" x14ac:dyDescent="0.3">
      <c r="A4909" t="s">
        <v>17</v>
      </c>
      <c r="B4909">
        <v>64</v>
      </c>
      <c r="C4909" t="s">
        <v>83</v>
      </c>
      <c r="D4909" s="2">
        <v>46184</v>
      </c>
      <c r="E4909" s="3">
        <f t="shared" si="76"/>
        <v>46174</v>
      </c>
      <c r="F4909" t="s">
        <v>3911</v>
      </c>
      <c r="G4909" t="s">
        <v>824</v>
      </c>
      <c r="H4909" s="4">
        <v>27.8</v>
      </c>
      <c r="I4909" t="s">
        <v>108</v>
      </c>
      <c r="J4909" t="s">
        <v>91</v>
      </c>
      <c r="K4909" t="s">
        <v>3915</v>
      </c>
      <c r="L4909" s="2">
        <v>46174</v>
      </c>
      <c r="M4909" t="s">
        <v>93</v>
      </c>
      <c r="N4909">
        <v>0</v>
      </c>
      <c r="O4909" t="s">
        <v>111</v>
      </c>
      <c r="P4909" t="s">
        <v>83</v>
      </c>
      <c r="Q4909">
        <v>0</v>
      </c>
    </row>
    <row r="4910" spans="1:17" x14ac:dyDescent="0.3">
      <c r="A4910" t="s">
        <v>17</v>
      </c>
      <c r="B4910">
        <v>64</v>
      </c>
      <c r="C4910" t="s">
        <v>83</v>
      </c>
      <c r="D4910" s="2">
        <v>46184</v>
      </c>
      <c r="E4910" s="3">
        <f t="shared" si="76"/>
        <v>46174</v>
      </c>
      <c r="F4910" t="s">
        <v>3911</v>
      </c>
      <c r="G4910" t="s">
        <v>824</v>
      </c>
      <c r="H4910" s="4">
        <v>16.239999999999998</v>
      </c>
      <c r="I4910" t="s">
        <v>108</v>
      </c>
      <c r="J4910" t="s">
        <v>91</v>
      </c>
      <c r="K4910" t="s">
        <v>3916</v>
      </c>
      <c r="L4910" s="2">
        <v>46174</v>
      </c>
      <c r="M4910" t="s">
        <v>93</v>
      </c>
      <c r="N4910">
        <v>0</v>
      </c>
      <c r="O4910" t="s">
        <v>111</v>
      </c>
      <c r="P4910" t="s">
        <v>83</v>
      </c>
      <c r="Q4910">
        <v>0</v>
      </c>
    </row>
    <row r="4911" spans="1:17" x14ac:dyDescent="0.3">
      <c r="A4911" t="s">
        <v>17</v>
      </c>
      <c r="B4911">
        <v>64</v>
      </c>
      <c r="C4911" t="s">
        <v>83</v>
      </c>
      <c r="D4911" s="2">
        <v>46188</v>
      </c>
      <c r="E4911" s="3">
        <f t="shared" si="76"/>
        <v>46174</v>
      </c>
      <c r="F4911" t="s">
        <v>3917</v>
      </c>
      <c r="G4911" t="s">
        <v>174</v>
      </c>
      <c r="H4911" s="4">
        <v>46.24</v>
      </c>
      <c r="I4911" t="s">
        <v>137</v>
      </c>
      <c r="J4911" t="s">
        <v>91</v>
      </c>
      <c r="K4911" t="s">
        <v>3918</v>
      </c>
      <c r="L4911" s="2">
        <v>46174</v>
      </c>
      <c r="M4911" t="s">
        <v>93</v>
      </c>
      <c r="N4911" t="s">
        <v>141</v>
      </c>
      <c r="O4911" t="s">
        <v>141</v>
      </c>
      <c r="P4911" t="s">
        <v>83</v>
      </c>
      <c r="Q4911">
        <v>0</v>
      </c>
    </row>
    <row r="4912" spans="1:17" x14ac:dyDescent="0.3">
      <c r="A4912" t="s">
        <v>17</v>
      </c>
      <c r="B4912">
        <v>64</v>
      </c>
      <c r="C4912" t="s">
        <v>83</v>
      </c>
      <c r="D4912" s="2">
        <v>46190</v>
      </c>
      <c r="E4912" s="3">
        <f t="shared" si="76"/>
        <v>46174</v>
      </c>
      <c r="F4912" t="s">
        <v>3919</v>
      </c>
      <c r="G4912" t="s">
        <v>158</v>
      </c>
      <c r="H4912" s="4">
        <v>331.06</v>
      </c>
      <c r="I4912" t="s">
        <v>159</v>
      </c>
      <c r="J4912" t="s">
        <v>91</v>
      </c>
      <c r="K4912" t="s">
        <v>3920</v>
      </c>
      <c r="L4912" s="2">
        <v>46174</v>
      </c>
      <c r="M4912" t="s">
        <v>93</v>
      </c>
      <c r="N4912">
        <v>0</v>
      </c>
      <c r="O4912" t="s">
        <v>159</v>
      </c>
      <c r="P4912" t="s">
        <v>83</v>
      </c>
      <c r="Q4912">
        <v>0</v>
      </c>
    </row>
    <row r="4913" spans="1:17" x14ac:dyDescent="0.3">
      <c r="A4913" t="s">
        <v>17</v>
      </c>
      <c r="B4913">
        <v>64</v>
      </c>
      <c r="C4913" t="s">
        <v>83</v>
      </c>
      <c r="D4913" s="2">
        <v>46203</v>
      </c>
      <c r="E4913" s="3">
        <f t="shared" si="76"/>
        <v>46174</v>
      </c>
      <c r="F4913" t="s">
        <v>3921</v>
      </c>
      <c r="G4913" t="s">
        <v>1334</v>
      </c>
      <c r="H4913" s="4">
        <v>17.420000000000002</v>
      </c>
      <c r="I4913" t="s">
        <v>31</v>
      </c>
      <c r="J4913" t="s">
        <v>91</v>
      </c>
      <c r="K4913" t="s">
        <v>1018</v>
      </c>
      <c r="L4913" s="2">
        <v>46174</v>
      </c>
      <c r="M4913" t="s">
        <v>93</v>
      </c>
      <c r="N4913">
        <v>0</v>
      </c>
      <c r="O4913" t="s">
        <v>31</v>
      </c>
      <c r="P4913" t="s">
        <v>83</v>
      </c>
      <c r="Q4913">
        <v>0</v>
      </c>
    </row>
    <row r="4914" spans="1:17" x14ac:dyDescent="0.3">
      <c r="A4914" t="s">
        <v>17</v>
      </c>
      <c r="B4914">
        <v>64</v>
      </c>
      <c r="C4914" t="s">
        <v>83</v>
      </c>
      <c r="D4914" s="2">
        <v>46203</v>
      </c>
      <c r="E4914" s="3">
        <f t="shared" si="76"/>
        <v>46174</v>
      </c>
      <c r="F4914" t="s">
        <v>3921</v>
      </c>
      <c r="G4914" t="s">
        <v>1334</v>
      </c>
      <c r="H4914" s="4">
        <v>124.52</v>
      </c>
      <c r="I4914" t="s">
        <v>31</v>
      </c>
      <c r="J4914" t="s">
        <v>91</v>
      </c>
      <c r="K4914" t="s">
        <v>3922</v>
      </c>
      <c r="L4914" s="2">
        <v>46174</v>
      </c>
      <c r="M4914" t="s">
        <v>93</v>
      </c>
      <c r="N4914">
        <v>0</v>
      </c>
      <c r="O4914" t="s">
        <v>31</v>
      </c>
      <c r="P4914" t="s">
        <v>83</v>
      </c>
      <c r="Q4914">
        <v>0</v>
      </c>
    </row>
    <row r="4915" spans="1:17" x14ac:dyDescent="0.3">
      <c r="A4915" t="s">
        <v>17</v>
      </c>
      <c r="B4915">
        <v>64</v>
      </c>
      <c r="C4915" t="s">
        <v>83</v>
      </c>
      <c r="D4915" s="2">
        <v>46203</v>
      </c>
      <c r="E4915" s="3">
        <f t="shared" si="76"/>
        <v>46174</v>
      </c>
      <c r="F4915" t="s">
        <v>3921</v>
      </c>
      <c r="G4915" t="s">
        <v>1334</v>
      </c>
      <c r="H4915" s="4">
        <v>27.77</v>
      </c>
      <c r="I4915" t="s">
        <v>31</v>
      </c>
      <c r="J4915" t="s">
        <v>91</v>
      </c>
      <c r="K4915" t="s">
        <v>1018</v>
      </c>
      <c r="L4915" s="2">
        <v>46174</v>
      </c>
      <c r="M4915" t="s">
        <v>93</v>
      </c>
      <c r="N4915">
        <v>0</v>
      </c>
      <c r="O4915" t="s">
        <v>31</v>
      </c>
      <c r="P4915" t="s">
        <v>83</v>
      </c>
      <c r="Q4915">
        <v>0</v>
      </c>
    </row>
    <row r="4916" spans="1:17" x14ac:dyDescent="0.3">
      <c r="A4916" t="s">
        <v>17</v>
      </c>
      <c r="B4916">
        <v>64</v>
      </c>
      <c r="C4916" t="s">
        <v>83</v>
      </c>
      <c r="D4916" s="2">
        <v>46174</v>
      </c>
      <c r="E4916" s="3">
        <f t="shared" si="76"/>
        <v>46174</v>
      </c>
      <c r="F4916" t="s">
        <v>3923</v>
      </c>
      <c r="G4916" t="s">
        <v>1039</v>
      </c>
      <c r="H4916" s="4">
        <v>100</v>
      </c>
      <c r="I4916" t="s">
        <v>137</v>
      </c>
      <c r="J4916" t="s">
        <v>530</v>
      </c>
      <c r="K4916" t="s">
        <v>3924</v>
      </c>
      <c r="L4916" s="2">
        <v>46174</v>
      </c>
      <c r="M4916" t="s">
        <v>531</v>
      </c>
      <c r="N4916" t="s">
        <v>141</v>
      </c>
      <c r="O4916" t="s">
        <v>141</v>
      </c>
      <c r="P4916" t="s">
        <v>83</v>
      </c>
      <c r="Q4916">
        <v>0</v>
      </c>
    </row>
    <row r="4917" spans="1:17" x14ac:dyDescent="0.3">
      <c r="A4917" t="s">
        <v>17</v>
      </c>
      <c r="B4917">
        <v>64</v>
      </c>
      <c r="C4917" t="s">
        <v>83</v>
      </c>
      <c r="D4917" s="2">
        <v>46174</v>
      </c>
      <c r="E4917" s="3">
        <f t="shared" si="76"/>
        <v>46174</v>
      </c>
      <c r="F4917" t="s">
        <v>3923</v>
      </c>
      <c r="G4917" t="s">
        <v>1039</v>
      </c>
      <c r="H4917" s="4">
        <v>303.39999999999998</v>
      </c>
      <c r="I4917" t="s">
        <v>137</v>
      </c>
      <c r="J4917" t="s">
        <v>530</v>
      </c>
      <c r="K4917" t="s">
        <v>3925</v>
      </c>
      <c r="L4917" s="2">
        <v>46174</v>
      </c>
      <c r="M4917" t="s">
        <v>531</v>
      </c>
      <c r="N4917" t="s">
        <v>141</v>
      </c>
      <c r="O4917" t="s">
        <v>141</v>
      </c>
      <c r="P4917" t="s">
        <v>83</v>
      </c>
      <c r="Q4917">
        <v>0</v>
      </c>
    </row>
    <row r="4918" spans="1:17" x14ac:dyDescent="0.3">
      <c r="A4918" t="s">
        <v>17</v>
      </c>
      <c r="B4918">
        <v>64</v>
      </c>
      <c r="C4918" t="s">
        <v>83</v>
      </c>
      <c r="D4918" s="2">
        <v>46174</v>
      </c>
      <c r="E4918" s="3">
        <f t="shared" si="76"/>
        <v>46174</v>
      </c>
      <c r="F4918" t="s">
        <v>3923</v>
      </c>
      <c r="G4918" t="s">
        <v>1039</v>
      </c>
      <c r="H4918" s="4">
        <v>198.4</v>
      </c>
      <c r="I4918" t="s">
        <v>137</v>
      </c>
      <c r="J4918" t="s">
        <v>530</v>
      </c>
      <c r="K4918" t="s">
        <v>3926</v>
      </c>
      <c r="L4918" s="2">
        <v>46174</v>
      </c>
      <c r="M4918" t="s">
        <v>531</v>
      </c>
      <c r="N4918" t="s">
        <v>141</v>
      </c>
      <c r="O4918" t="s">
        <v>141</v>
      </c>
      <c r="P4918" t="s">
        <v>83</v>
      </c>
      <c r="Q4918">
        <v>0</v>
      </c>
    </row>
    <row r="4919" spans="1:17" x14ac:dyDescent="0.3">
      <c r="A4919" t="s">
        <v>17</v>
      </c>
      <c r="B4919">
        <v>64</v>
      </c>
      <c r="C4919" t="s">
        <v>83</v>
      </c>
      <c r="D4919" s="2">
        <v>46177</v>
      </c>
      <c r="E4919" s="3">
        <f t="shared" si="76"/>
        <v>46174</v>
      </c>
      <c r="F4919" t="s">
        <v>3927</v>
      </c>
      <c r="G4919" t="s">
        <v>101</v>
      </c>
      <c r="H4919" s="4">
        <v>704.6</v>
      </c>
      <c r="I4919" t="s">
        <v>47</v>
      </c>
      <c r="J4919" t="s">
        <v>84</v>
      </c>
      <c r="K4919" t="s">
        <v>3928</v>
      </c>
      <c r="L4919" s="2">
        <v>46174</v>
      </c>
      <c r="M4919" t="s">
        <v>86</v>
      </c>
      <c r="N4919">
        <v>0</v>
      </c>
      <c r="O4919" t="s">
        <v>26</v>
      </c>
      <c r="P4919" t="s">
        <v>83</v>
      </c>
      <c r="Q4919">
        <v>0</v>
      </c>
    </row>
    <row r="4920" spans="1:17" x14ac:dyDescent="0.3">
      <c r="A4920" t="s">
        <v>17</v>
      </c>
      <c r="B4920">
        <v>64</v>
      </c>
      <c r="C4920" t="s">
        <v>83</v>
      </c>
      <c r="D4920" s="2">
        <v>46174</v>
      </c>
      <c r="E4920" s="3">
        <f t="shared" si="76"/>
        <v>46174</v>
      </c>
      <c r="F4920" t="s">
        <v>3923</v>
      </c>
      <c r="G4920" t="s">
        <v>1039</v>
      </c>
      <c r="H4920" s="4">
        <v>13.11</v>
      </c>
      <c r="I4920" t="s">
        <v>137</v>
      </c>
      <c r="J4920" t="s">
        <v>87</v>
      </c>
      <c r="K4920" t="s">
        <v>3929</v>
      </c>
      <c r="L4920" s="2">
        <v>46174</v>
      </c>
      <c r="M4920" t="s">
        <v>89</v>
      </c>
      <c r="N4920" t="s">
        <v>141</v>
      </c>
      <c r="O4920" t="s">
        <v>141</v>
      </c>
      <c r="P4920" t="s">
        <v>83</v>
      </c>
      <c r="Q4920">
        <v>0</v>
      </c>
    </row>
    <row r="4921" spans="1:17" x14ac:dyDescent="0.3">
      <c r="A4921" t="s">
        <v>17</v>
      </c>
      <c r="B4921">
        <v>64</v>
      </c>
      <c r="C4921" t="s">
        <v>83</v>
      </c>
      <c r="D4921" s="2">
        <v>46174</v>
      </c>
      <c r="E4921" s="3">
        <f t="shared" si="76"/>
        <v>46174</v>
      </c>
      <c r="F4921" t="s">
        <v>3923</v>
      </c>
      <c r="G4921" t="s">
        <v>1039</v>
      </c>
      <c r="H4921" s="4">
        <v>21.71</v>
      </c>
      <c r="I4921" t="s">
        <v>137</v>
      </c>
      <c r="J4921" t="s">
        <v>87</v>
      </c>
      <c r="K4921" t="s">
        <v>3930</v>
      </c>
      <c r="L4921" s="2">
        <v>46174</v>
      </c>
      <c r="M4921" t="s">
        <v>89</v>
      </c>
      <c r="N4921" t="s">
        <v>141</v>
      </c>
      <c r="O4921" t="s">
        <v>141</v>
      </c>
      <c r="P4921" t="s">
        <v>83</v>
      </c>
      <c r="Q4921">
        <v>0</v>
      </c>
    </row>
    <row r="4922" spans="1:17" x14ac:dyDescent="0.3">
      <c r="A4922" t="s">
        <v>17</v>
      </c>
      <c r="B4922">
        <v>64</v>
      </c>
      <c r="C4922" t="s">
        <v>83</v>
      </c>
      <c r="D4922" s="2">
        <v>46174</v>
      </c>
      <c r="E4922" s="3">
        <f t="shared" si="76"/>
        <v>46174</v>
      </c>
      <c r="F4922" t="s">
        <v>3923</v>
      </c>
      <c r="G4922" t="s">
        <v>1039</v>
      </c>
      <c r="H4922" s="4">
        <v>299.75</v>
      </c>
      <c r="I4922" t="s">
        <v>137</v>
      </c>
      <c r="J4922" t="s">
        <v>87</v>
      </c>
      <c r="K4922" t="s">
        <v>3931</v>
      </c>
      <c r="L4922" s="2">
        <v>46174</v>
      </c>
      <c r="M4922" t="s">
        <v>89</v>
      </c>
      <c r="N4922" t="s">
        <v>141</v>
      </c>
      <c r="O4922" t="s">
        <v>141</v>
      </c>
      <c r="P4922" t="s">
        <v>83</v>
      </c>
      <c r="Q4922">
        <v>0</v>
      </c>
    </row>
    <row r="4923" spans="1:17" x14ac:dyDescent="0.3">
      <c r="A4923" t="s">
        <v>17</v>
      </c>
      <c r="B4923">
        <v>64</v>
      </c>
      <c r="C4923" t="s">
        <v>83</v>
      </c>
      <c r="D4923" s="2">
        <v>46176</v>
      </c>
      <c r="E4923" s="3">
        <f t="shared" si="76"/>
        <v>46174</v>
      </c>
      <c r="F4923" t="s">
        <v>3932</v>
      </c>
      <c r="G4923" t="s">
        <v>1227</v>
      </c>
      <c r="H4923" s="4">
        <v>57.2</v>
      </c>
      <c r="I4923" t="s">
        <v>47</v>
      </c>
      <c r="J4923" t="s">
        <v>87</v>
      </c>
      <c r="K4923" t="s">
        <v>3933</v>
      </c>
      <c r="L4923" s="2">
        <v>46174</v>
      </c>
      <c r="M4923" t="s">
        <v>89</v>
      </c>
      <c r="N4923">
        <v>0</v>
      </c>
      <c r="O4923" t="s">
        <v>26</v>
      </c>
      <c r="P4923" t="s">
        <v>83</v>
      </c>
      <c r="Q4923">
        <v>0</v>
      </c>
    </row>
    <row r="4924" spans="1:17" x14ac:dyDescent="0.3">
      <c r="A4924" t="s">
        <v>17</v>
      </c>
      <c r="B4924">
        <v>64</v>
      </c>
      <c r="C4924" t="s">
        <v>83</v>
      </c>
      <c r="D4924" s="2">
        <v>46176</v>
      </c>
      <c r="E4924" s="3">
        <f t="shared" si="76"/>
        <v>46174</v>
      </c>
      <c r="F4924" t="s">
        <v>3932</v>
      </c>
      <c r="G4924" t="s">
        <v>1227</v>
      </c>
      <c r="H4924" s="4">
        <v>46.98</v>
      </c>
      <c r="I4924" t="s">
        <v>47</v>
      </c>
      <c r="J4924" t="s">
        <v>87</v>
      </c>
      <c r="K4924" t="s">
        <v>3934</v>
      </c>
      <c r="L4924" s="2">
        <v>46174</v>
      </c>
      <c r="M4924" t="s">
        <v>89</v>
      </c>
      <c r="N4924">
        <v>0</v>
      </c>
      <c r="O4924" t="s">
        <v>26</v>
      </c>
      <c r="P4924" t="s">
        <v>83</v>
      </c>
      <c r="Q4924">
        <v>0</v>
      </c>
    </row>
    <row r="4925" spans="1:17" x14ac:dyDescent="0.3">
      <c r="A4925" t="s">
        <v>17</v>
      </c>
      <c r="B4925">
        <v>64</v>
      </c>
      <c r="C4925" t="s">
        <v>83</v>
      </c>
      <c r="D4925" s="2">
        <v>46176</v>
      </c>
      <c r="E4925" s="3">
        <f t="shared" si="76"/>
        <v>46174</v>
      </c>
      <c r="F4925" t="s">
        <v>3932</v>
      </c>
      <c r="G4925" t="s">
        <v>1227</v>
      </c>
      <c r="H4925" s="4">
        <v>31.91</v>
      </c>
      <c r="I4925" t="s">
        <v>47</v>
      </c>
      <c r="J4925" t="s">
        <v>87</v>
      </c>
      <c r="K4925" t="s">
        <v>3935</v>
      </c>
      <c r="L4925" s="2">
        <v>46174</v>
      </c>
      <c r="M4925" t="s">
        <v>89</v>
      </c>
      <c r="N4925">
        <v>0</v>
      </c>
      <c r="O4925" t="s">
        <v>26</v>
      </c>
      <c r="P4925" t="s">
        <v>83</v>
      </c>
      <c r="Q4925">
        <v>0</v>
      </c>
    </row>
    <row r="4926" spans="1:17" x14ac:dyDescent="0.3">
      <c r="A4926" t="s">
        <v>17</v>
      </c>
      <c r="B4926">
        <v>64</v>
      </c>
      <c r="C4926" t="s">
        <v>83</v>
      </c>
      <c r="D4926" s="2">
        <v>46177</v>
      </c>
      <c r="E4926" s="3">
        <f t="shared" si="76"/>
        <v>46174</v>
      </c>
      <c r="F4926" t="s">
        <v>3899</v>
      </c>
      <c r="G4926" t="s">
        <v>158</v>
      </c>
      <c r="H4926" s="4">
        <v>17.22</v>
      </c>
      <c r="I4926" t="s">
        <v>159</v>
      </c>
      <c r="J4926" t="s">
        <v>87</v>
      </c>
      <c r="K4926" t="s">
        <v>3936</v>
      </c>
      <c r="L4926" s="2">
        <v>46174</v>
      </c>
      <c r="M4926" t="s">
        <v>89</v>
      </c>
      <c r="N4926">
        <v>0</v>
      </c>
      <c r="O4926" t="s">
        <v>159</v>
      </c>
      <c r="P4926" t="s">
        <v>83</v>
      </c>
      <c r="Q4926">
        <v>0</v>
      </c>
    </row>
    <row r="4927" spans="1:17" x14ac:dyDescent="0.3">
      <c r="A4927" t="s">
        <v>17</v>
      </c>
      <c r="B4927">
        <v>64</v>
      </c>
      <c r="C4927" t="s">
        <v>83</v>
      </c>
      <c r="D4927" s="2">
        <v>46177</v>
      </c>
      <c r="E4927" s="3">
        <f t="shared" si="76"/>
        <v>46174</v>
      </c>
      <c r="F4927" t="s">
        <v>3899</v>
      </c>
      <c r="G4927" t="s">
        <v>158</v>
      </c>
      <c r="H4927" s="4">
        <v>36.78</v>
      </c>
      <c r="I4927" t="s">
        <v>159</v>
      </c>
      <c r="J4927" t="s">
        <v>87</v>
      </c>
      <c r="K4927" t="s">
        <v>3936</v>
      </c>
      <c r="L4927" s="2">
        <v>46174</v>
      </c>
      <c r="M4927" t="s">
        <v>89</v>
      </c>
      <c r="N4927">
        <v>0</v>
      </c>
      <c r="O4927" t="s">
        <v>159</v>
      </c>
      <c r="P4927" t="s">
        <v>83</v>
      </c>
      <c r="Q4927">
        <v>0</v>
      </c>
    </row>
    <row r="4928" spans="1:17" x14ac:dyDescent="0.3">
      <c r="A4928" t="s">
        <v>17</v>
      </c>
      <c r="B4928">
        <v>64</v>
      </c>
      <c r="C4928" t="s">
        <v>83</v>
      </c>
      <c r="D4928" s="2">
        <v>46184</v>
      </c>
      <c r="E4928" s="3">
        <f t="shared" si="76"/>
        <v>46174</v>
      </c>
      <c r="F4928" t="s">
        <v>3911</v>
      </c>
      <c r="G4928" t="s">
        <v>824</v>
      </c>
      <c r="H4928" s="4">
        <v>88</v>
      </c>
      <c r="I4928" t="s">
        <v>108</v>
      </c>
      <c r="J4928" t="s">
        <v>87</v>
      </c>
      <c r="K4928" t="s">
        <v>3937</v>
      </c>
      <c r="L4928" s="2">
        <v>46174</v>
      </c>
      <c r="M4928" t="s">
        <v>89</v>
      </c>
      <c r="N4928">
        <v>0</v>
      </c>
      <c r="O4928" t="s">
        <v>111</v>
      </c>
      <c r="P4928" t="s">
        <v>83</v>
      </c>
      <c r="Q4928">
        <v>0</v>
      </c>
    </row>
    <row r="4929" spans="1:17" x14ac:dyDescent="0.3">
      <c r="A4929" t="s">
        <v>17</v>
      </c>
      <c r="B4929">
        <v>64</v>
      </c>
      <c r="C4929" t="s">
        <v>83</v>
      </c>
      <c r="D4929" s="2">
        <v>46198</v>
      </c>
      <c r="E4929" s="3">
        <f t="shared" si="76"/>
        <v>46174</v>
      </c>
      <c r="F4929" t="s">
        <v>3938</v>
      </c>
      <c r="G4929" t="s">
        <v>222</v>
      </c>
      <c r="H4929" s="4">
        <v>44.72</v>
      </c>
      <c r="I4929" t="s">
        <v>104</v>
      </c>
      <c r="J4929" t="s">
        <v>87</v>
      </c>
      <c r="K4929" t="s">
        <v>3939</v>
      </c>
      <c r="L4929" s="2">
        <v>46174</v>
      </c>
      <c r="M4929" t="s">
        <v>89</v>
      </c>
      <c r="N4929">
        <v>0</v>
      </c>
      <c r="O4929" t="s">
        <v>104</v>
      </c>
      <c r="P4929" t="s">
        <v>83</v>
      </c>
      <c r="Q4929">
        <v>0</v>
      </c>
    </row>
    <row r="4930" spans="1:17" x14ac:dyDescent="0.3">
      <c r="A4930" t="s">
        <v>17</v>
      </c>
      <c r="B4930">
        <v>64</v>
      </c>
      <c r="C4930" t="s">
        <v>83</v>
      </c>
      <c r="D4930" s="2">
        <v>46203</v>
      </c>
      <c r="E4930" s="3">
        <f t="shared" si="76"/>
        <v>46174</v>
      </c>
      <c r="F4930" t="s">
        <v>3940</v>
      </c>
      <c r="G4930" t="s">
        <v>190</v>
      </c>
      <c r="H4930" s="4">
        <v>15.25</v>
      </c>
      <c r="I4930" t="s">
        <v>21</v>
      </c>
      <c r="J4930" t="s">
        <v>87</v>
      </c>
      <c r="K4930" t="s">
        <v>3941</v>
      </c>
      <c r="L4930" s="2">
        <v>46174</v>
      </c>
      <c r="M4930" t="s">
        <v>89</v>
      </c>
      <c r="N4930" t="s">
        <v>25</v>
      </c>
      <c r="O4930" t="s">
        <v>81</v>
      </c>
      <c r="P4930" t="s">
        <v>83</v>
      </c>
      <c r="Q4930">
        <v>0</v>
      </c>
    </row>
    <row r="4931" spans="1:17" x14ac:dyDescent="0.3">
      <c r="A4931" t="s">
        <v>17</v>
      </c>
      <c r="B4931">
        <v>64</v>
      </c>
      <c r="C4931" t="s">
        <v>83</v>
      </c>
      <c r="D4931" s="2">
        <v>46203</v>
      </c>
      <c r="E4931" s="3">
        <f t="shared" ref="E4931:E4994" si="77">IF($D4931="","",DATE(YEAR($D4931),MONTH($D4931),1))</f>
        <v>46174</v>
      </c>
      <c r="F4931" t="s">
        <v>3940</v>
      </c>
      <c r="G4931" t="s">
        <v>190</v>
      </c>
      <c r="H4931" s="4">
        <v>15.25</v>
      </c>
      <c r="I4931" t="s">
        <v>21</v>
      </c>
      <c r="J4931" t="s">
        <v>87</v>
      </c>
      <c r="K4931" t="s">
        <v>3941</v>
      </c>
      <c r="L4931" s="2">
        <v>46174</v>
      </c>
      <c r="M4931" t="s">
        <v>89</v>
      </c>
      <c r="N4931" t="s">
        <v>25</v>
      </c>
      <c r="O4931" t="s">
        <v>81</v>
      </c>
      <c r="P4931" t="s">
        <v>83</v>
      </c>
      <c r="Q4931">
        <v>0</v>
      </c>
    </row>
    <row r="4932" spans="1:17" x14ac:dyDescent="0.3">
      <c r="A4932" t="s">
        <v>17</v>
      </c>
      <c r="B4932">
        <v>64</v>
      </c>
      <c r="C4932" t="s">
        <v>83</v>
      </c>
      <c r="D4932" s="2">
        <v>46203</v>
      </c>
      <c r="E4932" s="3">
        <f t="shared" si="77"/>
        <v>46174</v>
      </c>
      <c r="F4932" t="s">
        <v>3921</v>
      </c>
      <c r="G4932" t="s">
        <v>1334</v>
      </c>
      <c r="H4932" s="4">
        <v>35.92</v>
      </c>
      <c r="I4932" t="s">
        <v>31</v>
      </c>
      <c r="J4932" t="s">
        <v>87</v>
      </c>
      <c r="K4932" t="s">
        <v>3942</v>
      </c>
      <c r="L4932" s="2">
        <v>46174</v>
      </c>
      <c r="M4932" t="s">
        <v>89</v>
      </c>
      <c r="N4932">
        <v>0</v>
      </c>
      <c r="O4932" t="s">
        <v>31</v>
      </c>
      <c r="P4932" t="s">
        <v>83</v>
      </c>
      <c r="Q4932">
        <v>0</v>
      </c>
    </row>
    <row r="4933" spans="1:17" x14ac:dyDescent="0.3">
      <c r="A4933" t="s">
        <v>17</v>
      </c>
      <c r="B4933">
        <v>64</v>
      </c>
      <c r="C4933" t="s">
        <v>83</v>
      </c>
      <c r="D4933" s="2">
        <v>46203</v>
      </c>
      <c r="E4933" s="3">
        <f t="shared" si="77"/>
        <v>46174</v>
      </c>
      <c r="F4933" t="s">
        <v>3921</v>
      </c>
      <c r="G4933" t="s">
        <v>1334</v>
      </c>
      <c r="H4933" s="4">
        <v>44.04</v>
      </c>
      <c r="I4933" t="s">
        <v>31</v>
      </c>
      <c r="J4933" t="s">
        <v>87</v>
      </c>
      <c r="K4933" t="s">
        <v>3942</v>
      </c>
      <c r="L4933" s="2">
        <v>46174</v>
      </c>
      <c r="M4933" t="s">
        <v>89</v>
      </c>
      <c r="N4933">
        <v>0</v>
      </c>
      <c r="O4933" t="s">
        <v>31</v>
      </c>
      <c r="P4933" t="s">
        <v>83</v>
      </c>
      <c r="Q4933">
        <v>0</v>
      </c>
    </row>
    <row r="4934" spans="1:17" x14ac:dyDescent="0.3">
      <c r="A4934" t="s">
        <v>17</v>
      </c>
      <c r="B4934">
        <v>64</v>
      </c>
      <c r="C4934" t="s">
        <v>83</v>
      </c>
      <c r="D4934" s="2">
        <v>46203</v>
      </c>
      <c r="E4934" s="3">
        <f t="shared" si="77"/>
        <v>46174</v>
      </c>
      <c r="F4934" t="s">
        <v>3921</v>
      </c>
      <c r="G4934" t="s">
        <v>1334</v>
      </c>
      <c r="H4934" s="4">
        <v>57.96</v>
      </c>
      <c r="I4934" t="s">
        <v>31</v>
      </c>
      <c r="J4934" t="s">
        <v>87</v>
      </c>
      <c r="K4934" t="s">
        <v>3942</v>
      </c>
      <c r="L4934" s="2">
        <v>46174</v>
      </c>
      <c r="M4934" t="s">
        <v>89</v>
      </c>
      <c r="N4934">
        <v>0</v>
      </c>
      <c r="O4934" t="s">
        <v>31</v>
      </c>
      <c r="P4934" t="s">
        <v>83</v>
      </c>
      <c r="Q4934">
        <v>0</v>
      </c>
    </row>
    <row r="4935" spans="1:17" x14ac:dyDescent="0.3">
      <c r="A4935" t="s">
        <v>17</v>
      </c>
      <c r="B4935">
        <v>64</v>
      </c>
      <c r="C4935" t="s">
        <v>83</v>
      </c>
      <c r="D4935" s="2">
        <v>46177</v>
      </c>
      <c r="E4935" s="3">
        <f t="shared" si="77"/>
        <v>46174</v>
      </c>
      <c r="F4935" t="s">
        <v>3899</v>
      </c>
      <c r="G4935" t="s">
        <v>158</v>
      </c>
      <c r="H4935" s="4">
        <v>159</v>
      </c>
      <c r="I4935" t="s">
        <v>159</v>
      </c>
      <c r="J4935" t="s">
        <v>2817</v>
      </c>
      <c r="K4935" t="s">
        <v>3943</v>
      </c>
      <c r="L4935" s="2">
        <v>46174</v>
      </c>
      <c r="M4935" t="s">
        <v>2819</v>
      </c>
      <c r="N4935">
        <v>0</v>
      </c>
      <c r="O4935" t="s">
        <v>159</v>
      </c>
      <c r="P4935" t="s">
        <v>83</v>
      </c>
      <c r="Q4935">
        <v>0</v>
      </c>
    </row>
    <row r="4936" spans="1:17" x14ac:dyDescent="0.3">
      <c r="A4936" t="s">
        <v>17</v>
      </c>
      <c r="B4936">
        <v>67</v>
      </c>
      <c r="C4936" t="s">
        <v>28</v>
      </c>
      <c r="D4936" s="2">
        <v>46174</v>
      </c>
      <c r="E4936" s="3">
        <f t="shared" si="77"/>
        <v>46174</v>
      </c>
      <c r="F4936">
        <v>10</v>
      </c>
      <c r="G4936" t="s">
        <v>280</v>
      </c>
      <c r="H4936" s="4">
        <v>3100</v>
      </c>
      <c r="I4936" t="s">
        <v>47</v>
      </c>
      <c r="J4936" t="s">
        <v>48</v>
      </c>
      <c r="K4936" t="s">
        <v>3944</v>
      </c>
      <c r="L4936" s="2">
        <v>46174</v>
      </c>
      <c r="M4936" t="s">
        <v>50</v>
      </c>
      <c r="N4936">
        <v>0</v>
      </c>
      <c r="O4936" t="s">
        <v>26</v>
      </c>
      <c r="P4936" t="s">
        <v>28</v>
      </c>
      <c r="Q4936">
        <v>0</v>
      </c>
    </row>
    <row r="4937" spans="1:17" x14ac:dyDescent="0.3">
      <c r="A4937" t="s">
        <v>17</v>
      </c>
      <c r="B4937">
        <v>67</v>
      </c>
      <c r="C4937" t="s">
        <v>28</v>
      </c>
      <c r="D4937" s="2">
        <v>46174</v>
      </c>
      <c r="E4937" s="3">
        <f t="shared" si="77"/>
        <v>46174</v>
      </c>
      <c r="F4937">
        <v>22072</v>
      </c>
      <c r="G4937" t="s">
        <v>52</v>
      </c>
      <c r="H4937" s="4">
        <v>18.899999999999999</v>
      </c>
      <c r="I4937" t="s">
        <v>31</v>
      </c>
      <c r="J4937" t="s">
        <v>48</v>
      </c>
      <c r="K4937" t="s">
        <v>1339</v>
      </c>
      <c r="L4937" s="2">
        <v>46174</v>
      </c>
      <c r="M4937" t="s">
        <v>50</v>
      </c>
      <c r="N4937">
        <v>0</v>
      </c>
      <c r="O4937" t="s">
        <v>31</v>
      </c>
      <c r="P4937" t="s">
        <v>28</v>
      </c>
      <c r="Q4937">
        <v>0</v>
      </c>
    </row>
    <row r="4938" spans="1:17" x14ac:dyDescent="0.3">
      <c r="A4938" t="s">
        <v>17</v>
      </c>
      <c r="B4938">
        <v>67</v>
      </c>
      <c r="C4938" t="s">
        <v>28</v>
      </c>
      <c r="D4938" s="2">
        <v>46174</v>
      </c>
      <c r="E4938" s="3">
        <f t="shared" si="77"/>
        <v>46174</v>
      </c>
      <c r="F4938">
        <v>22072</v>
      </c>
      <c r="G4938" t="s">
        <v>52</v>
      </c>
      <c r="H4938" s="4">
        <v>400</v>
      </c>
      <c r="I4938" t="s">
        <v>31</v>
      </c>
      <c r="J4938" t="s">
        <v>48</v>
      </c>
      <c r="K4938" t="s">
        <v>1340</v>
      </c>
      <c r="L4938" s="2">
        <v>46174</v>
      </c>
      <c r="M4938" t="s">
        <v>50</v>
      </c>
      <c r="N4938">
        <v>0</v>
      </c>
      <c r="O4938" t="s">
        <v>31</v>
      </c>
      <c r="P4938" t="s">
        <v>28</v>
      </c>
      <c r="Q4938">
        <v>0</v>
      </c>
    </row>
    <row r="4939" spans="1:17" x14ac:dyDescent="0.3">
      <c r="A4939" t="s">
        <v>17</v>
      </c>
      <c r="B4939">
        <v>67</v>
      </c>
      <c r="C4939" t="s">
        <v>28</v>
      </c>
      <c r="D4939" s="2">
        <v>46174</v>
      </c>
      <c r="E4939" s="3">
        <f t="shared" si="77"/>
        <v>46174</v>
      </c>
      <c r="F4939">
        <v>22072</v>
      </c>
      <c r="G4939" t="s">
        <v>52</v>
      </c>
      <c r="H4939" s="4">
        <v>9</v>
      </c>
      <c r="I4939" t="s">
        <v>31</v>
      </c>
      <c r="J4939" t="s">
        <v>48</v>
      </c>
      <c r="K4939" t="s">
        <v>1341</v>
      </c>
      <c r="L4939" s="2">
        <v>46174</v>
      </c>
      <c r="M4939" t="s">
        <v>50</v>
      </c>
      <c r="N4939">
        <v>0</v>
      </c>
      <c r="O4939" t="s">
        <v>31</v>
      </c>
      <c r="P4939" t="s">
        <v>28</v>
      </c>
      <c r="Q4939">
        <v>0</v>
      </c>
    </row>
    <row r="4940" spans="1:17" x14ac:dyDescent="0.3">
      <c r="A4940" t="s">
        <v>17</v>
      </c>
      <c r="B4940">
        <v>67</v>
      </c>
      <c r="C4940" t="s">
        <v>28</v>
      </c>
      <c r="D4940" s="2">
        <v>46174</v>
      </c>
      <c r="E4940" s="3">
        <f t="shared" si="77"/>
        <v>46174</v>
      </c>
      <c r="F4940">
        <v>22072</v>
      </c>
      <c r="G4940" t="s">
        <v>52</v>
      </c>
      <c r="H4940" s="4">
        <v>125</v>
      </c>
      <c r="I4940" t="s">
        <v>31</v>
      </c>
      <c r="J4940" t="s">
        <v>48</v>
      </c>
      <c r="K4940" t="s">
        <v>1342</v>
      </c>
      <c r="L4940" s="2">
        <v>46174</v>
      </c>
      <c r="M4940" t="s">
        <v>50</v>
      </c>
      <c r="N4940">
        <v>0</v>
      </c>
      <c r="O4940" t="s">
        <v>31</v>
      </c>
      <c r="P4940" t="s">
        <v>28</v>
      </c>
      <c r="Q4940">
        <v>0</v>
      </c>
    </row>
    <row r="4941" spans="1:17" x14ac:dyDescent="0.3">
      <c r="A4941" t="s">
        <v>17</v>
      </c>
      <c r="B4941">
        <v>67</v>
      </c>
      <c r="C4941" t="s">
        <v>28</v>
      </c>
      <c r="D4941" s="2">
        <v>46174</v>
      </c>
      <c r="E4941" s="3">
        <f t="shared" si="77"/>
        <v>46174</v>
      </c>
      <c r="F4941">
        <v>22072</v>
      </c>
      <c r="G4941" t="s">
        <v>52</v>
      </c>
      <c r="H4941" s="4">
        <v>2000</v>
      </c>
      <c r="I4941" t="s">
        <v>31</v>
      </c>
      <c r="J4941" t="s">
        <v>48</v>
      </c>
      <c r="K4941" t="s">
        <v>3343</v>
      </c>
      <c r="L4941" s="2">
        <v>46174</v>
      </c>
      <c r="M4941" t="s">
        <v>50</v>
      </c>
      <c r="N4941">
        <v>0</v>
      </c>
      <c r="O4941" t="s">
        <v>31</v>
      </c>
      <c r="P4941" t="s">
        <v>28</v>
      </c>
      <c r="Q4941">
        <v>0</v>
      </c>
    </row>
    <row r="4942" spans="1:17" x14ac:dyDescent="0.3">
      <c r="A4942" t="s">
        <v>17</v>
      </c>
      <c r="B4942">
        <v>67</v>
      </c>
      <c r="C4942" t="s">
        <v>28</v>
      </c>
      <c r="D4942" s="2">
        <v>46174</v>
      </c>
      <c r="E4942" s="3">
        <f t="shared" si="77"/>
        <v>46174</v>
      </c>
      <c r="F4942" t="s">
        <v>3945</v>
      </c>
      <c r="H4942" s="4">
        <v>-131.58000000000001</v>
      </c>
      <c r="I4942" t="s">
        <v>31</v>
      </c>
      <c r="J4942" t="s">
        <v>48</v>
      </c>
      <c r="K4942" t="s">
        <v>3837</v>
      </c>
      <c r="L4942" s="2">
        <v>46174</v>
      </c>
      <c r="M4942" t="s">
        <v>50</v>
      </c>
      <c r="N4942">
        <v>0</v>
      </c>
      <c r="O4942" t="s">
        <v>31</v>
      </c>
      <c r="P4942" t="s">
        <v>28</v>
      </c>
      <c r="Q4942">
        <v>0</v>
      </c>
    </row>
    <row r="4943" spans="1:17" x14ac:dyDescent="0.3">
      <c r="A4943" t="s">
        <v>17</v>
      </c>
      <c r="B4943">
        <v>67</v>
      </c>
      <c r="C4943" t="s">
        <v>28</v>
      </c>
      <c r="D4943" s="2">
        <v>46178</v>
      </c>
      <c r="E4943" s="3">
        <f t="shared" si="77"/>
        <v>46174</v>
      </c>
      <c r="F4943">
        <v>1253</v>
      </c>
      <c r="G4943" t="s">
        <v>2950</v>
      </c>
      <c r="H4943" s="4">
        <v>450</v>
      </c>
      <c r="I4943" t="s">
        <v>47</v>
      </c>
      <c r="J4943" t="s">
        <v>48</v>
      </c>
      <c r="K4943" t="s">
        <v>3946</v>
      </c>
      <c r="L4943" s="2">
        <v>46174</v>
      </c>
      <c r="M4943" t="s">
        <v>50</v>
      </c>
      <c r="N4943">
        <v>0</v>
      </c>
      <c r="O4943" t="s">
        <v>26</v>
      </c>
      <c r="P4943" t="s">
        <v>28</v>
      </c>
      <c r="Q4943">
        <v>0</v>
      </c>
    </row>
    <row r="4944" spans="1:17" x14ac:dyDescent="0.3">
      <c r="A4944" t="s">
        <v>17</v>
      </c>
      <c r="B4944">
        <v>67</v>
      </c>
      <c r="C4944" t="s">
        <v>28</v>
      </c>
      <c r="D4944" s="2">
        <v>46178</v>
      </c>
      <c r="E4944" s="3">
        <f t="shared" si="77"/>
        <v>46174</v>
      </c>
      <c r="F4944">
        <v>602293765032</v>
      </c>
      <c r="G4944" t="s">
        <v>2953</v>
      </c>
      <c r="H4944" s="4">
        <v>131.58000000000001</v>
      </c>
      <c r="I4944" t="s">
        <v>31</v>
      </c>
      <c r="J4944" t="s">
        <v>48</v>
      </c>
      <c r="K4944" t="s">
        <v>3407</v>
      </c>
      <c r="L4944" s="2">
        <v>46174</v>
      </c>
      <c r="M4944" t="s">
        <v>50</v>
      </c>
      <c r="N4944">
        <v>0</v>
      </c>
      <c r="O4944" t="s">
        <v>31</v>
      </c>
      <c r="P4944" t="s">
        <v>28</v>
      </c>
      <c r="Q4944">
        <v>0</v>
      </c>
    </row>
    <row r="4945" spans="1:17" x14ac:dyDescent="0.3">
      <c r="A4945" t="s">
        <v>17</v>
      </c>
      <c r="B4945">
        <v>67</v>
      </c>
      <c r="C4945" t="s">
        <v>28</v>
      </c>
      <c r="D4945" s="2">
        <v>46181</v>
      </c>
      <c r="E4945" s="3">
        <f t="shared" si="77"/>
        <v>46174</v>
      </c>
      <c r="F4945">
        <v>11</v>
      </c>
      <c r="G4945" t="s">
        <v>280</v>
      </c>
      <c r="H4945" s="4">
        <v>150</v>
      </c>
      <c r="I4945" t="s">
        <v>47</v>
      </c>
      <c r="J4945" t="s">
        <v>48</v>
      </c>
      <c r="K4945" t="s">
        <v>3947</v>
      </c>
      <c r="L4945" s="2">
        <v>46174</v>
      </c>
      <c r="M4945" t="s">
        <v>50</v>
      </c>
      <c r="N4945">
        <v>0</v>
      </c>
      <c r="O4945" t="s">
        <v>26</v>
      </c>
      <c r="P4945" t="s">
        <v>28</v>
      </c>
      <c r="Q4945">
        <v>0</v>
      </c>
    </row>
    <row r="4946" spans="1:17" x14ac:dyDescent="0.3">
      <c r="A4946" t="s">
        <v>17</v>
      </c>
      <c r="B4946">
        <v>67</v>
      </c>
      <c r="C4946" t="s">
        <v>28</v>
      </c>
      <c r="D4946" s="2">
        <v>46181</v>
      </c>
      <c r="E4946" s="3">
        <f t="shared" si="77"/>
        <v>46174</v>
      </c>
      <c r="F4946">
        <v>11</v>
      </c>
      <c r="G4946" t="s">
        <v>280</v>
      </c>
      <c r="H4946" s="4">
        <v>180</v>
      </c>
      <c r="I4946" t="s">
        <v>47</v>
      </c>
      <c r="J4946" t="s">
        <v>48</v>
      </c>
      <c r="K4946" t="s">
        <v>3948</v>
      </c>
      <c r="L4946" s="2">
        <v>46174</v>
      </c>
      <c r="M4946" t="s">
        <v>50</v>
      </c>
      <c r="N4946">
        <v>0</v>
      </c>
      <c r="O4946" t="s">
        <v>26</v>
      </c>
      <c r="P4946" t="s">
        <v>28</v>
      </c>
      <c r="Q4946">
        <v>0</v>
      </c>
    </row>
    <row r="4947" spans="1:17" x14ac:dyDescent="0.3">
      <c r="A4947" t="s">
        <v>17</v>
      </c>
      <c r="B4947">
        <v>67</v>
      </c>
      <c r="C4947" t="s">
        <v>28</v>
      </c>
      <c r="D4947" s="2">
        <v>46181</v>
      </c>
      <c r="E4947" s="3">
        <f t="shared" si="77"/>
        <v>46174</v>
      </c>
      <c r="F4947">
        <v>11</v>
      </c>
      <c r="G4947" t="s">
        <v>280</v>
      </c>
      <c r="H4947" s="4">
        <v>300</v>
      </c>
      <c r="I4947" t="s">
        <v>47</v>
      </c>
      <c r="J4947" t="s">
        <v>48</v>
      </c>
      <c r="K4947" t="s">
        <v>3949</v>
      </c>
      <c r="L4947" s="2">
        <v>46174</v>
      </c>
      <c r="M4947" t="s">
        <v>50</v>
      </c>
      <c r="N4947">
        <v>0</v>
      </c>
      <c r="O4947" t="s">
        <v>26</v>
      </c>
      <c r="P4947" t="s">
        <v>28</v>
      </c>
      <c r="Q4947">
        <v>0</v>
      </c>
    </row>
    <row r="4948" spans="1:17" x14ac:dyDescent="0.3">
      <c r="A4948" t="s">
        <v>17</v>
      </c>
      <c r="B4948">
        <v>67</v>
      </c>
      <c r="C4948" t="s">
        <v>28</v>
      </c>
      <c r="D4948" s="2">
        <v>46181</v>
      </c>
      <c r="E4948" s="3">
        <f t="shared" si="77"/>
        <v>46174</v>
      </c>
      <c r="F4948">
        <v>11</v>
      </c>
      <c r="G4948" t="s">
        <v>280</v>
      </c>
      <c r="H4948" s="4">
        <v>300</v>
      </c>
      <c r="I4948" t="s">
        <v>47</v>
      </c>
      <c r="J4948" t="s">
        <v>48</v>
      </c>
      <c r="K4948" t="s">
        <v>3949</v>
      </c>
      <c r="L4948" s="2">
        <v>46174</v>
      </c>
      <c r="M4948" t="s">
        <v>50</v>
      </c>
      <c r="N4948">
        <v>0</v>
      </c>
      <c r="O4948" t="s">
        <v>26</v>
      </c>
      <c r="P4948" t="s">
        <v>28</v>
      </c>
      <c r="Q4948">
        <v>0</v>
      </c>
    </row>
    <row r="4949" spans="1:17" x14ac:dyDescent="0.3">
      <c r="A4949" t="s">
        <v>17</v>
      </c>
      <c r="B4949">
        <v>67</v>
      </c>
      <c r="C4949" t="s">
        <v>28</v>
      </c>
      <c r="D4949" s="2">
        <v>46181</v>
      </c>
      <c r="E4949" s="3">
        <f t="shared" si="77"/>
        <v>46174</v>
      </c>
      <c r="F4949">
        <v>11</v>
      </c>
      <c r="G4949" t="s">
        <v>280</v>
      </c>
      <c r="H4949" s="4">
        <v>720</v>
      </c>
      <c r="I4949" t="s">
        <v>47</v>
      </c>
      <c r="J4949" t="s">
        <v>48</v>
      </c>
      <c r="K4949" t="s">
        <v>3950</v>
      </c>
      <c r="L4949" s="2">
        <v>46174</v>
      </c>
      <c r="M4949" t="s">
        <v>50</v>
      </c>
      <c r="N4949">
        <v>0</v>
      </c>
      <c r="O4949" t="s">
        <v>26</v>
      </c>
      <c r="P4949" t="s">
        <v>28</v>
      </c>
      <c r="Q4949">
        <v>0</v>
      </c>
    </row>
    <row r="4950" spans="1:17" x14ac:dyDescent="0.3">
      <c r="A4950" t="s">
        <v>17</v>
      </c>
      <c r="B4950">
        <v>67</v>
      </c>
      <c r="C4950" t="s">
        <v>28</v>
      </c>
      <c r="D4950" s="2">
        <v>46181</v>
      </c>
      <c r="E4950" s="3">
        <f t="shared" si="77"/>
        <v>46174</v>
      </c>
      <c r="F4950">
        <v>11</v>
      </c>
      <c r="G4950" t="s">
        <v>280</v>
      </c>
      <c r="H4950" s="4">
        <v>1200</v>
      </c>
      <c r="I4950" t="s">
        <v>47</v>
      </c>
      <c r="J4950" t="s">
        <v>48</v>
      </c>
      <c r="K4950" t="s">
        <v>3951</v>
      </c>
      <c r="L4950" s="2">
        <v>46174</v>
      </c>
      <c r="M4950" t="s">
        <v>50</v>
      </c>
      <c r="N4950">
        <v>0</v>
      </c>
      <c r="O4950" t="s">
        <v>26</v>
      </c>
      <c r="P4950" t="s">
        <v>28</v>
      </c>
      <c r="Q4950">
        <v>0</v>
      </c>
    </row>
    <row r="4951" spans="1:17" x14ac:dyDescent="0.3">
      <c r="A4951" t="s">
        <v>17</v>
      </c>
      <c r="B4951">
        <v>67</v>
      </c>
      <c r="C4951" t="s">
        <v>28</v>
      </c>
      <c r="D4951" s="2">
        <v>46181</v>
      </c>
      <c r="E4951" s="3">
        <f t="shared" si="77"/>
        <v>46174</v>
      </c>
      <c r="F4951">
        <v>11</v>
      </c>
      <c r="G4951" t="s">
        <v>280</v>
      </c>
      <c r="H4951" s="4">
        <v>1200</v>
      </c>
      <c r="I4951" t="s">
        <v>47</v>
      </c>
      <c r="J4951" t="s">
        <v>48</v>
      </c>
      <c r="K4951" t="s">
        <v>3951</v>
      </c>
      <c r="L4951" s="2">
        <v>46174</v>
      </c>
      <c r="M4951" t="s">
        <v>50</v>
      </c>
      <c r="N4951">
        <v>0</v>
      </c>
      <c r="O4951" t="s">
        <v>26</v>
      </c>
      <c r="P4951" t="s">
        <v>28</v>
      </c>
      <c r="Q4951">
        <v>0</v>
      </c>
    </row>
    <row r="4952" spans="1:17" x14ac:dyDescent="0.3">
      <c r="A4952" t="s">
        <v>17</v>
      </c>
      <c r="B4952">
        <v>67</v>
      </c>
      <c r="C4952" t="s">
        <v>28</v>
      </c>
      <c r="D4952" s="2">
        <v>46190</v>
      </c>
      <c r="E4952" s="3">
        <f t="shared" si="77"/>
        <v>46174</v>
      </c>
      <c r="F4952">
        <v>2</v>
      </c>
      <c r="G4952" t="s">
        <v>3952</v>
      </c>
      <c r="H4952" s="4">
        <v>348.12</v>
      </c>
      <c r="I4952" t="s">
        <v>47</v>
      </c>
      <c r="J4952" t="s">
        <v>48</v>
      </c>
      <c r="K4952" t="s">
        <v>3953</v>
      </c>
      <c r="L4952" s="2">
        <v>46174</v>
      </c>
      <c r="M4952" t="s">
        <v>50</v>
      </c>
      <c r="N4952">
        <v>0</v>
      </c>
      <c r="O4952" t="s">
        <v>26</v>
      </c>
      <c r="P4952" t="s">
        <v>28</v>
      </c>
      <c r="Q4952">
        <v>0</v>
      </c>
    </row>
    <row r="4953" spans="1:17" x14ac:dyDescent="0.3">
      <c r="A4953" t="s">
        <v>17</v>
      </c>
      <c r="B4953">
        <v>67</v>
      </c>
      <c r="C4953" t="s">
        <v>28</v>
      </c>
      <c r="D4953" s="2">
        <v>46203</v>
      </c>
      <c r="E4953" s="3">
        <f t="shared" si="77"/>
        <v>46174</v>
      </c>
      <c r="F4953">
        <v>32753</v>
      </c>
      <c r="G4953" t="s">
        <v>673</v>
      </c>
      <c r="H4953" s="4">
        <v>29.69</v>
      </c>
      <c r="I4953" t="s">
        <v>47</v>
      </c>
      <c r="J4953" t="s">
        <v>48</v>
      </c>
      <c r="K4953" t="s">
        <v>3954</v>
      </c>
      <c r="L4953" s="2">
        <v>46174</v>
      </c>
      <c r="M4953" t="s">
        <v>50</v>
      </c>
      <c r="N4953">
        <v>0</v>
      </c>
      <c r="O4953" t="s">
        <v>26</v>
      </c>
      <c r="P4953" t="s">
        <v>28</v>
      </c>
      <c r="Q4953">
        <v>0</v>
      </c>
    </row>
    <row r="4954" spans="1:17" x14ac:dyDescent="0.3">
      <c r="A4954" t="s">
        <v>17</v>
      </c>
      <c r="B4954">
        <v>67</v>
      </c>
      <c r="C4954" t="s">
        <v>28</v>
      </c>
      <c r="D4954" s="2">
        <v>46203</v>
      </c>
      <c r="E4954" s="3">
        <f t="shared" si="77"/>
        <v>46174</v>
      </c>
      <c r="F4954">
        <v>32753</v>
      </c>
      <c r="G4954" t="s">
        <v>673</v>
      </c>
      <c r="H4954" s="4">
        <v>300</v>
      </c>
      <c r="I4954" t="s">
        <v>47</v>
      </c>
      <c r="J4954" t="s">
        <v>48</v>
      </c>
      <c r="K4954" t="s">
        <v>1350</v>
      </c>
      <c r="L4954" s="2">
        <v>46174</v>
      </c>
      <c r="M4954" t="s">
        <v>50</v>
      </c>
      <c r="N4954">
        <v>0</v>
      </c>
      <c r="O4954" t="s">
        <v>26</v>
      </c>
      <c r="P4954" t="s">
        <v>28</v>
      </c>
      <c r="Q4954">
        <v>0</v>
      </c>
    </row>
    <row r="4955" spans="1:17" x14ac:dyDescent="0.3">
      <c r="A4955" t="s">
        <v>17</v>
      </c>
      <c r="B4955">
        <v>67</v>
      </c>
      <c r="C4955" t="s">
        <v>28</v>
      </c>
      <c r="D4955" s="2">
        <v>46203</v>
      </c>
      <c r="E4955" s="3">
        <f t="shared" si="77"/>
        <v>46174</v>
      </c>
      <c r="F4955">
        <v>32753</v>
      </c>
      <c r="G4955" t="s">
        <v>673</v>
      </c>
      <c r="H4955" s="4">
        <v>300</v>
      </c>
      <c r="I4955" t="s">
        <v>47</v>
      </c>
      <c r="J4955" t="s">
        <v>48</v>
      </c>
      <c r="K4955" t="s">
        <v>1351</v>
      </c>
      <c r="L4955" s="2">
        <v>46174</v>
      </c>
      <c r="M4955" t="s">
        <v>50</v>
      </c>
      <c r="N4955">
        <v>0</v>
      </c>
      <c r="O4955" t="s">
        <v>26</v>
      </c>
      <c r="P4955" t="s">
        <v>28</v>
      </c>
      <c r="Q4955">
        <v>0</v>
      </c>
    </row>
    <row r="4956" spans="1:17" x14ac:dyDescent="0.3">
      <c r="A4956" t="s">
        <v>17</v>
      </c>
      <c r="B4956">
        <v>67</v>
      </c>
      <c r="C4956" t="s">
        <v>28</v>
      </c>
      <c r="D4956" s="2">
        <v>46203</v>
      </c>
      <c r="E4956" s="3">
        <f t="shared" si="77"/>
        <v>46174</v>
      </c>
      <c r="F4956">
        <v>32753</v>
      </c>
      <c r="G4956" t="s">
        <v>673</v>
      </c>
      <c r="H4956" s="4">
        <v>500</v>
      </c>
      <c r="I4956" t="s">
        <v>47</v>
      </c>
      <c r="J4956" t="s">
        <v>48</v>
      </c>
      <c r="K4956" t="s">
        <v>1353</v>
      </c>
      <c r="L4956" s="2">
        <v>46174</v>
      </c>
      <c r="M4956" t="s">
        <v>50</v>
      </c>
      <c r="N4956">
        <v>0</v>
      </c>
      <c r="O4956" t="s">
        <v>26</v>
      </c>
      <c r="P4956" t="s">
        <v>28</v>
      </c>
      <c r="Q4956">
        <v>0</v>
      </c>
    </row>
    <row r="4957" spans="1:17" x14ac:dyDescent="0.3">
      <c r="A4957" t="s">
        <v>17</v>
      </c>
      <c r="B4957">
        <v>67</v>
      </c>
      <c r="C4957" t="s">
        <v>28</v>
      </c>
      <c r="D4957" s="2">
        <v>46203</v>
      </c>
      <c r="E4957" s="3">
        <f t="shared" si="77"/>
        <v>46174</v>
      </c>
      <c r="F4957">
        <v>32753</v>
      </c>
      <c r="G4957" t="s">
        <v>673</v>
      </c>
      <c r="H4957" s="4">
        <v>10000</v>
      </c>
      <c r="I4957" t="s">
        <v>47</v>
      </c>
      <c r="J4957" t="s">
        <v>48</v>
      </c>
      <c r="K4957" t="s">
        <v>3595</v>
      </c>
      <c r="L4957" s="2">
        <v>46174</v>
      </c>
      <c r="M4957" t="s">
        <v>50</v>
      </c>
      <c r="N4957">
        <v>0</v>
      </c>
      <c r="O4957" t="s">
        <v>26</v>
      </c>
      <c r="P4957" t="s">
        <v>28</v>
      </c>
      <c r="Q4957">
        <v>0</v>
      </c>
    </row>
    <row r="4958" spans="1:17" x14ac:dyDescent="0.3">
      <c r="A4958" t="s">
        <v>17</v>
      </c>
      <c r="B4958">
        <v>67</v>
      </c>
      <c r="C4958" t="s">
        <v>28</v>
      </c>
      <c r="D4958" s="2">
        <v>46203</v>
      </c>
      <c r="E4958" s="3">
        <f t="shared" si="77"/>
        <v>46174</v>
      </c>
      <c r="F4958">
        <v>32753</v>
      </c>
      <c r="G4958" t="s">
        <v>673</v>
      </c>
      <c r="H4958" s="4">
        <v>99.06</v>
      </c>
      <c r="I4958" t="s">
        <v>47</v>
      </c>
      <c r="J4958" t="s">
        <v>48</v>
      </c>
      <c r="K4958" t="s">
        <v>3955</v>
      </c>
      <c r="L4958" s="2">
        <v>46174</v>
      </c>
      <c r="M4958" t="s">
        <v>50</v>
      </c>
      <c r="N4958">
        <v>0</v>
      </c>
      <c r="O4958" t="s">
        <v>26</v>
      </c>
      <c r="P4958" t="s">
        <v>28</v>
      </c>
      <c r="Q4958">
        <v>0</v>
      </c>
    </row>
    <row r="4959" spans="1:17" x14ac:dyDescent="0.3">
      <c r="A4959" t="s">
        <v>17</v>
      </c>
      <c r="B4959">
        <v>67</v>
      </c>
      <c r="C4959" t="s">
        <v>28</v>
      </c>
      <c r="D4959" s="2">
        <v>46203</v>
      </c>
      <c r="E4959" s="3">
        <f t="shared" si="77"/>
        <v>46174</v>
      </c>
      <c r="F4959" t="s">
        <v>3956</v>
      </c>
      <c r="H4959" s="4">
        <v>131.58000000000001</v>
      </c>
      <c r="I4959" t="s">
        <v>31</v>
      </c>
      <c r="J4959" t="s">
        <v>48</v>
      </c>
      <c r="K4959" t="s">
        <v>3957</v>
      </c>
      <c r="L4959" s="2">
        <v>46174</v>
      </c>
      <c r="M4959" t="s">
        <v>50</v>
      </c>
      <c r="N4959">
        <v>0</v>
      </c>
      <c r="O4959" t="s">
        <v>31</v>
      </c>
      <c r="P4959" t="s">
        <v>28</v>
      </c>
      <c r="Q4959">
        <v>0</v>
      </c>
    </row>
    <row r="4960" spans="1:17" x14ac:dyDescent="0.3">
      <c r="A4960" t="s">
        <v>17</v>
      </c>
      <c r="B4960">
        <v>67</v>
      </c>
      <c r="C4960" t="s">
        <v>28</v>
      </c>
      <c r="D4960" s="2">
        <v>46203</v>
      </c>
      <c r="E4960" s="3">
        <f t="shared" si="77"/>
        <v>46174</v>
      </c>
      <c r="F4960" t="s">
        <v>3958</v>
      </c>
      <c r="H4960" s="4">
        <v>833.34</v>
      </c>
      <c r="I4960" t="s">
        <v>31</v>
      </c>
      <c r="J4960" t="s">
        <v>48</v>
      </c>
      <c r="K4960" t="s">
        <v>937</v>
      </c>
      <c r="L4960" s="2">
        <v>46174</v>
      </c>
      <c r="M4960" t="s">
        <v>50</v>
      </c>
      <c r="N4960">
        <v>0</v>
      </c>
      <c r="O4960" t="s">
        <v>31</v>
      </c>
      <c r="P4960" t="s">
        <v>28</v>
      </c>
      <c r="Q4960">
        <v>0</v>
      </c>
    </row>
    <row r="4961" spans="1:17" x14ac:dyDescent="0.3">
      <c r="A4961" t="s">
        <v>17</v>
      </c>
      <c r="B4961">
        <v>63</v>
      </c>
      <c r="C4961" t="s">
        <v>18</v>
      </c>
      <c r="D4961" s="2">
        <v>46181</v>
      </c>
      <c r="E4961" s="3">
        <f t="shared" si="77"/>
        <v>46174</v>
      </c>
      <c r="F4961">
        <v>2604</v>
      </c>
      <c r="G4961" t="s">
        <v>3959</v>
      </c>
      <c r="H4961" s="4">
        <v>700</v>
      </c>
      <c r="I4961" t="s">
        <v>47</v>
      </c>
      <c r="J4961" t="s">
        <v>272</v>
      </c>
      <c r="K4961" t="s">
        <v>3960</v>
      </c>
      <c r="L4961" s="2">
        <v>46174</v>
      </c>
      <c r="M4961" t="s">
        <v>272</v>
      </c>
      <c r="N4961">
        <v>0</v>
      </c>
      <c r="O4961" t="s">
        <v>26</v>
      </c>
      <c r="P4961" t="s">
        <v>18</v>
      </c>
      <c r="Q4961" t="s">
        <v>274</v>
      </c>
    </row>
    <row r="4962" spans="1:17" x14ac:dyDescent="0.3">
      <c r="A4962" t="s">
        <v>17</v>
      </c>
      <c r="B4962">
        <v>63</v>
      </c>
      <c r="C4962" t="s">
        <v>18</v>
      </c>
      <c r="D4962" s="2">
        <v>46181</v>
      </c>
      <c r="E4962" s="3">
        <f t="shared" si="77"/>
        <v>46174</v>
      </c>
      <c r="F4962">
        <v>2604</v>
      </c>
      <c r="G4962" t="s">
        <v>3959</v>
      </c>
      <c r="H4962" s="4">
        <v>2960</v>
      </c>
      <c r="I4962" t="s">
        <v>47</v>
      </c>
      <c r="J4962" t="s">
        <v>272</v>
      </c>
      <c r="K4962" t="s">
        <v>3961</v>
      </c>
      <c r="L4962" s="2">
        <v>46174</v>
      </c>
      <c r="M4962" t="s">
        <v>272</v>
      </c>
      <c r="N4962">
        <v>0</v>
      </c>
      <c r="O4962" t="s">
        <v>26</v>
      </c>
      <c r="P4962" t="s">
        <v>18</v>
      </c>
      <c r="Q4962" t="s">
        <v>274</v>
      </c>
    </row>
    <row r="4963" spans="1:17" x14ac:dyDescent="0.3">
      <c r="A4963" t="s">
        <v>17</v>
      </c>
      <c r="B4963">
        <v>63</v>
      </c>
      <c r="C4963" t="s">
        <v>18</v>
      </c>
      <c r="D4963" s="2">
        <v>46181</v>
      </c>
      <c r="E4963" s="3">
        <f t="shared" si="77"/>
        <v>46174</v>
      </c>
      <c r="F4963">
        <v>2604</v>
      </c>
      <c r="G4963" t="s">
        <v>3959</v>
      </c>
      <c r="H4963" s="4">
        <v>200</v>
      </c>
      <c r="I4963" t="s">
        <v>47</v>
      </c>
      <c r="J4963" t="s">
        <v>272</v>
      </c>
      <c r="K4963" t="s">
        <v>3962</v>
      </c>
      <c r="L4963" s="2">
        <v>46174</v>
      </c>
      <c r="M4963" t="s">
        <v>272</v>
      </c>
      <c r="N4963">
        <v>0</v>
      </c>
      <c r="O4963" t="s">
        <v>26</v>
      </c>
      <c r="P4963" t="s">
        <v>18</v>
      </c>
      <c r="Q4963" t="s">
        <v>274</v>
      </c>
    </row>
    <row r="4964" spans="1:17" x14ac:dyDescent="0.3">
      <c r="A4964" t="s">
        <v>17</v>
      </c>
      <c r="B4964">
        <v>63</v>
      </c>
      <c r="C4964" t="s">
        <v>18</v>
      </c>
      <c r="D4964" s="2">
        <v>46181</v>
      </c>
      <c r="E4964" s="3">
        <f t="shared" si="77"/>
        <v>46174</v>
      </c>
      <c r="F4964">
        <v>2604</v>
      </c>
      <c r="G4964" t="s">
        <v>3959</v>
      </c>
      <c r="H4964" s="4">
        <v>800</v>
      </c>
      <c r="I4964" t="s">
        <v>47</v>
      </c>
      <c r="J4964" t="s">
        <v>272</v>
      </c>
      <c r="K4964" t="s">
        <v>3962</v>
      </c>
      <c r="L4964" s="2">
        <v>46174</v>
      </c>
      <c r="M4964" t="s">
        <v>272</v>
      </c>
      <c r="N4964">
        <v>0</v>
      </c>
      <c r="O4964" t="s">
        <v>26</v>
      </c>
      <c r="P4964" t="s">
        <v>18</v>
      </c>
      <c r="Q4964" t="s">
        <v>274</v>
      </c>
    </row>
    <row r="4965" spans="1:17" x14ac:dyDescent="0.3">
      <c r="A4965" t="s">
        <v>17</v>
      </c>
      <c r="B4965">
        <v>63</v>
      </c>
      <c r="C4965" t="s">
        <v>18</v>
      </c>
      <c r="D4965" s="2">
        <v>46181</v>
      </c>
      <c r="E4965" s="3">
        <f t="shared" si="77"/>
        <v>46174</v>
      </c>
      <c r="F4965">
        <v>2604</v>
      </c>
      <c r="G4965" t="s">
        <v>3959</v>
      </c>
      <c r="H4965" s="4">
        <v>600</v>
      </c>
      <c r="I4965" t="s">
        <v>47</v>
      </c>
      <c r="J4965" t="s">
        <v>272</v>
      </c>
      <c r="K4965" t="s">
        <v>3963</v>
      </c>
      <c r="L4965" s="2">
        <v>46174</v>
      </c>
      <c r="M4965" t="s">
        <v>272</v>
      </c>
      <c r="N4965">
        <v>0</v>
      </c>
      <c r="O4965" t="s">
        <v>26</v>
      </c>
      <c r="P4965" t="s">
        <v>18</v>
      </c>
      <c r="Q4965" t="s">
        <v>274</v>
      </c>
    </row>
    <row r="4966" spans="1:17" x14ac:dyDescent="0.3">
      <c r="A4966" t="s">
        <v>17</v>
      </c>
      <c r="B4966">
        <v>63</v>
      </c>
      <c r="C4966" t="s">
        <v>18</v>
      </c>
      <c r="D4966" s="2">
        <v>46181</v>
      </c>
      <c r="E4966" s="3">
        <f t="shared" si="77"/>
        <v>46174</v>
      </c>
      <c r="F4966">
        <v>2604</v>
      </c>
      <c r="G4966" t="s">
        <v>3959</v>
      </c>
      <c r="H4966" s="4">
        <v>600</v>
      </c>
      <c r="I4966" t="s">
        <v>47</v>
      </c>
      <c r="J4966" t="s">
        <v>272</v>
      </c>
      <c r="K4966" t="s">
        <v>3964</v>
      </c>
      <c r="L4966" s="2">
        <v>46174</v>
      </c>
      <c r="M4966" t="s">
        <v>272</v>
      </c>
      <c r="N4966">
        <v>0</v>
      </c>
      <c r="O4966" t="s">
        <v>26</v>
      </c>
      <c r="P4966" t="s">
        <v>18</v>
      </c>
      <c r="Q4966" t="s">
        <v>274</v>
      </c>
    </row>
    <row r="4967" spans="1:17" x14ac:dyDescent="0.3">
      <c r="A4967" t="s">
        <v>17</v>
      </c>
      <c r="B4967">
        <v>63</v>
      </c>
      <c r="C4967" t="s">
        <v>18</v>
      </c>
      <c r="D4967" s="2">
        <v>46181</v>
      </c>
      <c r="E4967" s="3">
        <f t="shared" si="77"/>
        <v>46174</v>
      </c>
      <c r="F4967">
        <v>2604</v>
      </c>
      <c r="G4967" t="s">
        <v>3959</v>
      </c>
      <c r="H4967" s="4">
        <v>1700</v>
      </c>
      <c r="I4967" t="s">
        <v>47</v>
      </c>
      <c r="J4967" t="s">
        <v>272</v>
      </c>
      <c r="K4967" t="s">
        <v>3965</v>
      </c>
      <c r="L4967" s="2">
        <v>46174</v>
      </c>
      <c r="M4967" t="s">
        <v>272</v>
      </c>
      <c r="N4967">
        <v>0</v>
      </c>
      <c r="O4967" t="s">
        <v>26</v>
      </c>
      <c r="P4967" t="s">
        <v>18</v>
      </c>
      <c r="Q4967" t="s">
        <v>274</v>
      </c>
    </row>
    <row r="4968" spans="1:17" x14ac:dyDescent="0.3">
      <c r="A4968" t="s">
        <v>17</v>
      </c>
      <c r="B4968">
        <v>63</v>
      </c>
      <c r="C4968" t="s">
        <v>18</v>
      </c>
      <c r="D4968" s="2">
        <v>46181</v>
      </c>
      <c r="E4968" s="3">
        <f t="shared" si="77"/>
        <v>46174</v>
      </c>
      <c r="F4968">
        <v>2604</v>
      </c>
      <c r="G4968" t="s">
        <v>3959</v>
      </c>
      <c r="H4968" s="4">
        <v>250</v>
      </c>
      <c r="I4968" t="s">
        <v>47</v>
      </c>
      <c r="J4968" t="s">
        <v>272</v>
      </c>
      <c r="K4968" t="s">
        <v>3966</v>
      </c>
      <c r="L4968" s="2">
        <v>46174</v>
      </c>
      <c r="M4968" t="s">
        <v>272</v>
      </c>
      <c r="N4968">
        <v>0</v>
      </c>
      <c r="O4968" t="s">
        <v>26</v>
      </c>
      <c r="P4968" t="s">
        <v>18</v>
      </c>
      <c r="Q4968" t="s">
        <v>274</v>
      </c>
    </row>
    <row r="4969" spans="1:17" x14ac:dyDescent="0.3">
      <c r="A4969" t="s">
        <v>17</v>
      </c>
      <c r="B4969">
        <v>63</v>
      </c>
      <c r="C4969" t="s">
        <v>18</v>
      </c>
      <c r="D4969" s="2">
        <v>46181</v>
      </c>
      <c r="E4969" s="3">
        <f t="shared" si="77"/>
        <v>46174</v>
      </c>
      <c r="F4969">
        <v>2604</v>
      </c>
      <c r="G4969" t="s">
        <v>3959</v>
      </c>
      <c r="H4969" s="4">
        <v>800</v>
      </c>
      <c r="I4969" t="s">
        <v>47</v>
      </c>
      <c r="J4969" t="s">
        <v>272</v>
      </c>
      <c r="K4969" t="s">
        <v>3967</v>
      </c>
      <c r="L4969" s="2">
        <v>46174</v>
      </c>
      <c r="M4969" t="s">
        <v>272</v>
      </c>
      <c r="N4969">
        <v>0</v>
      </c>
      <c r="O4969" t="s">
        <v>26</v>
      </c>
      <c r="P4969" t="s">
        <v>18</v>
      </c>
      <c r="Q4969" t="s">
        <v>274</v>
      </c>
    </row>
    <row r="4970" spans="1:17" x14ac:dyDescent="0.3">
      <c r="A4970" t="s">
        <v>17</v>
      </c>
      <c r="B4970">
        <v>63</v>
      </c>
      <c r="C4970" t="s">
        <v>18</v>
      </c>
      <c r="D4970" s="2">
        <v>46181</v>
      </c>
      <c r="E4970" s="3">
        <f t="shared" si="77"/>
        <v>46174</v>
      </c>
      <c r="F4970">
        <v>2604</v>
      </c>
      <c r="G4970" t="s">
        <v>3959</v>
      </c>
      <c r="H4970" s="4">
        <v>1000</v>
      </c>
      <c r="I4970" t="s">
        <v>47</v>
      </c>
      <c r="J4970" t="s">
        <v>272</v>
      </c>
      <c r="K4970" t="s">
        <v>3968</v>
      </c>
      <c r="L4970" s="2">
        <v>46174</v>
      </c>
      <c r="M4970" t="s">
        <v>272</v>
      </c>
      <c r="N4970">
        <v>0</v>
      </c>
      <c r="O4970" t="s">
        <v>26</v>
      </c>
      <c r="P4970" t="s">
        <v>18</v>
      </c>
      <c r="Q4970" t="s">
        <v>274</v>
      </c>
    </row>
    <row r="4971" spans="1:17" x14ac:dyDescent="0.3">
      <c r="A4971" t="s">
        <v>17</v>
      </c>
      <c r="B4971">
        <v>63</v>
      </c>
      <c r="C4971" t="s">
        <v>18</v>
      </c>
      <c r="D4971" s="2">
        <v>46181</v>
      </c>
      <c r="E4971" s="3">
        <f t="shared" si="77"/>
        <v>46174</v>
      </c>
      <c r="F4971">
        <v>2604</v>
      </c>
      <c r="G4971" t="s">
        <v>3959</v>
      </c>
      <c r="H4971" s="4">
        <v>3600</v>
      </c>
      <c r="I4971" t="s">
        <v>47</v>
      </c>
      <c r="J4971" t="s">
        <v>272</v>
      </c>
      <c r="K4971" t="s">
        <v>3969</v>
      </c>
      <c r="L4971" s="2">
        <v>46174</v>
      </c>
      <c r="M4971" t="s">
        <v>272</v>
      </c>
      <c r="N4971">
        <v>0</v>
      </c>
      <c r="O4971" t="s">
        <v>26</v>
      </c>
      <c r="P4971" t="s">
        <v>18</v>
      </c>
      <c r="Q4971" t="s">
        <v>274</v>
      </c>
    </row>
    <row r="4972" spans="1:17" x14ac:dyDescent="0.3">
      <c r="A4972" t="s">
        <v>17</v>
      </c>
      <c r="B4972">
        <v>63</v>
      </c>
      <c r="C4972" t="s">
        <v>18</v>
      </c>
      <c r="D4972" s="2">
        <v>46182</v>
      </c>
      <c r="E4972" s="3">
        <f t="shared" si="77"/>
        <v>46174</v>
      </c>
      <c r="F4972">
        <v>2602</v>
      </c>
      <c r="G4972" t="s">
        <v>3959</v>
      </c>
      <c r="H4972" s="4">
        <v>3200</v>
      </c>
      <c r="I4972" t="s">
        <v>47</v>
      </c>
      <c r="J4972" t="s">
        <v>272</v>
      </c>
      <c r="K4972" t="s">
        <v>274</v>
      </c>
      <c r="L4972" s="2">
        <v>46174</v>
      </c>
      <c r="M4972" t="s">
        <v>272</v>
      </c>
      <c r="N4972">
        <v>0</v>
      </c>
      <c r="O4972" t="s">
        <v>26</v>
      </c>
      <c r="P4972" t="s">
        <v>18</v>
      </c>
      <c r="Q4972" t="s">
        <v>274</v>
      </c>
    </row>
    <row r="4973" spans="1:17" x14ac:dyDescent="0.3">
      <c r="A4973" t="s">
        <v>17</v>
      </c>
      <c r="B4973">
        <v>63</v>
      </c>
      <c r="C4973" t="s">
        <v>18</v>
      </c>
      <c r="D4973" s="2">
        <v>46183</v>
      </c>
      <c r="E4973" s="3">
        <f t="shared" si="77"/>
        <v>46174</v>
      </c>
      <c r="F4973" t="s">
        <v>3970</v>
      </c>
      <c r="G4973" t="s">
        <v>2245</v>
      </c>
      <c r="H4973" s="4">
        <v>100</v>
      </c>
      <c r="I4973" t="s">
        <v>47</v>
      </c>
      <c r="J4973" t="s">
        <v>272</v>
      </c>
      <c r="K4973" t="s">
        <v>2974</v>
      </c>
      <c r="L4973" s="2">
        <v>46174</v>
      </c>
      <c r="M4973" t="s">
        <v>272</v>
      </c>
      <c r="N4973">
        <v>0</v>
      </c>
      <c r="O4973" t="s">
        <v>26</v>
      </c>
      <c r="P4973" t="s">
        <v>18</v>
      </c>
      <c r="Q4973" t="s">
        <v>274</v>
      </c>
    </row>
    <row r="4974" spans="1:17" x14ac:dyDescent="0.3">
      <c r="A4974" t="s">
        <v>17</v>
      </c>
      <c r="B4974">
        <v>63</v>
      </c>
      <c r="C4974" t="s">
        <v>18</v>
      </c>
      <c r="D4974" s="2">
        <v>46183</v>
      </c>
      <c r="E4974" s="3">
        <f t="shared" si="77"/>
        <v>46174</v>
      </c>
      <c r="F4974" t="s">
        <v>3970</v>
      </c>
      <c r="G4974" t="s">
        <v>2245</v>
      </c>
      <c r="H4974" s="4">
        <v>50</v>
      </c>
      <c r="I4974" t="s">
        <v>47</v>
      </c>
      <c r="J4974" t="s">
        <v>272</v>
      </c>
      <c r="K4974" t="s">
        <v>2974</v>
      </c>
      <c r="L4974" s="2">
        <v>46174</v>
      </c>
      <c r="M4974" t="s">
        <v>272</v>
      </c>
      <c r="N4974">
        <v>0</v>
      </c>
      <c r="O4974" t="s">
        <v>26</v>
      </c>
      <c r="P4974" t="s">
        <v>18</v>
      </c>
      <c r="Q4974" t="s">
        <v>274</v>
      </c>
    </row>
    <row r="4975" spans="1:17" x14ac:dyDescent="0.3">
      <c r="A4975" t="s">
        <v>17</v>
      </c>
      <c r="B4975">
        <v>63</v>
      </c>
      <c r="C4975" t="s">
        <v>18</v>
      </c>
      <c r="D4975" s="2">
        <v>46183</v>
      </c>
      <c r="E4975" s="3">
        <f t="shared" si="77"/>
        <v>46174</v>
      </c>
      <c r="F4975" t="s">
        <v>3970</v>
      </c>
      <c r="G4975" t="s">
        <v>2245</v>
      </c>
      <c r="H4975" s="4">
        <v>200</v>
      </c>
      <c r="I4975" t="s">
        <v>47</v>
      </c>
      <c r="J4975" t="s">
        <v>272</v>
      </c>
      <c r="K4975" t="s">
        <v>2974</v>
      </c>
      <c r="L4975" s="2">
        <v>46174</v>
      </c>
      <c r="M4975" t="s">
        <v>272</v>
      </c>
      <c r="N4975">
        <v>0</v>
      </c>
      <c r="O4975" t="s">
        <v>26</v>
      </c>
      <c r="P4975" t="s">
        <v>18</v>
      </c>
      <c r="Q4975" t="s">
        <v>274</v>
      </c>
    </row>
    <row r="4976" spans="1:17" x14ac:dyDescent="0.3">
      <c r="A4976" t="s">
        <v>17</v>
      </c>
      <c r="B4976">
        <v>63</v>
      </c>
      <c r="C4976" t="s">
        <v>18</v>
      </c>
      <c r="D4976" s="2">
        <v>46183</v>
      </c>
      <c r="E4976" s="3">
        <f t="shared" si="77"/>
        <v>46174</v>
      </c>
      <c r="F4976" t="s">
        <v>3970</v>
      </c>
      <c r="G4976" t="s">
        <v>2245</v>
      </c>
      <c r="H4976" s="4">
        <v>300</v>
      </c>
      <c r="I4976" t="s">
        <v>47</v>
      </c>
      <c r="J4976" t="s">
        <v>272</v>
      </c>
      <c r="K4976" t="s">
        <v>2974</v>
      </c>
      <c r="L4976" s="2">
        <v>46174</v>
      </c>
      <c r="M4976" t="s">
        <v>272</v>
      </c>
      <c r="N4976">
        <v>0</v>
      </c>
      <c r="O4976" t="s">
        <v>26</v>
      </c>
      <c r="P4976" t="s">
        <v>18</v>
      </c>
      <c r="Q4976" t="s">
        <v>274</v>
      </c>
    </row>
    <row r="4977" spans="1:17" x14ac:dyDescent="0.3">
      <c r="A4977" t="s">
        <v>17</v>
      </c>
      <c r="B4977">
        <v>63</v>
      </c>
      <c r="C4977" t="s">
        <v>18</v>
      </c>
      <c r="D4977" s="2">
        <v>46183</v>
      </c>
      <c r="E4977" s="3">
        <f t="shared" si="77"/>
        <v>46174</v>
      </c>
      <c r="F4977" t="s">
        <v>3970</v>
      </c>
      <c r="G4977" t="s">
        <v>2245</v>
      </c>
      <c r="H4977" s="4">
        <v>500</v>
      </c>
      <c r="I4977" t="s">
        <v>47</v>
      </c>
      <c r="J4977" t="s">
        <v>272</v>
      </c>
      <c r="K4977" t="s">
        <v>2974</v>
      </c>
      <c r="L4977" s="2">
        <v>46174</v>
      </c>
      <c r="M4977" t="s">
        <v>272</v>
      </c>
      <c r="N4977">
        <v>0</v>
      </c>
      <c r="O4977" t="s">
        <v>26</v>
      </c>
      <c r="P4977" t="s">
        <v>18</v>
      </c>
      <c r="Q4977" t="s">
        <v>274</v>
      </c>
    </row>
    <row r="4978" spans="1:17" x14ac:dyDescent="0.3">
      <c r="A4978" t="s">
        <v>17</v>
      </c>
      <c r="B4978">
        <v>63</v>
      </c>
      <c r="C4978" t="s">
        <v>18</v>
      </c>
      <c r="D4978" s="2">
        <v>46183</v>
      </c>
      <c r="E4978" s="3">
        <f t="shared" si="77"/>
        <v>46174</v>
      </c>
      <c r="F4978" t="s">
        <v>3970</v>
      </c>
      <c r="G4978" t="s">
        <v>2245</v>
      </c>
      <c r="H4978" s="4">
        <v>100</v>
      </c>
      <c r="I4978" t="s">
        <v>47</v>
      </c>
      <c r="J4978" t="s">
        <v>272</v>
      </c>
      <c r="K4978" t="s">
        <v>2974</v>
      </c>
      <c r="L4978" s="2">
        <v>46174</v>
      </c>
      <c r="M4978" t="s">
        <v>272</v>
      </c>
      <c r="N4978">
        <v>0</v>
      </c>
      <c r="O4978" t="s">
        <v>26</v>
      </c>
      <c r="P4978" t="s">
        <v>18</v>
      </c>
      <c r="Q4978" t="s">
        <v>274</v>
      </c>
    </row>
    <row r="4979" spans="1:17" x14ac:dyDescent="0.3">
      <c r="A4979" t="s">
        <v>17</v>
      </c>
      <c r="B4979">
        <v>63</v>
      </c>
      <c r="C4979" t="s">
        <v>18</v>
      </c>
      <c r="D4979" s="2">
        <v>46183</v>
      </c>
      <c r="E4979" s="3">
        <f t="shared" si="77"/>
        <v>46174</v>
      </c>
      <c r="F4979" t="s">
        <v>3970</v>
      </c>
      <c r="G4979" t="s">
        <v>2245</v>
      </c>
      <c r="H4979" s="4">
        <v>64</v>
      </c>
      <c r="I4979" t="s">
        <v>47</v>
      </c>
      <c r="J4979" t="s">
        <v>272</v>
      </c>
      <c r="K4979" t="s">
        <v>2397</v>
      </c>
      <c r="L4979" s="2">
        <v>46174</v>
      </c>
      <c r="M4979" t="s">
        <v>272</v>
      </c>
      <c r="N4979">
        <v>0</v>
      </c>
      <c r="O4979" t="s">
        <v>26</v>
      </c>
      <c r="P4979" t="s">
        <v>18</v>
      </c>
      <c r="Q4979" t="s">
        <v>274</v>
      </c>
    </row>
    <row r="4980" spans="1:17" x14ac:dyDescent="0.3">
      <c r="A4980" t="s">
        <v>17</v>
      </c>
      <c r="B4980">
        <v>63</v>
      </c>
      <c r="C4980" t="s">
        <v>18</v>
      </c>
      <c r="D4980" s="2">
        <v>46183</v>
      </c>
      <c r="E4980" s="3">
        <f t="shared" si="77"/>
        <v>46174</v>
      </c>
      <c r="F4980" t="s">
        <v>3970</v>
      </c>
      <c r="G4980" t="s">
        <v>2245</v>
      </c>
      <c r="H4980" s="4">
        <v>350</v>
      </c>
      <c r="I4980" t="s">
        <v>47</v>
      </c>
      <c r="J4980" t="s">
        <v>272</v>
      </c>
      <c r="K4980" t="s">
        <v>2974</v>
      </c>
      <c r="L4980" s="2">
        <v>46174</v>
      </c>
      <c r="M4980" t="s">
        <v>272</v>
      </c>
      <c r="N4980">
        <v>0</v>
      </c>
      <c r="O4980" t="s">
        <v>26</v>
      </c>
      <c r="P4980" t="s">
        <v>18</v>
      </c>
      <c r="Q4980" t="s">
        <v>274</v>
      </c>
    </row>
    <row r="4981" spans="1:17" x14ac:dyDescent="0.3">
      <c r="A4981" t="s">
        <v>17</v>
      </c>
      <c r="B4981">
        <v>63</v>
      </c>
      <c r="C4981" t="s">
        <v>18</v>
      </c>
      <c r="D4981" s="2">
        <v>46183</v>
      </c>
      <c r="E4981" s="3">
        <f t="shared" si="77"/>
        <v>46174</v>
      </c>
      <c r="F4981" t="s">
        <v>3970</v>
      </c>
      <c r="G4981" t="s">
        <v>2245</v>
      </c>
      <c r="H4981" s="4">
        <v>50</v>
      </c>
      <c r="I4981" t="s">
        <v>47</v>
      </c>
      <c r="J4981" t="s">
        <v>272</v>
      </c>
      <c r="K4981" t="s">
        <v>2974</v>
      </c>
      <c r="L4981" s="2">
        <v>46174</v>
      </c>
      <c r="M4981" t="s">
        <v>272</v>
      </c>
      <c r="N4981">
        <v>0</v>
      </c>
      <c r="O4981" t="s">
        <v>26</v>
      </c>
      <c r="P4981" t="s">
        <v>18</v>
      </c>
      <c r="Q4981" t="s">
        <v>274</v>
      </c>
    </row>
    <row r="4982" spans="1:17" x14ac:dyDescent="0.3">
      <c r="A4982" t="s">
        <v>17</v>
      </c>
      <c r="B4982">
        <v>63</v>
      </c>
      <c r="C4982" t="s">
        <v>18</v>
      </c>
      <c r="D4982" s="2">
        <v>46183</v>
      </c>
      <c r="E4982" s="3">
        <f t="shared" si="77"/>
        <v>46174</v>
      </c>
      <c r="F4982" t="s">
        <v>3970</v>
      </c>
      <c r="G4982" t="s">
        <v>2245</v>
      </c>
      <c r="H4982" s="4">
        <v>100</v>
      </c>
      <c r="I4982" t="s">
        <v>47</v>
      </c>
      <c r="J4982" t="s">
        <v>272</v>
      </c>
      <c r="K4982" t="s">
        <v>2974</v>
      </c>
      <c r="L4982" s="2">
        <v>46174</v>
      </c>
      <c r="M4982" t="s">
        <v>272</v>
      </c>
      <c r="N4982">
        <v>0</v>
      </c>
      <c r="O4982" t="s">
        <v>26</v>
      </c>
      <c r="P4982" t="s">
        <v>18</v>
      </c>
      <c r="Q4982" t="s">
        <v>274</v>
      </c>
    </row>
    <row r="4983" spans="1:17" x14ac:dyDescent="0.3">
      <c r="A4983" t="s">
        <v>17</v>
      </c>
      <c r="B4983">
        <v>63</v>
      </c>
      <c r="C4983" t="s">
        <v>18</v>
      </c>
      <c r="D4983" s="2">
        <v>46183</v>
      </c>
      <c r="E4983" s="3">
        <f t="shared" si="77"/>
        <v>46174</v>
      </c>
      <c r="F4983" t="s">
        <v>3970</v>
      </c>
      <c r="G4983" t="s">
        <v>2245</v>
      </c>
      <c r="H4983" s="4">
        <v>50</v>
      </c>
      <c r="I4983" t="s">
        <v>47</v>
      </c>
      <c r="J4983" t="s">
        <v>272</v>
      </c>
      <c r="K4983" t="s">
        <v>2974</v>
      </c>
      <c r="L4983" s="2">
        <v>46174</v>
      </c>
      <c r="M4983" t="s">
        <v>272</v>
      </c>
      <c r="N4983">
        <v>0</v>
      </c>
      <c r="O4983" t="s">
        <v>26</v>
      </c>
      <c r="P4983" t="s">
        <v>18</v>
      </c>
      <c r="Q4983" t="s">
        <v>274</v>
      </c>
    </row>
    <row r="4984" spans="1:17" x14ac:dyDescent="0.3">
      <c r="A4984" t="s">
        <v>17</v>
      </c>
      <c r="B4984">
        <v>63</v>
      </c>
      <c r="C4984" t="s">
        <v>18</v>
      </c>
      <c r="D4984" s="2">
        <v>46183</v>
      </c>
      <c r="E4984" s="3">
        <f t="shared" si="77"/>
        <v>46174</v>
      </c>
      <c r="F4984" t="s">
        <v>3970</v>
      </c>
      <c r="G4984" t="s">
        <v>2245</v>
      </c>
      <c r="H4984" s="4">
        <v>650</v>
      </c>
      <c r="I4984" t="s">
        <v>47</v>
      </c>
      <c r="J4984" t="s">
        <v>272</v>
      </c>
      <c r="K4984" t="s">
        <v>2974</v>
      </c>
      <c r="L4984" s="2">
        <v>46174</v>
      </c>
      <c r="M4984" t="s">
        <v>272</v>
      </c>
      <c r="N4984">
        <v>0</v>
      </c>
      <c r="O4984" t="s">
        <v>26</v>
      </c>
      <c r="P4984" t="s">
        <v>18</v>
      </c>
      <c r="Q4984" t="s">
        <v>274</v>
      </c>
    </row>
    <row r="4985" spans="1:17" x14ac:dyDescent="0.3">
      <c r="A4985" t="s">
        <v>17</v>
      </c>
      <c r="B4985">
        <v>63</v>
      </c>
      <c r="C4985" t="s">
        <v>18</v>
      </c>
      <c r="D4985" s="2">
        <v>46183</v>
      </c>
      <c r="E4985" s="3">
        <f t="shared" si="77"/>
        <v>46174</v>
      </c>
      <c r="F4985" t="s">
        <v>3970</v>
      </c>
      <c r="G4985" t="s">
        <v>2245</v>
      </c>
      <c r="H4985" s="4">
        <v>192</v>
      </c>
      <c r="I4985" t="s">
        <v>47</v>
      </c>
      <c r="J4985" t="s">
        <v>272</v>
      </c>
      <c r="K4985" t="s">
        <v>2396</v>
      </c>
      <c r="L4985" s="2">
        <v>46174</v>
      </c>
      <c r="M4985" t="s">
        <v>272</v>
      </c>
      <c r="N4985">
        <v>0</v>
      </c>
      <c r="O4985" t="s">
        <v>26</v>
      </c>
      <c r="P4985" t="s">
        <v>18</v>
      </c>
      <c r="Q4985" t="s">
        <v>274</v>
      </c>
    </row>
    <row r="4986" spans="1:17" x14ac:dyDescent="0.3">
      <c r="A4986" t="s">
        <v>17</v>
      </c>
      <c r="B4986">
        <v>63</v>
      </c>
      <c r="C4986" t="s">
        <v>18</v>
      </c>
      <c r="D4986" s="2">
        <v>46183</v>
      </c>
      <c r="E4986" s="3">
        <f t="shared" si="77"/>
        <v>46174</v>
      </c>
      <c r="F4986" t="s">
        <v>3970</v>
      </c>
      <c r="G4986" t="s">
        <v>2245</v>
      </c>
      <c r="H4986" s="4">
        <v>350</v>
      </c>
      <c r="I4986" t="s">
        <v>47</v>
      </c>
      <c r="J4986" t="s">
        <v>272</v>
      </c>
      <c r="K4986" t="s">
        <v>2974</v>
      </c>
      <c r="L4986" s="2">
        <v>46174</v>
      </c>
      <c r="M4986" t="s">
        <v>272</v>
      </c>
      <c r="N4986">
        <v>0</v>
      </c>
      <c r="O4986" t="s">
        <v>26</v>
      </c>
      <c r="P4986" t="s">
        <v>18</v>
      </c>
      <c r="Q4986" t="s">
        <v>274</v>
      </c>
    </row>
    <row r="4987" spans="1:17" x14ac:dyDescent="0.3">
      <c r="A4987" t="s">
        <v>17</v>
      </c>
      <c r="B4987">
        <v>63</v>
      </c>
      <c r="C4987" t="s">
        <v>18</v>
      </c>
      <c r="D4987" s="2">
        <v>46183</v>
      </c>
      <c r="E4987" s="3">
        <f t="shared" si="77"/>
        <v>46174</v>
      </c>
      <c r="F4987" t="s">
        <v>3970</v>
      </c>
      <c r="G4987" t="s">
        <v>2245</v>
      </c>
      <c r="H4987" s="4">
        <v>50</v>
      </c>
      <c r="I4987" t="s">
        <v>47</v>
      </c>
      <c r="J4987" t="s">
        <v>272</v>
      </c>
      <c r="K4987" t="s">
        <v>2974</v>
      </c>
      <c r="L4987" s="2">
        <v>46174</v>
      </c>
      <c r="M4987" t="s">
        <v>272</v>
      </c>
      <c r="N4987">
        <v>0</v>
      </c>
      <c r="O4987" t="s">
        <v>26</v>
      </c>
      <c r="P4987" t="s">
        <v>18</v>
      </c>
      <c r="Q4987" t="s">
        <v>274</v>
      </c>
    </row>
    <row r="4988" spans="1:17" x14ac:dyDescent="0.3">
      <c r="A4988" t="s">
        <v>17</v>
      </c>
      <c r="B4988">
        <v>63</v>
      </c>
      <c r="C4988" t="s">
        <v>18</v>
      </c>
      <c r="D4988" s="2">
        <v>46183</v>
      </c>
      <c r="E4988" s="3">
        <f t="shared" si="77"/>
        <v>46174</v>
      </c>
      <c r="F4988" t="s">
        <v>3970</v>
      </c>
      <c r="G4988" t="s">
        <v>2245</v>
      </c>
      <c r="H4988" s="4">
        <v>192</v>
      </c>
      <c r="I4988" t="s">
        <v>47</v>
      </c>
      <c r="J4988" t="s">
        <v>272</v>
      </c>
      <c r="K4988" t="s">
        <v>2395</v>
      </c>
      <c r="L4988" s="2">
        <v>46174</v>
      </c>
      <c r="M4988" t="s">
        <v>272</v>
      </c>
      <c r="N4988">
        <v>0</v>
      </c>
      <c r="O4988" t="s">
        <v>26</v>
      </c>
      <c r="P4988" t="s">
        <v>18</v>
      </c>
      <c r="Q4988" t="s">
        <v>274</v>
      </c>
    </row>
    <row r="4989" spans="1:17" x14ac:dyDescent="0.3">
      <c r="A4989" t="s">
        <v>17</v>
      </c>
      <c r="B4989">
        <v>63</v>
      </c>
      <c r="C4989" t="s">
        <v>18</v>
      </c>
      <c r="D4989" s="2">
        <v>46183</v>
      </c>
      <c r="E4989" s="3">
        <f t="shared" si="77"/>
        <v>46174</v>
      </c>
      <c r="F4989" t="s">
        <v>3970</v>
      </c>
      <c r="G4989" t="s">
        <v>2245</v>
      </c>
      <c r="H4989" s="4">
        <v>300</v>
      </c>
      <c r="I4989" t="s">
        <v>47</v>
      </c>
      <c r="J4989" t="s">
        <v>272</v>
      </c>
      <c r="K4989" t="s">
        <v>2974</v>
      </c>
      <c r="L4989" s="2">
        <v>46174</v>
      </c>
      <c r="M4989" t="s">
        <v>272</v>
      </c>
      <c r="N4989">
        <v>0</v>
      </c>
      <c r="O4989" t="s">
        <v>26</v>
      </c>
      <c r="P4989" t="s">
        <v>18</v>
      </c>
      <c r="Q4989" t="s">
        <v>274</v>
      </c>
    </row>
    <row r="4990" spans="1:17" x14ac:dyDescent="0.3">
      <c r="A4990" t="s">
        <v>17</v>
      </c>
      <c r="B4990">
        <v>63</v>
      </c>
      <c r="C4990" t="s">
        <v>18</v>
      </c>
      <c r="D4990" s="2">
        <v>46183</v>
      </c>
      <c r="E4990" s="3">
        <f t="shared" si="77"/>
        <v>46174</v>
      </c>
      <c r="F4990" t="s">
        <v>3970</v>
      </c>
      <c r="G4990" t="s">
        <v>2245</v>
      </c>
      <c r="H4990" s="4">
        <v>50</v>
      </c>
      <c r="I4990" t="s">
        <v>47</v>
      </c>
      <c r="J4990" t="s">
        <v>272</v>
      </c>
      <c r="K4990" t="s">
        <v>2974</v>
      </c>
      <c r="L4990" s="2">
        <v>46174</v>
      </c>
      <c r="M4990" t="s">
        <v>272</v>
      </c>
      <c r="N4990">
        <v>0</v>
      </c>
      <c r="O4990" t="s">
        <v>26</v>
      </c>
      <c r="P4990" t="s">
        <v>18</v>
      </c>
      <c r="Q4990" t="s">
        <v>274</v>
      </c>
    </row>
    <row r="4991" spans="1:17" x14ac:dyDescent="0.3">
      <c r="A4991" t="s">
        <v>17</v>
      </c>
      <c r="B4991">
        <v>63</v>
      </c>
      <c r="C4991" t="s">
        <v>18</v>
      </c>
      <c r="D4991" s="2">
        <v>46184</v>
      </c>
      <c r="E4991" s="3">
        <f t="shared" si="77"/>
        <v>46174</v>
      </c>
      <c r="F4991" t="s">
        <v>3971</v>
      </c>
      <c r="G4991" t="s">
        <v>2245</v>
      </c>
      <c r="H4991" s="4">
        <v>2</v>
      </c>
      <c r="I4991" t="s">
        <v>47</v>
      </c>
      <c r="J4991" t="s">
        <v>272</v>
      </c>
      <c r="K4991" t="s">
        <v>2397</v>
      </c>
      <c r="L4991" s="2">
        <v>46174</v>
      </c>
      <c r="M4991" t="s">
        <v>272</v>
      </c>
      <c r="N4991">
        <v>0</v>
      </c>
      <c r="O4991" t="s">
        <v>26</v>
      </c>
      <c r="P4991" t="s">
        <v>18</v>
      </c>
      <c r="Q4991" t="s">
        <v>274</v>
      </c>
    </row>
    <row r="4992" spans="1:17" x14ac:dyDescent="0.3">
      <c r="A4992" t="s">
        <v>17</v>
      </c>
      <c r="B4992">
        <v>63</v>
      </c>
      <c r="C4992" t="s">
        <v>18</v>
      </c>
      <c r="D4992" s="2">
        <v>46184</v>
      </c>
      <c r="E4992" s="3">
        <f t="shared" si="77"/>
        <v>46174</v>
      </c>
      <c r="F4992" t="s">
        <v>3971</v>
      </c>
      <c r="G4992" t="s">
        <v>2245</v>
      </c>
      <c r="H4992" s="4">
        <v>6</v>
      </c>
      <c r="I4992" t="s">
        <v>47</v>
      </c>
      <c r="J4992" t="s">
        <v>272</v>
      </c>
      <c r="K4992" t="s">
        <v>2396</v>
      </c>
      <c r="L4992" s="2">
        <v>46174</v>
      </c>
      <c r="M4992" t="s">
        <v>272</v>
      </c>
      <c r="N4992">
        <v>0</v>
      </c>
      <c r="O4992" t="s">
        <v>26</v>
      </c>
      <c r="P4992" t="s">
        <v>18</v>
      </c>
      <c r="Q4992" t="s">
        <v>274</v>
      </c>
    </row>
    <row r="4993" spans="1:17" x14ac:dyDescent="0.3">
      <c r="A4993" t="s">
        <v>17</v>
      </c>
      <c r="B4993">
        <v>63</v>
      </c>
      <c r="C4993" t="s">
        <v>18</v>
      </c>
      <c r="D4993" s="2">
        <v>46184</v>
      </c>
      <c r="E4993" s="3">
        <f t="shared" si="77"/>
        <v>46174</v>
      </c>
      <c r="F4993" t="s">
        <v>3971</v>
      </c>
      <c r="G4993" t="s">
        <v>2245</v>
      </c>
      <c r="H4993" s="4">
        <v>6</v>
      </c>
      <c r="I4993" t="s">
        <v>47</v>
      </c>
      <c r="J4993" t="s">
        <v>272</v>
      </c>
      <c r="K4993" t="s">
        <v>2395</v>
      </c>
      <c r="L4993" s="2">
        <v>46174</v>
      </c>
      <c r="M4993" t="s">
        <v>272</v>
      </c>
      <c r="N4993">
        <v>0</v>
      </c>
      <c r="O4993" t="s">
        <v>26</v>
      </c>
      <c r="P4993" t="s">
        <v>18</v>
      </c>
      <c r="Q4993" t="s">
        <v>274</v>
      </c>
    </row>
    <row r="4994" spans="1:17" x14ac:dyDescent="0.3">
      <c r="A4994" t="s">
        <v>17</v>
      </c>
      <c r="B4994">
        <v>63</v>
      </c>
      <c r="C4994" t="s">
        <v>18</v>
      </c>
      <c r="D4994" s="2">
        <v>46184</v>
      </c>
      <c r="E4994" s="3">
        <f t="shared" si="77"/>
        <v>46174</v>
      </c>
      <c r="F4994" t="s">
        <v>3971</v>
      </c>
      <c r="G4994" t="s">
        <v>2245</v>
      </c>
      <c r="H4994" s="4">
        <v>100</v>
      </c>
      <c r="I4994" t="s">
        <v>47</v>
      </c>
      <c r="J4994" t="s">
        <v>272</v>
      </c>
      <c r="K4994" t="s">
        <v>2974</v>
      </c>
      <c r="L4994" s="2">
        <v>46174</v>
      </c>
      <c r="M4994" t="s">
        <v>272</v>
      </c>
      <c r="N4994">
        <v>0</v>
      </c>
      <c r="O4994" t="s">
        <v>26</v>
      </c>
      <c r="P4994" t="s">
        <v>18</v>
      </c>
      <c r="Q4994" t="s">
        <v>274</v>
      </c>
    </row>
    <row r="4995" spans="1:17" x14ac:dyDescent="0.3">
      <c r="A4995" t="s">
        <v>17</v>
      </c>
      <c r="B4995">
        <v>63</v>
      </c>
      <c r="C4995" t="s">
        <v>18</v>
      </c>
      <c r="D4995" s="2">
        <v>46185</v>
      </c>
      <c r="E4995" s="3">
        <f t="shared" ref="E4995:E5058" si="78">IF($D4995="","",DATE(YEAR($D4995),MONTH($D4995),1))</f>
        <v>46174</v>
      </c>
      <c r="F4995">
        <v>1</v>
      </c>
      <c r="G4995" t="s">
        <v>3972</v>
      </c>
      <c r="H4995" s="4">
        <v>1700</v>
      </c>
      <c r="I4995" t="s">
        <v>47</v>
      </c>
      <c r="J4995" t="s">
        <v>272</v>
      </c>
      <c r="K4995" t="s">
        <v>3973</v>
      </c>
      <c r="L4995" s="2">
        <v>46174</v>
      </c>
      <c r="M4995" t="s">
        <v>272</v>
      </c>
      <c r="N4995">
        <v>0</v>
      </c>
      <c r="O4995" t="s">
        <v>26</v>
      </c>
      <c r="P4995" t="s">
        <v>18</v>
      </c>
      <c r="Q4995" t="s">
        <v>274</v>
      </c>
    </row>
    <row r="4996" spans="1:17" x14ac:dyDescent="0.3">
      <c r="A4996" t="s">
        <v>17</v>
      </c>
      <c r="B4996">
        <v>63</v>
      </c>
      <c r="C4996" t="s">
        <v>18</v>
      </c>
      <c r="D4996" s="2">
        <v>46203</v>
      </c>
      <c r="E4996" s="3">
        <f t="shared" si="78"/>
        <v>46174</v>
      </c>
      <c r="F4996" t="s">
        <v>3974</v>
      </c>
      <c r="H4996" s="4">
        <v>2000</v>
      </c>
      <c r="I4996" t="s">
        <v>47</v>
      </c>
      <c r="J4996" t="s">
        <v>272</v>
      </c>
      <c r="K4996" t="s">
        <v>3975</v>
      </c>
      <c r="L4996" s="2">
        <v>46174</v>
      </c>
      <c r="M4996" t="s">
        <v>272</v>
      </c>
      <c r="N4996">
        <v>0</v>
      </c>
      <c r="O4996" t="s">
        <v>26</v>
      </c>
      <c r="P4996" t="s">
        <v>18</v>
      </c>
      <c r="Q4996" t="s">
        <v>274</v>
      </c>
    </row>
    <row r="4997" spans="1:17" x14ac:dyDescent="0.3">
      <c r="A4997" t="s">
        <v>17</v>
      </c>
      <c r="B4997">
        <v>63</v>
      </c>
      <c r="C4997" t="s">
        <v>18</v>
      </c>
      <c r="D4997" s="2">
        <v>46203</v>
      </c>
      <c r="E4997" s="3">
        <f t="shared" si="78"/>
        <v>46174</v>
      </c>
      <c r="F4997" t="s">
        <v>3976</v>
      </c>
      <c r="H4997" s="4">
        <v>5361.69</v>
      </c>
      <c r="I4997" t="s">
        <v>47</v>
      </c>
      <c r="J4997" t="s">
        <v>272</v>
      </c>
      <c r="K4997" t="s">
        <v>2977</v>
      </c>
      <c r="L4997" s="2">
        <v>46174</v>
      </c>
      <c r="M4997" t="s">
        <v>272</v>
      </c>
      <c r="N4997">
        <v>0</v>
      </c>
      <c r="O4997" t="s">
        <v>26</v>
      </c>
      <c r="P4997" t="s">
        <v>18</v>
      </c>
      <c r="Q4997" t="s">
        <v>274</v>
      </c>
    </row>
    <row r="4998" spans="1:17" x14ac:dyDescent="0.3">
      <c r="A4998" t="s">
        <v>17</v>
      </c>
      <c r="B4998">
        <v>63</v>
      </c>
      <c r="C4998" t="s">
        <v>18</v>
      </c>
      <c r="D4998" s="2">
        <v>46196</v>
      </c>
      <c r="E4998" s="3">
        <f t="shared" si="78"/>
        <v>46174</v>
      </c>
      <c r="F4998" t="s">
        <v>3977</v>
      </c>
      <c r="G4998" t="s">
        <v>1281</v>
      </c>
      <c r="H4998" s="4">
        <v>52523.87</v>
      </c>
      <c r="I4998" t="s">
        <v>47</v>
      </c>
      <c r="J4998" t="s">
        <v>331</v>
      </c>
      <c r="K4998" t="s">
        <v>3978</v>
      </c>
      <c r="L4998" s="2">
        <v>46174</v>
      </c>
      <c r="M4998" t="s">
        <v>333</v>
      </c>
      <c r="N4998">
        <v>0</v>
      </c>
      <c r="O4998" t="s">
        <v>26</v>
      </c>
      <c r="P4998" t="s">
        <v>18</v>
      </c>
      <c r="Q4998" t="s">
        <v>18</v>
      </c>
    </row>
    <row r="4999" spans="1:17" x14ac:dyDescent="0.3">
      <c r="A4999" t="s">
        <v>17</v>
      </c>
      <c r="B4999">
        <v>63</v>
      </c>
      <c r="C4999" t="s">
        <v>18</v>
      </c>
      <c r="D4999" s="2">
        <v>46174</v>
      </c>
      <c r="E4999" s="3">
        <f t="shared" si="78"/>
        <v>46174</v>
      </c>
      <c r="F4999" t="s">
        <v>3979</v>
      </c>
      <c r="G4999" t="s">
        <v>419</v>
      </c>
      <c r="H4999" s="4">
        <v>375</v>
      </c>
      <c r="I4999" t="s">
        <v>47</v>
      </c>
      <c r="J4999" t="s">
        <v>22</v>
      </c>
      <c r="K4999" t="s">
        <v>3980</v>
      </c>
      <c r="L4999" s="2">
        <v>46174</v>
      </c>
      <c r="M4999" t="s">
        <v>24</v>
      </c>
      <c r="N4999">
        <v>0</v>
      </c>
      <c r="O4999" t="s">
        <v>26</v>
      </c>
      <c r="P4999" t="s">
        <v>18</v>
      </c>
      <c r="Q4999" t="s">
        <v>27</v>
      </c>
    </row>
    <row r="5000" spans="1:17" x14ac:dyDescent="0.3">
      <c r="A5000" t="s">
        <v>17</v>
      </c>
      <c r="B5000">
        <v>63</v>
      </c>
      <c r="C5000" t="s">
        <v>18</v>
      </c>
      <c r="D5000" s="2">
        <v>46174</v>
      </c>
      <c r="E5000" s="3">
        <f t="shared" si="78"/>
        <v>46174</v>
      </c>
      <c r="F5000">
        <v>254549</v>
      </c>
      <c r="G5000" t="s">
        <v>1210</v>
      </c>
      <c r="H5000" s="4">
        <v>2400</v>
      </c>
      <c r="I5000" t="s">
        <v>47</v>
      </c>
      <c r="J5000" t="s">
        <v>22</v>
      </c>
      <c r="K5000" t="s">
        <v>3981</v>
      </c>
      <c r="L5000" s="2">
        <v>46174</v>
      </c>
      <c r="M5000" t="s">
        <v>24</v>
      </c>
      <c r="N5000">
        <v>0</v>
      </c>
      <c r="O5000" t="s">
        <v>26</v>
      </c>
      <c r="P5000" t="s">
        <v>18</v>
      </c>
      <c r="Q5000" t="s">
        <v>27</v>
      </c>
    </row>
    <row r="5001" spans="1:17" x14ac:dyDescent="0.3">
      <c r="A5001" t="s">
        <v>17</v>
      </c>
      <c r="B5001">
        <v>63</v>
      </c>
      <c r="C5001" t="s">
        <v>18</v>
      </c>
      <c r="D5001" s="2">
        <v>46174</v>
      </c>
      <c r="E5001" s="3">
        <f t="shared" si="78"/>
        <v>46174</v>
      </c>
      <c r="F5001">
        <v>223761</v>
      </c>
      <c r="G5001" t="s">
        <v>251</v>
      </c>
      <c r="H5001" s="4">
        <v>1800</v>
      </c>
      <c r="I5001" t="s">
        <v>47</v>
      </c>
      <c r="J5001" t="s">
        <v>22</v>
      </c>
      <c r="K5001" t="s">
        <v>3982</v>
      </c>
      <c r="L5001" s="2">
        <v>46174</v>
      </c>
      <c r="M5001" t="s">
        <v>24</v>
      </c>
      <c r="N5001">
        <v>0</v>
      </c>
      <c r="O5001" t="s">
        <v>26</v>
      </c>
      <c r="P5001" t="s">
        <v>18</v>
      </c>
      <c r="Q5001" t="s">
        <v>27</v>
      </c>
    </row>
    <row r="5002" spans="1:17" x14ac:dyDescent="0.3">
      <c r="A5002" t="s">
        <v>17</v>
      </c>
      <c r="B5002">
        <v>63</v>
      </c>
      <c r="C5002" t="s">
        <v>18</v>
      </c>
      <c r="D5002" s="2">
        <v>46178</v>
      </c>
      <c r="E5002" s="3">
        <f t="shared" si="78"/>
        <v>46174</v>
      </c>
      <c r="F5002">
        <v>223787</v>
      </c>
      <c r="G5002" t="s">
        <v>251</v>
      </c>
      <c r="H5002" s="4">
        <v>800</v>
      </c>
      <c r="I5002" t="s">
        <v>47</v>
      </c>
      <c r="J5002" t="s">
        <v>22</v>
      </c>
      <c r="K5002" t="s">
        <v>1556</v>
      </c>
      <c r="L5002" s="2">
        <v>46174</v>
      </c>
      <c r="M5002" t="s">
        <v>24</v>
      </c>
      <c r="N5002">
        <v>0</v>
      </c>
      <c r="O5002" t="s">
        <v>26</v>
      </c>
      <c r="P5002" t="s">
        <v>18</v>
      </c>
      <c r="Q5002" t="s">
        <v>27</v>
      </c>
    </row>
    <row r="5003" spans="1:17" x14ac:dyDescent="0.3">
      <c r="A5003" t="s">
        <v>17</v>
      </c>
      <c r="B5003">
        <v>63</v>
      </c>
      <c r="C5003" t="s">
        <v>18</v>
      </c>
      <c r="D5003" s="2">
        <v>46178</v>
      </c>
      <c r="E5003" s="3">
        <f t="shared" si="78"/>
        <v>46174</v>
      </c>
      <c r="F5003">
        <v>223787</v>
      </c>
      <c r="G5003" t="s">
        <v>251</v>
      </c>
      <c r="H5003" s="4">
        <v>4000</v>
      </c>
      <c r="I5003" t="s">
        <v>47</v>
      </c>
      <c r="J5003" t="s">
        <v>22</v>
      </c>
      <c r="K5003" t="s">
        <v>3983</v>
      </c>
      <c r="L5003" s="2">
        <v>46174</v>
      </c>
      <c r="M5003" t="s">
        <v>24</v>
      </c>
      <c r="N5003">
        <v>0</v>
      </c>
      <c r="O5003" t="s">
        <v>26</v>
      </c>
      <c r="P5003" t="s">
        <v>18</v>
      </c>
      <c r="Q5003" t="s">
        <v>27</v>
      </c>
    </row>
    <row r="5004" spans="1:17" x14ac:dyDescent="0.3">
      <c r="A5004" t="s">
        <v>17</v>
      </c>
      <c r="B5004">
        <v>63</v>
      </c>
      <c r="C5004" t="s">
        <v>18</v>
      </c>
      <c r="D5004" s="2">
        <v>46178</v>
      </c>
      <c r="E5004" s="3">
        <f t="shared" si="78"/>
        <v>46174</v>
      </c>
      <c r="F5004">
        <v>854522</v>
      </c>
      <c r="G5004" t="s">
        <v>125</v>
      </c>
      <c r="H5004" s="4">
        <v>50</v>
      </c>
      <c r="I5004" t="s">
        <v>47</v>
      </c>
      <c r="J5004" t="s">
        <v>22</v>
      </c>
      <c r="K5004" t="s">
        <v>3984</v>
      </c>
      <c r="L5004" s="2">
        <v>46174</v>
      </c>
      <c r="M5004" t="s">
        <v>24</v>
      </c>
      <c r="N5004">
        <v>0</v>
      </c>
      <c r="O5004" t="s">
        <v>26</v>
      </c>
      <c r="P5004" t="s">
        <v>18</v>
      </c>
      <c r="Q5004" t="s">
        <v>27</v>
      </c>
    </row>
    <row r="5005" spans="1:17" x14ac:dyDescent="0.3">
      <c r="A5005" t="s">
        <v>17</v>
      </c>
      <c r="B5005">
        <v>63</v>
      </c>
      <c r="C5005" t="s">
        <v>18</v>
      </c>
      <c r="D5005" s="2">
        <v>46178</v>
      </c>
      <c r="E5005" s="3">
        <f t="shared" si="78"/>
        <v>46174</v>
      </c>
      <c r="F5005">
        <v>854522</v>
      </c>
      <c r="G5005" t="s">
        <v>125</v>
      </c>
      <c r="H5005" s="4">
        <v>250</v>
      </c>
      <c r="I5005" t="s">
        <v>47</v>
      </c>
      <c r="J5005" t="s">
        <v>22</v>
      </c>
      <c r="K5005" t="s">
        <v>3985</v>
      </c>
      <c r="L5005" s="2">
        <v>46174</v>
      </c>
      <c r="M5005" t="s">
        <v>24</v>
      </c>
      <c r="N5005">
        <v>0</v>
      </c>
      <c r="O5005" t="s">
        <v>26</v>
      </c>
      <c r="P5005" t="s">
        <v>18</v>
      </c>
      <c r="Q5005" t="s">
        <v>27</v>
      </c>
    </row>
    <row r="5006" spans="1:17" x14ac:dyDescent="0.3">
      <c r="A5006" t="s">
        <v>17</v>
      </c>
      <c r="B5006">
        <v>63</v>
      </c>
      <c r="C5006" t="s">
        <v>18</v>
      </c>
      <c r="D5006" s="2">
        <v>46178</v>
      </c>
      <c r="E5006" s="3">
        <f t="shared" si="78"/>
        <v>46174</v>
      </c>
      <c r="F5006">
        <v>854531</v>
      </c>
      <c r="G5006" t="s">
        <v>125</v>
      </c>
      <c r="H5006" s="4">
        <v>50</v>
      </c>
      <c r="I5006" t="s">
        <v>47</v>
      </c>
      <c r="J5006" t="s">
        <v>22</v>
      </c>
      <c r="K5006" t="s">
        <v>3984</v>
      </c>
      <c r="L5006" s="2">
        <v>46174</v>
      </c>
      <c r="M5006" t="s">
        <v>24</v>
      </c>
      <c r="N5006">
        <v>0</v>
      </c>
      <c r="O5006" t="s">
        <v>26</v>
      </c>
      <c r="P5006" t="s">
        <v>18</v>
      </c>
      <c r="Q5006" t="s">
        <v>27</v>
      </c>
    </row>
    <row r="5007" spans="1:17" x14ac:dyDescent="0.3">
      <c r="A5007" t="s">
        <v>17</v>
      </c>
      <c r="B5007">
        <v>63</v>
      </c>
      <c r="C5007" t="s">
        <v>18</v>
      </c>
      <c r="D5007" s="2">
        <v>46178</v>
      </c>
      <c r="E5007" s="3">
        <f t="shared" si="78"/>
        <v>46174</v>
      </c>
      <c r="F5007">
        <v>854531</v>
      </c>
      <c r="G5007" t="s">
        <v>125</v>
      </c>
      <c r="H5007" s="4">
        <v>250</v>
      </c>
      <c r="I5007" t="s">
        <v>47</v>
      </c>
      <c r="J5007" t="s">
        <v>22</v>
      </c>
      <c r="K5007" t="s">
        <v>3986</v>
      </c>
      <c r="L5007" s="2">
        <v>46174</v>
      </c>
      <c r="M5007" t="s">
        <v>24</v>
      </c>
      <c r="N5007">
        <v>0</v>
      </c>
      <c r="O5007" t="s">
        <v>26</v>
      </c>
      <c r="P5007" t="s">
        <v>18</v>
      </c>
      <c r="Q5007" t="s">
        <v>27</v>
      </c>
    </row>
    <row r="5008" spans="1:17" x14ac:dyDescent="0.3">
      <c r="A5008" t="s">
        <v>17</v>
      </c>
      <c r="B5008">
        <v>63</v>
      </c>
      <c r="C5008" t="s">
        <v>18</v>
      </c>
      <c r="D5008" s="2">
        <v>46182</v>
      </c>
      <c r="E5008" s="3">
        <f t="shared" si="78"/>
        <v>46174</v>
      </c>
      <c r="F5008">
        <v>254860</v>
      </c>
      <c r="G5008" t="s">
        <v>1210</v>
      </c>
      <c r="H5008" s="4">
        <v>1560</v>
      </c>
      <c r="I5008" t="s">
        <v>47</v>
      </c>
      <c r="J5008" t="s">
        <v>22</v>
      </c>
      <c r="K5008" t="s">
        <v>3987</v>
      </c>
      <c r="L5008" s="2">
        <v>46174</v>
      </c>
      <c r="M5008" t="s">
        <v>24</v>
      </c>
      <c r="N5008">
        <v>0</v>
      </c>
      <c r="O5008" t="s">
        <v>26</v>
      </c>
      <c r="P5008" t="s">
        <v>18</v>
      </c>
      <c r="Q5008" t="s">
        <v>27</v>
      </c>
    </row>
    <row r="5009" spans="1:17" x14ac:dyDescent="0.3">
      <c r="A5009" t="s">
        <v>17</v>
      </c>
      <c r="B5009">
        <v>63</v>
      </c>
      <c r="C5009" t="s">
        <v>18</v>
      </c>
      <c r="D5009" s="2">
        <v>46183</v>
      </c>
      <c r="E5009" s="3">
        <f t="shared" si="78"/>
        <v>46174</v>
      </c>
      <c r="F5009">
        <v>854849</v>
      </c>
      <c r="G5009" t="s">
        <v>125</v>
      </c>
      <c r="H5009" s="4">
        <v>50</v>
      </c>
      <c r="I5009" t="s">
        <v>47</v>
      </c>
      <c r="J5009" t="s">
        <v>22</v>
      </c>
      <c r="K5009" t="s">
        <v>3984</v>
      </c>
      <c r="L5009" s="2">
        <v>46174</v>
      </c>
      <c r="M5009" t="s">
        <v>24</v>
      </c>
      <c r="N5009">
        <v>0</v>
      </c>
      <c r="O5009" t="s">
        <v>26</v>
      </c>
      <c r="P5009" t="s">
        <v>18</v>
      </c>
      <c r="Q5009" t="s">
        <v>27</v>
      </c>
    </row>
    <row r="5010" spans="1:17" x14ac:dyDescent="0.3">
      <c r="A5010" t="s">
        <v>17</v>
      </c>
      <c r="B5010">
        <v>63</v>
      </c>
      <c r="C5010" t="s">
        <v>18</v>
      </c>
      <c r="D5010" s="2">
        <v>46183</v>
      </c>
      <c r="E5010" s="3">
        <f t="shared" si="78"/>
        <v>46174</v>
      </c>
      <c r="F5010">
        <v>854849</v>
      </c>
      <c r="G5010" t="s">
        <v>125</v>
      </c>
      <c r="H5010" s="4">
        <v>250</v>
      </c>
      <c r="I5010" t="s">
        <v>47</v>
      </c>
      <c r="J5010" t="s">
        <v>22</v>
      </c>
      <c r="K5010" t="s">
        <v>3988</v>
      </c>
      <c r="L5010" s="2">
        <v>46174</v>
      </c>
      <c r="M5010" t="s">
        <v>24</v>
      </c>
      <c r="N5010">
        <v>0</v>
      </c>
      <c r="O5010" t="s">
        <v>26</v>
      </c>
      <c r="P5010" t="s">
        <v>18</v>
      </c>
      <c r="Q5010" t="s">
        <v>27</v>
      </c>
    </row>
    <row r="5011" spans="1:17" x14ac:dyDescent="0.3">
      <c r="A5011" t="s">
        <v>17</v>
      </c>
      <c r="B5011">
        <v>63</v>
      </c>
      <c r="C5011" t="s">
        <v>18</v>
      </c>
      <c r="D5011" s="2">
        <v>46188</v>
      </c>
      <c r="E5011" s="3">
        <f t="shared" si="78"/>
        <v>46174</v>
      </c>
      <c r="G5011" t="s">
        <v>125</v>
      </c>
      <c r="H5011" s="4">
        <v>-60</v>
      </c>
      <c r="I5011" t="s">
        <v>47</v>
      </c>
      <c r="J5011" t="s">
        <v>22</v>
      </c>
      <c r="L5011" s="2">
        <v>46174</v>
      </c>
      <c r="M5011" t="s">
        <v>24</v>
      </c>
      <c r="N5011">
        <v>0</v>
      </c>
      <c r="O5011" t="s">
        <v>26</v>
      </c>
      <c r="P5011" t="s">
        <v>18</v>
      </c>
      <c r="Q5011" t="s">
        <v>27</v>
      </c>
    </row>
    <row r="5012" spans="1:17" x14ac:dyDescent="0.3">
      <c r="A5012" t="s">
        <v>17</v>
      </c>
      <c r="B5012">
        <v>63</v>
      </c>
      <c r="C5012" t="s">
        <v>18</v>
      </c>
      <c r="D5012" s="2">
        <v>46190</v>
      </c>
      <c r="E5012" s="3">
        <f t="shared" si="78"/>
        <v>46174</v>
      </c>
      <c r="F5012">
        <v>223896</v>
      </c>
      <c r="G5012" t="s">
        <v>251</v>
      </c>
      <c r="H5012" s="4">
        <v>600</v>
      </c>
      <c r="I5012" t="s">
        <v>47</v>
      </c>
      <c r="J5012" t="s">
        <v>22</v>
      </c>
      <c r="K5012" t="s">
        <v>3989</v>
      </c>
      <c r="L5012" s="2">
        <v>46174</v>
      </c>
      <c r="M5012" t="s">
        <v>24</v>
      </c>
      <c r="N5012">
        <v>0</v>
      </c>
      <c r="O5012" t="s">
        <v>26</v>
      </c>
      <c r="P5012" t="s">
        <v>18</v>
      </c>
      <c r="Q5012" t="s">
        <v>27</v>
      </c>
    </row>
    <row r="5013" spans="1:17" x14ac:dyDescent="0.3">
      <c r="A5013" t="s">
        <v>17</v>
      </c>
      <c r="B5013">
        <v>63</v>
      </c>
      <c r="C5013" t="s">
        <v>18</v>
      </c>
      <c r="D5013" s="2">
        <v>46195</v>
      </c>
      <c r="E5013" s="3">
        <f t="shared" si="78"/>
        <v>46174</v>
      </c>
      <c r="F5013">
        <v>855609</v>
      </c>
      <c r="G5013" t="s">
        <v>125</v>
      </c>
      <c r="H5013" s="4">
        <v>50</v>
      </c>
      <c r="I5013" t="s">
        <v>47</v>
      </c>
      <c r="J5013" t="s">
        <v>22</v>
      </c>
      <c r="K5013" t="s">
        <v>3990</v>
      </c>
      <c r="L5013" s="2">
        <v>46174</v>
      </c>
      <c r="M5013" t="s">
        <v>24</v>
      </c>
      <c r="N5013">
        <v>0</v>
      </c>
      <c r="O5013" t="s">
        <v>26</v>
      </c>
      <c r="P5013" t="s">
        <v>18</v>
      </c>
      <c r="Q5013" t="s">
        <v>27</v>
      </c>
    </row>
    <row r="5014" spans="1:17" x14ac:dyDescent="0.3">
      <c r="A5014" t="s">
        <v>17</v>
      </c>
      <c r="B5014">
        <v>63</v>
      </c>
      <c r="C5014" t="s">
        <v>18</v>
      </c>
      <c r="D5014" s="2">
        <v>46195</v>
      </c>
      <c r="E5014" s="3">
        <f t="shared" si="78"/>
        <v>46174</v>
      </c>
      <c r="F5014">
        <v>855609</v>
      </c>
      <c r="G5014" t="s">
        <v>125</v>
      </c>
      <c r="H5014" s="4">
        <v>250</v>
      </c>
      <c r="I5014" t="s">
        <v>47</v>
      </c>
      <c r="J5014" t="s">
        <v>22</v>
      </c>
      <c r="K5014" t="s">
        <v>3991</v>
      </c>
      <c r="L5014" s="2">
        <v>46174</v>
      </c>
      <c r="M5014" t="s">
        <v>24</v>
      </c>
      <c r="N5014">
        <v>0</v>
      </c>
      <c r="O5014" t="s">
        <v>26</v>
      </c>
      <c r="P5014" t="s">
        <v>18</v>
      </c>
      <c r="Q5014" t="s">
        <v>27</v>
      </c>
    </row>
    <row r="5015" spans="1:17" x14ac:dyDescent="0.3">
      <c r="A5015" t="s">
        <v>17</v>
      </c>
      <c r="B5015">
        <v>63</v>
      </c>
      <c r="C5015" t="s">
        <v>18</v>
      </c>
      <c r="D5015" s="2">
        <v>46195</v>
      </c>
      <c r="E5015" s="3">
        <f t="shared" si="78"/>
        <v>46174</v>
      </c>
      <c r="F5015">
        <v>855623</v>
      </c>
      <c r="G5015" t="s">
        <v>125</v>
      </c>
      <c r="H5015" s="4">
        <v>50</v>
      </c>
      <c r="I5015" t="s">
        <v>47</v>
      </c>
      <c r="J5015" t="s">
        <v>22</v>
      </c>
      <c r="K5015" t="s">
        <v>3984</v>
      </c>
      <c r="L5015" s="2">
        <v>46174</v>
      </c>
      <c r="M5015" t="s">
        <v>24</v>
      </c>
      <c r="N5015">
        <v>0</v>
      </c>
      <c r="O5015" t="s">
        <v>26</v>
      </c>
      <c r="P5015" t="s">
        <v>18</v>
      </c>
      <c r="Q5015" t="s">
        <v>27</v>
      </c>
    </row>
    <row r="5016" spans="1:17" x14ac:dyDescent="0.3">
      <c r="A5016" t="s">
        <v>17</v>
      </c>
      <c r="B5016">
        <v>63</v>
      </c>
      <c r="C5016" t="s">
        <v>18</v>
      </c>
      <c r="D5016" s="2">
        <v>46195</v>
      </c>
      <c r="E5016" s="3">
        <f t="shared" si="78"/>
        <v>46174</v>
      </c>
      <c r="F5016">
        <v>855623</v>
      </c>
      <c r="G5016" t="s">
        <v>125</v>
      </c>
      <c r="H5016" s="4">
        <v>250</v>
      </c>
      <c r="I5016" t="s">
        <v>47</v>
      </c>
      <c r="J5016" t="s">
        <v>22</v>
      </c>
      <c r="K5016" t="s">
        <v>3992</v>
      </c>
      <c r="L5016" s="2">
        <v>46174</v>
      </c>
      <c r="M5016" t="s">
        <v>24</v>
      </c>
      <c r="N5016">
        <v>0</v>
      </c>
      <c r="O5016" t="s">
        <v>26</v>
      </c>
      <c r="P5016" t="s">
        <v>18</v>
      </c>
      <c r="Q5016" t="s">
        <v>27</v>
      </c>
    </row>
    <row r="5017" spans="1:17" x14ac:dyDescent="0.3">
      <c r="A5017" t="s">
        <v>17</v>
      </c>
      <c r="B5017">
        <v>63</v>
      </c>
      <c r="C5017" t="s">
        <v>18</v>
      </c>
      <c r="D5017" s="2">
        <v>46199</v>
      </c>
      <c r="E5017" s="3">
        <f t="shared" si="78"/>
        <v>46174</v>
      </c>
      <c r="F5017">
        <v>856136</v>
      </c>
      <c r="G5017" t="s">
        <v>125</v>
      </c>
      <c r="H5017" s="4">
        <v>1200</v>
      </c>
      <c r="I5017" t="s">
        <v>47</v>
      </c>
      <c r="J5017" t="s">
        <v>22</v>
      </c>
      <c r="K5017" t="s">
        <v>3993</v>
      </c>
      <c r="L5017" s="2">
        <v>46174</v>
      </c>
      <c r="M5017" t="s">
        <v>24</v>
      </c>
      <c r="N5017">
        <v>0</v>
      </c>
      <c r="O5017" t="s">
        <v>26</v>
      </c>
      <c r="P5017" t="s">
        <v>18</v>
      </c>
      <c r="Q5017" t="s">
        <v>27</v>
      </c>
    </row>
    <row r="5018" spans="1:17" x14ac:dyDescent="0.3">
      <c r="A5018" t="s">
        <v>17</v>
      </c>
      <c r="B5018">
        <v>63</v>
      </c>
      <c r="C5018" t="s">
        <v>18</v>
      </c>
      <c r="D5018" s="2">
        <v>46199</v>
      </c>
      <c r="E5018" s="3">
        <f t="shared" si="78"/>
        <v>46174</v>
      </c>
      <c r="F5018">
        <v>856136</v>
      </c>
      <c r="G5018" t="s">
        <v>125</v>
      </c>
      <c r="H5018" s="4">
        <v>1200</v>
      </c>
      <c r="I5018" t="s">
        <v>47</v>
      </c>
      <c r="J5018" t="s">
        <v>22</v>
      </c>
      <c r="K5018" t="s">
        <v>3993</v>
      </c>
      <c r="L5018" s="2">
        <v>46174</v>
      </c>
      <c r="M5018" t="s">
        <v>24</v>
      </c>
      <c r="N5018">
        <v>0</v>
      </c>
      <c r="O5018" t="s">
        <v>26</v>
      </c>
      <c r="P5018" t="s">
        <v>18</v>
      </c>
      <c r="Q5018" t="s">
        <v>27</v>
      </c>
    </row>
    <row r="5019" spans="1:17" x14ac:dyDescent="0.3">
      <c r="A5019" t="s">
        <v>17</v>
      </c>
      <c r="B5019">
        <v>63</v>
      </c>
      <c r="C5019" t="s">
        <v>18</v>
      </c>
      <c r="D5019" s="2">
        <v>46199</v>
      </c>
      <c r="E5019" s="3">
        <f t="shared" si="78"/>
        <v>46174</v>
      </c>
      <c r="F5019">
        <v>856136</v>
      </c>
      <c r="G5019" t="s">
        <v>125</v>
      </c>
      <c r="H5019" s="4">
        <v>580</v>
      </c>
      <c r="I5019" t="s">
        <v>47</v>
      </c>
      <c r="J5019" t="s">
        <v>22</v>
      </c>
      <c r="K5019" t="s">
        <v>3994</v>
      </c>
      <c r="L5019" s="2">
        <v>46174</v>
      </c>
      <c r="M5019" t="s">
        <v>24</v>
      </c>
      <c r="N5019">
        <v>0</v>
      </c>
      <c r="O5019" t="s">
        <v>26</v>
      </c>
      <c r="P5019" t="s">
        <v>18</v>
      </c>
      <c r="Q5019" t="s">
        <v>27</v>
      </c>
    </row>
    <row r="5020" spans="1:17" x14ac:dyDescent="0.3">
      <c r="A5020" t="s">
        <v>17</v>
      </c>
      <c r="B5020">
        <v>63</v>
      </c>
      <c r="C5020" t="s">
        <v>18</v>
      </c>
      <c r="D5020" s="2">
        <v>46199</v>
      </c>
      <c r="E5020" s="3">
        <f t="shared" si="78"/>
        <v>46174</v>
      </c>
      <c r="F5020">
        <v>856136</v>
      </c>
      <c r="G5020" t="s">
        <v>125</v>
      </c>
      <c r="H5020" s="4">
        <v>500</v>
      </c>
      <c r="I5020" t="s">
        <v>47</v>
      </c>
      <c r="J5020" t="s">
        <v>22</v>
      </c>
      <c r="K5020" t="s">
        <v>3995</v>
      </c>
      <c r="L5020" s="2">
        <v>46174</v>
      </c>
      <c r="M5020" t="s">
        <v>24</v>
      </c>
      <c r="N5020">
        <v>0</v>
      </c>
      <c r="O5020" t="s">
        <v>26</v>
      </c>
      <c r="P5020" t="s">
        <v>18</v>
      </c>
      <c r="Q5020" t="s">
        <v>27</v>
      </c>
    </row>
    <row r="5021" spans="1:17" x14ac:dyDescent="0.3">
      <c r="A5021" t="s">
        <v>17</v>
      </c>
      <c r="B5021">
        <v>63</v>
      </c>
      <c r="C5021" t="s">
        <v>18</v>
      </c>
      <c r="D5021" s="2">
        <v>46202</v>
      </c>
      <c r="E5021" s="3">
        <f t="shared" si="78"/>
        <v>46174</v>
      </c>
      <c r="F5021">
        <v>255377</v>
      </c>
      <c r="G5021" t="s">
        <v>1210</v>
      </c>
      <c r="H5021" s="4">
        <v>720</v>
      </c>
      <c r="I5021" t="s">
        <v>47</v>
      </c>
      <c r="J5021" t="s">
        <v>22</v>
      </c>
      <c r="K5021" t="s">
        <v>3996</v>
      </c>
      <c r="L5021" s="2">
        <v>46174</v>
      </c>
      <c r="M5021" t="s">
        <v>24</v>
      </c>
      <c r="N5021">
        <v>0</v>
      </c>
      <c r="O5021" t="s">
        <v>26</v>
      </c>
      <c r="P5021" t="s">
        <v>18</v>
      </c>
      <c r="Q5021" t="s">
        <v>27</v>
      </c>
    </row>
    <row r="5022" spans="1:17" x14ac:dyDescent="0.3">
      <c r="A5022" t="s">
        <v>17</v>
      </c>
      <c r="B5022">
        <v>63</v>
      </c>
      <c r="C5022" t="s">
        <v>18</v>
      </c>
      <c r="D5022" s="2">
        <v>46203</v>
      </c>
      <c r="E5022" s="3">
        <f t="shared" si="78"/>
        <v>46174</v>
      </c>
      <c r="F5022" t="s">
        <v>3997</v>
      </c>
      <c r="H5022" s="4">
        <v>3576.26</v>
      </c>
      <c r="I5022" t="s">
        <v>47</v>
      </c>
      <c r="J5022" t="s">
        <v>326</v>
      </c>
      <c r="K5022" t="s">
        <v>3998</v>
      </c>
      <c r="L5022" s="2">
        <v>46174</v>
      </c>
      <c r="M5022" t="s">
        <v>328</v>
      </c>
      <c r="N5022">
        <v>0</v>
      </c>
      <c r="O5022" t="s">
        <v>26</v>
      </c>
      <c r="P5022" t="s">
        <v>18</v>
      </c>
      <c r="Q5022" t="s">
        <v>329</v>
      </c>
    </row>
    <row r="5023" spans="1:17" x14ac:dyDescent="0.3">
      <c r="A5023" t="s">
        <v>17</v>
      </c>
      <c r="B5023">
        <v>67</v>
      </c>
      <c r="C5023" t="s">
        <v>28</v>
      </c>
      <c r="D5023" s="2">
        <v>46176</v>
      </c>
      <c r="E5023" s="3">
        <f t="shared" si="78"/>
        <v>46174</v>
      </c>
      <c r="F5023" t="s">
        <v>3999</v>
      </c>
      <c r="G5023" t="s">
        <v>119</v>
      </c>
      <c r="H5023" s="4">
        <v>1112.5</v>
      </c>
      <c r="I5023" t="s">
        <v>31</v>
      </c>
      <c r="J5023" t="s">
        <v>68</v>
      </c>
      <c r="K5023" t="s">
        <v>4000</v>
      </c>
      <c r="L5023" s="2">
        <v>46174</v>
      </c>
      <c r="M5023" t="s">
        <v>68</v>
      </c>
      <c r="N5023">
        <v>0</v>
      </c>
      <c r="O5023" t="s">
        <v>31</v>
      </c>
      <c r="P5023" t="s">
        <v>28</v>
      </c>
      <c r="Q5023">
        <v>0</v>
      </c>
    </row>
    <row r="5024" spans="1:17" x14ac:dyDescent="0.3">
      <c r="A5024" t="s">
        <v>17</v>
      </c>
      <c r="B5024">
        <v>67</v>
      </c>
      <c r="C5024" t="s">
        <v>28</v>
      </c>
      <c r="D5024" s="2">
        <v>46178</v>
      </c>
      <c r="E5024" s="3">
        <f t="shared" si="78"/>
        <v>46174</v>
      </c>
      <c r="F5024" t="s">
        <v>4001</v>
      </c>
      <c r="G5024" t="s">
        <v>67</v>
      </c>
      <c r="H5024" s="4">
        <v>309.74</v>
      </c>
      <c r="I5024" t="s">
        <v>31</v>
      </c>
      <c r="J5024" t="s">
        <v>68</v>
      </c>
      <c r="K5024" t="s">
        <v>4002</v>
      </c>
      <c r="L5024" s="2">
        <v>46174</v>
      </c>
      <c r="M5024" t="s">
        <v>68</v>
      </c>
      <c r="N5024">
        <v>0</v>
      </c>
      <c r="O5024" t="s">
        <v>31</v>
      </c>
      <c r="P5024" t="s">
        <v>28</v>
      </c>
      <c r="Q5024">
        <v>0</v>
      </c>
    </row>
    <row r="5025" spans="1:17" x14ac:dyDescent="0.3">
      <c r="A5025" t="s">
        <v>17</v>
      </c>
      <c r="B5025">
        <v>67</v>
      </c>
      <c r="C5025" t="s">
        <v>28</v>
      </c>
      <c r="D5025" s="2">
        <v>46178</v>
      </c>
      <c r="E5025" s="3">
        <f t="shared" si="78"/>
        <v>46174</v>
      </c>
      <c r="F5025" t="s">
        <v>4003</v>
      </c>
      <c r="G5025" t="s">
        <v>67</v>
      </c>
      <c r="H5025" s="4">
        <v>662.68</v>
      </c>
      <c r="I5025" t="s">
        <v>31</v>
      </c>
      <c r="J5025" t="s">
        <v>68</v>
      </c>
      <c r="K5025" t="s">
        <v>4002</v>
      </c>
      <c r="L5025" s="2">
        <v>46174</v>
      </c>
      <c r="M5025" t="s">
        <v>68</v>
      </c>
      <c r="N5025">
        <v>0</v>
      </c>
      <c r="O5025" t="s">
        <v>31</v>
      </c>
      <c r="P5025" t="s">
        <v>28</v>
      </c>
      <c r="Q5025">
        <v>0</v>
      </c>
    </row>
    <row r="5026" spans="1:17" x14ac:dyDescent="0.3">
      <c r="A5026" t="s">
        <v>17</v>
      </c>
      <c r="B5026">
        <v>67</v>
      </c>
      <c r="C5026" t="s">
        <v>28</v>
      </c>
      <c r="D5026" s="2">
        <v>46183</v>
      </c>
      <c r="E5026" s="3">
        <f t="shared" si="78"/>
        <v>46174</v>
      </c>
      <c r="F5026" t="s">
        <v>4004</v>
      </c>
      <c r="G5026" t="s">
        <v>119</v>
      </c>
      <c r="H5026" s="4">
        <v>961.25</v>
      </c>
      <c r="I5026" t="s">
        <v>31</v>
      </c>
      <c r="J5026" t="s">
        <v>68</v>
      </c>
      <c r="K5026" t="s">
        <v>4005</v>
      </c>
      <c r="L5026" s="2">
        <v>46174</v>
      </c>
      <c r="M5026" t="s">
        <v>68</v>
      </c>
      <c r="N5026">
        <v>0</v>
      </c>
      <c r="O5026" t="s">
        <v>31</v>
      </c>
      <c r="P5026" t="s">
        <v>28</v>
      </c>
      <c r="Q5026">
        <v>0</v>
      </c>
    </row>
    <row r="5027" spans="1:17" x14ac:dyDescent="0.3">
      <c r="A5027" t="s">
        <v>17</v>
      </c>
      <c r="B5027">
        <v>67</v>
      </c>
      <c r="C5027" t="s">
        <v>28</v>
      </c>
      <c r="D5027" s="2">
        <v>46190</v>
      </c>
      <c r="E5027" s="3">
        <f t="shared" si="78"/>
        <v>46174</v>
      </c>
      <c r="F5027" t="s">
        <v>4006</v>
      </c>
      <c r="G5027" t="s">
        <v>119</v>
      </c>
      <c r="H5027" s="4">
        <v>1515</v>
      </c>
      <c r="I5027" t="s">
        <v>31</v>
      </c>
      <c r="J5027" t="s">
        <v>68</v>
      </c>
      <c r="K5027" t="s">
        <v>4000</v>
      </c>
      <c r="L5027" s="2">
        <v>46174</v>
      </c>
      <c r="M5027" t="s">
        <v>68</v>
      </c>
      <c r="N5027">
        <v>0</v>
      </c>
      <c r="O5027" t="s">
        <v>31</v>
      </c>
      <c r="P5027" t="s">
        <v>28</v>
      </c>
      <c r="Q5027">
        <v>0</v>
      </c>
    </row>
    <row r="5028" spans="1:17" x14ac:dyDescent="0.3">
      <c r="A5028" t="s">
        <v>17</v>
      </c>
      <c r="B5028">
        <v>67</v>
      </c>
      <c r="C5028" t="s">
        <v>28</v>
      </c>
      <c r="D5028" s="2">
        <v>46195</v>
      </c>
      <c r="E5028" s="3">
        <f t="shared" si="78"/>
        <v>46174</v>
      </c>
      <c r="F5028" t="s">
        <v>4007</v>
      </c>
      <c r="G5028" t="s">
        <v>67</v>
      </c>
      <c r="H5028" s="4">
        <v>319.89999999999998</v>
      </c>
      <c r="I5028" t="s">
        <v>31</v>
      </c>
      <c r="J5028" t="s">
        <v>68</v>
      </c>
      <c r="K5028" t="s">
        <v>4008</v>
      </c>
      <c r="L5028" s="2">
        <v>46174</v>
      </c>
      <c r="M5028" t="s">
        <v>68</v>
      </c>
      <c r="N5028">
        <v>0</v>
      </c>
      <c r="O5028" t="s">
        <v>31</v>
      </c>
      <c r="P5028" t="s">
        <v>28</v>
      </c>
      <c r="Q5028">
        <v>0</v>
      </c>
    </row>
    <row r="5029" spans="1:17" x14ac:dyDescent="0.3">
      <c r="A5029" t="s">
        <v>17</v>
      </c>
      <c r="B5029">
        <v>67</v>
      </c>
      <c r="C5029" t="s">
        <v>28</v>
      </c>
      <c r="D5029" s="2">
        <v>46197</v>
      </c>
      <c r="E5029" s="3">
        <f t="shared" si="78"/>
        <v>46174</v>
      </c>
      <c r="F5029" t="s">
        <v>4009</v>
      </c>
      <c r="G5029" t="s">
        <v>119</v>
      </c>
      <c r="H5029" s="4">
        <v>2950</v>
      </c>
      <c r="I5029" t="s">
        <v>31</v>
      </c>
      <c r="J5029" t="s">
        <v>68</v>
      </c>
      <c r="K5029" t="s">
        <v>4010</v>
      </c>
      <c r="L5029" s="2">
        <v>46174</v>
      </c>
      <c r="M5029" t="s">
        <v>68</v>
      </c>
      <c r="N5029">
        <v>0</v>
      </c>
      <c r="O5029" t="s">
        <v>31</v>
      </c>
      <c r="P5029" t="s">
        <v>28</v>
      </c>
      <c r="Q5029">
        <v>0</v>
      </c>
    </row>
    <row r="5030" spans="1:17" x14ac:dyDescent="0.3">
      <c r="A5030" t="s">
        <v>17</v>
      </c>
      <c r="B5030">
        <v>67</v>
      </c>
      <c r="C5030" t="s">
        <v>28</v>
      </c>
      <c r="D5030" s="2">
        <v>46199</v>
      </c>
      <c r="E5030" s="3">
        <f t="shared" si="78"/>
        <v>46174</v>
      </c>
      <c r="F5030" t="s">
        <v>4011</v>
      </c>
      <c r="G5030" t="s">
        <v>67</v>
      </c>
      <c r="H5030" s="4">
        <v>154.9</v>
      </c>
      <c r="I5030" t="s">
        <v>31</v>
      </c>
      <c r="J5030" t="s">
        <v>68</v>
      </c>
      <c r="K5030" t="s">
        <v>4012</v>
      </c>
      <c r="L5030" s="2">
        <v>46174</v>
      </c>
      <c r="M5030" t="s">
        <v>68</v>
      </c>
      <c r="N5030">
        <v>0</v>
      </c>
      <c r="O5030" t="s">
        <v>31</v>
      </c>
      <c r="P5030" t="s">
        <v>28</v>
      </c>
      <c r="Q5030">
        <v>0</v>
      </c>
    </row>
    <row r="5031" spans="1:17" x14ac:dyDescent="0.3">
      <c r="A5031" t="s">
        <v>17</v>
      </c>
      <c r="B5031">
        <v>67</v>
      </c>
      <c r="C5031" t="s">
        <v>28</v>
      </c>
      <c r="D5031" s="2">
        <v>46203</v>
      </c>
      <c r="E5031" s="3">
        <f t="shared" si="78"/>
        <v>46174</v>
      </c>
      <c r="F5031" t="s">
        <v>4013</v>
      </c>
      <c r="G5031" t="s">
        <v>119</v>
      </c>
      <c r="H5031" s="4">
        <v>1562.5</v>
      </c>
      <c r="I5031" t="s">
        <v>31</v>
      </c>
      <c r="J5031" t="s">
        <v>68</v>
      </c>
      <c r="K5031" t="s">
        <v>4000</v>
      </c>
      <c r="L5031" s="2">
        <v>46174</v>
      </c>
      <c r="M5031" t="s">
        <v>68</v>
      </c>
      <c r="N5031">
        <v>0</v>
      </c>
      <c r="O5031" t="s">
        <v>31</v>
      </c>
      <c r="P5031" t="s">
        <v>28</v>
      </c>
      <c r="Q5031">
        <v>0</v>
      </c>
    </row>
    <row r="5032" spans="1:17" x14ac:dyDescent="0.3">
      <c r="A5032" t="s">
        <v>17</v>
      </c>
      <c r="B5032">
        <v>65</v>
      </c>
      <c r="C5032" t="s">
        <v>54</v>
      </c>
      <c r="D5032" s="2">
        <v>46174</v>
      </c>
      <c r="E5032" s="3">
        <f t="shared" si="78"/>
        <v>46174</v>
      </c>
      <c r="F5032" t="s">
        <v>4014</v>
      </c>
      <c r="G5032" t="s">
        <v>40</v>
      </c>
      <c r="H5032" s="4">
        <v>31017.18</v>
      </c>
      <c r="I5032" t="s">
        <v>31</v>
      </c>
      <c r="J5032" t="s">
        <v>55</v>
      </c>
      <c r="K5032" t="s">
        <v>4015</v>
      </c>
      <c r="L5032" s="2">
        <v>46174</v>
      </c>
      <c r="M5032" t="s">
        <v>55</v>
      </c>
      <c r="N5032">
        <v>0</v>
      </c>
      <c r="O5032" t="s">
        <v>31</v>
      </c>
      <c r="P5032" t="s">
        <v>54</v>
      </c>
      <c r="Q5032">
        <v>0</v>
      </c>
    </row>
    <row r="5033" spans="1:17" x14ac:dyDescent="0.3">
      <c r="A5033" t="s">
        <v>17</v>
      </c>
      <c r="B5033">
        <v>65</v>
      </c>
      <c r="C5033" t="s">
        <v>54</v>
      </c>
      <c r="D5033" s="2">
        <v>46203</v>
      </c>
      <c r="E5033" s="3">
        <f t="shared" si="78"/>
        <v>46174</v>
      </c>
      <c r="F5033" t="s">
        <v>4016</v>
      </c>
      <c r="H5033" s="4">
        <v>-31017.18</v>
      </c>
      <c r="I5033" t="s">
        <v>31</v>
      </c>
      <c r="J5033" t="s">
        <v>55</v>
      </c>
      <c r="L5033" s="2">
        <v>46174</v>
      </c>
      <c r="M5033" t="s">
        <v>55</v>
      </c>
      <c r="N5033">
        <v>0</v>
      </c>
      <c r="O5033" t="s">
        <v>31</v>
      </c>
      <c r="P5033" t="s">
        <v>54</v>
      </c>
      <c r="Q5033">
        <v>0</v>
      </c>
    </row>
    <row r="5034" spans="1:17" x14ac:dyDescent="0.3">
      <c r="A5034" t="s">
        <v>17</v>
      </c>
      <c r="B5034">
        <v>68</v>
      </c>
      <c r="C5034" t="s">
        <v>34</v>
      </c>
      <c r="D5034" s="2">
        <v>46177</v>
      </c>
      <c r="E5034" s="3">
        <f t="shared" si="78"/>
        <v>46174</v>
      </c>
      <c r="F5034" t="s">
        <v>3899</v>
      </c>
      <c r="G5034" t="s">
        <v>158</v>
      </c>
      <c r="H5034" s="4">
        <v>-315</v>
      </c>
      <c r="I5034" t="s">
        <v>159</v>
      </c>
      <c r="J5034" t="s">
        <v>79</v>
      </c>
      <c r="K5034" t="s">
        <v>4017</v>
      </c>
      <c r="L5034" s="2">
        <v>46174</v>
      </c>
      <c r="M5034" t="s">
        <v>79</v>
      </c>
      <c r="N5034">
        <v>0</v>
      </c>
      <c r="O5034" t="s">
        <v>159</v>
      </c>
      <c r="P5034" t="s">
        <v>34</v>
      </c>
      <c r="Q5034">
        <v>0</v>
      </c>
    </row>
    <row r="5035" spans="1:17" x14ac:dyDescent="0.3">
      <c r="A5035" t="s">
        <v>17</v>
      </c>
      <c r="B5035">
        <v>68</v>
      </c>
      <c r="C5035" t="s">
        <v>34</v>
      </c>
      <c r="D5035" s="2">
        <v>46177</v>
      </c>
      <c r="E5035" s="3">
        <f t="shared" si="78"/>
        <v>46174</v>
      </c>
      <c r="F5035" t="s">
        <v>3899</v>
      </c>
      <c r="G5035" t="s">
        <v>158</v>
      </c>
      <c r="H5035" s="4">
        <v>-220</v>
      </c>
      <c r="I5035" t="s">
        <v>159</v>
      </c>
      <c r="J5035" t="s">
        <v>79</v>
      </c>
      <c r="K5035" t="s">
        <v>4017</v>
      </c>
      <c r="L5035" s="2">
        <v>46174</v>
      </c>
      <c r="M5035" t="s">
        <v>79</v>
      </c>
      <c r="N5035">
        <v>0</v>
      </c>
      <c r="O5035" t="s">
        <v>159</v>
      </c>
      <c r="P5035" t="s">
        <v>34</v>
      </c>
      <c r="Q5035">
        <v>0</v>
      </c>
    </row>
    <row r="5036" spans="1:17" x14ac:dyDescent="0.3">
      <c r="A5036" t="s">
        <v>17</v>
      </c>
      <c r="B5036">
        <v>68</v>
      </c>
      <c r="C5036" t="s">
        <v>34</v>
      </c>
      <c r="D5036" s="2">
        <v>46177</v>
      </c>
      <c r="E5036" s="3">
        <f t="shared" si="78"/>
        <v>46174</v>
      </c>
      <c r="F5036" t="s">
        <v>3899</v>
      </c>
      <c r="G5036" t="s">
        <v>158</v>
      </c>
      <c r="H5036" s="4">
        <v>535</v>
      </c>
      <c r="I5036" t="s">
        <v>159</v>
      </c>
      <c r="J5036" t="s">
        <v>79</v>
      </c>
      <c r="K5036" t="s">
        <v>4018</v>
      </c>
      <c r="L5036" s="2">
        <v>46174</v>
      </c>
      <c r="M5036" t="s">
        <v>79</v>
      </c>
      <c r="N5036">
        <v>0</v>
      </c>
      <c r="O5036" t="s">
        <v>159</v>
      </c>
      <c r="P5036" t="s">
        <v>34</v>
      </c>
      <c r="Q5036">
        <v>0</v>
      </c>
    </row>
    <row r="5037" spans="1:17" x14ac:dyDescent="0.3">
      <c r="A5037" t="s">
        <v>17</v>
      </c>
      <c r="B5037">
        <v>68</v>
      </c>
      <c r="C5037" t="s">
        <v>34</v>
      </c>
      <c r="D5037" s="2">
        <v>46177</v>
      </c>
      <c r="E5037" s="3">
        <f t="shared" si="78"/>
        <v>46174</v>
      </c>
      <c r="F5037" t="s">
        <v>3899</v>
      </c>
      <c r="G5037" t="s">
        <v>158</v>
      </c>
      <c r="H5037" s="4">
        <v>217.88</v>
      </c>
      <c r="I5037" t="s">
        <v>159</v>
      </c>
      <c r="J5037" t="s">
        <v>79</v>
      </c>
      <c r="K5037" t="s">
        <v>4019</v>
      </c>
      <c r="L5037" s="2">
        <v>46174</v>
      </c>
      <c r="M5037" t="s">
        <v>79</v>
      </c>
      <c r="N5037">
        <v>0</v>
      </c>
      <c r="O5037" t="s">
        <v>159</v>
      </c>
      <c r="P5037" t="s">
        <v>34</v>
      </c>
      <c r="Q5037">
        <v>0</v>
      </c>
    </row>
    <row r="5038" spans="1:17" x14ac:dyDescent="0.3">
      <c r="A5038" t="s">
        <v>17</v>
      </c>
      <c r="B5038">
        <v>68</v>
      </c>
      <c r="C5038" t="s">
        <v>34</v>
      </c>
      <c r="D5038" s="2">
        <v>46177</v>
      </c>
      <c r="E5038" s="3">
        <f t="shared" si="78"/>
        <v>46174</v>
      </c>
      <c r="F5038" t="s">
        <v>3927</v>
      </c>
      <c r="G5038" t="s">
        <v>101</v>
      </c>
      <c r="H5038" s="4">
        <v>54.44</v>
      </c>
      <c r="I5038" t="s">
        <v>31</v>
      </c>
      <c r="J5038" t="s">
        <v>79</v>
      </c>
      <c r="K5038" t="s">
        <v>4020</v>
      </c>
      <c r="L5038" s="2">
        <v>46174</v>
      </c>
      <c r="M5038" t="s">
        <v>79</v>
      </c>
      <c r="N5038">
        <v>0</v>
      </c>
      <c r="O5038" t="s">
        <v>31</v>
      </c>
      <c r="P5038" t="s">
        <v>34</v>
      </c>
      <c r="Q5038">
        <v>0</v>
      </c>
    </row>
    <row r="5039" spans="1:17" x14ac:dyDescent="0.3">
      <c r="A5039" t="s">
        <v>17</v>
      </c>
      <c r="B5039">
        <v>68</v>
      </c>
      <c r="C5039" t="s">
        <v>34</v>
      </c>
      <c r="D5039" s="2">
        <v>46181</v>
      </c>
      <c r="E5039" s="3">
        <f t="shared" si="78"/>
        <v>46174</v>
      </c>
      <c r="F5039" t="s">
        <v>4021</v>
      </c>
      <c r="G5039" t="s">
        <v>4022</v>
      </c>
      <c r="H5039" s="4">
        <v>44.13</v>
      </c>
      <c r="I5039" t="s">
        <v>31</v>
      </c>
      <c r="J5039" t="s">
        <v>79</v>
      </c>
      <c r="K5039" t="s">
        <v>4023</v>
      </c>
      <c r="L5039" s="2">
        <v>46174</v>
      </c>
      <c r="M5039" t="s">
        <v>79</v>
      </c>
      <c r="N5039">
        <v>0</v>
      </c>
      <c r="O5039" t="s">
        <v>31</v>
      </c>
      <c r="P5039" t="s">
        <v>34</v>
      </c>
      <c r="Q5039">
        <v>0</v>
      </c>
    </row>
    <row r="5040" spans="1:17" x14ac:dyDescent="0.3">
      <c r="A5040" t="s">
        <v>17</v>
      </c>
      <c r="B5040">
        <v>68</v>
      </c>
      <c r="C5040" t="s">
        <v>34</v>
      </c>
      <c r="D5040" s="2">
        <v>46183</v>
      </c>
      <c r="E5040" s="3">
        <f t="shared" si="78"/>
        <v>46174</v>
      </c>
      <c r="F5040">
        <v>17769</v>
      </c>
      <c r="G5040" t="s">
        <v>131</v>
      </c>
      <c r="H5040" s="4">
        <v>84.31</v>
      </c>
      <c r="I5040" t="s">
        <v>31</v>
      </c>
      <c r="J5040" t="s">
        <v>79</v>
      </c>
      <c r="K5040" t="s">
        <v>1276</v>
      </c>
      <c r="L5040" s="2">
        <v>46174</v>
      </c>
      <c r="M5040" t="s">
        <v>79</v>
      </c>
      <c r="N5040">
        <v>0</v>
      </c>
      <c r="O5040" t="s">
        <v>31</v>
      </c>
      <c r="P5040" t="s">
        <v>34</v>
      </c>
      <c r="Q5040">
        <v>0</v>
      </c>
    </row>
    <row r="5041" spans="1:17" x14ac:dyDescent="0.3">
      <c r="A5041" t="s">
        <v>17</v>
      </c>
      <c r="B5041">
        <v>68</v>
      </c>
      <c r="C5041" t="s">
        <v>34</v>
      </c>
      <c r="D5041" s="2">
        <v>46183</v>
      </c>
      <c r="E5041" s="3">
        <f t="shared" si="78"/>
        <v>46174</v>
      </c>
      <c r="F5041">
        <v>17769</v>
      </c>
      <c r="G5041" t="s">
        <v>131</v>
      </c>
      <c r="H5041" s="4">
        <v>950</v>
      </c>
      <c r="I5041" t="s">
        <v>31</v>
      </c>
      <c r="J5041" t="s">
        <v>79</v>
      </c>
      <c r="K5041" t="s">
        <v>4024</v>
      </c>
      <c r="L5041" s="2">
        <v>46174</v>
      </c>
      <c r="M5041" t="s">
        <v>79</v>
      </c>
      <c r="N5041">
        <v>0</v>
      </c>
      <c r="O5041" t="s">
        <v>31</v>
      </c>
      <c r="P5041" t="s">
        <v>34</v>
      </c>
      <c r="Q5041">
        <v>0</v>
      </c>
    </row>
    <row r="5042" spans="1:17" x14ac:dyDescent="0.3">
      <c r="A5042" t="s">
        <v>17</v>
      </c>
      <c r="B5042">
        <v>68</v>
      </c>
      <c r="C5042" t="s">
        <v>34</v>
      </c>
      <c r="D5042" s="2">
        <v>46184</v>
      </c>
      <c r="E5042" s="3">
        <f t="shared" si="78"/>
        <v>46174</v>
      </c>
      <c r="F5042" t="s">
        <v>3911</v>
      </c>
      <c r="G5042" t="s">
        <v>824</v>
      </c>
      <c r="H5042" s="4">
        <v>114.8</v>
      </c>
      <c r="I5042" t="s">
        <v>108</v>
      </c>
      <c r="J5042" t="s">
        <v>79</v>
      </c>
      <c r="K5042" t="s">
        <v>4025</v>
      </c>
      <c r="L5042" s="2">
        <v>46174</v>
      </c>
      <c r="M5042" t="s">
        <v>79</v>
      </c>
      <c r="N5042">
        <v>0</v>
      </c>
      <c r="O5042" t="s">
        <v>111</v>
      </c>
      <c r="P5042" t="s">
        <v>34</v>
      </c>
      <c r="Q5042">
        <v>0</v>
      </c>
    </row>
    <row r="5043" spans="1:17" x14ac:dyDescent="0.3">
      <c r="A5043" t="s">
        <v>17</v>
      </c>
      <c r="B5043">
        <v>68</v>
      </c>
      <c r="C5043" t="s">
        <v>34</v>
      </c>
      <c r="D5043" s="2">
        <v>46188</v>
      </c>
      <c r="E5043" s="3">
        <f t="shared" si="78"/>
        <v>46174</v>
      </c>
      <c r="F5043" t="s">
        <v>3917</v>
      </c>
      <c r="G5043" t="s">
        <v>174</v>
      </c>
      <c r="H5043" s="4">
        <v>44.44</v>
      </c>
      <c r="I5043" t="s">
        <v>31</v>
      </c>
      <c r="J5043" t="s">
        <v>79</v>
      </c>
      <c r="K5043" t="s">
        <v>4026</v>
      </c>
      <c r="L5043" s="2">
        <v>46174</v>
      </c>
      <c r="M5043" t="s">
        <v>79</v>
      </c>
      <c r="N5043">
        <v>0</v>
      </c>
      <c r="O5043" t="s">
        <v>31</v>
      </c>
      <c r="P5043" t="s">
        <v>34</v>
      </c>
      <c r="Q5043">
        <v>0</v>
      </c>
    </row>
    <row r="5044" spans="1:17" x14ac:dyDescent="0.3">
      <c r="A5044" t="s">
        <v>17</v>
      </c>
      <c r="B5044">
        <v>68</v>
      </c>
      <c r="C5044" t="s">
        <v>34</v>
      </c>
      <c r="D5044" s="2">
        <v>46190</v>
      </c>
      <c r="E5044" s="3">
        <f t="shared" si="78"/>
        <v>46174</v>
      </c>
      <c r="F5044" t="s">
        <v>3919</v>
      </c>
      <c r="G5044" t="s">
        <v>158</v>
      </c>
      <c r="H5044" s="4">
        <v>69.680000000000007</v>
      </c>
      <c r="I5044" t="s">
        <v>159</v>
      </c>
      <c r="J5044" t="s">
        <v>79</v>
      </c>
      <c r="K5044" t="s">
        <v>4019</v>
      </c>
      <c r="L5044" s="2">
        <v>46174</v>
      </c>
      <c r="M5044" t="s">
        <v>79</v>
      </c>
      <c r="N5044">
        <v>0</v>
      </c>
      <c r="O5044" t="s">
        <v>159</v>
      </c>
      <c r="P5044" t="s">
        <v>34</v>
      </c>
      <c r="Q5044">
        <v>0</v>
      </c>
    </row>
    <row r="5045" spans="1:17" x14ac:dyDescent="0.3">
      <c r="A5045" t="s">
        <v>17</v>
      </c>
      <c r="B5045">
        <v>68</v>
      </c>
      <c r="C5045" t="s">
        <v>34</v>
      </c>
      <c r="D5045" s="2">
        <v>46190</v>
      </c>
      <c r="E5045" s="3">
        <f t="shared" si="78"/>
        <v>46174</v>
      </c>
      <c r="F5045" t="s">
        <v>3919</v>
      </c>
      <c r="G5045" t="s">
        <v>158</v>
      </c>
      <c r="H5045" s="4">
        <v>69.680000000000007</v>
      </c>
      <c r="I5045" t="s">
        <v>159</v>
      </c>
      <c r="J5045" t="s">
        <v>79</v>
      </c>
      <c r="K5045" t="s">
        <v>4019</v>
      </c>
      <c r="L5045" s="2">
        <v>46174</v>
      </c>
      <c r="M5045" t="s">
        <v>79</v>
      </c>
      <c r="N5045">
        <v>0</v>
      </c>
      <c r="O5045" t="s">
        <v>159</v>
      </c>
      <c r="P5045" t="s">
        <v>34</v>
      </c>
      <c r="Q5045">
        <v>0</v>
      </c>
    </row>
    <row r="5046" spans="1:17" x14ac:dyDescent="0.3">
      <c r="A5046" t="s">
        <v>17</v>
      </c>
      <c r="B5046">
        <v>68</v>
      </c>
      <c r="C5046" t="s">
        <v>34</v>
      </c>
      <c r="D5046" s="2">
        <v>46190</v>
      </c>
      <c r="E5046" s="3">
        <f t="shared" si="78"/>
        <v>46174</v>
      </c>
      <c r="F5046" t="s">
        <v>3919</v>
      </c>
      <c r="G5046" t="s">
        <v>158</v>
      </c>
      <c r="H5046" s="4">
        <v>139.36000000000001</v>
      </c>
      <c r="I5046" t="s">
        <v>159</v>
      </c>
      <c r="J5046" t="s">
        <v>79</v>
      </c>
      <c r="K5046" t="s">
        <v>4027</v>
      </c>
      <c r="L5046" s="2">
        <v>46174</v>
      </c>
      <c r="M5046" t="s">
        <v>79</v>
      </c>
      <c r="N5046">
        <v>0</v>
      </c>
      <c r="O5046" t="s">
        <v>159</v>
      </c>
      <c r="P5046" t="s">
        <v>34</v>
      </c>
      <c r="Q5046">
        <v>0</v>
      </c>
    </row>
    <row r="5047" spans="1:17" x14ac:dyDescent="0.3">
      <c r="A5047" t="s">
        <v>17</v>
      </c>
      <c r="B5047">
        <v>68</v>
      </c>
      <c r="C5047" t="s">
        <v>34</v>
      </c>
      <c r="D5047" s="2">
        <v>46203</v>
      </c>
      <c r="E5047" s="3">
        <f t="shared" si="78"/>
        <v>46174</v>
      </c>
      <c r="F5047" t="s">
        <v>4028</v>
      </c>
      <c r="G5047" t="s">
        <v>266</v>
      </c>
      <c r="H5047" s="4">
        <v>1192.26</v>
      </c>
      <c r="I5047" t="s">
        <v>31</v>
      </c>
      <c r="J5047" t="s">
        <v>79</v>
      </c>
      <c r="K5047" t="s">
        <v>4029</v>
      </c>
      <c r="L5047" s="2">
        <v>46174</v>
      </c>
      <c r="M5047" t="s">
        <v>79</v>
      </c>
      <c r="N5047">
        <v>0</v>
      </c>
      <c r="O5047" t="s">
        <v>31</v>
      </c>
      <c r="P5047" t="s">
        <v>34</v>
      </c>
      <c r="Q5047">
        <v>0</v>
      </c>
    </row>
    <row r="5048" spans="1:17" x14ac:dyDescent="0.3">
      <c r="A5048" t="s">
        <v>17</v>
      </c>
      <c r="B5048">
        <v>68</v>
      </c>
      <c r="C5048" t="s">
        <v>34</v>
      </c>
      <c r="D5048" s="2">
        <v>46203</v>
      </c>
      <c r="E5048" s="3">
        <f t="shared" si="78"/>
        <v>46174</v>
      </c>
      <c r="F5048" t="s">
        <v>3921</v>
      </c>
      <c r="G5048" t="s">
        <v>1334</v>
      </c>
      <c r="H5048" s="4">
        <v>-93.97</v>
      </c>
      <c r="I5048" t="s">
        <v>31</v>
      </c>
      <c r="J5048" t="s">
        <v>79</v>
      </c>
      <c r="K5048" t="s">
        <v>4030</v>
      </c>
      <c r="L5048" s="2">
        <v>46174</v>
      </c>
      <c r="M5048" t="s">
        <v>79</v>
      </c>
      <c r="N5048">
        <v>0</v>
      </c>
      <c r="O5048" t="s">
        <v>31</v>
      </c>
      <c r="P5048" t="s">
        <v>34</v>
      </c>
      <c r="Q5048">
        <v>0</v>
      </c>
    </row>
    <row r="5049" spans="1:17" x14ac:dyDescent="0.3">
      <c r="A5049" t="s">
        <v>17</v>
      </c>
      <c r="B5049">
        <v>68</v>
      </c>
      <c r="C5049" t="s">
        <v>34</v>
      </c>
      <c r="D5049" s="2">
        <v>46203</v>
      </c>
      <c r="E5049" s="3">
        <f t="shared" si="78"/>
        <v>46174</v>
      </c>
      <c r="G5049" t="s">
        <v>174</v>
      </c>
      <c r="H5049" s="4">
        <v>-35.950000000000003</v>
      </c>
      <c r="I5049" t="s">
        <v>31</v>
      </c>
      <c r="J5049" t="s">
        <v>79</v>
      </c>
      <c r="K5049" t="s">
        <v>4031</v>
      </c>
      <c r="L5049" s="2">
        <v>46174</v>
      </c>
      <c r="M5049" t="s">
        <v>79</v>
      </c>
      <c r="N5049">
        <v>0</v>
      </c>
      <c r="O5049" t="s">
        <v>31</v>
      </c>
      <c r="P5049" t="s">
        <v>34</v>
      </c>
      <c r="Q5049">
        <v>0</v>
      </c>
    </row>
    <row r="5050" spans="1:17" x14ac:dyDescent="0.3">
      <c r="A5050" t="s">
        <v>17</v>
      </c>
      <c r="B5050">
        <v>68</v>
      </c>
      <c r="C5050" t="s">
        <v>34</v>
      </c>
      <c r="D5050" s="2">
        <v>46203</v>
      </c>
      <c r="E5050" s="3">
        <f t="shared" si="78"/>
        <v>46174</v>
      </c>
      <c r="F5050" t="s">
        <v>4032</v>
      </c>
      <c r="H5050" s="4">
        <v>36</v>
      </c>
      <c r="I5050" t="s">
        <v>21</v>
      </c>
      <c r="J5050" t="s">
        <v>79</v>
      </c>
      <c r="K5050" t="s">
        <v>320</v>
      </c>
      <c r="L5050" s="2">
        <v>46174</v>
      </c>
      <c r="M5050" t="s">
        <v>79</v>
      </c>
      <c r="N5050" t="s">
        <v>25</v>
      </c>
      <c r="O5050" t="s">
        <v>81</v>
      </c>
      <c r="P5050" t="s">
        <v>34</v>
      </c>
      <c r="Q5050">
        <v>0</v>
      </c>
    </row>
    <row r="5051" spans="1:17" x14ac:dyDescent="0.3">
      <c r="A5051" t="s">
        <v>17</v>
      </c>
      <c r="B5051">
        <v>66</v>
      </c>
      <c r="C5051" t="s">
        <v>134</v>
      </c>
      <c r="D5051" s="2">
        <v>46176</v>
      </c>
      <c r="E5051" s="3">
        <f t="shared" si="78"/>
        <v>46174</v>
      </c>
      <c r="F5051" t="s">
        <v>4033</v>
      </c>
      <c r="G5051" t="s">
        <v>254</v>
      </c>
      <c r="H5051" s="4">
        <v>150</v>
      </c>
      <c r="I5051" t="s">
        <v>47</v>
      </c>
      <c r="J5051" t="s">
        <v>255</v>
      </c>
      <c r="K5051" t="s">
        <v>4034</v>
      </c>
      <c r="L5051" s="2">
        <v>46174</v>
      </c>
      <c r="M5051" t="s">
        <v>257</v>
      </c>
      <c r="N5051">
        <v>0</v>
      </c>
      <c r="O5051" t="s">
        <v>111</v>
      </c>
      <c r="P5051" t="s">
        <v>134</v>
      </c>
      <c r="Q5051">
        <v>0</v>
      </c>
    </row>
    <row r="5052" spans="1:17" x14ac:dyDescent="0.3">
      <c r="A5052" t="s">
        <v>17</v>
      </c>
      <c r="B5052">
        <v>66</v>
      </c>
      <c r="C5052" t="s">
        <v>134</v>
      </c>
      <c r="D5052" s="2">
        <v>46176</v>
      </c>
      <c r="E5052" s="3">
        <f t="shared" si="78"/>
        <v>46174</v>
      </c>
      <c r="F5052" t="s">
        <v>4033</v>
      </c>
      <c r="G5052" t="s">
        <v>254</v>
      </c>
      <c r="H5052" s="4">
        <v>200</v>
      </c>
      <c r="I5052" t="s">
        <v>47</v>
      </c>
      <c r="J5052" t="s">
        <v>255</v>
      </c>
      <c r="K5052" t="s">
        <v>4035</v>
      </c>
      <c r="L5052" s="2">
        <v>46174</v>
      </c>
      <c r="M5052" t="s">
        <v>257</v>
      </c>
      <c r="N5052">
        <v>0</v>
      </c>
      <c r="O5052" t="s">
        <v>111</v>
      </c>
      <c r="P5052" t="s">
        <v>134</v>
      </c>
      <c r="Q5052">
        <v>0</v>
      </c>
    </row>
    <row r="5053" spans="1:17" x14ac:dyDescent="0.3">
      <c r="A5053" t="s">
        <v>17</v>
      </c>
      <c r="B5053">
        <v>66</v>
      </c>
      <c r="C5053" t="s">
        <v>134</v>
      </c>
      <c r="D5053" s="2">
        <v>46176</v>
      </c>
      <c r="E5053" s="3">
        <f t="shared" si="78"/>
        <v>46174</v>
      </c>
      <c r="F5053" t="s">
        <v>4036</v>
      </c>
      <c r="G5053" t="s">
        <v>254</v>
      </c>
      <c r="H5053" s="4">
        <v>200</v>
      </c>
      <c r="I5053" t="s">
        <v>47</v>
      </c>
      <c r="J5053" t="s">
        <v>255</v>
      </c>
      <c r="K5053" t="s">
        <v>4037</v>
      </c>
      <c r="L5053" s="2">
        <v>46174</v>
      </c>
      <c r="M5053" t="s">
        <v>257</v>
      </c>
      <c r="N5053">
        <v>0</v>
      </c>
      <c r="O5053" t="s">
        <v>111</v>
      </c>
      <c r="P5053" t="s">
        <v>134</v>
      </c>
      <c r="Q5053">
        <v>0</v>
      </c>
    </row>
    <row r="5054" spans="1:17" x14ac:dyDescent="0.3">
      <c r="A5054" t="s">
        <v>17</v>
      </c>
      <c r="B5054">
        <v>66</v>
      </c>
      <c r="C5054" t="s">
        <v>134</v>
      </c>
      <c r="D5054" s="2">
        <v>46176</v>
      </c>
      <c r="E5054" s="3">
        <f t="shared" si="78"/>
        <v>46174</v>
      </c>
      <c r="F5054" t="s">
        <v>4036</v>
      </c>
      <c r="G5054" t="s">
        <v>254</v>
      </c>
      <c r="H5054" s="4">
        <v>200</v>
      </c>
      <c r="I5054" t="s">
        <v>47</v>
      </c>
      <c r="J5054" t="s">
        <v>255</v>
      </c>
      <c r="K5054" t="s">
        <v>4037</v>
      </c>
      <c r="L5054" s="2">
        <v>46174</v>
      </c>
      <c r="M5054" t="s">
        <v>257</v>
      </c>
      <c r="N5054">
        <v>0</v>
      </c>
      <c r="O5054" t="s">
        <v>111</v>
      </c>
      <c r="P5054" t="s">
        <v>134</v>
      </c>
      <c r="Q5054">
        <v>0</v>
      </c>
    </row>
    <row r="5055" spans="1:17" x14ac:dyDescent="0.3">
      <c r="A5055" t="s">
        <v>17</v>
      </c>
      <c r="B5055">
        <v>66</v>
      </c>
      <c r="C5055" t="s">
        <v>134</v>
      </c>
      <c r="D5055" s="2">
        <v>46176</v>
      </c>
      <c r="E5055" s="3">
        <f t="shared" si="78"/>
        <v>46174</v>
      </c>
      <c r="F5055" t="s">
        <v>4036</v>
      </c>
      <c r="G5055" t="s">
        <v>254</v>
      </c>
      <c r="H5055" s="4">
        <v>200</v>
      </c>
      <c r="I5055" t="s">
        <v>47</v>
      </c>
      <c r="J5055" t="s">
        <v>255</v>
      </c>
      <c r="K5055" t="s">
        <v>4038</v>
      </c>
      <c r="L5055" s="2">
        <v>46174</v>
      </c>
      <c r="M5055" t="s">
        <v>257</v>
      </c>
      <c r="N5055">
        <v>0</v>
      </c>
      <c r="O5055" t="s">
        <v>111</v>
      </c>
      <c r="P5055" t="s">
        <v>134</v>
      </c>
      <c r="Q5055">
        <v>0</v>
      </c>
    </row>
    <row r="5056" spans="1:17" x14ac:dyDescent="0.3">
      <c r="A5056" t="s">
        <v>17</v>
      </c>
      <c r="B5056">
        <v>66</v>
      </c>
      <c r="C5056" t="s">
        <v>134</v>
      </c>
      <c r="D5056" s="2">
        <v>46176</v>
      </c>
      <c r="E5056" s="3">
        <f t="shared" si="78"/>
        <v>46174</v>
      </c>
      <c r="F5056" t="s">
        <v>4036</v>
      </c>
      <c r="G5056" t="s">
        <v>254</v>
      </c>
      <c r="H5056" s="4">
        <v>200</v>
      </c>
      <c r="I5056" t="s">
        <v>47</v>
      </c>
      <c r="J5056" t="s">
        <v>255</v>
      </c>
      <c r="K5056" t="s">
        <v>4039</v>
      </c>
      <c r="L5056" s="2">
        <v>46174</v>
      </c>
      <c r="M5056" t="s">
        <v>257</v>
      </c>
      <c r="N5056">
        <v>0</v>
      </c>
      <c r="O5056" t="s">
        <v>111</v>
      </c>
      <c r="P5056" t="s">
        <v>134</v>
      </c>
      <c r="Q5056">
        <v>0</v>
      </c>
    </row>
    <row r="5057" spans="1:17" x14ac:dyDescent="0.3">
      <c r="A5057" t="s">
        <v>17</v>
      </c>
      <c r="B5057">
        <v>66</v>
      </c>
      <c r="C5057" t="s">
        <v>134</v>
      </c>
      <c r="D5057" s="2">
        <v>46192</v>
      </c>
      <c r="E5057" s="3">
        <f t="shared" si="78"/>
        <v>46174</v>
      </c>
      <c r="F5057">
        <v>2181641314</v>
      </c>
      <c r="G5057" t="s">
        <v>1261</v>
      </c>
      <c r="H5057" s="4">
        <v>0</v>
      </c>
      <c r="I5057" t="s">
        <v>21</v>
      </c>
      <c r="J5057" t="s">
        <v>223</v>
      </c>
      <c r="K5057" t="s">
        <v>2023</v>
      </c>
      <c r="L5057" s="2">
        <v>46174</v>
      </c>
      <c r="M5057" t="s">
        <v>223</v>
      </c>
      <c r="N5057" t="s">
        <v>25</v>
      </c>
      <c r="O5057" t="s">
        <v>111</v>
      </c>
      <c r="P5057" t="s">
        <v>134</v>
      </c>
      <c r="Q5057">
        <v>0</v>
      </c>
    </row>
    <row r="5058" spans="1:17" x14ac:dyDescent="0.3">
      <c r="A5058" t="s">
        <v>17</v>
      </c>
      <c r="B5058">
        <v>68</v>
      </c>
      <c r="C5058" t="s">
        <v>34</v>
      </c>
      <c r="D5058" s="2">
        <v>46174</v>
      </c>
      <c r="E5058" s="3">
        <f t="shared" si="78"/>
        <v>46174</v>
      </c>
      <c r="F5058" t="s">
        <v>4040</v>
      </c>
      <c r="G5058" t="s">
        <v>122</v>
      </c>
      <c r="H5058" s="4">
        <v>19.829999999999998</v>
      </c>
      <c r="I5058" t="s">
        <v>108</v>
      </c>
      <c r="J5058" t="s">
        <v>109</v>
      </c>
      <c r="K5058" t="s">
        <v>2776</v>
      </c>
      <c r="L5058" s="2">
        <v>46174</v>
      </c>
      <c r="M5058" t="s">
        <v>109</v>
      </c>
      <c r="N5058">
        <v>0</v>
      </c>
      <c r="O5058" t="s">
        <v>111</v>
      </c>
      <c r="P5058" t="s">
        <v>112</v>
      </c>
      <c r="Q5058" t="s">
        <v>113</v>
      </c>
    </row>
    <row r="5059" spans="1:17" x14ac:dyDescent="0.3">
      <c r="A5059" t="s">
        <v>17</v>
      </c>
      <c r="B5059">
        <v>68</v>
      </c>
      <c r="C5059" t="s">
        <v>34</v>
      </c>
      <c r="D5059" s="2">
        <v>46174</v>
      </c>
      <c r="E5059" s="3">
        <f t="shared" ref="E5059:E5122" si="79">IF($D5059="","",DATE(YEAR($D5059),MONTH($D5059),1))</f>
        <v>46174</v>
      </c>
      <c r="F5059" t="s">
        <v>4041</v>
      </c>
      <c r="G5059" t="s">
        <v>291</v>
      </c>
      <c r="H5059" s="4">
        <v>330.48</v>
      </c>
      <c r="I5059" t="s">
        <v>47</v>
      </c>
      <c r="J5059" t="s">
        <v>109</v>
      </c>
      <c r="K5059" t="s">
        <v>4042</v>
      </c>
      <c r="L5059" s="2">
        <v>46174</v>
      </c>
      <c r="M5059" t="s">
        <v>109</v>
      </c>
      <c r="N5059">
        <v>0</v>
      </c>
      <c r="O5059" t="s">
        <v>26</v>
      </c>
      <c r="P5059" t="s">
        <v>112</v>
      </c>
      <c r="Q5059" t="s">
        <v>113</v>
      </c>
    </row>
    <row r="5060" spans="1:17" x14ac:dyDescent="0.3">
      <c r="A5060" t="s">
        <v>17</v>
      </c>
      <c r="B5060">
        <v>68</v>
      </c>
      <c r="C5060" t="s">
        <v>34</v>
      </c>
      <c r="D5060" s="2">
        <v>46174</v>
      </c>
      <c r="E5060" s="3">
        <f t="shared" si="79"/>
        <v>46174</v>
      </c>
      <c r="F5060" t="s">
        <v>4041</v>
      </c>
      <c r="G5060" t="s">
        <v>291</v>
      </c>
      <c r="H5060" s="4">
        <v>259.33999999999997</v>
      </c>
      <c r="I5060" t="s">
        <v>47</v>
      </c>
      <c r="J5060" t="s">
        <v>109</v>
      </c>
      <c r="K5060" t="s">
        <v>4043</v>
      </c>
      <c r="L5060" s="2">
        <v>46174</v>
      </c>
      <c r="M5060" t="s">
        <v>109</v>
      </c>
      <c r="N5060">
        <v>0</v>
      </c>
      <c r="O5060" t="s">
        <v>26</v>
      </c>
      <c r="P5060" t="s">
        <v>112</v>
      </c>
      <c r="Q5060" t="s">
        <v>113</v>
      </c>
    </row>
    <row r="5061" spans="1:17" x14ac:dyDescent="0.3">
      <c r="A5061" t="s">
        <v>17</v>
      </c>
      <c r="B5061">
        <v>68</v>
      </c>
      <c r="C5061" t="s">
        <v>34</v>
      </c>
      <c r="D5061" s="2">
        <v>46175</v>
      </c>
      <c r="E5061" s="3">
        <f t="shared" si="79"/>
        <v>46174</v>
      </c>
      <c r="F5061" t="s">
        <v>4044</v>
      </c>
      <c r="G5061" t="s">
        <v>122</v>
      </c>
      <c r="H5061" s="4">
        <v>10.27</v>
      </c>
      <c r="I5061" t="s">
        <v>108</v>
      </c>
      <c r="J5061" t="s">
        <v>109</v>
      </c>
      <c r="K5061" t="s">
        <v>1450</v>
      </c>
      <c r="L5061" s="2">
        <v>46174</v>
      </c>
      <c r="M5061" t="s">
        <v>109</v>
      </c>
      <c r="N5061">
        <v>0</v>
      </c>
      <c r="O5061" t="s">
        <v>111</v>
      </c>
      <c r="P5061" t="s">
        <v>112</v>
      </c>
      <c r="Q5061" t="s">
        <v>113</v>
      </c>
    </row>
    <row r="5062" spans="1:17" x14ac:dyDescent="0.3">
      <c r="A5062" t="s">
        <v>17</v>
      </c>
      <c r="B5062">
        <v>68</v>
      </c>
      <c r="C5062" t="s">
        <v>34</v>
      </c>
      <c r="D5062" s="2">
        <v>46175</v>
      </c>
      <c r="E5062" s="3">
        <f t="shared" si="79"/>
        <v>46174</v>
      </c>
      <c r="F5062" t="s">
        <v>4044</v>
      </c>
      <c r="G5062" t="s">
        <v>122</v>
      </c>
      <c r="H5062" s="4">
        <v>17</v>
      </c>
      <c r="I5062" t="s">
        <v>108</v>
      </c>
      <c r="J5062" t="s">
        <v>109</v>
      </c>
      <c r="K5062" t="s">
        <v>4045</v>
      </c>
      <c r="L5062" s="2">
        <v>46174</v>
      </c>
      <c r="M5062" t="s">
        <v>109</v>
      </c>
      <c r="N5062">
        <v>0</v>
      </c>
      <c r="O5062" t="s">
        <v>111</v>
      </c>
      <c r="P5062" t="s">
        <v>112</v>
      </c>
      <c r="Q5062" t="s">
        <v>113</v>
      </c>
    </row>
    <row r="5063" spans="1:17" x14ac:dyDescent="0.3">
      <c r="A5063" t="s">
        <v>17</v>
      </c>
      <c r="B5063">
        <v>68</v>
      </c>
      <c r="C5063" t="s">
        <v>34</v>
      </c>
      <c r="D5063" s="2">
        <v>46175</v>
      </c>
      <c r="E5063" s="3">
        <f t="shared" si="79"/>
        <v>46174</v>
      </c>
      <c r="F5063" t="s">
        <v>4044</v>
      </c>
      <c r="G5063" t="s">
        <v>122</v>
      </c>
      <c r="H5063" s="4">
        <v>3.11</v>
      </c>
      <c r="I5063" t="s">
        <v>108</v>
      </c>
      <c r="J5063" t="s">
        <v>109</v>
      </c>
      <c r="K5063" t="s">
        <v>4046</v>
      </c>
      <c r="L5063" s="2">
        <v>46174</v>
      </c>
      <c r="M5063" t="s">
        <v>109</v>
      </c>
      <c r="N5063">
        <v>0</v>
      </c>
      <c r="O5063" t="s">
        <v>111</v>
      </c>
      <c r="P5063" t="s">
        <v>112</v>
      </c>
      <c r="Q5063" t="s">
        <v>113</v>
      </c>
    </row>
    <row r="5064" spans="1:17" x14ac:dyDescent="0.3">
      <c r="A5064" t="s">
        <v>17</v>
      </c>
      <c r="B5064">
        <v>68</v>
      </c>
      <c r="C5064" t="s">
        <v>34</v>
      </c>
      <c r="D5064" s="2">
        <v>46175</v>
      </c>
      <c r="E5064" s="3">
        <f t="shared" si="79"/>
        <v>46174</v>
      </c>
      <c r="F5064" t="s">
        <v>4047</v>
      </c>
      <c r="G5064" t="s">
        <v>122</v>
      </c>
      <c r="H5064" s="4">
        <v>26.42</v>
      </c>
      <c r="I5064" t="s">
        <v>108</v>
      </c>
      <c r="J5064" t="s">
        <v>109</v>
      </c>
      <c r="K5064" t="s">
        <v>4048</v>
      </c>
      <c r="L5064" s="2">
        <v>46174</v>
      </c>
      <c r="M5064" t="s">
        <v>109</v>
      </c>
      <c r="N5064">
        <v>0</v>
      </c>
      <c r="O5064" t="s">
        <v>111</v>
      </c>
      <c r="P5064" t="s">
        <v>112</v>
      </c>
      <c r="Q5064" t="s">
        <v>113</v>
      </c>
    </row>
    <row r="5065" spans="1:17" x14ac:dyDescent="0.3">
      <c r="A5065" t="s">
        <v>17</v>
      </c>
      <c r="B5065">
        <v>68</v>
      </c>
      <c r="C5065" t="s">
        <v>34</v>
      </c>
      <c r="D5065" s="2">
        <v>46175</v>
      </c>
      <c r="E5065" s="3">
        <f t="shared" si="79"/>
        <v>46174</v>
      </c>
      <c r="F5065" t="s">
        <v>4049</v>
      </c>
      <c r="G5065" t="s">
        <v>122</v>
      </c>
      <c r="H5065" s="4">
        <v>21.89</v>
      </c>
      <c r="I5065" t="s">
        <v>108</v>
      </c>
      <c r="J5065" t="s">
        <v>109</v>
      </c>
      <c r="K5065" t="s">
        <v>4050</v>
      </c>
      <c r="L5065" s="2">
        <v>46174</v>
      </c>
      <c r="M5065" t="s">
        <v>109</v>
      </c>
      <c r="N5065">
        <v>0</v>
      </c>
      <c r="O5065" t="s">
        <v>111</v>
      </c>
      <c r="P5065" t="s">
        <v>112</v>
      </c>
      <c r="Q5065" t="s">
        <v>113</v>
      </c>
    </row>
    <row r="5066" spans="1:17" x14ac:dyDescent="0.3">
      <c r="A5066" t="s">
        <v>17</v>
      </c>
      <c r="B5066">
        <v>68</v>
      </c>
      <c r="C5066" t="s">
        <v>34</v>
      </c>
      <c r="D5066" s="2">
        <v>46175</v>
      </c>
      <c r="E5066" s="3">
        <f t="shared" si="79"/>
        <v>46174</v>
      </c>
      <c r="F5066" t="s">
        <v>4051</v>
      </c>
      <c r="G5066" t="s">
        <v>122</v>
      </c>
      <c r="H5066" s="4">
        <v>1.38</v>
      </c>
      <c r="I5066" t="s">
        <v>108</v>
      </c>
      <c r="J5066" t="s">
        <v>109</v>
      </c>
      <c r="K5066" t="s">
        <v>1450</v>
      </c>
      <c r="L5066" s="2">
        <v>46174</v>
      </c>
      <c r="M5066" t="s">
        <v>109</v>
      </c>
      <c r="N5066">
        <v>0</v>
      </c>
      <c r="O5066" t="s">
        <v>111</v>
      </c>
      <c r="P5066" t="s">
        <v>112</v>
      </c>
      <c r="Q5066" t="s">
        <v>113</v>
      </c>
    </row>
    <row r="5067" spans="1:17" x14ac:dyDescent="0.3">
      <c r="A5067" t="s">
        <v>17</v>
      </c>
      <c r="B5067">
        <v>68</v>
      </c>
      <c r="C5067" t="s">
        <v>34</v>
      </c>
      <c r="D5067" s="2">
        <v>46175</v>
      </c>
      <c r="E5067" s="3">
        <f t="shared" si="79"/>
        <v>46174</v>
      </c>
      <c r="F5067" t="s">
        <v>4051</v>
      </c>
      <c r="G5067" t="s">
        <v>122</v>
      </c>
      <c r="H5067" s="4">
        <v>17.5</v>
      </c>
      <c r="I5067" t="s">
        <v>108</v>
      </c>
      <c r="J5067" t="s">
        <v>109</v>
      </c>
      <c r="K5067" t="s">
        <v>3441</v>
      </c>
      <c r="L5067" s="2">
        <v>46174</v>
      </c>
      <c r="M5067" t="s">
        <v>109</v>
      </c>
      <c r="N5067">
        <v>0</v>
      </c>
      <c r="O5067" t="s">
        <v>111</v>
      </c>
      <c r="P5067" t="s">
        <v>112</v>
      </c>
      <c r="Q5067" t="s">
        <v>113</v>
      </c>
    </row>
    <row r="5068" spans="1:17" x14ac:dyDescent="0.3">
      <c r="A5068" t="s">
        <v>17</v>
      </c>
      <c r="B5068">
        <v>68</v>
      </c>
      <c r="C5068" t="s">
        <v>34</v>
      </c>
      <c r="D5068" s="2">
        <v>46175</v>
      </c>
      <c r="E5068" s="3">
        <f t="shared" si="79"/>
        <v>46174</v>
      </c>
      <c r="F5068" t="s">
        <v>4051</v>
      </c>
      <c r="G5068" t="s">
        <v>122</v>
      </c>
      <c r="H5068" s="4">
        <v>1.34</v>
      </c>
      <c r="I5068" t="s">
        <v>108</v>
      </c>
      <c r="J5068" t="s">
        <v>109</v>
      </c>
      <c r="K5068" t="s">
        <v>2579</v>
      </c>
      <c r="L5068" s="2">
        <v>46174</v>
      </c>
      <c r="M5068" t="s">
        <v>109</v>
      </c>
      <c r="N5068">
        <v>0</v>
      </c>
      <c r="O5068" t="s">
        <v>111</v>
      </c>
      <c r="P5068" t="s">
        <v>112</v>
      </c>
      <c r="Q5068" t="s">
        <v>113</v>
      </c>
    </row>
    <row r="5069" spans="1:17" x14ac:dyDescent="0.3">
      <c r="A5069" t="s">
        <v>17</v>
      </c>
      <c r="B5069">
        <v>68</v>
      </c>
      <c r="C5069" t="s">
        <v>34</v>
      </c>
      <c r="D5069" s="2">
        <v>46177</v>
      </c>
      <c r="E5069" s="3">
        <f t="shared" si="79"/>
        <v>46174</v>
      </c>
      <c r="F5069" t="s">
        <v>4052</v>
      </c>
      <c r="G5069" t="s">
        <v>122</v>
      </c>
      <c r="H5069" s="4">
        <v>1.49</v>
      </c>
      <c r="I5069" t="s">
        <v>108</v>
      </c>
      <c r="J5069" t="s">
        <v>109</v>
      </c>
      <c r="K5069" t="s">
        <v>1450</v>
      </c>
      <c r="L5069" s="2">
        <v>46174</v>
      </c>
      <c r="M5069" t="s">
        <v>109</v>
      </c>
      <c r="N5069">
        <v>0</v>
      </c>
      <c r="O5069" t="s">
        <v>111</v>
      </c>
      <c r="P5069" t="s">
        <v>112</v>
      </c>
      <c r="Q5069" t="s">
        <v>113</v>
      </c>
    </row>
    <row r="5070" spans="1:17" x14ac:dyDescent="0.3">
      <c r="A5070" t="s">
        <v>17</v>
      </c>
      <c r="B5070">
        <v>68</v>
      </c>
      <c r="C5070" t="s">
        <v>34</v>
      </c>
      <c r="D5070" s="2">
        <v>46177</v>
      </c>
      <c r="E5070" s="3">
        <f t="shared" si="79"/>
        <v>46174</v>
      </c>
      <c r="F5070" t="s">
        <v>4052</v>
      </c>
      <c r="G5070" t="s">
        <v>122</v>
      </c>
      <c r="H5070" s="4">
        <v>17.5</v>
      </c>
      <c r="I5070" t="s">
        <v>108</v>
      </c>
      <c r="J5070" t="s">
        <v>109</v>
      </c>
      <c r="K5070" t="s">
        <v>3441</v>
      </c>
      <c r="L5070" s="2">
        <v>46174</v>
      </c>
      <c r="M5070" t="s">
        <v>109</v>
      </c>
      <c r="N5070">
        <v>0</v>
      </c>
      <c r="O5070" t="s">
        <v>111</v>
      </c>
      <c r="P5070" t="s">
        <v>112</v>
      </c>
      <c r="Q5070" t="s">
        <v>113</v>
      </c>
    </row>
    <row r="5071" spans="1:17" x14ac:dyDescent="0.3">
      <c r="A5071" t="s">
        <v>17</v>
      </c>
      <c r="B5071">
        <v>68</v>
      </c>
      <c r="C5071" t="s">
        <v>34</v>
      </c>
      <c r="D5071" s="2">
        <v>46177</v>
      </c>
      <c r="E5071" s="3">
        <f t="shared" si="79"/>
        <v>46174</v>
      </c>
      <c r="F5071" t="s">
        <v>4052</v>
      </c>
      <c r="G5071" t="s">
        <v>122</v>
      </c>
      <c r="H5071" s="4">
        <v>1.34</v>
      </c>
      <c r="I5071" t="s">
        <v>108</v>
      </c>
      <c r="J5071" t="s">
        <v>109</v>
      </c>
      <c r="K5071" t="s">
        <v>2579</v>
      </c>
      <c r="L5071" s="2">
        <v>46174</v>
      </c>
      <c r="M5071" t="s">
        <v>109</v>
      </c>
      <c r="N5071">
        <v>0</v>
      </c>
      <c r="O5071" t="s">
        <v>111</v>
      </c>
      <c r="P5071" t="s">
        <v>112</v>
      </c>
      <c r="Q5071" t="s">
        <v>113</v>
      </c>
    </row>
    <row r="5072" spans="1:17" x14ac:dyDescent="0.3">
      <c r="A5072" t="s">
        <v>17</v>
      </c>
      <c r="B5072">
        <v>68</v>
      </c>
      <c r="C5072" t="s">
        <v>34</v>
      </c>
      <c r="D5072" s="2">
        <v>46178</v>
      </c>
      <c r="E5072" s="3">
        <f t="shared" si="79"/>
        <v>46174</v>
      </c>
      <c r="F5072" t="s">
        <v>4053</v>
      </c>
      <c r="G5072" t="s">
        <v>122</v>
      </c>
      <c r="H5072" s="4">
        <v>4.34</v>
      </c>
      <c r="I5072" t="s">
        <v>108</v>
      </c>
      <c r="J5072" t="s">
        <v>109</v>
      </c>
      <c r="K5072" t="s">
        <v>1450</v>
      </c>
      <c r="L5072" s="2">
        <v>46174</v>
      </c>
      <c r="M5072" t="s">
        <v>109</v>
      </c>
      <c r="N5072">
        <v>0</v>
      </c>
      <c r="O5072" t="s">
        <v>111</v>
      </c>
      <c r="P5072" t="s">
        <v>112</v>
      </c>
      <c r="Q5072" t="s">
        <v>113</v>
      </c>
    </row>
    <row r="5073" spans="1:17" x14ac:dyDescent="0.3">
      <c r="A5073" t="s">
        <v>17</v>
      </c>
      <c r="B5073">
        <v>68</v>
      </c>
      <c r="C5073" t="s">
        <v>34</v>
      </c>
      <c r="D5073" s="2">
        <v>46178</v>
      </c>
      <c r="E5073" s="3">
        <f t="shared" si="79"/>
        <v>46174</v>
      </c>
      <c r="F5073" t="s">
        <v>4053</v>
      </c>
      <c r="G5073" t="s">
        <v>122</v>
      </c>
      <c r="H5073" s="4">
        <v>17.5</v>
      </c>
      <c r="I5073" t="s">
        <v>108</v>
      </c>
      <c r="J5073" t="s">
        <v>109</v>
      </c>
      <c r="K5073" t="s">
        <v>3441</v>
      </c>
      <c r="L5073" s="2">
        <v>46174</v>
      </c>
      <c r="M5073" t="s">
        <v>109</v>
      </c>
      <c r="N5073">
        <v>0</v>
      </c>
      <c r="O5073" t="s">
        <v>111</v>
      </c>
      <c r="P5073" t="s">
        <v>112</v>
      </c>
      <c r="Q5073" t="s">
        <v>113</v>
      </c>
    </row>
    <row r="5074" spans="1:17" x14ac:dyDescent="0.3">
      <c r="A5074" t="s">
        <v>17</v>
      </c>
      <c r="B5074">
        <v>68</v>
      </c>
      <c r="C5074" t="s">
        <v>34</v>
      </c>
      <c r="D5074" s="2">
        <v>46178</v>
      </c>
      <c r="E5074" s="3">
        <f t="shared" si="79"/>
        <v>46174</v>
      </c>
      <c r="F5074" t="s">
        <v>4053</v>
      </c>
      <c r="G5074" t="s">
        <v>122</v>
      </c>
      <c r="H5074" s="4">
        <v>1.34</v>
      </c>
      <c r="I5074" t="s">
        <v>108</v>
      </c>
      <c r="J5074" t="s">
        <v>109</v>
      </c>
      <c r="K5074" t="s">
        <v>2579</v>
      </c>
      <c r="L5074" s="2">
        <v>46174</v>
      </c>
      <c r="M5074" t="s">
        <v>109</v>
      </c>
      <c r="N5074">
        <v>0</v>
      </c>
      <c r="O5074" t="s">
        <v>111</v>
      </c>
      <c r="P5074" t="s">
        <v>112</v>
      </c>
      <c r="Q5074" t="s">
        <v>113</v>
      </c>
    </row>
    <row r="5075" spans="1:17" x14ac:dyDescent="0.3">
      <c r="A5075" t="s">
        <v>17</v>
      </c>
      <c r="B5075">
        <v>68</v>
      </c>
      <c r="C5075" t="s">
        <v>34</v>
      </c>
      <c r="D5075" s="2">
        <v>46181</v>
      </c>
      <c r="E5075" s="3">
        <f t="shared" si="79"/>
        <v>46174</v>
      </c>
      <c r="F5075" t="s">
        <v>4054</v>
      </c>
      <c r="G5075" t="s">
        <v>122</v>
      </c>
      <c r="H5075" s="4">
        <v>23.23</v>
      </c>
      <c r="I5075" t="s">
        <v>108</v>
      </c>
      <c r="J5075" t="s">
        <v>109</v>
      </c>
      <c r="K5075" t="s">
        <v>4055</v>
      </c>
      <c r="L5075" s="2">
        <v>46174</v>
      </c>
      <c r="M5075" t="s">
        <v>109</v>
      </c>
      <c r="N5075">
        <v>0</v>
      </c>
      <c r="O5075" t="s">
        <v>111</v>
      </c>
      <c r="P5075" t="s">
        <v>112</v>
      </c>
      <c r="Q5075" t="s">
        <v>113</v>
      </c>
    </row>
    <row r="5076" spans="1:17" x14ac:dyDescent="0.3">
      <c r="A5076" t="s">
        <v>17</v>
      </c>
      <c r="B5076">
        <v>68</v>
      </c>
      <c r="C5076" t="s">
        <v>34</v>
      </c>
      <c r="D5076" s="2">
        <v>46181</v>
      </c>
      <c r="E5076" s="3">
        <f t="shared" si="79"/>
        <v>46174</v>
      </c>
      <c r="F5076" t="s">
        <v>4056</v>
      </c>
      <c r="G5076" t="s">
        <v>107</v>
      </c>
      <c r="H5076" s="4">
        <v>93.71</v>
      </c>
      <c r="I5076" t="s">
        <v>108</v>
      </c>
      <c r="J5076" t="s">
        <v>109</v>
      </c>
      <c r="K5076" t="s">
        <v>3437</v>
      </c>
      <c r="L5076" s="2">
        <v>46174</v>
      </c>
      <c r="M5076" t="s">
        <v>109</v>
      </c>
      <c r="N5076">
        <v>0</v>
      </c>
      <c r="O5076" t="s">
        <v>111</v>
      </c>
      <c r="P5076" t="s">
        <v>112</v>
      </c>
      <c r="Q5076" t="s">
        <v>113</v>
      </c>
    </row>
    <row r="5077" spans="1:17" x14ac:dyDescent="0.3">
      <c r="A5077" t="s">
        <v>17</v>
      </c>
      <c r="B5077">
        <v>68</v>
      </c>
      <c r="C5077" t="s">
        <v>34</v>
      </c>
      <c r="D5077" s="2">
        <v>46181</v>
      </c>
      <c r="E5077" s="3">
        <f t="shared" si="79"/>
        <v>46174</v>
      </c>
      <c r="F5077" t="s">
        <v>4057</v>
      </c>
      <c r="G5077" t="s">
        <v>122</v>
      </c>
      <c r="H5077" s="4">
        <v>19.52</v>
      </c>
      <c r="I5077" t="s">
        <v>108</v>
      </c>
      <c r="J5077" t="s">
        <v>109</v>
      </c>
      <c r="K5077" t="s">
        <v>4058</v>
      </c>
      <c r="L5077" s="2">
        <v>46174</v>
      </c>
      <c r="M5077" t="s">
        <v>109</v>
      </c>
      <c r="N5077">
        <v>0</v>
      </c>
      <c r="O5077" t="s">
        <v>111</v>
      </c>
      <c r="P5077" t="s">
        <v>112</v>
      </c>
      <c r="Q5077" t="s">
        <v>113</v>
      </c>
    </row>
    <row r="5078" spans="1:17" x14ac:dyDescent="0.3">
      <c r="A5078" t="s">
        <v>17</v>
      </c>
      <c r="B5078">
        <v>68</v>
      </c>
      <c r="C5078" t="s">
        <v>34</v>
      </c>
      <c r="D5078" s="2">
        <v>46182</v>
      </c>
      <c r="E5078" s="3">
        <f t="shared" si="79"/>
        <v>46174</v>
      </c>
      <c r="F5078" t="s">
        <v>4059</v>
      </c>
      <c r="G5078" t="s">
        <v>122</v>
      </c>
      <c r="H5078" s="4">
        <v>10.32</v>
      </c>
      <c r="I5078" t="s">
        <v>108</v>
      </c>
      <c r="J5078" t="s">
        <v>109</v>
      </c>
      <c r="K5078" t="s">
        <v>1450</v>
      </c>
      <c r="L5078" s="2">
        <v>46174</v>
      </c>
      <c r="M5078" t="s">
        <v>109</v>
      </c>
      <c r="N5078">
        <v>0</v>
      </c>
      <c r="O5078" t="s">
        <v>111</v>
      </c>
      <c r="P5078" t="s">
        <v>112</v>
      </c>
      <c r="Q5078" t="s">
        <v>113</v>
      </c>
    </row>
    <row r="5079" spans="1:17" x14ac:dyDescent="0.3">
      <c r="A5079" t="s">
        <v>17</v>
      </c>
      <c r="B5079">
        <v>68</v>
      </c>
      <c r="C5079" t="s">
        <v>34</v>
      </c>
      <c r="D5079" s="2">
        <v>46182</v>
      </c>
      <c r="E5079" s="3">
        <f t="shared" si="79"/>
        <v>46174</v>
      </c>
      <c r="F5079" t="s">
        <v>4059</v>
      </c>
      <c r="G5079" t="s">
        <v>122</v>
      </c>
      <c r="H5079" s="4">
        <v>17.5</v>
      </c>
      <c r="I5079" t="s">
        <v>108</v>
      </c>
      <c r="J5079" t="s">
        <v>109</v>
      </c>
      <c r="K5079" t="s">
        <v>3441</v>
      </c>
      <c r="L5079" s="2">
        <v>46174</v>
      </c>
      <c r="M5079" t="s">
        <v>109</v>
      </c>
      <c r="N5079">
        <v>0</v>
      </c>
      <c r="O5079" t="s">
        <v>111</v>
      </c>
      <c r="P5079" t="s">
        <v>112</v>
      </c>
      <c r="Q5079" t="s">
        <v>113</v>
      </c>
    </row>
    <row r="5080" spans="1:17" x14ac:dyDescent="0.3">
      <c r="A5080" t="s">
        <v>17</v>
      </c>
      <c r="B5080">
        <v>68</v>
      </c>
      <c r="C5080" t="s">
        <v>34</v>
      </c>
      <c r="D5080" s="2">
        <v>46182</v>
      </c>
      <c r="E5080" s="3">
        <f t="shared" si="79"/>
        <v>46174</v>
      </c>
      <c r="F5080" t="s">
        <v>4059</v>
      </c>
      <c r="G5080" t="s">
        <v>122</v>
      </c>
      <c r="H5080" s="4">
        <v>1.34</v>
      </c>
      <c r="I5080" t="s">
        <v>108</v>
      </c>
      <c r="J5080" t="s">
        <v>109</v>
      </c>
      <c r="K5080" t="s">
        <v>2579</v>
      </c>
      <c r="L5080" s="2">
        <v>46174</v>
      </c>
      <c r="M5080" t="s">
        <v>109</v>
      </c>
      <c r="N5080">
        <v>0</v>
      </c>
      <c r="O5080" t="s">
        <v>111</v>
      </c>
      <c r="P5080" t="s">
        <v>112</v>
      </c>
      <c r="Q5080" t="s">
        <v>113</v>
      </c>
    </row>
    <row r="5081" spans="1:17" x14ac:dyDescent="0.3">
      <c r="A5081" t="s">
        <v>17</v>
      </c>
      <c r="B5081">
        <v>68</v>
      </c>
      <c r="C5081" t="s">
        <v>34</v>
      </c>
      <c r="D5081" s="2">
        <v>46183</v>
      </c>
      <c r="E5081" s="3">
        <f t="shared" si="79"/>
        <v>46174</v>
      </c>
      <c r="F5081" t="s">
        <v>4060</v>
      </c>
      <c r="G5081" t="s">
        <v>122</v>
      </c>
      <c r="H5081" s="4">
        <v>1918.66</v>
      </c>
      <c r="I5081" t="s">
        <v>108</v>
      </c>
      <c r="J5081" t="s">
        <v>109</v>
      </c>
      <c r="K5081" t="s">
        <v>1287</v>
      </c>
      <c r="L5081" s="2">
        <v>46174</v>
      </c>
      <c r="M5081" t="s">
        <v>109</v>
      </c>
      <c r="N5081">
        <v>0</v>
      </c>
      <c r="O5081" t="s">
        <v>111</v>
      </c>
      <c r="P5081" t="s">
        <v>112</v>
      </c>
      <c r="Q5081" t="s">
        <v>113</v>
      </c>
    </row>
    <row r="5082" spans="1:17" x14ac:dyDescent="0.3">
      <c r="A5082" t="s">
        <v>17</v>
      </c>
      <c r="B5082">
        <v>68</v>
      </c>
      <c r="C5082" t="s">
        <v>34</v>
      </c>
      <c r="D5082" s="2">
        <v>46183</v>
      </c>
      <c r="E5082" s="3">
        <f t="shared" si="79"/>
        <v>46174</v>
      </c>
      <c r="F5082" t="s">
        <v>4060</v>
      </c>
      <c r="G5082" t="s">
        <v>122</v>
      </c>
      <c r="H5082" s="4">
        <v>56.74</v>
      </c>
      <c r="I5082" t="s">
        <v>108</v>
      </c>
      <c r="J5082" t="s">
        <v>109</v>
      </c>
      <c r="K5082" t="s">
        <v>1460</v>
      </c>
      <c r="L5082" s="2">
        <v>46174</v>
      </c>
      <c r="M5082" t="s">
        <v>109</v>
      </c>
      <c r="N5082">
        <v>0</v>
      </c>
      <c r="O5082" t="s">
        <v>111</v>
      </c>
      <c r="P5082" t="s">
        <v>112</v>
      </c>
      <c r="Q5082" t="s">
        <v>113</v>
      </c>
    </row>
    <row r="5083" spans="1:17" x14ac:dyDescent="0.3">
      <c r="A5083" t="s">
        <v>17</v>
      </c>
      <c r="B5083">
        <v>68</v>
      </c>
      <c r="C5083" t="s">
        <v>34</v>
      </c>
      <c r="D5083" s="2">
        <v>46183</v>
      </c>
      <c r="E5083" s="3">
        <f t="shared" si="79"/>
        <v>46174</v>
      </c>
      <c r="F5083" t="s">
        <v>4061</v>
      </c>
      <c r="G5083" t="s">
        <v>122</v>
      </c>
      <c r="H5083" s="4">
        <v>19.64</v>
      </c>
      <c r="I5083" t="s">
        <v>108</v>
      </c>
      <c r="J5083" t="s">
        <v>109</v>
      </c>
      <c r="K5083" t="s">
        <v>4062</v>
      </c>
      <c r="L5083" s="2">
        <v>46174</v>
      </c>
      <c r="M5083" t="s">
        <v>109</v>
      </c>
      <c r="N5083">
        <v>0</v>
      </c>
      <c r="O5083" t="s">
        <v>111</v>
      </c>
      <c r="P5083" t="s">
        <v>112</v>
      </c>
      <c r="Q5083" t="s">
        <v>113</v>
      </c>
    </row>
    <row r="5084" spans="1:17" x14ac:dyDescent="0.3">
      <c r="A5084" t="s">
        <v>17</v>
      </c>
      <c r="B5084">
        <v>68</v>
      </c>
      <c r="C5084" t="s">
        <v>34</v>
      </c>
      <c r="D5084" s="2">
        <v>46183</v>
      </c>
      <c r="E5084" s="3">
        <f t="shared" si="79"/>
        <v>46174</v>
      </c>
      <c r="F5084" t="s">
        <v>4063</v>
      </c>
      <c r="G5084" t="s">
        <v>122</v>
      </c>
      <c r="H5084" s="4">
        <v>17</v>
      </c>
      <c r="I5084" t="s">
        <v>108</v>
      </c>
      <c r="J5084" t="s">
        <v>109</v>
      </c>
      <c r="K5084" t="s">
        <v>4045</v>
      </c>
      <c r="L5084" s="2">
        <v>46174</v>
      </c>
      <c r="M5084" t="s">
        <v>109</v>
      </c>
      <c r="N5084">
        <v>0</v>
      </c>
      <c r="O5084" t="s">
        <v>111</v>
      </c>
      <c r="P5084" t="s">
        <v>112</v>
      </c>
      <c r="Q5084" t="s">
        <v>113</v>
      </c>
    </row>
    <row r="5085" spans="1:17" x14ac:dyDescent="0.3">
      <c r="A5085" t="s">
        <v>17</v>
      </c>
      <c r="B5085">
        <v>68</v>
      </c>
      <c r="C5085" t="s">
        <v>34</v>
      </c>
      <c r="D5085" s="2">
        <v>46183</v>
      </c>
      <c r="E5085" s="3">
        <f t="shared" si="79"/>
        <v>46174</v>
      </c>
      <c r="F5085" t="s">
        <v>4063</v>
      </c>
      <c r="G5085" t="s">
        <v>122</v>
      </c>
      <c r="H5085" s="4">
        <v>3.11</v>
      </c>
      <c r="I5085" t="s">
        <v>108</v>
      </c>
      <c r="J5085" t="s">
        <v>109</v>
      </c>
      <c r="K5085" t="s">
        <v>4046</v>
      </c>
      <c r="L5085" s="2">
        <v>46174</v>
      </c>
      <c r="M5085" t="s">
        <v>109</v>
      </c>
      <c r="N5085">
        <v>0</v>
      </c>
      <c r="O5085" t="s">
        <v>111</v>
      </c>
      <c r="P5085" t="s">
        <v>112</v>
      </c>
      <c r="Q5085" t="s">
        <v>113</v>
      </c>
    </row>
    <row r="5086" spans="1:17" x14ac:dyDescent="0.3">
      <c r="A5086" t="s">
        <v>17</v>
      </c>
      <c r="B5086">
        <v>68</v>
      </c>
      <c r="C5086" t="s">
        <v>34</v>
      </c>
      <c r="D5086" s="2">
        <v>46183</v>
      </c>
      <c r="E5086" s="3">
        <f t="shared" si="79"/>
        <v>46174</v>
      </c>
      <c r="F5086" t="s">
        <v>4063</v>
      </c>
      <c r="G5086" t="s">
        <v>122</v>
      </c>
      <c r="H5086" s="4">
        <v>10.27</v>
      </c>
      <c r="I5086" t="s">
        <v>108</v>
      </c>
      <c r="J5086" t="s">
        <v>109</v>
      </c>
      <c r="K5086" t="s">
        <v>1450</v>
      </c>
      <c r="L5086" s="2">
        <v>46174</v>
      </c>
      <c r="M5086" t="s">
        <v>109</v>
      </c>
      <c r="N5086">
        <v>0</v>
      </c>
      <c r="O5086" t="s">
        <v>111</v>
      </c>
      <c r="P5086" t="s">
        <v>112</v>
      </c>
      <c r="Q5086" t="s">
        <v>113</v>
      </c>
    </row>
    <row r="5087" spans="1:17" x14ac:dyDescent="0.3">
      <c r="A5087" t="s">
        <v>17</v>
      </c>
      <c r="B5087">
        <v>68</v>
      </c>
      <c r="C5087" t="s">
        <v>34</v>
      </c>
      <c r="D5087" s="2">
        <v>46183</v>
      </c>
      <c r="E5087" s="3">
        <f t="shared" si="79"/>
        <v>46174</v>
      </c>
      <c r="F5087" t="s">
        <v>4064</v>
      </c>
      <c r="G5087" t="s">
        <v>122</v>
      </c>
      <c r="H5087" s="4">
        <v>215.22</v>
      </c>
      <c r="I5087" t="s">
        <v>108</v>
      </c>
      <c r="J5087" t="s">
        <v>109</v>
      </c>
      <c r="K5087" t="s">
        <v>1287</v>
      </c>
      <c r="L5087" s="2">
        <v>46174</v>
      </c>
      <c r="M5087" t="s">
        <v>109</v>
      </c>
      <c r="N5087">
        <v>0</v>
      </c>
      <c r="O5087" t="s">
        <v>111</v>
      </c>
      <c r="P5087" t="s">
        <v>112</v>
      </c>
      <c r="Q5087" t="s">
        <v>113</v>
      </c>
    </row>
    <row r="5088" spans="1:17" x14ac:dyDescent="0.3">
      <c r="A5088" t="s">
        <v>17</v>
      </c>
      <c r="B5088">
        <v>68</v>
      </c>
      <c r="C5088" t="s">
        <v>34</v>
      </c>
      <c r="D5088" s="2">
        <v>46184</v>
      </c>
      <c r="E5088" s="3">
        <f t="shared" si="79"/>
        <v>46174</v>
      </c>
      <c r="F5088" t="s">
        <v>4065</v>
      </c>
      <c r="H5088" s="4">
        <v>-19.829999999999998</v>
      </c>
      <c r="I5088" t="s">
        <v>31</v>
      </c>
      <c r="J5088" t="s">
        <v>109</v>
      </c>
      <c r="K5088" t="s">
        <v>4066</v>
      </c>
      <c r="L5088" s="2">
        <v>46174</v>
      </c>
      <c r="M5088" t="s">
        <v>109</v>
      </c>
      <c r="N5088">
        <v>0</v>
      </c>
      <c r="O5088" t="s">
        <v>31</v>
      </c>
      <c r="P5088" t="s">
        <v>112</v>
      </c>
      <c r="Q5088" t="s">
        <v>113</v>
      </c>
    </row>
    <row r="5089" spans="1:17" x14ac:dyDescent="0.3">
      <c r="A5089" t="s">
        <v>17</v>
      </c>
      <c r="B5089">
        <v>68</v>
      </c>
      <c r="C5089" t="s">
        <v>34</v>
      </c>
      <c r="D5089" s="2">
        <v>46185</v>
      </c>
      <c r="E5089" s="3">
        <f t="shared" si="79"/>
        <v>46174</v>
      </c>
      <c r="F5089" t="s">
        <v>4067</v>
      </c>
      <c r="G5089" t="s">
        <v>122</v>
      </c>
      <c r="H5089" s="4">
        <v>20.329999999999998</v>
      </c>
      <c r="I5089" t="s">
        <v>108</v>
      </c>
      <c r="J5089" t="s">
        <v>109</v>
      </c>
      <c r="K5089" t="s">
        <v>4068</v>
      </c>
      <c r="L5089" s="2">
        <v>46174</v>
      </c>
      <c r="M5089" t="s">
        <v>109</v>
      </c>
      <c r="N5089">
        <v>0</v>
      </c>
      <c r="O5089" t="s">
        <v>111</v>
      </c>
      <c r="P5089" t="s">
        <v>112</v>
      </c>
      <c r="Q5089" t="s">
        <v>113</v>
      </c>
    </row>
    <row r="5090" spans="1:17" x14ac:dyDescent="0.3">
      <c r="A5090" t="s">
        <v>17</v>
      </c>
      <c r="B5090">
        <v>68</v>
      </c>
      <c r="C5090" t="s">
        <v>34</v>
      </c>
      <c r="D5090" s="2">
        <v>46189</v>
      </c>
      <c r="E5090" s="3">
        <f t="shared" si="79"/>
        <v>46174</v>
      </c>
      <c r="F5090" t="s">
        <v>4069</v>
      </c>
      <c r="G5090" t="s">
        <v>122</v>
      </c>
      <c r="H5090" s="4">
        <v>21.92</v>
      </c>
      <c r="I5090" t="s">
        <v>108</v>
      </c>
      <c r="J5090" t="s">
        <v>109</v>
      </c>
      <c r="K5090" t="s">
        <v>4070</v>
      </c>
      <c r="L5090" s="2">
        <v>46174</v>
      </c>
      <c r="M5090" t="s">
        <v>109</v>
      </c>
      <c r="N5090">
        <v>0</v>
      </c>
      <c r="O5090" t="s">
        <v>111</v>
      </c>
      <c r="P5090" t="s">
        <v>112</v>
      </c>
      <c r="Q5090" t="s">
        <v>113</v>
      </c>
    </row>
    <row r="5091" spans="1:17" x14ac:dyDescent="0.3">
      <c r="A5091" t="s">
        <v>17</v>
      </c>
      <c r="B5091">
        <v>68</v>
      </c>
      <c r="C5091" t="s">
        <v>34</v>
      </c>
      <c r="D5091" s="2">
        <v>46189</v>
      </c>
      <c r="E5091" s="3">
        <f t="shared" si="79"/>
        <v>46174</v>
      </c>
      <c r="F5091" t="s">
        <v>4071</v>
      </c>
      <c r="G5091" t="s">
        <v>122</v>
      </c>
      <c r="H5091" s="4">
        <v>0.34</v>
      </c>
      <c r="I5091" t="s">
        <v>108</v>
      </c>
      <c r="J5091" t="s">
        <v>109</v>
      </c>
      <c r="K5091" t="s">
        <v>1450</v>
      </c>
      <c r="L5091" s="2">
        <v>46174</v>
      </c>
      <c r="M5091" t="s">
        <v>109</v>
      </c>
      <c r="N5091">
        <v>0</v>
      </c>
      <c r="O5091" t="s">
        <v>111</v>
      </c>
      <c r="P5091" t="s">
        <v>112</v>
      </c>
      <c r="Q5091" t="s">
        <v>113</v>
      </c>
    </row>
    <row r="5092" spans="1:17" x14ac:dyDescent="0.3">
      <c r="A5092" t="s">
        <v>17</v>
      </c>
      <c r="B5092">
        <v>68</v>
      </c>
      <c r="C5092" t="s">
        <v>34</v>
      </c>
      <c r="D5092" s="2">
        <v>46189</v>
      </c>
      <c r="E5092" s="3">
        <f t="shared" si="79"/>
        <v>46174</v>
      </c>
      <c r="F5092" t="s">
        <v>4071</v>
      </c>
      <c r="G5092" t="s">
        <v>122</v>
      </c>
      <c r="H5092" s="4">
        <v>17.5</v>
      </c>
      <c r="I5092" t="s">
        <v>108</v>
      </c>
      <c r="J5092" t="s">
        <v>109</v>
      </c>
      <c r="K5092" t="s">
        <v>3441</v>
      </c>
      <c r="L5092" s="2">
        <v>46174</v>
      </c>
      <c r="M5092" t="s">
        <v>109</v>
      </c>
      <c r="N5092">
        <v>0</v>
      </c>
      <c r="O5092" t="s">
        <v>111</v>
      </c>
      <c r="P5092" t="s">
        <v>112</v>
      </c>
      <c r="Q5092" t="s">
        <v>113</v>
      </c>
    </row>
    <row r="5093" spans="1:17" x14ac:dyDescent="0.3">
      <c r="A5093" t="s">
        <v>17</v>
      </c>
      <c r="B5093">
        <v>68</v>
      </c>
      <c r="C5093" t="s">
        <v>34</v>
      </c>
      <c r="D5093" s="2">
        <v>46189</v>
      </c>
      <c r="E5093" s="3">
        <f t="shared" si="79"/>
        <v>46174</v>
      </c>
      <c r="F5093" t="s">
        <v>4071</v>
      </c>
      <c r="G5093" t="s">
        <v>122</v>
      </c>
      <c r="H5093" s="4">
        <v>1.34</v>
      </c>
      <c r="I5093" t="s">
        <v>108</v>
      </c>
      <c r="J5093" t="s">
        <v>109</v>
      </c>
      <c r="K5093" t="s">
        <v>2579</v>
      </c>
      <c r="L5093" s="2">
        <v>46174</v>
      </c>
      <c r="M5093" t="s">
        <v>109</v>
      </c>
      <c r="N5093">
        <v>0</v>
      </c>
      <c r="O5093" t="s">
        <v>111</v>
      </c>
      <c r="P5093" t="s">
        <v>112</v>
      </c>
      <c r="Q5093" t="s">
        <v>113</v>
      </c>
    </row>
    <row r="5094" spans="1:17" x14ac:dyDescent="0.3">
      <c r="A5094" t="s">
        <v>17</v>
      </c>
      <c r="B5094">
        <v>68</v>
      </c>
      <c r="C5094" t="s">
        <v>34</v>
      </c>
      <c r="D5094" s="2">
        <v>46189</v>
      </c>
      <c r="E5094" s="3">
        <f t="shared" si="79"/>
        <v>46174</v>
      </c>
      <c r="F5094" t="s">
        <v>4072</v>
      </c>
      <c r="G5094" t="s">
        <v>122</v>
      </c>
      <c r="H5094" s="4">
        <v>19.309999999999999</v>
      </c>
      <c r="I5094" t="s">
        <v>108</v>
      </c>
      <c r="J5094" t="s">
        <v>109</v>
      </c>
      <c r="K5094" t="s">
        <v>4073</v>
      </c>
      <c r="L5094" s="2">
        <v>46174</v>
      </c>
      <c r="M5094" t="s">
        <v>109</v>
      </c>
      <c r="N5094">
        <v>0</v>
      </c>
      <c r="O5094" t="s">
        <v>111</v>
      </c>
      <c r="P5094" t="s">
        <v>112</v>
      </c>
      <c r="Q5094" t="s">
        <v>113</v>
      </c>
    </row>
    <row r="5095" spans="1:17" x14ac:dyDescent="0.3">
      <c r="A5095" t="s">
        <v>17</v>
      </c>
      <c r="B5095">
        <v>68</v>
      </c>
      <c r="C5095" t="s">
        <v>34</v>
      </c>
      <c r="D5095" s="2">
        <v>46190</v>
      </c>
      <c r="E5095" s="3">
        <f t="shared" si="79"/>
        <v>46174</v>
      </c>
      <c r="F5095" t="s">
        <v>4074</v>
      </c>
      <c r="G5095" t="s">
        <v>122</v>
      </c>
      <c r="H5095" s="4">
        <v>746.84</v>
      </c>
      <c r="I5095" t="s">
        <v>108</v>
      </c>
      <c r="J5095" t="s">
        <v>109</v>
      </c>
      <c r="K5095" t="s">
        <v>1287</v>
      </c>
      <c r="L5095" s="2">
        <v>46174</v>
      </c>
      <c r="M5095" t="s">
        <v>109</v>
      </c>
      <c r="N5095">
        <v>0</v>
      </c>
      <c r="O5095" t="s">
        <v>111</v>
      </c>
      <c r="P5095" t="s">
        <v>112</v>
      </c>
      <c r="Q5095" t="s">
        <v>113</v>
      </c>
    </row>
    <row r="5096" spans="1:17" x14ac:dyDescent="0.3">
      <c r="A5096" t="s">
        <v>17</v>
      </c>
      <c r="B5096">
        <v>68</v>
      </c>
      <c r="C5096" t="s">
        <v>34</v>
      </c>
      <c r="D5096" s="2">
        <v>46191</v>
      </c>
      <c r="E5096" s="3">
        <f t="shared" si="79"/>
        <v>46174</v>
      </c>
      <c r="F5096" t="s">
        <v>4075</v>
      </c>
      <c r="G5096" t="s">
        <v>122</v>
      </c>
      <c r="H5096" s="4">
        <v>42.92</v>
      </c>
      <c r="I5096" t="s">
        <v>108</v>
      </c>
      <c r="J5096" t="s">
        <v>109</v>
      </c>
      <c r="K5096" t="s">
        <v>2330</v>
      </c>
      <c r="L5096" s="2">
        <v>46174</v>
      </c>
      <c r="M5096" t="s">
        <v>109</v>
      </c>
      <c r="N5096">
        <v>0</v>
      </c>
      <c r="O5096" t="s">
        <v>111</v>
      </c>
      <c r="P5096" t="s">
        <v>112</v>
      </c>
      <c r="Q5096" t="s">
        <v>113</v>
      </c>
    </row>
    <row r="5097" spans="1:17" x14ac:dyDescent="0.3">
      <c r="A5097" t="s">
        <v>17</v>
      </c>
      <c r="B5097">
        <v>68</v>
      </c>
      <c r="C5097" t="s">
        <v>34</v>
      </c>
      <c r="D5097" s="2">
        <v>46191</v>
      </c>
      <c r="E5097" s="3">
        <f t="shared" si="79"/>
        <v>46174</v>
      </c>
      <c r="F5097" t="s">
        <v>4076</v>
      </c>
      <c r="G5097" t="s">
        <v>122</v>
      </c>
      <c r="H5097" s="4">
        <v>28.3</v>
      </c>
      <c r="I5097" t="s">
        <v>108</v>
      </c>
      <c r="J5097" t="s">
        <v>109</v>
      </c>
      <c r="K5097" t="s">
        <v>3061</v>
      </c>
      <c r="L5097" s="2">
        <v>46174</v>
      </c>
      <c r="M5097" t="s">
        <v>109</v>
      </c>
      <c r="N5097">
        <v>0</v>
      </c>
      <c r="O5097" t="s">
        <v>111</v>
      </c>
      <c r="P5097" t="s">
        <v>112</v>
      </c>
      <c r="Q5097" t="s">
        <v>113</v>
      </c>
    </row>
    <row r="5098" spans="1:17" x14ac:dyDescent="0.3">
      <c r="A5098" t="s">
        <v>17</v>
      </c>
      <c r="B5098">
        <v>68</v>
      </c>
      <c r="C5098" t="s">
        <v>34</v>
      </c>
      <c r="D5098" s="2">
        <v>46191</v>
      </c>
      <c r="E5098" s="3">
        <f t="shared" si="79"/>
        <v>46174</v>
      </c>
      <c r="F5098" t="s">
        <v>4077</v>
      </c>
      <c r="H5098" s="4">
        <v>19.829999999999998</v>
      </c>
      <c r="I5098" t="s">
        <v>31</v>
      </c>
      <c r="J5098" t="s">
        <v>109</v>
      </c>
      <c r="K5098" t="s">
        <v>4078</v>
      </c>
      <c r="L5098" s="2">
        <v>46174</v>
      </c>
      <c r="M5098" t="s">
        <v>109</v>
      </c>
      <c r="N5098">
        <v>0</v>
      </c>
      <c r="O5098" t="s">
        <v>31</v>
      </c>
      <c r="P5098" t="s">
        <v>112</v>
      </c>
      <c r="Q5098" t="s">
        <v>113</v>
      </c>
    </row>
    <row r="5099" spans="1:17" x14ac:dyDescent="0.3">
      <c r="A5099" t="s">
        <v>17</v>
      </c>
      <c r="B5099">
        <v>68</v>
      </c>
      <c r="C5099" t="s">
        <v>34</v>
      </c>
      <c r="D5099" s="2">
        <v>46195</v>
      </c>
      <c r="E5099" s="3">
        <f t="shared" si="79"/>
        <v>46174</v>
      </c>
      <c r="F5099" t="s">
        <v>4079</v>
      </c>
      <c r="G5099" t="s">
        <v>122</v>
      </c>
      <c r="H5099" s="4">
        <v>35.29</v>
      </c>
      <c r="I5099" t="s">
        <v>108</v>
      </c>
      <c r="J5099" t="s">
        <v>109</v>
      </c>
      <c r="K5099" t="s">
        <v>4080</v>
      </c>
      <c r="L5099" s="2">
        <v>46174</v>
      </c>
      <c r="M5099" t="s">
        <v>109</v>
      </c>
      <c r="N5099">
        <v>0</v>
      </c>
      <c r="O5099" t="s">
        <v>111</v>
      </c>
      <c r="P5099" t="s">
        <v>112</v>
      </c>
      <c r="Q5099" t="s">
        <v>113</v>
      </c>
    </row>
    <row r="5100" spans="1:17" x14ac:dyDescent="0.3">
      <c r="A5100" t="s">
        <v>17</v>
      </c>
      <c r="B5100">
        <v>68</v>
      </c>
      <c r="C5100" t="s">
        <v>34</v>
      </c>
      <c r="D5100" s="2">
        <v>46195</v>
      </c>
      <c r="E5100" s="3">
        <f t="shared" si="79"/>
        <v>46174</v>
      </c>
      <c r="F5100" t="s">
        <v>4081</v>
      </c>
      <c r="G5100" t="s">
        <v>122</v>
      </c>
      <c r="H5100" s="4">
        <v>22.66</v>
      </c>
      <c r="I5100" t="s">
        <v>108</v>
      </c>
      <c r="J5100" t="s">
        <v>109</v>
      </c>
      <c r="K5100" t="s">
        <v>2330</v>
      </c>
      <c r="L5100" s="2">
        <v>46174</v>
      </c>
      <c r="M5100" t="s">
        <v>109</v>
      </c>
      <c r="N5100">
        <v>0</v>
      </c>
      <c r="O5100" t="s">
        <v>111</v>
      </c>
      <c r="P5100" t="s">
        <v>112</v>
      </c>
      <c r="Q5100" t="s">
        <v>113</v>
      </c>
    </row>
    <row r="5101" spans="1:17" x14ac:dyDescent="0.3">
      <c r="A5101" t="s">
        <v>17</v>
      </c>
      <c r="B5101">
        <v>68</v>
      </c>
      <c r="C5101" t="s">
        <v>34</v>
      </c>
      <c r="D5101" s="2">
        <v>46195</v>
      </c>
      <c r="E5101" s="3">
        <f t="shared" si="79"/>
        <v>46174</v>
      </c>
      <c r="F5101" t="s">
        <v>4082</v>
      </c>
      <c r="H5101" s="4">
        <v>19.829999999999998</v>
      </c>
      <c r="I5101" t="s">
        <v>31</v>
      </c>
      <c r="J5101" t="s">
        <v>109</v>
      </c>
      <c r="K5101" t="s">
        <v>4083</v>
      </c>
      <c r="L5101" s="2">
        <v>46174</v>
      </c>
      <c r="M5101" t="s">
        <v>109</v>
      </c>
      <c r="N5101">
        <v>0</v>
      </c>
      <c r="O5101" t="s">
        <v>31</v>
      </c>
      <c r="P5101" t="s">
        <v>112</v>
      </c>
      <c r="Q5101" t="s">
        <v>113</v>
      </c>
    </row>
    <row r="5102" spans="1:17" x14ac:dyDescent="0.3">
      <c r="A5102" t="s">
        <v>17</v>
      </c>
      <c r="B5102">
        <v>68</v>
      </c>
      <c r="C5102" t="s">
        <v>34</v>
      </c>
      <c r="D5102" s="2">
        <v>46196</v>
      </c>
      <c r="E5102" s="3">
        <f t="shared" si="79"/>
        <v>46174</v>
      </c>
      <c r="F5102" t="s">
        <v>4084</v>
      </c>
      <c r="G5102" t="s">
        <v>122</v>
      </c>
      <c r="H5102" s="4">
        <v>10.32</v>
      </c>
      <c r="I5102" t="s">
        <v>108</v>
      </c>
      <c r="J5102" t="s">
        <v>109</v>
      </c>
      <c r="K5102" t="s">
        <v>1450</v>
      </c>
      <c r="L5102" s="2">
        <v>46174</v>
      </c>
      <c r="M5102" t="s">
        <v>109</v>
      </c>
      <c r="N5102">
        <v>0</v>
      </c>
      <c r="O5102" t="s">
        <v>111</v>
      </c>
      <c r="P5102" t="s">
        <v>112</v>
      </c>
      <c r="Q5102" t="s">
        <v>113</v>
      </c>
    </row>
    <row r="5103" spans="1:17" x14ac:dyDescent="0.3">
      <c r="A5103" t="s">
        <v>17</v>
      </c>
      <c r="B5103">
        <v>68</v>
      </c>
      <c r="C5103" t="s">
        <v>34</v>
      </c>
      <c r="D5103" s="2">
        <v>46196</v>
      </c>
      <c r="E5103" s="3">
        <f t="shared" si="79"/>
        <v>46174</v>
      </c>
      <c r="F5103" t="s">
        <v>4084</v>
      </c>
      <c r="G5103" t="s">
        <v>122</v>
      </c>
      <c r="H5103" s="4">
        <v>17.5</v>
      </c>
      <c r="I5103" t="s">
        <v>108</v>
      </c>
      <c r="J5103" t="s">
        <v>109</v>
      </c>
      <c r="K5103" t="s">
        <v>3441</v>
      </c>
      <c r="L5103" s="2">
        <v>46174</v>
      </c>
      <c r="M5103" t="s">
        <v>109</v>
      </c>
      <c r="N5103">
        <v>0</v>
      </c>
      <c r="O5103" t="s">
        <v>111</v>
      </c>
      <c r="P5103" t="s">
        <v>112</v>
      </c>
      <c r="Q5103" t="s">
        <v>113</v>
      </c>
    </row>
    <row r="5104" spans="1:17" x14ac:dyDescent="0.3">
      <c r="A5104" t="s">
        <v>17</v>
      </c>
      <c r="B5104">
        <v>68</v>
      </c>
      <c r="C5104" t="s">
        <v>34</v>
      </c>
      <c r="D5104" s="2">
        <v>46196</v>
      </c>
      <c r="E5104" s="3">
        <f t="shared" si="79"/>
        <v>46174</v>
      </c>
      <c r="F5104" t="s">
        <v>4084</v>
      </c>
      <c r="G5104" t="s">
        <v>122</v>
      </c>
      <c r="H5104" s="4">
        <v>1.34</v>
      </c>
      <c r="I5104" t="s">
        <v>108</v>
      </c>
      <c r="J5104" t="s">
        <v>109</v>
      </c>
      <c r="K5104" t="s">
        <v>2579</v>
      </c>
      <c r="L5104" s="2">
        <v>46174</v>
      </c>
      <c r="M5104" t="s">
        <v>109</v>
      </c>
      <c r="N5104">
        <v>0</v>
      </c>
      <c r="O5104" t="s">
        <v>111</v>
      </c>
      <c r="P5104" t="s">
        <v>112</v>
      </c>
      <c r="Q5104" t="s">
        <v>113</v>
      </c>
    </row>
    <row r="5105" spans="1:17" x14ac:dyDescent="0.3">
      <c r="A5105" t="s">
        <v>17</v>
      </c>
      <c r="B5105">
        <v>68</v>
      </c>
      <c r="C5105" t="s">
        <v>34</v>
      </c>
      <c r="D5105" s="2">
        <v>46197</v>
      </c>
      <c r="E5105" s="3">
        <f t="shared" si="79"/>
        <v>46174</v>
      </c>
      <c r="F5105" t="s">
        <v>4085</v>
      </c>
      <c r="G5105" t="s">
        <v>122</v>
      </c>
      <c r="H5105" s="4">
        <v>605.98</v>
      </c>
      <c r="I5105" t="s">
        <v>108</v>
      </c>
      <c r="J5105" t="s">
        <v>109</v>
      </c>
      <c r="K5105" t="s">
        <v>1287</v>
      </c>
      <c r="L5105" s="2">
        <v>46174</v>
      </c>
      <c r="M5105" t="s">
        <v>109</v>
      </c>
      <c r="N5105">
        <v>0</v>
      </c>
      <c r="O5105" t="s">
        <v>111</v>
      </c>
      <c r="P5105" t="s">
        <v>112</v>
      </c>
      <c r="Q5105" t="s">
        <v>113</v>
      </c>
    </row>
    <row r="5106" spans="1:17" x14ac:dyDescent="0.3">
      <c r="A5106" t="s">
        <v>17</v>
      </c>
      <c r="B5106">
        <v>68</v>
      </c>
      <c r="C5106" t="s">
        <v>34</v>
      </c>
      <c r="D5106" s="2">
        <v>46199</v>
      </c>
      <c r="E5106" s="3">
        <f t="shared" si="79"/>
        <v>46174</v>
      </c>
      <c r="F5106" t="s">
        <v>4086</v>
      </c>
      <c r="G5106" t="s">
        <v>122</v>
      </c>
      <c r="H5106" s="4">
        <v>20.54</v>
      </c>
      <c r="I5106" t="s">
        <v>108</v>
      </c>
      <c r="J5106" t="s">
        <v>109</v>
      </c>
      <c r="K5106" t="s">
        <v>4087</v>
      </c>
      <c r="L5106" s="2">
        <v>46174</v>
      </c>
      <c r="M5106" t="s">
        <v>109</v>
      </c>
      <c r="N5106">
        <v>0</v>
      </c>
      <c r="O5106" t="s">
        <v>111</v>
      </c>
      <c r="P5106" t="s">
        <v>112</v>
      </c>
      <c r="Q5106" t="s">
        <v>113</v>
      </c>
    </row>
    <row r="5107" spans="1:17" x14ac:dyDescent="0.3">
      <c r="A5107" t="s">
        <v>17</v>
      </c>
      <c r="B5107">
        <v>68</v>
      </c>
      <c r="C5107" t="s">
        <v>34</v>
      </c>
      <c r="D5107" s="2">
        <v>46200</v>
      </c>
      <c r="E5107" s="3">
        <f t="shared" si="79"/>
        <v>46174</v>
      </c>
      <c r="F5107" t="s">
        <v>4088</v>
      </c>
      <c r="G5107" t="s">
        <v>122</v>
      </c>
      <c r="H5107" s="4">
        <v>36.659999999999997</v>
      </c>
      <c r="I5107" t="s">
        <v>108</v>
      </c>
      <c r="J5107" t="s">
        <v>109</v>
      </c>
      <c r="K5107" t="s">
        <v>2776</v>
      </c>
      <c r="L5107" s="2">
        <v>46174</v>
      </c>
      <c r="M5107" t="s">
        <v>109</v>
      </c>
      <c r="N5107">
        <v>0</v>
      </c>
      <c r="O5107" t="s">
        <v>111</v>
      </c>
      <c r="P5107" t="s">
        <v>112</v>
      </c>
      <c r="Q5107" t="s">
        <v>113</v>
      </c>
    </row>
    <row r="5108" spans="1:17" x14ac:dyDescent="0.3">
      <c r="A5108" t="s">
        <v>17</v>
      </c>
      <c r="B5108">
        <v>68</v>
      </c>
      <c r="C5108" t="s">
        <v>34</v>
      </c>
      <c r="D5108" s="2">
        <v>46202</v>
      </c>
      <c r="E5108" s="3">
        <f t="shared" si="79"/>
        <v>46174</v>
      </c>
      <c r="F5108" t="s">
        <v>4089</v>
      </c>
      <c r="G5108" t="s">
        <v>107</v>
      </c>
      <c r="H5108" s="4">
        <v>11.34</v>
      </c>
      <c r="I5108" t="s">
        <v>31</v>
      </c>
      <c r="J5108" t="s">
        <v>109</v>
      </c>
      <c r="K5108" t="s">
        <v>4090</v>
      </c>
      <c r="L5108" s="2">
        <v>46174</v>
      </c>
      <c r="M5108" t="s">
        <v>109</v>
      </c>
      <c r="N5108">
        <v>0</v>
      </c>
      <c r="O5108" t="s">
        <v>31</v>
      </c>
      <c r="P5108" t="s">
        <v>112</v>
      </c>
      <c r="Q5108" t="s">
        <v>113</v>
      </c>
    </row>
    <row r="5109" spans="1:17" x14ac:dyDescent="0.3">
      <c r="A5109" t="s">
        <v>17</v>
      </c>
      <c r="B5109">
        <v>68</v>
      </c>
      <c r="C5109" t="s">
        <v>34</v>
      </c>
      <c r="D5109" s="2">
        <v>46202</v>
      </c>
      <c r="E5109" s="3">
        <f t="shared" si="79"/>
        <v>46174</v>
      </c>
      <c r="F5109" t="s">
        <v>4091</v>
      </c>
      <c r="H5109" s="4">
        <v>-19.829999999999998</v>
      </c>
      <c r="I5109" t="s">
        <v>31</v>
      </c>
      <c r="J5109" t="s">
        <v>109</v>
      </c>
      <c r="K5109" t="s">
        <v>4092</v>
      </c>
      <c r="L5109" s="2">
        <v>46174</v>
      </c>
      <c r="M5109" t="s">
        <v>109</v>
      </c>
      <c r="N5109">
        <v>0</v>
      </c>
      <c r="O5109" t="s">
        <v>31</v>
      </c>
      <c r="P5109" t="s">
        <v>112</v>
      </c>
      <c r="Q5109" t="s">
        <v>113</v>
      </c>
    </row>
    <row r="5110" spans="1:17" x14ac:dyDescent="0.3">
      <c r="A5110" t="s">
        <v>17</v>
      </c>
      <c r="B5110">
        <v>68</v>
      </c>
      <c r="C5110" t="s">
        <v>34</v>
      </c>
      <c r="D5110" s="2">
        <v>46203</v>
      </c>
      <c r="E5110" s="3">
        <f t="shared" si="79"/>
        <v>46174</v>
      </c>
      <c r="F5110" t="s">
        <v>4093</v>
      </c>
      <c r="G5110" t="s">
        <v>122</v>
      </c>
      <c r="H5110" s="4">
        <v>1089.25</v>
      </c>
      <c r="I5110" t="s">
        <v>108</v>
      </c>
      <c r="J5110" t="s">
        <v>109</v>
      </c>
      <c r="K5110" t="s">
        <v>1287</v>
      </c>
      <c r="L5110" s="2">
        <v>46174</v>
      </c>
      <c r="M5110" t="s">
        <v>109</v>
      </c>
      <c r="N5110">
        <v>0</v>
      </c>
      <c r="O5110" t="s">
        <v>111</v>
      </c>
      <c r="P5110" t="s">
        <v>112</v>
      </c>
      <c r="Q5110" t="s">
        <v>113</v>
      </c>
    </row>
    <row r="5111" spans="1:17" x14ac:dyDescent="0.3">
      <c r="A5111" t="s">
        <v>17</v>
      </c>
      <c r="B5111">
        <v>68</v>
      </c>
      <c r="C5111" t="s">
        <v>34</v>
      </c>
      <c r="D5111" s="2">
        <v>46203</v>
      </c>
      <c r="E5111" s="3">
        <f t="shared" si="79"/>
        <v>46174</v>
      </c>
      <c r="F5111" t="s">
        <v>4094</v>
      </c>
      <c r="G5111" t="s">
        <v>122</v>
      </c>
      <c r="H5111" s="4">
        <v>4.8899999999999997</v>
      </c>
      <c r="I5111" t="s">
        <v>108</v>
      </c>
      <c r="J5111" t="s">
        <v>109</v>
      </c>
      <c r="K5111" t="s">
        <v>1450</v>
      </c>
      <c r="L5111" s="2">
        <v>46174</v>
      </c>
      <c r="M5111" t="s">
        <v>109</v>
      </c>
      <c r="N5111">
        <v>0</v>
      </c>
      <c r="O5111" t="s">
        <v>111</v>
      </c>
      <c r="P5111" t="s">
        <v>112</v>
      </c>
      <c r="Q5111" t="s">
        <v>113</v>
      </c>
    </row>
    <row r="5112" spans="1:17" x14ac:dyDescent="0.3">
      <c r="A5112" t="s">
        <v>17</v>
      </c>
      <c r="B5112">
        <v>68</v>
      </c>
      <c r="C5112" t="s">
        <v>34</v>
      </c>
      <c r="D5112" s="2">
        <v>46203</v>
      </c>
      <c r="E5112" s="3">
        <f t="shared" si="79"/>
        <v>46174</v>
      </c>
      <c r="F5112" t="s">
        <v>4094</v>
      </c>
      <c r="G5112" t="s">
        <v>122</v>
      </c>
      <c r="H5112" s="4">
        <v>17.5</v>
      </c>
      <c r="I5112" t="s">
        <v>108</v>
      </c>
      <c r="J5112" t="s">
        <v>109</v>
      </c>
      <c r="K5112" t="s">
        <v>3441</v>
      </c>
      <c r="L5112" s="2">
        <v>46174</v>
      </c>
      <c r="M5112" t="s">
        <v>109</v>
      </c>
      <c r="N5112">
        <v>0</v>
      </c>
      <c r="O5112" t="s">
        <v>111</v>
      </c>
      <c r="P5112" t="s">
        <v>112</v>
      </c>
      <c r="Q5112" t="s">
        <v>113</v>
      </c>
    </row>
    <row r="5113" spans="1:17" x14ac:dyDescent="0.3">
      <c r="A5113" t="s">
        <v>17</v>
      </c>
      <c r="B5113">
        <v>68</v>
      </c>
      <c r="C5113" t="s">
        <v>34</v>
      </c>
      <c r="D5113" s="2">
        <v>46203</v>
      </c>
      <c r="E5113" s="3">
        <f t="shared" si="79"/>
        <v>46174</v>
      </c>
      <c r="F5113" t="s">
        <v>4094</v>
      </c>
      <c r="G5113" t="s">
        <v>122</v>
      </c>
      <c r="H5113" s="4">
        <v>1.34</v>
      </c>
      <c r="I5113" t="s">
        <v>108</v>
      </c>
      <c r="J5113" t="s">
        <v>109</v>
      </c>
      <c r="K5113" t="s">
        <v>2579</v>
      </c>
      <c r="L5113" s="2">
        <v>46174</v>
      </c>
      <c r="M5113" t="s">
        <v>109</v>
      </c>
      <c r="N5113">
        <v>0</v>
      </c>
      <c r="O5113" t="s">
        <v>111</v>
      </c>
      <c r="P5113" t="s">
        <v>112</v>
      </c>
      <c r="Q5113" t="s">
        <v>113</v>
      </c>
    </row>
    <row r="5114" spans="1:17" x14ac:dyDescent="0.3">
      <c r="A5114" t="s">
        <v>17</v>
      </c>
      <c r="B5114">
        <v>67</v>
      </c>
      <c r="C5114" t="s">
        <v>28</v>
      </c>
      <c r="D5114" s="2">
        <v>46174</v>
      </c>
      <c r="E5114" s="3">
        <f t="shared" si="79"/>
        <v>46174</v>
      </c>
      <c r="F5114" t="s">
        <v>4095</v>
      </c>
      <c r="G5114" t="s">
        <v>259</v>
      </c>
      <c r="H5114" s="4">
        <v>3463.68</v>
      </c>
      <c r="I5114" t="s">
        <v>31</v>
      </c>
      <c r="J5114" t="s">
        <v>32</v>
      </c>
      <c r="K5114" t="s">
        <v>2120</v>
      </c>
      <c r="L5114" s="2">
        <v>46174</v>
      </c>
      <c r="M5114" t="s">
        <v>32</v>
      </c>
      <c r="N5114">
        <v>0</v>
      </c>
      <c r="O5114" t="s">
        <v>31</v>
      </c>
      <c r="P5114" t="s">
        <v>28</v>
      </c>
      <c r="Q5114">
        <v>0</v>
      </c>
    </row>
    <row r="5115" spans="1:17" x14ac:dyDescent="0.3">
      <c r="A5115" t="s">
        <v>17</v>
      </c>
      <c r="B5115">
        <v>67</v>
      </c>
      <c r="C5115" t="s">
        <v>28</v>
      </c>
      <c r="D5115" s="2">
        <v>46174</v>
      </c>
      <c r="E5115" s="3">
        <f t="shared" si="79"/>
        <v>46174</v>
      </c>
      <c r="F5115">
        <v>1002613035</v>
      </c>
      <c r="G5115" t="s">
        <v>774</v>
      </c>
      <c r="H5115" s="4">
        <v>1002.24</v>
      </c>
      <c r="I5115" t="s">
        <v>31</v>
      </c>
      <c r="J5115" t="s">
        <v>32</v>
      </c>
      <c r="K5115" t="s">
        <v>4096</v>
      </c>
      <c r="L5115" s="2">
        <v>46174</v>
      </c>
      <c r="M5115" t="s">
        <v>32</v>
      </c>
      <c r="N5115">
        <v>0</v>
      </c>
      <c r="O5115" t="s">
        <v>31</v>
      </c>
      <c r="P5115" t="s">
        <v>28</v>
      </c>
      <c r="Q5115">
        <v>0</v>
      </c>
    </row>
    <row r="5116" spans="1:17" x14ac:dyDescent="0.3">
      <c r="A5116" t="s">
        <v>17</v>
      </c>
      <c r="B5116">
        <v>67</v>
      </c>
      <c r="C5116" t="s">
        <v>28</v>
      </c>
      <c r="D5116" s="2">
        <v>46174</v>
      </c>
      <c r="E5116" s="3">
        <f t="shared" si="79"/>
        <v>46174</v>
      </c>
      <c r="F5116" t="s">
        <v>4097</v>
      </c>
      <c r="H5116" s="4">
        <v>-1002.24</v>
      </c>
      <c r="I5116" t="s">
        <v>31</v>
      </c>
      <c r="J5116" t="s">
        <v>32</v>
      </c>
      <c r="K5116" t="s">
        <v>3550</v>
      </c>
      <c r="L5116" s="2">
        <v>46174</v>
      </c>
      <c r="M5116" t="s">
        <v>32</v>
      </c>
      <c r="N5116">
        <v>0</v>
      </c>
      <c r="O5116" t="s">
        <v>31</v>
      </c>
      <c r="P5116" t="s">
        <v>28</v>
      </c>
      <c r="Q5116">
        <v>0</v>
      </c>
    </row>
    <row r="5117" spans="1:17" x14ac:dyDescent="0.3">
      <c r="A5117" t="s">
        <v>17</v>
      </c>
      <c r="B5117">
        <v>67</v>
      </c>
      <c r="C5117" t="s">
        <v>28</v>
      </c>
      <c r="D5117" s="2">
        <v>46174</v>
      </c>
      <c r="E5117" s="3">
        <f t="shared" si="79"/>
        <v>46174</v>
      </c>
      <c r="F5117" t="s">
        <v>4098</v>
      </c>
      <c r="H5117" s="4">
        <v>-3463.68</v>
      </c>
      <c r="I5117" t="s">
        <v>31</v>
      </c>
      <c r="J5117" t="s">
        <v>32</v>
      </c>
      <c r="K5117" t="s">
        <v>3548</v>
      </c>
      <c r="L5117" s="2">
        <v>46174</v>
      </c>
      <c r="M5117" t="s">
        <v>32</v>
      </c>
      <c r="N5117">
        <v>0</v>
      </c>
      <c r="O5117" t="s">
        <v>31</v>
      </c>
      <c r="P5117" t="s">
        <v>28</v>
      </c>
      <c r="Q5117">
        <v>0</v>
      </c>
    </row>
    <row r="5118" spans="1:17" x14ac:dyDescent="0.3">
      <c r="A5118" t="s">
        <v>17</v>
      </c>
      <c r="B5118">
        <v>67</v>
      </c>
      <c r="C5118" t="s">
        <v>28</v>
      </c>
      <c r="D5118" s="2">
        <v>46176</v>
      </c>
      <c r="E5118" s="3">
        <f t="shared" si="79"/>
        <v>46174</v>
      </c>
      <c r="F5118">
        <v>1002622535</v>
      </c>
      <c r="G5118" t="s">
        <v>774</v>
      </c>
      <c r="H5118" s="4">
        <v>2004.48</v>
      </c>
      <c r="I5118" t="s">
        <v>31</v>
      </c>
      <c r="J5118" t="s">
        <v>32</v>
      </c>
      <c r="K5118" t="s">
        <v>4099</v>
      </c>
      <c r="L5118" s="2">
        <v>46174</v>
      </c>
      <c r="M5118" t="s">
        <v>32</v>
      </c>
      <c r="N5118">
        <v>0</v>
      </c>
      <c r="O5118" t="s">
        <v>31</v>
      </c>
      <c r="P5118" t="s">
        <v>28</v>
      </c>
      <c r="Q5118">
        <v>0</v>
      </c>
    </row>
    <row r="5119" spans="1:17" x14ac:dyDescent="0.3">
      <c r="A5119" t="s">
        <v>17</v>
      </c>
      <c r="B5119">
        <v>67</v>
      </c>
      <c r="C5119" t="s">
        <v>28</v>
      </c>
      <c r="D5119" s="2">
        <v>46197</v>
      </c>
      <c r="E5119" s="3">
        <f t="shared" si="79"/>
        <v>46174</v>
      </c>
      <c r="F5119" t="s">
        <v>4100</v>
      </c>
      <c r="G5119" t="s">
        <v>205</v>
      </c>
      <c r="H5119" s="4">
        <v>8850</v>
      </c>
      <c r="I5119" t="s">
        <v>31</v>
      </c>
      <c r="J5119" t="s">
        <v>32</v>
      </c>
      <c r="K5119" t="s">
        <v>4101</v>
      </c>
      <c r="L5119" s="2">
        <v>46174</v>
      </c>
      <c r="M5119" t="s">
        <v>32</v>
      </c>
      <c r="N5119">
        <v>0</v>
      </c>
      <c r="O5119" t="s">
        <v>31</v>
      </c>
      <c r="P5119" t="s">
        <v>28</v>
      </c>
      <c r="Q5119">
        <v>0</v>
      </c>
    </row>
    <row r="5120" spans="1:17" x14ac:dyDescent="0.3">
      <c r="A5120" t="s">
        <v>17</v>
      </c>
      <c r="B5120">
        <v>67</v>
      </c>
      <c r="C5120" t="s">
        <v>28</v>
      </c>
      <c r="D5120" s="2">
        <v>46197</v>
      </c>
      <c r="E5120" s="3">
        <f t="shared" si="79"/>
        <v>46174</v>
      </c>
      <c r="F5120" t="s">
        <v>4100</v>
      </c>
      <c r="G5120" t="s">
        <v>205</v>
      </c>
      <c r="H5120" s="4">
        <v>1000</v>
      </c>
      <c r="I5120" t="s">
        <v>31</v>
      </c>
      <c r="J5120" t="s">
        <v>32</v>
      </c>
      <c r="K5120" t="s">
        <v>4102</v>
      </c>
      <c r="L5120" s="2">
        <v>46174</v>
      </c>
      <c r="M5120" t="s">
        <v>32</v>
      </c>
      <c r="N5120">
        <v>0</v>
      </c>
      <c r="O5120" t="s">
        <v>31</v>
      </c>
      <c r="P5120" t="s">
        <v>28</v>
      </c>
      <c r="Q5120">
        <v>0</v>
      </c>
    </row>
    <row r="5121" spans="1:17" x14ac:dyDescent="0.3">
      <c r="A5121" t="s">
        <v>17</v>
      </c>
      <c r="B5121">
        <v>67</v>
      </c>
      <c r="C5121" t="s">
        <v>28</v>
      </c>
      <c r="D5121" s="2">
        <v>46197</v>
      </c>
      <c r="E5121" s="3">
        <f t="shared" si="79"/>
        <v>46174</v>
      </c>
      <c r="F5121" t="s">
        <v>4103</v>
      </c>
      <c r="G5121" t="s">
        <v>208</v>
      </c>
      <c r="H5121" s="4">
        <v>500</v>
      </c>
      <c r="I5121" t="s">
        <v>31</v>
      </c>
      <c r="J5121" t="s">
        <v>32</v>
      </c>
      <c r="K5121" t="s">
        <v>4104</v>
      </c>
      <c r="L5121" s="2">
        <v>46174</v>
      </c>
      <c r="M5121" t="s">
        <v>32</v>
      </c>
      <c r="N5121">
        <v>0</v>
      </c>
      <c r="O5121" t="s">
        <v>31</v>
      </c>
      <c r="P5121" t="s">
        <v>28</v>
      </c>
      <c r="Q5121">
        <v>0</v>
      </c>
    </row>
    <row r="5122" spans="1:17" x14ac:dyDescent="0.3">
      <c r="A5122" t="s">
        <v>17</v>
      </c>
      <c r="B5122">
        <v>67</v>
      </c>
      <c r="C5122" t="s">
        <v>28</v>
      </c>
      <c r="D5122" s="2">
        <v>46203</v>
      </c>
      <c r="E5122" s="3">
        <f t="shared" si="79"/>
        <v>46174</v>
      </c>
      <c r="F5122" t="s">
        <v>4105</v>
      </c>
      <c r="H5122" s="4">
        <v>5000</v>
      </c>
      <c r="I5122" t="s">
        <v>31</v>
      </c>
      <c r="J5122" t="s">
        <v>32</v>
      </c>
      <c r="K5122" t="s">
        <v>4106</v>
      </c>
      <c r="L5122" s="2">
        <v>46174</v>
      </c>
      <c r="M5122" t="s">
        <v>32</v>
      </c>
      <c r="N5122">
        <v>0</v>
      </c>
      <c r="O5122" t="s">
        <v>31</v>
      </c>
      <c r="P5122" t="s">
        <v>28</v>
      </c>
      <c r="Q5122">
        <v>0</v>
      </c>
    </row>
    <row r="5123" spans="1:17" x14ac:dyDescent="0.3">
      <c r="A5123" t="s">
        <v>17</v>
      </c>
      <c r="B5123">
        <v>67</v>
      </c>
      <c r="C5123" t="s">
        <v>28</v>
      </c>
      <c r="D5123" s="2">
        <v>46203</v>
      </c>
      <c r="E5123" s="3">
        <f t="shared" ref="E5123:E5186" si="80">IF($D5123="","",DATE(YEAR($D5123),MONTH($D5123),1))</f>
        <v>46174</v>
      </c>
      <c r="F5123" t="s">
        <v>4107</v>
      </c>
      <c r="H5123" s="4">
        <v>10653.75</v>
      </c>
      <c r="I5123" t="s">
        <v>31</v>
      </c>
      <c r="J5123" t="s">
        <v>32</v>
      </c>
      <c r="K5123" t="s">
        <v>4108</v>
      </c>
      <c r="L5123" s="2">
        <v>46174</v>
      </c>
      <c r="M5123" t="s">
        <v>32</v>
      </c>
      <c r="N5123">
        <v>0</v>
      </c>
      <c r="O5123" t="s">
        <v>31</v>
      </c>
      <c r="P5123" t="s">
        <v>28</v>
      </c>
      <c r="Q5123">
        <v>0</v>
      </c>
    </row>
    <row r="5124" spans="1:17" x14ac:dyDescent="0.3">
      <c r="A5124" t="s">
        <v>17</v>
      </c>
      <c r="B5124">
        <v>67</v>
      </c>
      <c r="C5124" t="s">
        <v>28</v>
      </c>
      <c r="D5124" s="2">
        <v>46188</v>
      </c>
      <c r="E5124" s="3">
        <f t="shared" si="80"/>
        <v>46174</v>
      </c>
      <c r="F5124" t="s">
        <v>4109</v>
      </c>
      <c r="H5124" s="4">
        <v>-57.57</v>
      </c>
      <c r="I5124" t="s">
        <v>31</v>
      </c>
      <c r="J5124" t="s">
        <v>60</v>
      </c>
      <c r="L5124" s="2">
        <v>46174</v>
      </c>
      <c r="M5124" t="s">
        <v>60</v>
      </c>
      <c r="N5124">
        <v>0</v>
      </c>
      <c r="O5124" t="s">
        <v>31</v>
      </c>
      <c r="P5124" t="s">
        <v>28</v>
      </c>
      <c r="Q5124">
        <v>0</v>
      </c>
    </row>
    <row r="5125" spans="1:17" x14ac:dyDescent="0.3">
      <c r="A5125" t="s">
        <v>17</v>
      </c>
      <c r="B5125">
        <v>67</v>
      </c>
      <c r="C5125" t="s">
        <v>28</v>
      </c>
      <c r="D5125" s="2">
        <v>46188</v>
      </c>
      <c r="E5125" s="3">
        <f t="shared" si="80"/>
        <v>46174</v>
      </c>
      <c r="F5125" t="s">
        <v>4109</v>
      </c>
      <c r="H5125" s="4">
        <v>-80.94</v>
      </c>
      <c r="I5125" t="s">
        <v>31</v>
      </c>
      <c r="J5125" t="s">
        <v>60</v>
      </c>
      <c r="L5125" s="2">
        <v>46174</v>
      </c>
      <c r="M5125" t="s">
        <v>60</v>
      </c>
      <c r="N5125">
        <v>0</v>
      </c>
      <c r="O5125" t="s">
        <v>31</v>
      </c>
      <c r="P5125" t="s">
        <v>28</v>
      </c>
      <c r="Q5125">
        <v>0</v>
      </c>
    </row>
    <row r="5126" spans="1:17" x14ac:dyDescent="0.3">
      <c r="A5126" t="s">
        <v>17</v>
      </c>
      <c r="B5126">
        <v>67</v>
      </c>
      <c r="C5126" t="s">
        <v>28</v>
      </c>
      <c r="D5126" s="2">
        <v>46188</v>
      </c>
      <c r="E5126" s="3">
        <f t="shared" si="80"/>
        <v>46174</v>
      </c>
      <c r="F5126" t="s">
        <v>4109</v>
      </c>
      <c r="H5126" s="4">
        <v>-42.71</v>
      </c>
      <c r="I5126" t="s">
        <v>31</v>
      </c>
      <c r="J5126" t="s">
        <v>60</v>
      </c>
      <c r="L5126" s="2">
        <v>46174</v>
      </c>
      <c r="M5126" t="s">
        <v>60</v>
      </c>
      <c r="N5126">
        <v>0</v>
      </c>
      <c r="O5126" t="s">
        <v>31</v>
      </c>
      <c r="P5126" t="s">
        <v>28</v>
      </c>
      <c r="Q5126">
        <v>0</v>
      </c>
    </row>
    <row r="5127" spans="1:17" x14ac:dyDescent="0.3">
      <c r="A5127" t="s">
        <v>17</v>
      </c>
      <c r="B5127">
        <v>67</v>
      </c>
      <c r="C5127" t="s">
        <v>28</v>
      </c>
      <c r="D5127" s="2">
        <v>46188</v>
      </c>
      <c r="E5127" s="3">
        <f t="shared" si="80"/>
        <v>46174</v>
      </c>
      <c r="F5127" t="s">
        <v>4109</v>
      </c>
      <c r="H5127" s="4">
        <v>-18.22</v>
      </c>
      <c r="I5127" t="s">
        <v>31</v>
      </c>
      <c r="J5127" t="s">
        <v>60</v>
      </c>
      <c r="L5127" s="2">
        <v>46174</v>
      </c>
      <c r="M5127" t="s">
        <v>60</v>
      </c>
      <c r="N5127">
        <v>0</v>
      </c>
      <c r="O5127" t="s">
        <v>31</v>
      </c>
      <c r="P5127" t="s">
        <v>28</v>
      </c>
      <c r="Q5127">
        <v>0</v>
      </c>
    </row>
    <row r="5128" spans="1:17" x14ac:dyDescent="0.3">
      <c r="A5128" t="s">
        <v>17</v>
      </c>
      <c r="B5128">
        <v>67</v>
      </c>
      <c r="C5128" t="s">
        <v>28</v>
      </c>
      <c r="D5128" s="2">
        <v>46188</v>
      </c>
      <c r="E5128" s="3">
        <f t="shared" si="80"/>
        <v>46174</v>
      </c>
      <c r="F5128" t="s">
        <v>4109</v>
      </c>
      <c r="H5128" s="4">
        <v>-65.75</v>
      </c>
      <c r="I5128" t="s">
        <v>31</v>
      </c>
      <c r="J5128" t="s">
        <v>60</v>
      </c>
      <c r="L5128" s="2">
        <v>46174</v>
      </c>
      <c r="M5128" t="s">
        <v>60</v>
      </c>
      <c r="N5128">
        <v>0</v>
      </c>
      <c r="O5128" t="s">
        <v>31</v>
      </c>
      <c r="P5128" t="s">
        <v>28</v>
      </c>
      <c r="Q5128">
        <v>0</v>
      </c>
    </row>
    <row r="5129" spans="1:17" x14ac:dyDescent="0.3">
      <c r="A5129" t="s">
        <v>17</v>
      </c>
      <c r="B5129">
        <v>67</v>
      </c>
      <c r="C5129" t="s">
        <v>28</v>
      </c>
      <c r="D5129" s="2">
        <v>46188</v>
      </c>
      <c r="E5129" s="3">
        <f t="shared" si="80"/>
        <v>46174</v>
      </c>
      <c r="F5129" t="s">
        <v>4109</v>
      </c>
      <c r="H5129" s="4">
        <v>-15.23</v>
      </c>
      <c r="I5129" t="s">
        <v>31</v>
      </c>
      <c r="J5129" t="s">
        <v>60</v>
      </c>
      <c r="L5129" s="2">
        <v>46174</v>
      </c>
      <c r="M5129" t="s">
        <v>60</v>
      </c>
      <c r="N5129">
        <v>0</v>
      </c>
      <c r="O5129" t="s">
        <v>31</v>
      </c>
      <c r="P5129" t="s">
        <v>28</v>
      </c>
      <c r="Q5129">
        <v>0</v>
      </c>
    </row>
    <row r="5130" spans="1:17" x14ac:dyDescent="0.3">
      <c r="A5130" t="s">
        <v>17</v>
      </c>
      <c r="B5130">
        <v>67</v>
      </c>
      <c r="C5130" t="s">
        <v>28</v>
      </c>
      <c r="D5130" s="2">
        <v>46188</v>
      </c>
      <c r="E5130" s="3">
        <f t="shared" si="80"/>
        <v>46174</v>
      </c>
      <c r="F5130" t="s">
        <v>4109</v>
      </c>
      <c r="H5130" s="4">
        <v>-1.3</v>
      </c>
      <c r="I5130" t="s">
        <v>31</v>
      </c>
      <c r="J5130" t="s">
        <v>60</v>
      </c>
      <c r="L5130" s="2">
        <v>46174</v>
      </c>
      <c r="M5130" t="s">
        <v>60</v>
      </c>
      <c r="N5130">
        <v>0</v>
      </c>
      <c r="O5130" t="s">
        <v>31</v>
      </c>
      <c r="P5130" t="s">
        <v>28</v>
      </c>
      <c r="Q5130">
        <v>0</v>
      </c>
    </row>
    <row r="5131" spans="1:17" x14ac:dyDescent="0.3">
      <c r="A5131" t="s">
        <v>17</v>
      </c>
      <c r="B5131">
        <v>67</v>
      </c>
      <c r="C5131" t="s">
        <v>28</v>
      </c>
      <c r="D5131" s="2">
        <v>46203</v>
      </c>
      <c r="E5131" s="3">
        <f t="shared" si="80"/>
        <v>46174</v>
      </c>
      <c r="F5131" t="s">
        <v>4110</v>
      </c>
      <c r="G5131" t="s">
        <v>578</v>
      </c>
      <c r="H5131" s="4">
        <v>505.9</v>
      </c>
      <c r="I5131" t="s">
        <v>31</v>
      </c>
      <c r="J5131" t="s">
        <v>60</v>
      </c>
      <c r="K5131" t="s">
        <v>1710</v>
      </c>
      <c r="L5131" s="2">
        <v>46174</v>
      </c>
      <c r="M5131" t="s">
        <v>60</v>
      </c>
      <c r="N5131">
        <v>0</v>
      </c>
      <c r="O5131" t="s">
        <v>31</v>
      </c>
      <c r="P5131" t="s">
        <v>28</v>
      </c>
      <c r="Q5131">
        <v>0</v>
      </c>
    </row>
    <row r="5132" spans="1:17" x14ac:dyDescent="0.3">
      <c r="A5132" t="s">
        <v>17</v>
      </c>
      <c r="B5132">
        <v>67</v>
      </c>
      <c r="C5132" t="s">
        <v>28</v>
      </c>
      <c r="D5132" s="2">
        <v>46203</v>
      </c>
      <c r="E5132" s="3">
        <f t="shared" si="80"/>
        <v>46174</v>
      </c>
      <c r="F5132" t="s">
        <v>4111</v>
      </c>
      <c r="H5132" s="4">
        <v>785.13</v>
      </c>
      <c r="I5132" t="s">
        <v>31</v>
      </c>
      <c r="J5132" t="s">
        <v>60</v>
      </c>
      <c r="K5132" t="s">
        <v>2887</v>
      </c>
      <c r="L5132" s="2">
        <v>46174</v>
      </c>
      <c r="M5132" t="s">
        <v>60</v>
      </c>
      <c r="N5132">
        <v>0</v>
      </c>
      <c r="O5132" t="s">
        <v>31</v>
      </c>
      <c r="P5132" t="s">
        <v>28</v>
      </c>
      <c r="Q5132">
        <v>0</v>
      </c>
    </row>
    <row r="5133" spans="1:17" x14ac:dyDescent="0.3">
      <c r="A5133" t="s">
        <v>17</v>
      </c>
      <c r="B5133">
        <v>67</v>
      </c>
      <c r="C5133" t="s">
        <v>28</v>
      </c>
      <c r="D5133" s="2">
        <v>46203</v>
      </c>
      <c r="E5133" s="3">
        <f t="shared" si="80"/>
        <v>46174</v>
      </c>
      <c r="F5133" t="s">
        <v>4112</v>
      </c>
      <c r="H5133" s="4">
        <v>1191.25</v>
      </c>
      <c r="I5133" t="s">
        <v>31</v>
      </c>
      <c r="J5133" t="s">
        <v>60</v>
      </c>
      <c r="K5133" t="s">
        <v>2884</v>
      </c>
      <c r="L5133" s="2">
        <v>46174</v>
      </c>
      <c r="M5133" t="s">
        <v>60</v>
      </c>
      <c r="N5133">
        <v>0</v>
      </c>
      <c r="O5133" t="s">
        <v>31</v>
      </c>
      <c r="P5133" t="s">
        <v>28</v>
      </c>
      <c r="Q5133">
        <v>0</v>
      </c>
    </row>
    <row r="5134" spans="1:17" x14ac:dyDescent="0.3">
      <c r="A5134" t="s">
        <v>17</v>
      </c>
      <c r="B5134">
        <v>67</v>
      </c>
      <c r="C5134" t="s">
        <v>28</v>
      </c>
      <c r="D5134" s="2">
        <v>46203</v>
      </c>
      <c r="E5134" s="3">
        <f t="shared" si="80"/>
        <v>46174</v>
      </c>
      <c r="F5134" t="s">
        <v>4113</v>
      </c>
      <c r="H5134" s="4">
        <v>862.19</v>
      </c>
      <c r="I5134" t="s">
        <v>31</v>
      </c>
      <c r="J5134" t="s">
        <v>60</v>
      </c>
      <c r="K5134" t="s">
        <v>3302</v>
      </c>
      <c r="L5134" s="2">
        <v>46174</v>
      </c>
      <c r="M5134" t="s">
        <v>60</v>
      </c>
      <c r="N5134">
        <v>0</v>
      </c>
      <c r="O5134" t="s">
        <v>31</v>
      </c>
      <c r="P5134" t="s">
        <v>28</v>
      </c>
      <c r="Q5134">
        <v>0</v>
      </c>
    </row>
    <row r="5135" spans="1:17" x14ac:dyDescent="0.3">
      <c r="A5135" t="s">
        <v>17</v>
      </c>
      <c r="B5135">
        <v>67</v>
      </c>
      <c r="C5135" t="s">
        <v>28</v>
      </c>
      <c r="D5135" s="2">
        <v>46203</v>
      </c>
      <c r="E5135" s="3">
        <f t="shared" si="80"/>
        <v>46174</v>
      </c>
      <c r="F5135" t="s">
        <v>4114</v>
      </c>
      <c r="H5135" s="4">
        <v>-42.71</v>
      </c>
      <c r="I5135" t="s">
        <v>31</v>
      </c>
      <c r="J5135" t="s">
        <v>60</v>
      </c>
      <c r="L5135" s="2">
        <v>46174</v>
      </c>
      <c r="M5135" t="s">
        <v>60</v>
      </c>
      <c r="N5135">
        <v>0</v>
      </c>
      <c r="O5135" t="s">
        <v>31</v>
      </c>
      <c r="P5135" t="s">
        <v>28</v>
      </c>
      <c r="Q5135">
        <v>0</v>
      </c>
    </row>
    <row r="5136" spans="1:17" x14ac:dyDescent="0.3">
      <c r="A5136" t="s">
        <v>17</v>
      </c>
      <c r="B5136">
        <v>67</v>
      </c>
      <c r="C5136" t="s">
        <v>28</v>
      </c>
      <c r="D5136" s="2">
        <v>46203</v>
      </c>
      <c r="E5136" s="3">
        <f t="shared" si="80"/>
        <v>46174</v>
      </c>
      <c r="F5136" t="s">
        <v>4114</v>
      </c>
      <c r="H5136" s="4">
        <v>-64.150000000000006</v>
      </c>
      <c r="I5136" t="s">
        <v>31</v>
      </c>
      <c r="J5136" t="s">
        <v>60</v>
      </c>
      <c r="L5136" s="2">
        <v>46174</v>
      </c>
      <c r="M5136" t="s">
        <v>60</v>
      </c>
      <c r="N5136">
        <v>0</v>
      </c>
      <c r="O5136" t="s">
        <v>31</v>
      </c>
      <c r="P5136" t="s">
        <v>28</v>
      </c>
      <c r="Q5136">
        <v>0</v>
      </c>
    </row>
    <row r="5137" spans="1:17" x14ac:dyDescent="0.3">
      <c r="A5137" t="s">
        <v>17</v>
      </c>
      <c r="B5137">
        <v>67</v>
      </c>
      <c r="C5137" t="s">
        <v>28</v>
      </c>
      <c r="D5137" s="2">
        <v>46203</v>
      </c>
      <c r="E5137" s="3">
        <f t="shared" si="80"/>
        <v>46174</v>
      </c>
      <c r="F5137" t="s">
        <v>4114</v>
      </c>
      <c r="H5137" s="4">
        <v>-57.57</v>
      </c>
      <c r="I5137" t="s">
        <v>31</v>
      </c>
      <c r="J5137" t="s">
        <v>60</v>
      </c>
      <c r="L5137" s="2">
        <v>46174</v>
      </c>
      <c r="M5137" t="s">
        <v>60</v>
      </c>
      <c r="N5137">
        <v>0</v>
      </c>
      <c r="O5137" t="s">
        <v>31</v>
      </c>
      <c r="P5137" t="s">
        <v>28</v>
      </c>
      <c r="Q5137">
        <v>0</v>
      </c>
    </row>
    <row r="5138" spans="1:17" x14ac:dyDescent="0.3">
      <c r="A5138" t="s">
        <v>17</v>
      </c>
      <c r="B5138">
        <v>67</v>
      </c>
      <c r="C5138" t="s">
        <v>28</v>
      </c>
      <c r="D5138" s="2">
        <v>46203</v>
      </c>
      <c r="E5138" s="3">
        <f t="shared" si="80"/>
        <v>46174</v>
      </c>
      <c r="F5138" t="s">
        <v>4114</v>
      </c>
      <c r="H5138" s="4">
        <v>-1.3</v>
      </c>
      <c r="I5138" t="s">
        <v>31</v>
      </c>
      <c r="J5138" t="s">
        <v>60</v>
      </c>
      <c r="L5138" s="2">
        <v>46174</v>
      </c>
      <c r="M5138" t="s">
        <v>60</v>
      </c>
      <c r="N5138">
        <v>0</v>
      </c>
      <c r="O5138" t="s">
        <v>31</v>
      </c>
      <c r="P5138" t="s">
        <v>28</v>
      </c>
      <c r="Q5138">
        <v>0</v>
      </c>
    </row>
    <row r="5139" spans="1:17" x14ac:dyDescent="0.3">
      <c r="A5139" t="s">
        <v>17</v>
      </c>
      <c r="B5139">
        <v>67</v>
      </c>
      <c r="C5139" t="s">
        <v>28</v>
      </c>
      <c r="D5139" s="2">
        <v>46203</v>
      </c>
      <c r="E5139" s="3">
        <f t="shared" si="80"/>
        <v>46174</v>
      </c>
      <c r="F5139" t="s">
        <v>4114</v>
      </c>
      <c r="H5139" s="4">
        <v>-15.23</v>
      </c>
      <c r="I5139" t="s">
        <v>31</v>
      </c>
      <c r="J5139" t="s">
        <v>60</v>
      </c>
      <c r="L5139" s="2">
        <v>46174</v>
      </c>
      <c r="M5139" t="s">
        <v>60</v>
      </c>
      <c r="N5139">
        <v>0</v>
      </c>
      <c r="O5139" t="s">
        <v>31</v>
      </c>
      <c r="P5139" t="s">
        <v>28</v>
      </c>
      <c r="Q5139">
        <v>0</v>
      </c>
    </row>
    <row r="5140" spans="1:17" x14ac:dyDescent="0.3">
      <c r="A5140" t="s">
        <v>17</v>
      </c>
      <c r="B5140">
        <v>67</v>
      </c>
      <c r="C5140" t="s">
        <v>28</v>
      </c>
      <c r="D5140" s="2">
        <v>46203</v>
      </c>
      <c r="E5140" s="3">
        <f t="shared" si="80"/>
        <v>46174</v>
      </c>
      <c r="F5140" t="s">
        <v>4114</v>
      </c>
      <c r="H5140" s="4">
        <v>-69.2</v>
      </c>
      <c r="I5140" t="s">
        <v>31</v>
      </c>
      <c r="J5140" t="s">
        <v>60</v>
      </c>
      <c r="L5140" s="2">
        <v>46174</v>
      </c>
      <c r="M5140" t="s">
        <v>60</v>
      </c>
      <c r="N5140">
        <v>0</v>
      </c>
      <c r="O5140" t="s">
        <v>31</v>
      </c>
      <c r="P5140" t="s">
        <v>28</v>
      </c>
      <c r="Q5140">
        <v>0</v>
      </c>
    </row>
    <row r="5141" spans="1:17" x14ac:dyDescent="0.3">
      <c r="A5141" t="s">
        <v>17</v>
      </c>
      <c r="B5141">
        <v>67</v>
      </c>
      <c r="C5141" t="s">
        <v>28</v>
      </c>
      <c r="D5141" s="2">
        <v>46203</v>
      </c>
      <c r="E5141" s="3">
        <f t="shared" si="80"/>
        <v>46174</v>
      </c>
      <c r="F5141" t="s">
        <v>4114</v>
      </c>
      <c r="H5141" s="4">
        <v>-18.22</v>
      </c>
      <c r="I5141" t="s">
        <v>31</v>
      </c>
      <c r="J5141" t="s">
        <v>60</v>
      </c>
      <c r="L5141" s="2">
        <v>46174</v>
      </c>
      <c r="M5141" t="s">
        <v>60</v>
      </c>
      <c r="N5141">
        <v>0</v>
      </c>
      <c r="O5141" t="s">
        <v>31</v>
      </c>
      <c r="P5141" t="s">
        <v>28</v>
      </c>
      <c r="Q5141">
        <v>0</v>
      </c>
    </row>
    <row r="5142" spans="1:17" x14ac:dyDescent="0.3">
      <c r="A5142" t="s">
        <v>17</v>
      </c>
      <c r="B5142">
        <v>67</v>
      </c>
      <c r="C5142" t="s">
        <v>28</v>
      </c>
      <c r="D5142" s="2">
        <v>46203</v>
      </c>
      <c r="E5142" s="3">
        <f t="shared" si="80"/>
        <v>46174</v>
      </c>
      <c r="F5142" t="s">
        <v>4115</v>
      </c>
      <c r="H5142" s="4">
        <v>1490.05</v>
      </c>
      <c r="I5142" t="s">
        <v>31</v>
      </c>
      <c r="J5142" t="s">
        <v>60</v>
      </c>
      <c r="K5142" t="s">
        <v>3554</v>
      </c>
      <c r="L5142" s="2">
        <v>46174</v>
      </c>
      <c r="M5142" t="s">
        <v>60</v>
      </c>
      <c r="N5142">
        <v>0</v>
      </c>
      <c r="O5142" t="s">
        <v>31</v>
      </c>
      <c r="P5142" t="s">
        <v>28</v>
      </c>
      <c r="Q5142">
        <v>0</v>
      </c>
    </row>
    <row r="5143" spans="1:17" x14ac:dyDescent="0.3">
      <c r="A5143" t="s">
        <v>17</v>
      </c>
      <c r="B5143">
        <v>67</v>
      </c>
      <c r="C5143" t="s">
        <v>28</v>
      </c>
      <c r="D5143" s="2">
        <v>46203</v>
      </c>
      <c r="E5143" s="3">
        <f t="shared" si="80"/>
        <v>46174</v>
      </c>
      <c r="F5143" t="s">
        <v>4116</v>
      </c>
      <c r="H5143" s="4">
        <v>557.91999999999996</v>
      </c>
      <c r="I5143" t="s">
        <v>31</v>
      </c>
      <c r="J5143" t="s">
        <v>60</v>
      </c>
      <c r="K5143" t="s">
        <v>3304</v>
      </c>
      <c r="L5143" s="2">
        <v>46174</v>
      </c>
      <c r="M5143" t="s">
        <v>60</v>
      </c>
      <c r="N5143">
        <v>0</v>
      </c>
      <c r="O5143" t="s">
        <v>31</v>
      </c>
      <c r="P5143" t="s">
        <v>28</v>
      </c>
      <c r="Q5143">
        <v>0</v>
      </c>
    </row>
    <row r="5144" spans="1:17" x14ac:dyDescent="0.3">
      <c r="A5144" t="s">
        <v>17</v>
      </c>
      <c r="B5144">
        <v>67</v>
      </c>
      <c r="C5144" t="s">
        <v>28</v>
      </c>
      <c r="D5144" s="2">
        <v>46174</v>
      </c>
      <c r="E5144" s="3">
        <f t="shared" si="80"/>
        <v>46174</v>
      </c>
      <c r="F5144" t="s">
        <v>4117</v>
      </c>
      <c r="G5144" t="s">
        <v>1726</v>
      </c>
      <c r="H5144" s="4">
        <v>2000</v>
      </c>
      <c r="I5144" t="s">
        <v>21</v>
      </c>
      <c r="J5144" t="s">
        <v>74</v>
      </c>
      <c r="K5144" t="s">
        <v>4118</v>
      </c>
      <c r="L5144" s="2">
        <v>46174</v>
      </c>
      <c r="M5144" t="s">
        <v>76</v>
      </c>
      <c r="N5144" t="s">
        <v>25</v>
      </c>
      <c r="O5144" t="s">
        <v>81</v>
      </c>
      <c r="P5144" t="s">
        <v>28</v>
      </c>
      <c r="Q5144">
        <v>0</v>
      </c>
    </row>
    <row r="5145" spans="1:17" x14ac:dyDescent="0.3">
      <c r="A5145" t="s">
        <v>17</v>
      </c>
      <c r="B5145">
        <v>67</v>
      </c>
      <c r="C5145" t="s">
        <v>28</v>
      </c>
      <c r="D5145" s="2">
        <v>46174</v>
      </c>
      <c r="E5145" s="3">
        <f t="shared" si="80"/>
        <v>46174</v>
      </c>
      <c r="F5145" t="s">
        <v>4117</v>
      </c>
      <c r="G5145" t="s">
        <v>1726</v>
      </c>
      <c r="H5145" s="4">
        <v>10000</v>
      </c>
      <c r="I5145" t="s">
        <v>21</v>
      </c>
      <c r="J5145" t="s">
        <v>74</v>
      </c>
      <c r="K5145" t="s">
        <v>4119</v>
      </c>
      <c r="L5145" s="2">
        <v>46174</v>
      </c>
      <c r="M5145" t="s">
        <v>76</v>
      </c>
      <c r="N5145" t="s">
        <v>25</v>
      </c>
      <c r="O5145" t="s">
        <v>81</v>
      </c>
      <c r="P5145" t="s">
        <v>28</v>
      </c>
      <c r="Q5145">
        <v>0</v>
      </c>
    </row>
    <row r="5146" spans="1:17" x14ac:dyDescent="0.3">
      <c r="A5146" t="s">
        <v>17</v>
      </c>
      <c r="B5146">
        <v>67</v>
      </c>
      <c r="C5146" t="s">
        <v>28</v>
      </c>
      <c r="D5146" s="2">
        <v>46174</v>
      </c>
      <c r="E5146" s="3">
        <f t="shared" si="80"/>
        <v>46174</v>
      </c>
      <c r="F5146" t="s">
        <v>4120</v>
      </c>
      <c r="H5146" s="4">
        <v>-1494</v>
      </c>
      <c r="I5146" t="s">
        <v>104</v>
      </c>
      <c r="J5146" t="s">
        <v>74</v>
      </c>
      <c r="K5146" t="s">
        <v>3869</v>
      </c>
      <c r="L5146" s="2">
        <v>46174</v>
      </c>
      <c r="M5146" t="s">
        <v>76</v>
      </c>
      <c r="N5146">
        <v>0</v>
      </c>
      <c r="O5146" t="s">
        <v>104</v>
      </c>
      <c r="P5146" t="s">
        <v>28</v>
      </c>
      <c r="Q5146">
        <v>0</v>
      </c>
    </row>
    <row r="5147" spans="1:17" x14ac:dyDescent="0.3">
      <c r="A5147" t="s">
        <v>17</v>
      </c>
      <c r="B5147">
        <v>67</v>
      </c>
      <c r="C5147" t="s">
        <v>28</v>
      </c>
      <c r="D5147" s="2">
        <v>46176</v>
      </c>
      <c r="E5147" s="3">
        <f t="shared" si="80"/>
        <v>46174</v>
      </c>
      <c r="F5147">
        <v>101100433580</v>
      </c>
      <c r="G5147" t="s">
        <v>369</v>
      </c>
      <c r="H5147" s="4">
        <v>543.83000000000004</v>
      </c>
      <c r="I5147" t="s">
        <v>31</v>
      </c>
      <c r="J5147" t="s">
        <v>74</v>
      </c>
      <c r="K5147" t="s">
        <v>4121</v>
      </c>
      <c r="L5147" s="2">
        <v>46174</v>
      </c>
      <c r="M5147" t="s">
        <v>76</v>
      </c>
      <c r="N5147">
        <v>0</v>
      </c>
      <c r="O5147" t="s">
        <v>31</v>
      </c>
      <c r="P5147" t="s">
        <v>28</v>
      </c>
      <c r="Q5147">
        <v>0</v>
      </c>
    </row>
    <row r="5148" spans="1:17" x14ac:dyDescent="0.3">
      <c r="A5148" t="s">
        <v>17</v>
      </c>
      <c r="B5148">
        <v>67</v>
      </c>
      <c r="C5148" t="s">
        <v>28</v>
      </c>
      <c r="D5148" s="2">
        <v>46177</v>
      </c>
      <c r="E5148" s="3">
        <f t="shared" si="80"/>
        <v>46174</v>
      </c>
      <c r="F5148" t="s">
        <v>3927</v>
      </c>
      <c r="G5148" t="s">
        <v>101</v>
      </c>
      <c r="H5148" s="4">
        <v>138.09</v>
      </c>
      <c r="I5148" t="s">
        <v>31</v>
      </c>
      <c r="J5148" t="s">
        <v>74</v>
      </c>
      <c r="K5148" t="s">
        <v>1889</v>
      </c>
      <c r="L5148" s="2">
        <v>46174</v>
      </c>
      <c r="M5148" t="s">
        <v>76</v>
      </c>
      <c r="N5148">
        <v>0</v>
      </c>
      <c r="O5148" t="s">
        <v>31</v>
      </c>
      <c r="P5148" t="s">
        <v>28</v>
      </c>
      <c r="Q5148">
        <v>0</v>
      </c>
    </row>
    <row r="5149" spans="1:17" x14ac:dyDescent="0.3">
      <c r="A5149" t="s">
        <v>17</v>
      </c>
      <c r="B5149">
        <v>67</v>
      </c>
      <c r="C5149" t="s">
        <v>28</v>
      </c>
      <c r="D5149" s="2">
        <v>46177</v>
      </c>
      <c r="E5149" s="3">
        <f t="shared" si="80"/>
        <v>46174</v>
      </c>
      <c r="F5149" t="s">
        <v>3899</v>
      </c>
      <c r="G5149" t="s">
        <v>158</v>
      </c>
      <c r="H5149" s="4">
        <v>21.78</v>
      </c>
      <c r="I5149" t="s">
        <v>159</v>
      </c>
      <c r="J5149" t="s">
        <v>74</v>
      </c>
      <c r="K5149" t="s">
        <v>994</v>
      </c>
      <c r="L5149" s="2">
        <v>46174</v>
      </c>
      <c r="M5149" t="s">
        <v>76</v>
      </c>
      <c r="N5149">
        <v>0</v>
      </c>
      <c r="O5149" t="s">
        <v>159</v>
      </c>
      <c r="P5149" t="s">
        <v>28</v>
      </c>
      <c r="Q5149">
        <v>0</v>
      </c>
    </row>
    <row r="5150" spans="1:17" x14ac:dyDescent="0.3">
      <c r="A5150" t="s">
        <v>17</v>
      </c>
      <c r="B5150">
        <v>67</v>
      </c>
      <c r="C5150" t="s">
        <v>28</v>
      </c>
      <c r="D5150" s="2">
        <v>46177</v>
      </c>
      <c r="E5150" s="3">
        <f t="shared" si="80"/>
        <v>46174</v>
      </c>
      <c r="F5150" t="s">
        <v>3899</v>
      </c>
      <c r="G5150" t="s">
        <v>158</v>
      </c>
      <c r="H5150" s="4">
        <v>3</v>
      </c>
      <c r="I5150" t="s">
        <v>159</v>
      </c>
      <c r="J5150" t="s">
        <v>74</v>
      </c>
      <c r="K5150" t="s">
        <v>4122</v>
      </c>
      <c r="L5150" s="2">
        <v>46174</v>
      </c>
      <c r="M5150" t="s">
        <v>76</v>
      </c>
      <c r="N5150">
        <v>0</v>
      </c>
      <c r="O5150" t="s">
        <v>159</v>
      </c>
      <c r="P5150" t="s">
        <v>28</v>
      </c>
      <c r="Q5150">
        <v>0</v>
      </c>
    </row>
    <row r="5151" spans="1:17" x14ac:dyDescent="0.3">
      <c r="A5151" t="s">
        <v>17</v>
      </c>
      <c r="B5151">
        <v>67</v>
      </c>
      <c r="C5151" t="s">
        <v>28</v>
      </c>
      <c r="D5151" s="2">
        <v>46177</v>
      </c>
      <c r="E5151" s="3">
        <f t="shared" si="80"/>
        <v>46174</v>
      </c>
      <c r="F5151" t="s">
        <v>3927</v>
      </c>
      <c r="G5151" t="s">
        <v>101</v>
      </c>
      <c r="H5151" s="4">
        <v>1494</v>
      </c>
      <c r="I5151" t="s">
        <v>104</v>
      </c>
      <c r="J5151" t="s">
        <v>74</v>
      </c>
      <c r="K5151" t="s">
        <v>4123</v>
      </c>
      <c r="L5151" s="2">
        <v>46174</v>
      </c>
      <c r="M5151" t="s">
        <v>76</v>
      </c>
      <c r="N5151">
        <v>0</v>
      </c>
      <c r="O5151" t="s">
        <v>104</v>
      </c>
      <c r="P5151" t="s">
        <v>28</v>
      </c>
      <c r="Q5151">
        <v>0</v>
      </c>
    </row>
    <row r="5152" spans="1:17" x14ac:dyDescent="0.3">
      <c r="A5152" t="s">
        <v>17</v>
      </c>
      <c r="B5152">
        <v>67</v>
      </c>
      <c r="C5152" t="s">
        <v>28</v>
      </c>
      <c r="D5152" s="2">
        <v>46177</v>
      </c>
      <c r="E5152" s="3">
        <f t="shared" si="80"/>
        <v>46174</v>
      </c>
      <c r="F5152" t="s">
        <v>3927</v>
      </c>
      <c r="G5152" t="s">
        <v>101</v>
      </c>
      <c r="H5152" s="4">
        <v>1494</v>
      </c>
      <c r="I5152" t="s">
        <v>104</v>
      </c>
      <c r="J5152" t="s">
        <v>74</v>
      </c>
      <c r="K5152" t="s">
        <v>4124</v>
      </c>
      <c r="L5152" s="2">
        <v>46174</v>
      </c>
      <c r="M5152" t="s">
        <v>76</v>
      </c>
      <c r="N5152">
        <v>0</v>
      </c>
      <c r="O5152" t="s">
        <v>104</v>
      </c>
      <c r="P5152" t="s">
        <v>28</v>
      </c>
      <c r="Q5152">
        <v>0</v>
      </c>
    </row>
    <row r="5153" spans="1:17" x14ac:dyDescent="0.3">
      <c r="A5153" t="s">
        <v>17</v>
      </c>
      <c r="B5153">
        <v>67</v>
      </c>
      <c r="C5153" t="s">
        <v>28</v>
      </c>
      <c r="D5153" s="2">
        <v>46177</v>
      </c>
      <c r="E5153" s="3">
        <f t="shared" si="80"/>
        <v>46174</v>
      </c>
      <c r="F5153" t="s">
        <v>3927</v>
      </c>
      <c r="G5153" t="s">
        <v>101</v>
      </c>
      <c r="H5153" s="4">
        <v>1494</v>
      </c>
      <c r="I5153" t="s">
        <v>104</v>
      </c>
      <c r="J5153" t="s">
        <v>74</v>
      </c>
      <c r="K5153" t="s">
        <v>4125</v>
      </c>
      <c r="L5153" s="2">
        <v>46174</v>
      </c>
      <c r="M5153" t="s">
        <v>76</v>
      </c>
      <c r="N5153">
        <v>0</v>
      </c>
      <c r="O5153" t="s">
        <v>104</v>
      </c>
      <c r="P5153" t="s">
        <v>28</v>
      </c>
      <c r="Q5153">
        <v>0</v>
      </c>
    </row>
    <row r="5154" spans="1:17" x14ac:dyDescent="0.3">
      <c r="A5154" t="s">
        <v>17</v>
      </c>
      <c r="B5154">
        <v>67</v>
      </c>
      <c r="C5154" t="s">
        <v>28</v>
      </c>
      <c r="D5154" s="2">
        <v>46177</v>
      </c>
      <c r="E5154" s="3">
        <f t="shared" si="80"/>
        <v>46174</v>
      </c>
      <c r="F5154" t="s">
        <v>3927</v>
      </c>
      <c r="G5154" t="s">
        <v>101</v>
      </c>
      <c r="H5154" s="4">
        <v>1494</v>
      </c>
      <c r="I5154" t="s">
        <v>104</v>
      </c>
      <c r="J5154" t="s">
        <v>74</v>
      </c>
      <c r="K5154" t="s">
        <v>4126</v>
      </c>
      <c r="L5154" s="2">
        <v>46174</v>
      </c>
      <c r="M5154" t="s">
        <v>76</v>
      </c>
      <c r="N5154">
        <v>0</v>
      </c>
      <c r="O5154" t="s">
        <v>104</v>
      </c>
      <c r="P5154" t="s">
        <v>28</v>
      </c>
      <c r="Q5154">
        <v>0</v>
      </c>
    </row>
    <row r="5155" spans="1:17" x14ac:dyDescent="0.3">
      <c r="A5155" t="s">
        <v>17</v>
      </c>
      <c r="B5155">
        <v>67</v>
      </c>
      <c r="C5155" t="s">
        <v>28</v>
      </c>
      <c r="D5155" s="2">
        <v>46177</v>
      </c>
      <c r="E5155" s="3">
        <f t="shared" si="80"/>
        <v>46174</v>
      </c>
      <c r="F5155" t="s">
        <v>3927</v>
      </c>
      <c r="G5155" t="s">
        <v>101</v>
      </c>
      <c r="H5155" s="4">
        <v>190.53</v>
      </c>
      <c r="I5155" t="s">
        <v>31</v>
      </c>
      <c r="J5155" t="s">
        <v>74</v>
      </c>
      <c r="K5155" t="s">
        <v>3389</v>
      </c>
      <c r="L5155" s="2">
        <v>46174</v>
      </c>
      <c r="M5155" t="s">
        <v>76</v>
      </c>
      <c r="N5155">
        <v>0</v>
      </c>
      <c r="O5155" t="s">
        <v>31</v>
      </c>
      <c r="P5155" t="s">
        <v>28</v>
      </c>
      <c r="Q5155">
        <v>0</v>
      </c>
    </row>
    <row r="5156" spans="1:17" x14ac:dyDescent="0.3">
      <c r="A5156" t="s">
        <v>17</v>
      </c>
      <c r="B5156">
        <v>67</v>
      </c>
      <c r="C5156" t="s">
        <v>28</v>
      </c>
      <c r="D5156" s="2">
        <v>46177</v>
      </c>
      <c r="E5156" s="3">
        <f t="shared" si="80"/>
        <v>46174</v>
      </c>
      <c r="F5156" t="s">
        <v>3927</v>
      </c>
      <c r="G5156" t="s">
        <v>101</v>
      </c>
      <c r="H5156" s="4">
        <v>-2262</v>
      </c>
      <c r="I5156" t="s">
        <v>31</v>
      </c>
      <c r="J5156" t="s">
        <v>74</v>
      </c>
      <c r="K5156" t="s">
        <v>4127</v>
      </c>
      <c r="L5156" s="2">
        <v>46174</v>
      </c>
      <c r="M5156" t="s">
        <v>76</v>
      </c>
      <c r="N5156">
        <v>0</v>
      </c>
      <c r="O5156" t="s">
        <v>31</v>
      </c>
      <c r="P5156" t="s">
        <v>28</v>
      </c>
      <c r="Q5156">
        <v>0</v>
      </c>
    </row>
    <row r="5157" spans="1:17" x14ac:dyDescent="0.3">
      <c r="A5157" t="s">
        <v>17</v>
      </c>
      <c r="B5157">
        <v>67</v>
      </c>
      <c r="C5157" t="s">
        <v>28</v>
      </c>
      <c r="D5157" s="2">
        <v>46177</v>
      </c>
      <c r="E5157" s="3">
        <f t="shared" si="80"/>
        <v>46174</v>
      </c>
      <c r="F5157" t="s">
        <v>3927</v>
      </c>
      <c r="G5157" t="s">
        <v>101</v>
      </c>
      <c r="H5157" s="4">
        <v>14.69</v>
      </c>
      <c r="I5157" t="s">
        <v>31</v>
      </c>
      <c r="J5157" t="s">
        <v>74</v>
      </c>
      <c r="K5157" t="s">
        <v>4128</v>
      </c>
      <c r="L5157" s="2">
        <v>46174</v>
      </c>
      <c r="M5157" t="s">
        <v>76</v>
      </c>
      <c r="N5157">
        <v>0</v>
      </c>
      <c r="O5157" t="s">
        <v>31</v>
      </c>
      <c r="P5157" t="s">
        <v>28</v>
      </c>
      <c r="Q5157">
        <v>0</v>
      </c>
    </row>
    <row r="5158" spans="1:17" x14ac:dyDescent="0.3">
      <c r="A5158" t="s">
        <v>17</v>
      </c>
      <c r="B5158">
        <v>67</v>
      </c>
      <c r="C5158" t="s">
        <v>28</v>
      </c>
      <c r="D5158" s="2">
        <v>46177</v>
      </c>
      <c r="E5158" s="3">
        <f t="shared" si="80"/>
        <v>46174</v>
      </c>
      <c r="F5158" t="s">
        <v>3927</v>
      </c>
      <c r="G5158" t="s">
        <v>101</v>
      </c>
      <c r="H5158" s="4">
        <v>2262</v>
      </c>
      <c r="I5158" t="s">
        <v>31</v>
      </c>
      <c r="J5158" t="s">
        <v>74</v>
      </c>
      <c r="K5158" t="s">
        <v>4127</v>
      </c>
      <c r="L5158" s="2">
        <v>46174</v>
      </c>
      <c r="M5158" t="s">
        <v>76</v>
      </c>
      <c r="N5158">
        <v>0</v>
      </c>
      <c r="O5158" t="s">
        <v>31</v>
      </c>
      <c r="P5158" t="s">
        <v>28</v>
      </c>
      <c r="Q5158">
        <v>0</v>
      </c>
    </row>
    <row r="5159" spans="1:17" x14ac:dyDescent="0.3">
      <c r="A5159" t="s">
        <v>17</v>
      </c>
      <c r="B5159">
        <v>67</v>
      </c>
      <c r="C5159" t="s">
        <v>28</v>
      </c>
      <c r="D5159" s="2">
        <v>46177</v>
      </c>
      <c r="E5159" s="3">
        <f t="shared" si="80"/>
        <v>46174</v>
      </c>
      <c r="F5159" t="s">
        <v>3927</v>
      </c>
      <c r="G5159" t="s">
        <v>101</v>
      </c>
      <c r="H5159" s="4">
        <v>2262</v>
      </c>
      <c r="I5159" t="s">
        <v>31</v>
      </c>
      <c r="J5159" t="s">
        <v>74</v>
      </c>
      <c r="K5159" t="s">
        <v>4129</v>
      </c>
      <c r="L5159" s="2">
        <v>46174</v>
      </c>
      <c r="M5159" t="s">
        <v>76</v>
      </c>
      <c r="N5159">
        <v>0</v>
      </c>
      <c r="O5159" t="s">
        <v>31</v>
      </c>
      <c r="P5159" t="s">
        <v>28</v>
      </c>
      <c r="Q5159">
        <v>0</v>
      </c>
    </row>
    <row r="5160" spans="1:17" x14ac:dyDescent="0.3">
      <c r="A5160" t="s">
        <v>17</v>
      </c>
      <c r="B5160">
        <v>67</v>
      </c>
      <c r="C5160" t="s">
        <v>28</v>
      </c>
      <c r="D5160" s="2">
        <v>46177</v>
      </c>
      <c r="E5160" s="3">
        <f t="shared" si="80"/>
        <v>46174</v>
      </c>
      <c r="F5160" t="s">
        <v>3927</v>
      </c>
      <c r="G5160" t="s">
        <v>101</v>
      </c>
      <c r="H5160" s="4">
        <v>2159.27</v>
      </c>
      <c r="I5160" t="s">
        <v>31</v>
      </c>
      <c r="J5160" t="s">
        <v>74</v>
      </c>
      <c r="K5160" t="s">
        <v>2354</v>
      </c>
      <c r="L5160" s="2">
        <v>46174</v>
      </c>
      <c r="M5160" t="s">
        <v>76</v>
      </c>
      <c r="N5160">
        <v>0</v>
      </c>
      <c r="O5160" t="s">
        <v>31</v>
      </c>
      <c r="P5160" t="s">
        <v>28</v>
      </c>
      <c r="Q5160">
        <v>0</v>
      </c>
    </row>
    <row r="5161" spans="1:17" x14ac:dyDescent="0.3">
      <c r="A5161" t="s">
        <v>17</v>
      </c>
      <c r="B5161">
        <v>67</v>
      </c>
      <c r="C5161" t="s">
        <v>28</v>
      </c>
      <c r="D5161" s="2">
        <v>46184</v>
      </c>
      <c r="E5161" s="3">
        <f t="shared" si="80"/>
        <v>46174</v>
      </c>
      <c r="F5161" t="s">
        <v>3911</v>
      </c>
      <c r="G5161" t="s">
        <v>824</v>
      </c>
      <c r="H5161" s="4">
        <v>108.88</v>
      </c>
      <c r="I5161" t="s">
        <v>108</v>
      </c>
      <c r="J5161" t="s">
        <v>74</v>
      </c>
      <c r="K5161" t="s">
        <v>4130</v>
      </c>
      <c r="L5161" s="2">
        <v>46174</v>
      </c>
      <c r="M5161" t="s">
        <v>76</v>
      </c>
      <c r="N5161">
        <v>0</v>
      </c>
      <c r="O5161" t="s">
        <v>111</v>
      </c>
      <c r="P5161" t="s">
        <v>28</v>
      </c>
      <c r="Q5161">
        <v>0</v>
      </c>
    </row>
    <row r="5162" spans="1:17" x14ac:dyDescent="0.3">
      <c r="A5162" t="s">
        <v>17</v>
      </c>
      <c r="B5162">
        <v>67</v>
      </c>
      <c r="C5162" t="s">
        <v>28</v>
      </c>
      <c r="D5162" s="2">
        <v>46198</v>
      </c>
      <c r="E5162" s="3">
        <f t="shared" si="80"/>
        <v>46174</v>
      </c>
      <c r="F5162" t="s">
        <v>3938</v>
      </c>
      <c r="G5162" t="s">
        <v>222</v>
      </c>
      <c r="H5162" s="4">
        <v>21.78</v>
      </c>
      <c r="I5162" t="s">
        <v>104</v>
      </c>
      <c r="J5162" t="s">
        <v>74</v>
      </c>
      <c r="K5162" t="s">
        <v>4131</v>
      </c>
      <c r="L5162" s="2">
        <v>46174</v>
      </c>
      <c r="M5162" t="s">
        <v>76</v>
      </c>
      <c r="N5162">
        <v>0</v>
      </c>
      <c r="O5162" t="s">
        <v>104</v>
      </c>
      <c r="P5162" t="s">
        <v>28</v>
      </c>
      <c r="Q5162">
        <v>0</v>
      </c>
    </row>
    <row r="5163" spans="1:17" x14ac:dyDescent="0.3">
      <c r="A5163" t="s">
        <v>17</v>
      </c>
      <c r="B5163">
        <v>67</v>
      </c>
      <c r="C5163" t="s">
        <v>28</v>
      </c>
      <c r="D5163" s="2">
        <v>46198</v>
      </c>
      <c r="E5163" s="3">
        <f t="shared" si="80"/>
        <v>46174</v>
      </c>
      <c r="F5163" t="s">
        <v>3938</v>
      </c>
      <c r="G5163" t="s">
        <v>222</v>
      </c>
      <c r="H5163" s="4">
        <v>20</v>
      </c>
      <c r="I5163" t="s">
        <v>104</v>
      </c>
      <c r="J5163" t="s">
        <v>74</v>
      </c>
      <c r="K5163" t="s">
        <v>4132</v>
      </c>
      <c r="L5163" s="2">
        <v>46174</v>
      </c>
      <c r="M5163" t="s">
        <v>76</v>
      </c>
      <c r="N5163">
        <v>0</v>
      </c>
      <c r="O5163" t="s">
        <v>104</v>
      </c>
      <c r="P5163" t="s">
        <v>28</v>
      </c>
      <c r="Q5163">
        <v>0</v>
      </c>
    </row>
    <row r="5164" spans="1:17" x14ac:dyDescent="0.3">
      <c r="A5164" t="s">
        <v>17</v>
      </c>
      <c r="B5164">
        <v>67</v>
      </c>
      <c r="C5164" t="s">
        <v>28</v>
      </c>
      <c r="D5164" s="2">
        <v>46198</v>
      </c>
      <c r="E5164" s="3">
        <f t="shared" si="80"/>
        <v>46174</v>
      </c>
      <c r="F5164" t="s">
        <v>3938</v>
      </c>
      <c r="G5164" t="s">
        <v>222</v>
      </c>
      <c r="H5164" s="4">
        <v>20</v>
      </c>
      <c r="I5164" t="s">
        <v>104</v>
      </c>
      <c r="J5164" t="s">
        <v>74</v>
      </c>
      <c r="K5164" t="s">
        <v>4133</v>
      </c>
      <c r="L5164" s="2">
        <v>46174</v>
      </c>
      <c r="M5164" t="s">
        <v>76</v>
      </c>
      <c r="N5164">
        <v>0</v>
      </c>
      <c r="O5164" t="s">
        <v>104</v>
      </c>
      <c r="P5164" t="s">
        <v>28</v>
      </c>
      <c r="Q5164">
        <v>0</v>
      </c>
    </row>
    <row r="5165" spans="1:17" x14ac:dyDescent="0.3">
      <c r="A5165" t="s">
        <v>17</v>
      </c>
      <c r="B5165">
        <v>67</v>
      </c>
      <c r="C5165" t="s">
        <v>28</v>
      </c>
      <c r="D5165" s="2">
        <v>46203</v>
      </c>
      <c r="E5165" s="3">
        <f t="shared" si="80"/>
        <v>46174</v>
      </c>
      <c r="F5165" t="s">
        <v>3921</v>
      </c>
      <c r="G5165" t="s">
        <v>1334</v>
      </c>
      <c r="H5165" s="4">
        <v>163.31</v>
      </c>
      <c r="I5165" t="s">
        <v>31</v>
      </c>
      <c r="J5165" t="s">
        <v>74</v>
      </c>
      <c r="K5165" t="s">
        <v>247</v>
      </c>
      <c r="L5165" s="2">
        <v>46174</v>
      </c>
      <c r="M5165" t="s">
        <v>76</v>
      </c>
      <c r="N5165">
        <v>0</v>
      </c>
      <c r="O5165" t="s">
        <v>31</v>
      </c>
      <c r="P5165" t="s">
        <v>28</v>
      </c>
      <c r="Q5165">
        <v>0</v>
      </c>
    </row>
    <row r="5166" spans="1:17" x14ac:dyDescent="0.3">
      <c r="A5166" t="s">
        <v>17</v>
      </c>
      <c r="B5166">
        <v>67</v>
      </c>
      <c r="C5166" t="s">
        <v>28</v>
      </c>
      <c r="D5166" s="2">
        <v>46203</v>
      </c>
      <c r="E5166" s="3">
        <f t="shared" si="80"/>
        <v>46174</v>
      </c>
      <c r="F5166" t="s">
        <v>3921</v>
      </c>
      <c r="G5166" t="s">
        <v>1334</v>
      </c>
      <c r="H5166" s="4">
        <v>217.75</v>
      </c>
      <c r="I5166" t="s">
        <v>31</v>
      </c>
      <c r="J5166" t="s">
        <v>74</v>
      </c>
      <c r="K5166" t="s">
        <v>2139</v>
      </c>
      <c r="L5166" s="2">
        <v>46174</v>
      </c>
      <c r="M5166" t="s">
        <v>76</v>
      </c>
      <c r="N5166">
        <v>0</v>
      </c>
      <c r="O5166" t="s">
        <v>31</v>
      </c>
      <c r="P5166" t="s">
        <v>28</v>
      </c>
      <c r="Q5166">
        <v>0</v>
      </c>
    </row>
    <row r="5167" spans="1:17" x14ac:dyDescent="0.3">
      <c r="A5167" t="s">
        <v>17</v>
      </c>
      <c r="B5167">
        <v>67</v>
      </c>
      <c r="C5167" t="s">
        <v>28</v>
      </c>
      <c r="D5167" s="2">
        <v>46203</v>
      </c>
      <c r="E5167" s="3">
        <f t="shared" si="80"/>
        <v>46174</v>
      </c>
      <c r="F5167" t="s">
        <v>3921</v>
      </c>
      <c r="G5167" t="s">
        <v>1334</v>
      </c>
      <c r="H5167" s="4">
        <v>185.09</v>
      </c>
      <c r="I5167" t="s">
        <v>31</v>
      </c>
      <c r="J5167" t="s">
        <v>74</v>
      </c>
      <c r="K5167" t="s">
        <v>3117</v>
      </c>
      <c r="L5167" s="2">
        <v>46174</v>
      </c>
      <c r="M5167" t="s">
        <v>76</v>
      </c>
      <c r="N5167">
        <v>0</v>
      </c>
      <c r="O5167" t="s">
        <v>31</v>
      </c>
      <c r="P5167" t="s">
        <v>28</v>
      </c>
      <c r="Q5167">
        <v>0</v>
      </c>
    </row>
    <row r="5168" spans="1:17" x14ac:dyDescent="0.3">
      <c r="A5168" t="s">
        <v>17</v>
      </c>
      <c r="B5168">
        <v>67</v>
      </c>
      <c r="C5168" t="s">
        <v>28</v>
      </c>
      <c r="D5168" s="2">
        <v>46203</v>
      </c>
      <c r="E5168" s="3">
        <f t="shared" si="80"/>
        <v>46174</v>
      </c>
      <c r="F5168" t="s">
        <v>4134</v>
      </c>
      <c r="H5168" s="4">
        <v>203.03</v>
      </c>
      <c r="I5168" t="s">
        <v>31</v>
      </c>
      <c r="J5168" t="s">
        <v>74</v>
      </c>
      <c r="K5168" t="s">
        <v>3578</v>
      </c>
      <c r="L5168" s="2">
        <v>46174</v>
      </c>
      <c r="M5168" t="s">
        <v>76</v>
      </c>
      <c r="N5168">
        <v>0</v>
      </c>
      <c r="O5168" t="s">
        <v>31</v>
      </c>
      <c r="P5168" t="s">
        <v>28</v>
      </c>
      <c r="Q5168">
        <v>0</v>
      </c>
    </row>
    <row r="5169" spans="1:17" x14ac:dyDescent="0.3">
      <c r="A5169" t="s">
        <v>17</v>
      </c>
      <c r="B5169">
        <v>67</v>
      </c>
      <c r="C5169" t="s">
        <v>28</v>
      </c>
      <c r="D5169" s="2">
        <v>46203</v>
      </c>
      <c r="E5169" s="3">
        <f t="shared" si="80"/>
        <v>46174</v>
      </c>
      <c r="F5169" t="s">
        <v>4135</v>
      </c>
      <c r="H5169" s="4">
        <v>2502.4499999999998</v>
      </c>
      <c r="I5169" t="s">
        <v>31</v>
      </c>
      <c r="J5169" t="s">
        <v>74</v>
      </c>
      <c r="K5169" t="s">
        <v>3871</v>
      </c>
      <c r="L5169" s="2">
        <v>46174</v>
      </c>
      <c r="M5169" t="s">
        <v>76</v>
      </c>
      <c r="N5169">
        <v>0</v>
      </c>
      <c r="O5169" t="s">
        <v>31</v>
      </c>
      <c r="P5169" t="s">
        <v>28</v>
      </c>
      <c r="Q5169">
        <v>0</v>
      </c>
    </row>
    <row r="5170" spans="1:17" x14ac:dyDescent="0.3">
      <c r="A5170" t="s">
        <v>17</v>
      </c>
      <c r="B5170">
        <v>67</v>
      </c>
      <c r="C5170" t="s">
        <v>28</v>
      </c>
      <c r="D5170" s="2">
        <v>46203</v>
      </c>
      <c r="E5170" s="3">
        <f t="shared" si="80"/>
        <v>46174</v>
      </c>
      <c r="F5170" t="s">
        <v>4136</v>
      </c>
      <c r="H5170" s="4">
        <v>21.76</v>
      </c>
      <c r="I5170" t="s">
        <v>31</v>
      </c>
      <c r="J5170" t="s">
        <v>74</v>
      </c>
      <c r="K5170" t="s">
        <v>4137</v>
      </c>
      <c r="L5170" s="2">
        <v>46174</v>
      </c>
      <c r="M5170" t="s">
        <v>76</v>
      </c>
      <c r="N5170">
        <v>0</v>
      </c>
      <c r="O5170" t="s">
        <v>31</v>
      </c>
      <c r="P5170" t="s">
        <v>28</v>
      </c>
      <c r="Q5170">
        <v>0</v>
      </c>
    </row>
    <row r="5171" spans="1:17" x14ac:dyDescent="0.3">
      <c r="A5171" t="s">
        <v>17</v>
      </c>
      <c r="B5171">
        <v>67</v>
      </c>
      <c r="C5171" t="s">
        <v>28</v>
      </c>
      <c r="D5171" s="2">
        <v>46203</v>
      </c>
      <c r="E5171" s="3">
        <f t="shared" si="80"/>
        <v>46174</v>
      </c>
      <c r="F5171" t="s">
        <v>4138</v>
      </c>
      <c r="H5171" s="4">
        <v>21.76</v>
      </c>
      <c r="I5171" t="s">
        <v>31</v>
      </c>
      <c r="J5171" t="s">
        <v>74</v>
      </c>
      <c r="K5171" t="s">
        <v>3327</v>
      </c>
      <c r="L5171" s="2">
        <v>46174</v>
      </c>
      <c r="M5171" t="s">
        <v>76</v>
      </c>
      <c r="N5171">
        <v>0</v>
      </c>
      <c r="O5171" t="s">
        <v>31</v>
      </c>
      <c r="P5171" t="s">
        <v>28</v>
      </c>
      <c r="Q5171">
        <v>0</v>
      </c>
    </row>
    <row r="5172" spans="1:17" x14ac:dyDescent="0.3">
      <c r="A5172" t="s">
        <v>17</v>
      </c>
      <c r="B5172">
        <v>67</v>
      </c>
      <c r="C5172" t="s">
        <v>28</v>
      </c>
      <c r="D5172" s="2">
        <v>46203</v>
      </c>
      <c r="E5172" s="3">
        <f t="shared" si="80"/>
        <v>46174</v>
      </c>
      <c r="F5172" t="s">
        <v>4139</v>
      </c>
      <c r="H5172" s="4">
        <v>18.149999999999999</v>
      </c>
      <c r="I5172" t="s">
        <v>31</v>
      </c>
      <c r="J5172" t="s">
        <v>74</v>
      </c>
      <c r="K5172" t="s">
        <v>3580</v>
      </c>
      <c r="L5172" s="2">
        <v>46174</v>
      </c>
      <c r="M5172" t="s">
        <v>76</v>
      </c>
      <c r="N5172">
        <v>0</v>
      </c>
      <c r="O5172" t="s">
        <v>31</v>
      </c>
      <c r="P5172" t="s">
        <v>28</v>
      </c>
      <c r="Q5172">
        <v>0</v>
      </c>
    </row>
    <row r="5173" spans="1:17" x14ac:dyDescent="0.3">
      <c r="A5173" t="s">
        <v>17</v>
      </c>
      <c r="B5173">
        <v>67</v>
      </c>
      <c r="C5173" t="s">
        <v>28</v>
      </c>
      <c r="D5173" s="2">
        <v>46203</v>
      </c>
      <c r="E5173" s="3">
        <f t="shared" si="80"/>
        <v>46174</v>
      </c>
      <c r="F5173" t="s">
        <v>4140</v>
      </c>
      <c r="H5173" s="4">
        <v>9.99</v>
      </c>
      <c r="I5173" t="s">
        <v>31</v>
      </c>
      <c r="J5173" t="s">
        <v>74</v>
      </c>
      <c r="K5173" t="s">
        <v>1494</v>
      </c>
      <c r="L5173" s="2">
        <v>46174</v>
      </c>
      <c r="M5173" t="s">
        <v>76</v>
      </c>
      <c r="N5173">
        <v>0</v>
      </c>
      <c r="O5173" t="s">
        <v>31</v>
      </c>
      <c r="P5173" t="s">
        <v>28</v>
      </c>
      <c r="Q5173">
        <v>0</v>
      </c>
    </row>
    <row r="5174" spans="1:17" x14ac:dyDescent="0.3">
      <c r="A5174" t="s">
        <v>17</v>
      </c>
      <c r="B5174">
        <v>67</v>
      </c>
      <c r="C5174" t="s">
        <v>28</v>
      </c>
      <c r="D5174" s="2">
        <v>46203</v>
      </c>
      <c r="E5174" s="3">
        <f t="shared" si="80"/>
        <v>46174</v>
      </c>
      <c r="F5174" t="s">
        <v>4141</v>
      </c>
      <c r="H5174" s="4">
        <v>411.6</v>
      </c>
      <c r="I5174" t="s">
        <v>31</v>
      </c>
      <c r="J5174" t="s">
        <v>74</v>
      </c>
      <c r="K5174" t="s">
        <v>1501</v>
      </c>
      <c r="L5174" s="2">
        <v>46174</v>
      </c>
      <c r="M5174" t="s">
        <v>76</v>
      </c>
      <c r="N5174">
        <v>0</v>
      </c>
      <c r="O5174" t="s">
        <v>31</v>
      </c>
      <c r="P5174" t="s">
        <v>28</v>
      </c>
      <c r="Q5174">
        <v>0</v>
      </c>
    </row>
    <row r="5175" spans="1:17" x14ac:dyDescent="0.3">
      <c r="A5175" t="s">
        <v>17</v>
      </c>
      <c r="B5175">
        <v>67</v>
      </c>
      <c r="C5175" t="s">
        <v>28</v>
      </c>
      <c r="D5175" s="2">
        <v>46203</v>
      </c>
      <c r="E5175" s="3">
        <f t="shared" si="80"/>
        <v>46174</v>
      </c>
      <c r="F5175" t="s">
        <v>4142</v>
      </c>
      <c r="H5175" s="4">
        <v>4178.55</v>
      </c>
      <c r="I5175" t="s">
        <v>31</v>
      </c>
      <c r="J5175" t="s">
        <v>74</v>
      </c>
      <c r="K5175" t="s">
        <v>4143</v>
      </c>
      <c r="L5175" s="2">
        <v>46174</v>
      </c>
      <c r="M5175" t="s">
        <v>76</v>
      </c>
      <c r="N5175">
        <v>0</v>
      </c>
      <c r="O5175" t="s">
        <v>31</v>
      </c>
      <c r="P5175" t="s">
        <v>28</v>
      </c>
      <c r="Q5175">
        <v>0</v>
      </c>
    </row>
    <row r="5176" spans="1:17" x14ac:dyDescent="0.3">
      <c r="A5176" t="s">
        <v>17</v>
      </c>
      <c r="B5176">
        <v>67</v>
      </c>
      <c r="C5176" t="s">
        <v>28</v>
      </c>
      <c r="D5176" s="2">
        <v>46203</v>
      </c>
      <c r="E5176" s="3">
        <f t="shared" si="80"/>
        <v>46174</v>
      </c>
      <c r="F5176" t="s">
        <v>4144</v>
      </c>
      <c r="H5176" s="4">
        <v>421.66</v>
      </c>
      <c r="I5176" t="s">
        <v>31</v>
      </c>
      <c r="J5176" t="s">
        <v>74</v>
      </c>
      <c r="K5176" t="s">
        <v>4145</v>
      </c>
      <c r="L5176" s="2">
        <v>46174</v>
      </c>
      <c r="M5176" t="s">
        <v>76</v>
      </c>
      <c r="N5176">
        <v>0</v>
      </c>
      <c r="O5176" t="s">
        <v>31</v>
      </c>
      <c r="P5176" t="s">
        <v>28</v>
      </c>
      <c r="Q5176">
        <v>0</v>
      </c>
    </row>
    <row r="5177" spans="1:17" x14ac:dyDescent="0.3">
      <c r="A5177" t="s">
        <v>17</v>
      </c>
      <c r="B5177">
        <v>67</v>
      </c>
      <c r="C5177" t="s">
        <v>28</v>
      </c>
      <c r="D5177" s="2">
        <v>46203</v>
      </c>
      <c r="E5177" s="3">
        <f t="shared" si="80"/>
        <v>46174</v>
      </c>
      <c r="F5177" t="s">
        <v>4146</v>
      </c>
      <c r="H5177" s="4">
        <v>19.600000000000001</v>
      </c>
      <c r="I5177" t="s">
        <v>159</v>
      </c>
      <c r="J5177" t="s">
        <v>74</v>
      </c>
      <c r="K5177" t="s">
        <v>2659</v>
      </c>
      <c r="L5177" s="2">
        <v>46174</v>
      </c>
      <c r="M5177" t="s">
        <v>76</v>
      </c>
      <c r="N5177">
        <v>0</v>
      </c>
      <c r="O5177" t="s">
        <v>159</v>
      </c>
      <c r="P5177" t="s">
        <v>28</v>
      </c>
      <c r="Q5177">
        <v>0</v>
      </c>
    </row>
    <row r="5178" spans="1:17" x14ac:dyDescent="0.3">
      <c r="A5178" t="s">
        <v>17</v>
      </c>
      <c r="B5178">
        <v>67</v>
      </c>
      <c r="C5178" t="s">
        <v>28</v>
      </c>
      <c r="D5178" s="2">
        <v>46203</v>
      </c>
      <c r="E5178" s="3">
        <f t="shared" si="80"/>
        <v>46174</v>
      </c>
      <c r="F5178" t="s">
        <v>4147</v>
      </c>
      <c r="H5178" s="4">
        <v>18.059999999999999</v>
      </c>
      <c r="I5178" t="s">
        <v>159</v>
      </c>
      <c r="J5178" t="s">
        <v>74</v>
      </c>
      <c r="K5178" t="s">
        <v>4148</v>
      </c>
      <c r="L5178" s="2">
        <v>46174</v>
      </c>
      <c r="M5178" t="s">
        <v>76</v>
      </c>
      <c r="N5178">
        <v>0</v>
      </c>
      <c r="O5178" t="s">
        <v>159</v>
      </c>
      <c r="P5178" t="s">
        <v>28</v>
      </c>
      <c r="Q5178">
        <v>0</v>
      </c>
    </row>
    <row r="5179" spans="1:17" x14ac:dyDescent="0.3">
      <c r="A5179" t="s">
        <v>17</v>
      </c>
      <c r="B5179">
        <v>67</v>
      </c>
      <c r="C5179" t="s">
        <v>28</v>
      </c>
      <c r="D5179" s="2">
        <v>46203</v>
      </c>
      <c r="E5179" s="3">
        <f t="shared" si="80"/>
        <v>46174</v>
      </c>
      <c r="F5179" t="s">
        <v>4149</v>
      </c>
      <c r="H5179" s="4">
        <v>21.76</v>
      </c>
      <c r="I5179" t="s">
        <v>159</v>
      </c>
      <c r="J5179" t="s">
        <v>74</v>
      </c>
      <c r="K5179" t="s">
        <v>3569</v>
      </c>
      <c r="L5179" s="2">
        <v>46174</v>
      </c>
      <c r="M5179" t="s">
        <v>76</v>
      </c>
      <c r="N5179">
        <v>0</v>
      </c>
      <c r="O5179" t="s">
        <v>159</v>
      </c>
      <c r="P5179" t="s">
        <v>28</v>
      </c>
      <c r="Q5179">
        <v>0</v>
      </c>
    </row>
    <row r="5180" spans="1:17" x14ac:dyDescent="0.3">
      <c r="A5180" t="s">
        <v>17</v>
      </c>
      <c r="B5180">
        <v>67</v>
      </c>
      <c r="C5180" t="s">
        <v>28</v>
      </c>
      <c r="D5180" s="2">
        <v>46203</v>
      </c>
      <c r="E5180" s="3">
        <f t="shared" si="80"/>
        <v>46174</v>
      </c>
      <c r="F5180" t="s">
        <v>4150</v>
      </c>
      <c r="H5180" s="4">
        <v>32.799999999999997</v>
      </c>
      <c r="I5180" t="s">
        <v>159</v>
      </c>
      <c r="J5180" t="s">
        <v>74</v>
      </c>
      <c r="K5180" t="s">
        <v>4151</v>
      </c>
      <c r="L5180" s="2">
        <v>46174</v>
      </c>
      <c r="M5180" t="s">
        <v>76</v>
      </c>
      <c r="N5180">
        <v>0</v>
      </c>
      <c r="O5180" t="s">
        <v>159</v>
      </c>
      <c r="P5180" t="s">
        <v>28</v>
      </c>
      <c r="Q5180">
        <v>0</v>
      </c>
    </row>
    <row r="5181" spans="1:17" x14ac:dyDescent="0.3">
      <c r="A5181" t="s">
        <v>17</v>
      </c>
      <c r="B5181">
        <v>67</v>
      </c>
      <c r="C5181" t="s">
        <v>28</v>
      </c>
      <c r="D5181" s="2">
        <v>46203</v>
      </c>
      <c r="E5181" s="3">
        <f t="shared" si="80"/>
        <v>46174</v>
      </c>
      <c r="F5181" t="s">
        <v>4152</v>
      </c>
      <c r="H5181" s="4">
        <v>18.149999999999999</v>
      </c>
      <c r="I5181" t="s">
        <v>108</v>
      </c>
      <c r="J5181" t="s">
        <v>74</v>
      </c>
      <c r="K5181" t="s">
        <v>2366</v>
      </c>
      <c r="L5181" s="2">
        <v>46174</v>
      </c>
      <c r="M5181" t="s">
        <v>76</v>
      </c>
      <c r="N5181">
        <v>0</v>
      </c>
      <c r="O5181" t="s">
        <v>111</v>
      </c>
      <c r="P5181" t="s">
        <v>28</v>
      </c>
      <c r="Q5181">
        <v>0</v>
      </c>
    </row>
    <row r="5182" spans="1:17" x14ac:dyDescent="0.3">
      <c r="A5182" t="s">
        <v>17</v>
      </c>
      <c r="B5182">
        <v>68</v>
      </c>
      <c r="C5182" t="s">
        <v>34</v>
      </c>
      <c r="D5182" s="2">
        <v>46174</v>
      </c>
      <c r="E5182" s="3">
        <f t="shared" si="80"/>
        <v>46174</v>
      </c>
      <c r="F5182" t="s">
        <v>4014</v>
      </c>
      <c r="G5182" t="s">
        <v>40</v>
      </c>
      <c r="H5182" s="4">
        <v>372.96</v>
      </c>
      <c r="I5182" t="s">
        <v>31</v>
      </c>
      <c r="J5182" t="s">
        <v>37</v>
      </c>
      <c r="K5182" t="s">
        <v>4153</v>
      </c>
      <c r="L5182" s="2">
        <v>46174</v>
      </c>
      <c r="M5182" t="s">
        <v>37</v>
      </c>
      <c r="N5182">
        <v>0</v>
      </c>
      <c r="O5182" t="s">
        <v>31</v>
      </c>
      <c r="P5182" t="s">
        <v>34</v>
      </c>
      <c r="Q5182">
        <v>0</v>
      </c>
    </row>
    <row r="5183" spans="1:17" x14ac:dyDescent="0.3">
      <c r="A5183" t="s">
        <v>17</v>
      </c>
      <c r="B5183">
        <v>68</v>
      </c>
      <c r="C5183" t="s">
        <v>34</v>
      </c>
      <c r="D5183" s="2">
        <v>46174</v>
      </c>
      <c r="E5183" s="3">
        <f t="shared" si="80"/>
        <v>46174</v>
      </c>
      <c r="F5183" t="s">
        <v>4154</v>
      </c>
      <c r="H5183" s="4">
        <v>-372.96</v>
      </c>
      <c r="I5183" t="s">
        <v>31</v>
      </c>
      <c r="J5183" t="s">
        <v>37</v>
      </c>
      <c r="K5183" t="s">
        <v>3889</v>
      </c>
      <c r="L5183" s="2">
        <v>46174</v>
      </c>
      <c r="M5183" t="s">
        <v>37</v>
      </c>
      <c r="N5183">
        <v>0</v>
      </c>
      <c r="O5183" t="s">
        <v>31</v>
      </c>
      <c r="P5183" t="s">
        <v>34</v>
      </c>
      <c r="Q5183">
        <v>0</v>
      </c>
    </row>
    <row r="5184" spans="1:17" x14ac:dyDescent="0.3">
      <c r="A5184" t="s">
        <v>17</v>
      </c>
      <c r="B5184">
        <v>68</v>
      </c>
      <c r="C5184" t="s">
        <v>34</v>
      </c>
      <c r="D5184" s="2">
        <v>46200</v>
      </c>
      <c r="E5184" s="3">
        <f t="shared" si="80"/>
        <v>46174</v>
      </c>
      <c r="F5184" t="s">
        <v>4155</v>
      </c>
      <c r="G5184" t="s">
        <v>43</v>
      </c>
      <c r="H5184" s="4">
        <v>270.70999999999998</v>
      </c>
      <c r="I5184" t="s">
        <v>31</v>
      </c>
      <c r="J5184" t="s">
        <v>37</v>
      </c>
      <c r="K5184" t="s">
        <v>1734</v>
      </c>
      <c r="L5184" s="2">
        <v>46174</v>
      </c>
      <c r="M5184" t="s">
        <v>37</v>
      </c>
      <c r="N5184">
        <v>0</v>
      </c>
      <c r="O5184" t="s">
        <v>31</v>
      </c>
      <c r="P5184" t="s">
        <v>34</v>
      </c>
      <c r="Q5184">
        <v>0</v>
      </c>
    </row>
    <row r="5185" spans="1:17" x14ac:dyDescent="0.3">
      <c r="A5185" t="s">
        <v>17</v>
      </c>
      <c r="B5185">
        <v>68</v>
      </c>
      <c r="C5185" t="s">
        <v>34</v>
      </c>
      <c r="D5185" s="2">
        <v>46203</v>
      </c>
      <c r="E5185" s="3">
        <f t="shared" si="80"/>
        <v>46174</v>
      </c>
      <c r="F5185" t="s">
        <v>4156</v>
      </c>
      <c r="H5185" s="4">
        <v>460.47</v>
      </c>
      <c r="I5185" t="s">
        <v>31</v>
      </c>
      <c r="J5185" t="s">
        <v>37</v>
      </c>
      <c r="K5185" t="s">
        <v>4157</v>
      </c>
      <c r="L5185" s="2">
        <v>46174</v>
      </c>
      <c r="M5185" t="s">
        <v>37</v>
      </c>
      <c r="N5185">
        <v>0</v>
      </c>
      <c r="O5185" t="s">
        <v>31</v>
      </c>
      <c r="P5185" t="s">
        <v>34</v>
      </c>
      <c r="Q5185">
        <v>0</v>
      </c>
    </row>
    <row r="5186" spans="1:17" x14ac:dyDescent="0.3">
      <c r="A5186" t="s">
        <v>17</v>
      </c>
      <c r="B5186">
        <v>65</v>
      </c>
      <c r="C5186" t="s">
        <v>54</v>
      </c>
      <c r="D5186" s="2">
        <v>46174</v>
      </c>
      <c r="E5186" s="3">
        <f t="shared" si="80"/>
        <v>46174</v>
      </c>
      <c r="F5186">
        <v>43293522</v>
      </c>
      <c r="G5186" t="s">
        <v>154</v>
      </c>
      <c r="H5186" s="4">
        <v>314.64999999999998</v>
      </c>
      <c r="I5186" t="s">
        <v>31</v>
      </c>
      <c r="J5186" t="s">
        <v>155</v>
      </c>
      <c r="K5186" t="s">
        <v>2156</v>
      </c>
      <c r="L5186" s="2">
        <v>46174</v>
      </c>
      <c r="M5186" t="s">
        <v>155</v>
      </c>
      <c r="N5186">
        <v>0</v>
      </c>
      <c r="O5186" t="s">
        <v>31</v>
      </c>
      <c r="P5186" t="s">
        <v>54</v>
      </c>
      <c r="Q5186">
        <v>0</v>
      </c>
    </row>
    <row r="5187" spans="1:17" x14ac:dyDescent="0.3">
      <c r="A5187" t="s">
        <v>17</v>
      </c>
      <c r="B5187">
        <v>65</v>
      </c>
      <c r="C5187" t="s">
        <v>54</v>
      </c>
      <c r="D5187" s="2">
        <v>46203</v>
      </c>
      <c r="E5187" s="3">
        <f t="shared" ref="E5187:E5250" si="81">IF($D5187="","",DATE(YEAR($D5187),MONTH($D5187),1))</f>
        <v>46174</v>
      </c>
      <c r="F5187" t="s">
        <v>4016</v>
      </c>
      <c r="H5187" s="4">
        <v>-289</v>
      </c>
      <c r="I5187" t="s">
        <v>31</v>
      </c>
      <c r="J5187" t="s">
        <v>155</v>
      </c>
      <c r="K5187" t="s">
        <v>3890</v>
      </c>
      <c r="L5187" s="2">
        <v>46174</v>
      </c>
      <c r="M5187" t="s">
        <v>155</v>
      </c>
      <c r="N5187">
        <v>0</v>
      </c>
      <c r="O5187" t="s">
        <v>31</v>
      </c>
      <c r="P5187" t="s">
        <v>54</v>
      </c>
      <c r="Q5187">
        <v>0</v>
      </c>
    </row>
    <row r="5188" spans="1:17" x14ac:dyDescent="0.3">
      <c r="A5188" t="s">
        <v>17</v>
      </c>
      <c r="B5188">
        <v>67</v>
      </c>
      <c r="C5188" t="s">
        <v>28</v>
      </c>
      <c r="D5188" s="2">
        <v>46203</v>
      </c>
      <c r="E5188" s="3">
        <f t="shared" si="81"/>
        <v>46174</v>
      </c>
      <c r="F5188" t="s">
        <v>4158</v>
      </c>
      <c r="H5188" s="4">
        <v>175</v>
      </c>
      <c r="I5188" t="s">
        <v>108</v>
      </c>
      <c r="J5188" t="s">
        <v>352</v>
      </c>
      <c r="K5188" t="s">
        <v>4159</v>
      </c>
      <c r="L5188" s="2">
        <v>46174</v>
      </c>
      <c r="M5188" t="s">
        <v>352</v>
      </c>
      <c r="N5188">
        <v>0</v>
      </c>
      <c r="O5188" t="s">
        <v>111</v>
      </c>
      <c r="P5188" t="s">
        <v>28</v>
      </c>
      <c r="Q5188">
        <v>0</v>
      </c>
    </row>
    <row r="5189" spans="1:17" x14ac:dyDescent="0.3">
      <c r="A5189" t="s">
        <v>17</v>
      </c>
      <c r="B5189">
        <v>68</v>
      </c>
      <c r="C5189" t="s">
        <v>34</v>
      </c>
      <c r="D5189" s="2">
        <v>46203</v>
      </c>
      <c r="E5189" s="3">
        <f t="shared" si="81"/>
        <v>46174</v>
      </c>
      <c r="F5189" t="s">
        <v>4160</v>
      </c>
      <c r="H5189" s="4">
        <v>-32965</v>
      </c>
      <c r="I5189" t="s">
        <v>116</v>
      </c>
      <c r="J5189" t="s">
        <v>767</v>
      </c>
      <c r="K5189" t="s">
        <v>4161</v>
      </c>
      <c r="L5189" s="2">
        <v>46174</v>
      </c>
      <c r="M5189" t="s">
        <v>767</v>
      </c>
      <c r="N5189">
        <v>0</v>
      </c>
      <c r="O5189" t="s">
        <v>116</v>
      </c>
      <c r="P5189" t="s">
        <v>34</v>
      </c>
      <c r="Q5189">
        <v>0</v>
      </c>
    </row>
    <row r="5190" spans="1:17" x14ac:dyDescent="0.3">
      <c r="A5190" t="s">
        <v>17</v>
      </c>
      <c r="B5190">
        <v>68</v>
      </c>
      <c r="C5190" t="s">
        <v>34</v>
      </c>
      <c r="D5190" s="2">
        <v>46203</v>
      </c>
      <c r="E5190" s="3">
        <f t="shared" si="81"/>
        <v>46174</v>
      </c>
      <c r="F5190" t="s">
        <v>4162</v>
      </c>
      <c r="H5190" s="4">
        <v>158707.23000000001</v>
      </c>
      <c r="I5190" t="s">
        <v>21</v>
      </c>
      <c r="J5190" t="s">
        <v>726</v>
      </c>
      <c r="K5190" t="s">
        <v>4163</v>
      </c>
      <c r="L5190" s="2">
        <v>46174</v>
      </c>
      <c r="M5190" t="s">
        <v>726</v>
      </c>
      <c r="N5190" t="s">
        <v>25</v>
      </c>
      <c r="O5190" t="s">
        <v>81</v>
      </c>
      <c r="P5190" t="s">
        <v>34</v>
      </c>
      <c r="Q5190">
        <v>0</v>
      </c>
    </row>
    <row r="5191" spans="1:17" x14ac:dyDescent="0.3">
      <c r="A5191" t="s">
        <v>17</v>
      </c>
      <c r="B5191">
        <v>67</v>
      </c>
      <c r="C5191" t="s">
        <v>28</v>
      </c>
      <c r="D5191" s="2">
        <v>46177</v>
      </c>
      <c r="E5191" s="3">
        <f t="shared" si="81"/>
        <v>46174</v>
      </c>
      <c r="F5191" t="s">
        <v>3927</v>
      </c>
      <c r="G5191" t="s">
        <v>101</v>
      </c>
      <c r="H5191" s="4">
        <v>2.0699999999999998</v>
      </c>
      <c r="I5191" t="s">
        <v>31</v>
      </c>
      <c r="J5191" t="s">
        <v>64</v>
      </c>
      <c r="K5191" t="s">
        <v>1166</v>
      </c>
      <c r="L5191" s="2">
        <v>46174</v>
      </c>
      <c r="M5191" t="s">
        <v>64</v>
      </c>
      <c r="N5191">
        <v>0</v>
      </c>
      <c r="O5191" t="s">
        <v>31</v>
      </c>
      <c r="P5191" t="s">
        <v>28</v>
      </c>
      <c r="Q5191">
        <v>0</v>
      </c>
    </row>
    <row r="5192" spans="1:17" x14ac:dyDescent="0.3">
      <c r="A5192" t="s">
        <v>17</v>
      </c>
      <c r="B5192">
        <v>67</v>
      </c>
      <c r="C5192" t="s">
        <v>28</v>
      </c>
      <c r="D5192" s="2">
        <v>46185</v>
      </c>
      <c r="E5192" s="3">
        <f t="shared" si="81"/>
        <v>46174</v>
      </c>
      <c r="F5192" t="s">
        <v>4164</v>
      </c>
      <c r="H5192" s="4">
        <v>-0.87</v>
      </c>
      <c r="I5192" t="s">
        <v>31</v>
      </c>
      <c r="J5192" t="s">
        <v>64</v>
      </c>
      <c r="K5192" t="s">
        <v>4165</v>
      </c>
      <c r="L5192" s="2">
        <v>46174</v>
      </c>
      <c r="M5192" t="s">
        <v>64</v>
      </c>
      <c r="N5192">
        <v>0</v>
      </c>
      <c r="O5192" t="s">
        <v>31</v>
      </c>
      <c r="P5192" t="s">
        <v>28</v>
      </c>
      <c r="Q5192">
        <v>0</v>
      </c>
    </row>
    <row r="5193" spans="1:17" x14ac:dyDescent="0.3">
      <c r="A5193" t="s">
        <v>17</v>
      </c>
      <c r="B5193">
        <v>67</v>
      </c>
      <c r="C5193" t="s">
        <v>28</v>
      </c>
      <c r="D5193" s="2">
        <v>46185</v>
      </c>
      <c r="E5193" s="3">
        <f t="shared" si="81"/>
        <v>46174</v>
      </c>
      <c r="F5193" t="s">
        <v>4166</v>
      </c>
      <c r="H5193" s="4">
        <v>0.87</v>
      </c>
      <c r="I5193" t="s">
        <v>31</v>
      </c>
      <c r="J5193" t="s">
        <v>64</v>
      </c>
      <c r="K5193" t="s">
        <v>4165</v>
      </c>
      <c r="L5193" s="2">
        <v>46174</v>
      </c>
      <c r="M5193" t="s">
        <v>64</v>
      </c>
      <c r="N5193">
        <v>0</v>
      </c>
      <c r="O5193" t="s">
        <v>31</v>
      </c>
      <c r="P5193" t="s">
        <v>28</v>
      </c>
      <c r="Q5193">
        <v>0</v>
      </c>
    </row>
    <row r="5194" spans="1:17" x14ac:dyDescent="0.3">
      <c r="A5194" t="s">
        <v>17</v>
      </c>
      <c r="B5194">
        <v>67</v>
      </c>
      <c r="C5194" t="s">
        <v>28</v>
      </c>
      <c r="D5194" s="2">
        <v>46188</v>
      </c>
      <c r="E5194" s="3">
        <f t="shared" si="81"/>
        <v>46174</v>
      </c>
      <c r="F5194" t="s">
        <v>4167</v>
      </c>
      <c r="H5194" s="4">
        <v>297.89</v>
      </c>
      <c r="I5194" t="s">
        <v>31</v>
      </c>
      <c r="J5194" t="s">
        <v>64</v>
      </c>
      <c r="K5194" t="s">
        <v>168</v>
      </c>
      <c r="L5194" s="2">
        <v>46174</v>
      </c>
      <c r="M5194" t="s">
        <v>64</v>
      </c>
      <c r="N5194">
        <v>0</v>
      </c>
      <c r="O5194" t="s">
        <v>31</v>
      </c>
      <c r="P5194" t="s">
        <v>28</v>
      </c>
      <c r="Q5194">
        <v>0</v>
      </c>
    </row>
    <row r="5195" spans="1:17" x14ac:dyDescent="0.3">
      <c r="A5195" t="s">
        <v>17</v>
      </c>
      <c r="B5195">
        <v>67</v>
      </c>
      <c r="C5195" t="s">
        <v>28</v>
      </c>
      <c r="D5195" s="2">
        <v>46190</v>
      </c>
      <c r="E5195" s="3">
        <f t="shared" si="81"/>
        <v>46174</v>
      </c>
      <c r="F5195" t="s">
        <v>4168</v>
      </c>
      <c r="H5195" s="4">
        <v>33.700000000000003</v>
      </c>
      <c r="I5195" t="s">
        <v>31</v>
      </c>
      <c r="J5195" t="s">
        <v>64</v>
      </c>
      <c r="K5195" t="s">
        <v>4169</v>
      </c>
      <c r="L5195" s="2">
        <v>46174</v>
      </c>
      <c r="M5195" t="s">
        <v>64</v>
      </c>
      <c r="N5195">
        <v>0</v>
      </c>
      <c r="O5195" t="s">
        <v>31</v>
      </c>
      <c r="P5195" t="s">
        <v>28</v>
      </c>
      <c r="Q5195">
        <v>0</v>
      </c>
    </row>
    <row r="5196" spans="1:17" x14ac:dyDescent="0.3">
      <c r="A5196" t="s">
        <v>17</v>
      </c>
      <c r="B5196">
        <v>68</v>
      </c>
      <c r="C5196" t="s">
        <v>34</v>
      </c>
      <c r="D5196" s="2">
        <v>46178</v>
      </c>
      <c r="E5196" s="3">
        <f t="shared" si="81"/>
        <v>46174</v>
      </c>
      <c r="F5196" t="s">
        <v>4170</v>
      </c>
      <c r="H5196" s="4">
        <v>452.82</v>
      </c>
      <c r="I5196" t="s">
        <v>31</v>
      </c>
      <c r="J5196" t="s">
        <v>613</v>
      </c>
      <c r="K5196" t="s">
        <v>4171</v>
      </c>
      <c r="L5196" s="2">
        <v>46174</v>
      </c>
      <c r="M5196" t="s">
        <v>613</v>
      </c>
      <c r="N5196">
        <v>0</v>
      </c>
      <c r="O5196" t="s">
        <v>31</v>
      </c>
      <c r="P5196" t="s">
        <v>34</v>
      </c>
      <c r="Q5196">
        <v>0</v>
      </c>
    </row>
    <row r="5197" spans="1:17" x14ac:dyDescent="0.3">
      <c r="A5197" t="s">
        <v>17</v>
      </c>
      <c r="B5197">
        <v>68</v>
      </c>
      <c r="C5197" t="s">
        <v>34</v>
      </c>
      <c r="D5197" s="2">
        <v>46178</v>
      </c>
      <c r="E5197" s="3">
        <f t="shared" si="81"/>
        <v>46174</v>
      </c>
      <c r="F5197" t="s">
        <v>4170</v>
      </c>
      <c r="H5197" s="4">
        <v>277.55</v>
      </c>
      <c r="I5197" t="s">
        <v>31</v>
      </c>
      <c r="J5197" t="s">
        <v>613</v>
      </c>
      <c r="K5197" t="s">
        <v>4172</v>
      </c>
      <c r="L5197" s="2">
        <v>46174</v>
      </c>
      <c r="M5197" t="s">
        <v>613</v>
      </c>
      <c r="N5197">
        <v>0</v>
      </c>
      <c r="O5197" t="s">
        <v>31</v>
      </c>
      <c r="P5197" t="s">
        <v>34</v>
      </c>
      <c r="Q5197">
        <v>0</v>
      </c>
    </row>
    <row r="5198" spans="1:17" x14ac:dyDescent="0.3">
      <c r="A5198" t="s">
        <v>17</v>
      </c>
      <c r="B5198">
        <v>69</v>
      </c>
      <c r="C5198" t="s">
        <v>297</v>
      </c>
      <c r="D5198" s="2">
        <v>46203</v>
      </c>
      <c r="E5198" s="3">
        <f t="shared" si="81"/>
        <v>46174</v>
      </c>
      <c r="F5198" t="s">
        <v>4173</v>
      </c>
      <c r="H5198" s="4">
        <v>24.42</v>
      </c>
      <c r="I5198" t="s">
        <v>31</v>
      </c>
      <c r="J5198" t="s">
        <v>3589</v>
      </c>
      <c r="K5198" t="s">
        <v>4174</v>
      </c>
      <c r="L5198" s="2">
        <v>46174</v>
      </c>
      <c r="M5198" t="s">
        <v>361</v>
      </c>
      <c r="N5198">
        <v>0</v>
      </c>
      <c r="O5198" t="s">
        <v>31</v>
      </c>
      <c r="P5198" t="s">
        <v>297</v>
      </c>
      <c r="Q5198">
        <v>0</v>
      </c>
    </row>
    <row r="5199" spans="1:17" x14ac:dyDescent="0.3">
      <c r="A5199" t="s">
        <v>17</v>
      </c>
      <c r="B5199">
        <v>69</v>
      </c>
      <c r="C5199" t="s">
        <v>297</v>
      </c>
      <c r="D5199" s="2">
        <v>46203</v>
      </c>
      <c r="E5199" s="3">
        <f t="shared" si="81"/>
        <v>46174</v>
      </c>
      <c r="F5199" t="s">
        <v>4173</v>
      </c>
      <c r="H5199" s="4">
        <v>27.49</v>
      </c>
      <c r="I5199" t="s">
        <v>108</v>
      </c>
      <c r="J5199" t="s">
        <v>3589</v>
      </c>
      <c r="K5199" t="s">
        <v>4174</v>
      </c>
      <c r="L5199" s="2">
        <v>46174</v>
      </c>
      <c r="M5199" t="s">
        <v>361</v>
      </c>
      <c r="N5199">
        <v>0</v>
      </c>
      <c r="O5199" t="s">
        <v>111</v>
      </c>
      <c r="P5199" t="s">
        <v>297</v>
      </c>
      <c r="Q5199">
        <v>0</v>
      </c>
    </row>
    <row r="5200" spans="1:17" x14ac:dyDescent="0.3">
      <c r="A5200" t="s">
        <v>17</v>
      </c>
      <c r="B5200">
        <v>69</v>
      </c>
      <c r="C5200" t="s">
        <v>297</v>
      </c>
      <c r="D5200" s="2">
        <v>46203</v>
      </c>
      <c r="E5200" s="3">
        <f t="shared" si="81"/>
        <v>46174</v>
      </c>
      <c r="F5200" t="s">
        <v>4173</v>
      </c>
      <c r="H5200" s="4">
        <v>58.04</v>
      </c>
      <c r="I5200" t="s">
        <v>31</v>
      </c>
      <c r="J5200" t="s">
        <v>3590</v>
      </c>
      <c r="K5200" t="s">
        <v>4175</v>
      </c>
      <c r="L5200" s="2">
        <v>46174</v>
      </c>
      <c r="M5200" t="s">
        <v>350</v>
      </c>
      <c r="N5200">
        <v>0</v>
      </c>
      <c r="O5200" t="s">
        <v>31</v>
      </c>
      <c r="P5200" t="s">
        <v>297</v>
      </c>
      <c r="Q5200">
        <v>0</v>
      </c>
    </row>
    <row r="5201" spans="1:17" x14ac:dyDescent="0.3">
      <c r="A5201" t="s">
        <v>17</v>
      </c>
      <c r="B5201">
        <v>69</v>
      </c>
      <c r="C5201" t="s">
        <v>297</v>
      </c>
      <c r="D5201" s="2">
        <v>46203</v>
      </c>
      <c r="E5201" s="3">
        <f t="shared" si="81"/>
        <v>46174</v>
      </c>
      <c r="F5201" t="s">
        <v>4173</v>
      </c>
      <c r="H5201" s="4">
        <v>238.77</v>
      </c>
      <c r="I5201" t="s">
        <v>137</v>
      </c>
      <c r="J5201" t="s">
        <v>3590</v>
      </c>
      <c r="K5201" t="s">
        <v>4175</v>
      </c>
      <c r="L5201" s="2">
        <v>46174</v>
      </c>
      <c r="M5201" t="s">
        <v>350</v>
      </c>
      <c r="N5201" t="s">
        <v>141</v>
      </c>
      <c r="O5201" t="s">
        <v>141</v>
      </c>
      <c r="P5201" t="s">
        <v>297</v>
      </c>
      <c r="Q5201">
        <v>0</v>
      </c>
    </row>
    <row r="5202" spans="1:17" x14ac:dyDescent="0.3">
      <c r="A5202" t="s">
        <v>17</v>
      </c>
      <c r="B5202">
        <v>69</v>
      </c>
      <c r="C5202" t="s">
        <v>297</v>
      </c>
      <c r="D5202" s="2">
        <v>46203</v>
      </c>
      <c r="E5202" s="3">
        <f t="shared" si="81"/>
        <v>46174</v>
      </c>
      <c r="F5202" t="s">
        <v>4173</v>
      </c>
      <c r="H5202" s="4">
        <v>3885.53</v>
      </c>
      <c r="I5202" t="s">
        <v>31</v>
      </c>
      <c r="J5202" t="s">
        <v>3591</v>
      </c>
      <c r="K5202" t="s">
        <v>4176</v>
      </c>
      <c r="L5202" s="2">
        <v>46174</v>
      </c>
      <c r="M5202" t="s">
        <v>347</v>
      </c>
      <c r="N5202">
        <v>0</v>
      </c>
      <c r="O5202" t="s">
        <v>31</v>
      </c>
      <c r="P5202" t="s">
        <v>297</v>
      </c>
      <c r="Q5202">
        <v>0</v>
      </c>
    </row>
    <row r="5203" spans="1:17" x14ac:dyDescent="0.3">
      <c r="A5203" t="s">
        <v>17</v>
      </c>
      <c r="B5203">
        <v>69</v>
      </c>
      <c r="C5203" t="s">
        <v>297</v>
      </c>
      <c r="D5203" s="2">
        <v>46203</v>
      </c>
      <c r="E5203" s="3">
        <f t="shared" si="81"/>
        <v>46174</v>
      </c>
      <c r="F5203" t="s">
        <v>4173</v>
      </c>
      <c r="H5203" s="4">
        <v>141.08000000000001</v>
      </c>
      <c r="I5203" t="s">
        <v>104</v>
      </c>
      <c r="J5203" t="s">
        <v>3591</v>
      </c>
      <c r="K5203" t="s">
        <v>4176</v>
      </c>
      <c r="L5203" s="2">
        <v>46174</v>
      </c>
      <c r="M5203" t="s">
        <v>347</v>
      </c>
      <c r="N5203">
        <v>0</v>
      </c>
      <c r="O5203" t="s">
        <v>104</v>
      </c>
      <c r="P5203" t="s">
        <v>297</v>
      </c>
      <c r="Q5203">
        <v>0</v>
      </c>
    </row>
    <row r="5204" spans="1:17" x14ac:dyDescent="0.3">
      <c r="A5204" t="s">
        <v>17</v>
      </c>
      <c r="B5204">
        <v>69</v>
      </c>
      <c r="C5204" t="s">
        <v>297</v>
      </c>
      <c r="D5204" s="2">
        <v>46203</v>
      </c>
      <c r="E5204" s="3">
        <f t="shared" si="81"/>
        <v>46174</v>
      </c>
      <c r="F5204" t="s">
        <v>4173</v>
      </c>
      <c r="H5204" s="4">
        <v>274.31</v>
      </c>
      <c r="I5204" t="s">
        <v>21</v>
      </c>
      <c r="J5204" t="s">
        <v>3591</v>
      </c>
      <c r="K5204" t="s">
        <v>4176</v>
      </c>
      <c r="L5204" s="2">
        <v>46174</v>
      </c>
      <c r="M5204" t="s">
        <v>347</v>
      </c>
      <c r="N5204" t="s">
        <v>25</v>
      </c>
      <c r="O5204" t="s">
        <v>81</v>
      </c>
      <c r="P5204" t="s">
        <v>297</v>
      </c>
      <c r="Q5204">
        <v>0</v>
      </c>
    </row>
    <row r="5205" spans="1:17" x14ac:dyDescent="0.3">
      <c r="A5205" t="s">
        <v>17</v>
      </c>
      <c r="B5205">
        <v>69</v>
      </c>
      <c r="C5205" t="s">
        <v>297</v>
      </c>
      <c r="D5205" s="2">
        <v>46203</v>
      </c>
      <c r="E5205" s="3">
        <f t="shared" si="81"/>
        <v>46174</v>
      </c>
      <c r="F5205" t="s">
        <v>4173</v>
      </c>
      <c r="H5205" s="4">
        <v>66.73</v>
      </c>
      <c r="I5205" t="s">
        <v>159</v>
      </c>
      <c r="J5205" t="s">
        <v>3591</v>
      </c>
      <c r="K5205" t="s">
        <v>4176</v>
      </c>
      <c r="L5205" s="2">
        <v>46174</v>
      </c>
      <c r="M5205" t="s">
        <v>347</v>
      </c>
      <c r="N5205">
        <v>0</v>
      </c>
      <c r="O5205" t="s">
        <v>159</v>
      </c>
      <c r="P5205" t="s">
        <v>297</v>
      </c>
      <c r="Q5205">
        <v>0</v>
      </c>
    </row>
    <row r="5206" spans="1:17" x14ac:dyDescent="0.3">
      <c r="A5206" t="s">
        <v>17</v>
      </c>
      <c r="B5206">
        <v>69</v>
      </c>
      <c r="C5206" t="s">
        <v>297</v>
      </c>
      <c r="D5206" s="2">
        <v>46203</v>
      </c>
      <c r="E5206" s="3">
        <f t="shared" si="81"/>
        <v>46174</v>
      </c>
      <c r="F5206" t="s">
        <v>4173</v>
      </c>
      <c r="H5206" s="4">
        <v>149.81</v>
      </c>
      <c r="I5206" t="s">
        <v>47</v>
      </c>
      <c r="J5206" t="s">
        <v>3591</v>
      </c>
      <c r="K5206" t="s">
        <v>4176</v>
      </c>
      <c r="L5206" s="2">
        <v>46174</v>
      </c>
      <c r="M5206" t="s">
        <v>347</v>
      </c>
      <c r="N5206">
        <v>0</v>
      </c>
      <c r="O5206" t="s">
        <v>26</v>
      </c>
      <c r="P5206" t="s">
        <v>297</v>
      </c>
      <c r="Q5206">
        <v>0</v>
      </c>
    </row>
    <row r="5207" spans="1:17" x14ac:dyDescent="0.3">
      <c r="A5207" t="s">
        <v>17</v>
      </c>
      <c r="B5207">
        <v>69</v>
      </c>
      <c r="C5207" t="s">
        <v>297</v>
      </c>
      <c r="D5207" s="2">
        <v>46203</v>
      </c>
      <c r="E5207" s="3">
        <f t="shared" si="81"/>
        <v>46174</v>
      </c>
      <c r="F5207" t="s">
        <v>4173</v>
      </c>
      <c r="H5207" s="4">
        <v>190.17</v>
      </c>
      <c r="I5207" t="s">
        <v>108</v>
      </c>
      <c r="J5207" t="s">
        <v>3591</v>
      </c>
      <c r="K5207" t="s">
        <v>4176</v>
      </c>
      <c r="L5207" s="2">
        <v>46174</v>
      </c>
      <c r="M5207" t="s">
        <v>347</v>
      </c>
      <c r="N5207">
        <v>0</v>
      </c>
      <c r="O5207" t="s">
        <v>111</v>
      </c>
      <c r="P5207" t="s">
        <v>297</v>
      </c>
      <c r="Q5207">
        <v>0</v>
      </c>
    </row>
    <row r="5208" spans="1:17" x14ac:dyDescent="0.3">
      <c r="A5208" t="s">
        <v>17</v>
      </c>
      <c r="B5208">
        <v>69</v>
      </c>
      <c r="C5208" t="s">
        <v>297</v>
      </c>
      <c r="D5208" s="2">
        <v>46203</v>
      </c>
      <c r="E5208" s="3">
        <f t="shared" si="81"/>
        <v>46174</v>
      </c>
      <c r="F5208" t="s">
        <v>4173</v>
      </c>
      <c r="H5208" s="4">
        <v>113.67</v>
      </c>
      <c r="I5208" t="s">
        <v>137</v>
      </c>
      <c r="J5208" t="s">
        <v>3591</v>
      </c>
      <c r="K5208" t="s">
        <v>4176</v>
      </c>
      <c r="L5208" s="2">
        <v>46174</v>
      </c>
      <c r="M5208" t="s">
        <v>347</v>
      </c>
      <c r="N5208" t="s">
        <v>141</v>
      </c>
      <c r="O5208" t="s">
        <v>141</v>
      </c>
      <c r="P5208" t="s">
        <v>297</v>
      </c>
      <c r="Q5208">
        <v>0</v>
      </c>
    </row>
    <row r="5209" spans="1:17" x14ac:dyDescent="0.3">
      <c r="A5209" t="s">
        <v>17</v>
      </c>
      <c r="B5209">
        <v>69</v>
      </c>
      <c r="C5209" t="s">
        <v>297</v>
      </c>
      <c r="D5209" s="2">
        <v>46203</v>
      </c>
      <c r="E5209" s="3">
        <f t="shared" si="81"/>
        <v>46174</v>
      </c>
      <c r="F5209" t="s">
        <v>4177</v>
      </c>
      <c r="H5209" s="4">
        <v>1954.72</v>
      </c>
      <c r="I5209" t="s">
        <v>31</v>
      </c>
      <c r="J5209" t="s">
        <v>299</v>
      </c>
      <c r="K5209" t="s">
        <v>300</v>
      </c>
      <c r="L5209" s="2">
        <v>46174</v>
      </c>
      <c r="M5209" t="s">
        <v>301</v>
      </c>
      <c r="N5209">
        <v>0</v>
      </c>
      <c r="O5209" t="s">
        <v>31</v>
      </c>
      <c r="P5209" t="s">
        <v>297</v>
      </c>
      <c r="Q5209">
        <v>0</v>
      </c>
    </row>
    <row r="5210" spans="1:17" x14ac:dyDescent="0.3">
      <c r="A5210" t="s">
        <v>17</v>
      </c>
      <c r="B5210">
        <v>65</v>
      </c>
      <c r="C5210" t="s">
        <v>54</v>
      </c>
      <c r="D5210" s="2">
        <v>46203</v>
      </c>
      <c r="E5210" s="3">
        <f t="shared" si="81"/>
        <v>46174</v>
      </c>
      <c r="F5210" t="s">
        <v>4016</v>
      </c>
      <c r="H5210" s="4">
        <v>23940.66</v>
      </c>
      <c r="I5210" t="s">
        <v>31</v>
      </c>
      <c r="J5210" t="s">
        <v>296</v>
      </c>
      <c r="L5210" s="2">
        <v>46174</v>
      </c>
      <c r="M5210" t="s">
        <v>296</v>
      </c>
      <c r="N5210">
        <v>0</v>
      </c>
      <c r="O5210" t="s">
        <v>31</v>
      </c>
      <c r="P5210" t="s">
        <v>54</v>
      </c>
      <c r="Q5210">
        <v>0</v>
      </c>
    </row>
    <row r="5211" spans="1:17" x14ac:dyDescent="0.3">
      <c r="A5211" t="s">
        <v>4178</v>
      </c>
      <c r="B5211">
        <v>57</v>
      </c>
      <c r="C5211" t="s">
        <v>4179</v>
      </c>
      <c r="D5211" s="2">
        <f>$L5211</f>
        <v>45658</v>
      </c>
      <c r="E5211" s="3">
        <f t="shared" si="81"/>
        <v>45658</v>
      </c>
      <c r="H5211" s="4">
        <v>275739.46999999997</v>
      </c>
      <c r="J5211" t="s">
        <v>4180</v>
      </c>
      <c r="L5211" s="2">
        <v>45658</v>
      </c>
    </row>
    <row r="5212" spans="1:17" x14ac:dyDescent="0.3">
      <c r="A5212" t="s">
        <v>4178</v>
      </c>
      <c r="B5212">
        <v>57</v>
      </c>
      <c r="C5212" t="s">
        <v>4179</v>
      </c>
      <c r="D5212" s="2">
        <f t="shared" ref="D5212:D5275" si="82">$L5212</f>
        <v>45689</v>
      </c>
      <c r="E5212" s="3">
        <f t="shared" si="81"/>
        <v>45689</v>
      </c>
      <c r="H5212" s="4">
        <v>228343.66</v>
      </c>
      <c r="J5212" t="s">
        <v>4180</v>
      </c>
      <c r="L5212" s="2">
        <v>45689</v>
      </c>
    </row>
    <row r="5213" spans="1:17" x14ac:dyDescent="0.3">
      <c r="A5213" t="s">
        <v>4178</v>
      </c>
      <c r="B5213">
        <v>57</v>
      </c>
      <c r="C5213" t="s">
        <v>4179</v>
      </c>
      <c r="D5213" s="2">
        <f t="shared" si="82"/>
        <v>45717</v>
      </c>
      <c r="E5213" s="3">
        <f t="shared" si="81"/>
        <v>45717</v>
      </c>
      <c r="H5213" s="4">
        <v>245269.28</v>
      </c>
      <c r="J5213" t="s">
        <v>4180</v>
      </c>
      <c r="L5213" s="2">
        <v>45717</v>
      </c>
    </row>
    <row r="5214" spans="1:17" x14ac:dyDescent="0.3">
      <c r="A5214" t="s">
        <v>4178</v>
      </c>
      <c r="B5214">
        <v>57</v>
      </c>
      <c r="C5214" t="s">
        <v>4179</v>
      </c>
      <c r="D5214" s="2">
        <f t="shared" si="82"/>
        <v>45748</v>
      </c>
      <c r="E5214" s="3">
        <f t="shared" si="81"/>
        <v>45748</v>
      </c>
      <c r="H5214" s="4">
        <v>249552.93</v>
      </c>
      <c r="J5214" t="s">
        <v>4180</v>
      </c>
      <c r="L5214" s="2">
        <v>45748</v>
      </c>
    </row>
    <row r="5215" spans="1:17" x14ac:dyDescent="0.3">
      <c r="A5215" t="s">
        <v>4178</v>
      </c>
      <c r="B5215">
        <v>57</v>
      </c>
      <c r="C5215" t="s">
        <v>4179</v>
      </c>
      <c r="D5215" s="2">
        <f t="shared" si="82"/>
        <v>45778</v>
      </c>
      <c r="E5215" s="3">
        <f t="shared" si="81"/>
        <v>45778</v>
      </c>
      <c r="H5215" s="4">
        <v>265326.61</v>
      </c>
      <c r="J5215" t="s">
        <v>4180</v>
      </c>
      <c r="L5215" s="2">
        <v>45778</v>
      </c>
    </row>
    <row r="5216" spans="1:17" x14ac:dyDescent="0.3">
      <c r="A5216" t="s">
        <v>4178</v>
      </c>
      <c r="B5216">
        <v>57</v>
      </c>
      <c r="C5216" t="s">
        <v>4179</v>
      </c>
      <c r="D5216" s="2">
        <f t="shared" si="82"/>
        <v>45809</v>
      </c>
      <c r="E5216" s="3">
        <f t="shared" si="81"/>
        <v>45809</v>
      </c>
      <c r="H5216" s="4">
        <v>237849.08</v>
      </c>
      <c r="J5216" t="s">
        <v>4180</v>
      </c>
      <c r="L5216" s="2">
        <v>45809</v>
      </c>
    </row>
    <row r="5217" spans="1:12" x14ac:dyDescent="0.3">
      <c r="A5217" t="s">
        <v>4178</v>
      </c>
      <c r="B5217">
        <v>57</v>
      </c>
      <c r="C5217" t="s">
        <v>4179</v>
      </c>
      <c r="D5217" s="2">
        <f t="shared" si="82"/>
        <v>45839</v>
      </c>
      <c r="E5217" s="3">
        <f t="shared" si="81"/>
        <v>45839</v>
      </c>
      <c r="H5217" s="4">
        <v>242006.68</v>
      </c>
      <c r="J5217" t="s">
        <v>4180</v>
      </c>
      <c r="L5217" s="2">
        <v>45839</v>
      </c>
    </row>
    <row r="5218" spans="1:12" x14ac:dyDescent="0.3">
      <c r="A5218" t="s">
        <v>4178</v>
      </c>
      <c r="B5218">
        <v>57</v>
      </c>
      <c r="C5218" t="s">
        <v>4179</v>
      </c>
      <c r="D5218" s="2">
        <f t="shared" si="82"/>
        <v>45870</v>
      </c>
      <c r="E5218" s="3">
        <f t="shared" si="81"/>
        <v>45870</v>
      </c>
      <c r="H5218" s="4">
        <v>236392.07</v>
      </c>
      <c r="J5218" t="s">
        <v>4180</v>
      </c>
      <c r="L5218" s="2">
        <v>45870</v>
      </c>
    </row>
    <row r="5219" spans="1:12" x14ac:dyDescent="0.3">
      <c r="A5219" t="s">
        <v>4178</v>
      </c>
      <c r="B5219">
        <v>57</v>
      </c>
      <c r="C5219" t="s">
        <v>4179</v>
      </c>
      <c r="D5219" s="2">
        <f t="shared" si="82"/>
        <v>45901</v>
      </c>
      <c r="E5219" s="3">
        <f t="shared" si="81"/>
        <v>45901</v>
      </c>
      <c r="H5219" s="4">
        <v>230170.93</v>
      </c>
      <c r="J5219" t="s">
        <v>4180</v>
      </c>
      <c r="L5219" s="2">
        <v>45901</v>
      </c>
    </row>
    <row r="5220" spans="1:12" x14ac:dyDescent="0.3">
      <c r="A5220" t="s">
        <v>4178</v>
      </c>
      <c r="B5220">
        <v>57</v>
      </c>
      <c r="C5220" t="s">
        <v>4179</v>
      </c>
      <c r="D5220" s="2">
        <f t="shared" si="82"/>
        <v>45931</v>
      </c>
      <c r="E5220" s="3">
        <f t="shared" si="81"/>
        <v>45931</v>
      </c>
      <c r="H5220" s="4">
        <v>240003.27</v>
      </c>
      <c r="J5220" t="s">
        <v>4180</v>
      </c>
      <c r="L5220" s="2">
        <v>45931</v>
      </c>
    </row>
    <row r="5221" spans="1:12" x14ac:dyDescent="0.3">
      <c r="A5221" t="s">
        <v>4178</v>
      </c>
      <c r="B5221">
        <v>57</v>
      </c>
      <c r="C5221" t="s">
        <v>4179</v>
      </c>
      <c r="D5221" s="2">
        <f t="shared" si="82"/>
        <v>45962</v>
      </c>
      <c r="E5221" s="3">
        <f t="shared" si="81"/>
        <v>45962</v>
      </c>
      <c r="H5221" s="4">
        <v>209456.3</v>
      </c>
      <c r="J5221" t="s">
        <v>4180</v>
      </c>
      <c r="L5221" s="2">
        <v>45962</v>
      </c>
    </row>
    <row r="5222" spans="1:12" x14ac:dyDescent="0.3">
      <c r="A5222" t="s">
        <v>4178</v>
      </c>
      <c r="B5222">
        <v>57</v>
      </c>
      <c r="C5222" t="s">
        <v>4179</v>
      </c>
      <c r="D5222" s="2">
        <f t="shared" si="82"/>
        <v>45992</v>
      </c>
      <c r="E5222" s="3">
        <f t="shared" si="81"/>
        <v>45992</v>
      </c>
      <c r="H5222" s="4">
        <v>243115.22</v>
      </c>
      <c r="J5222" t="s">
        <v>4180</v>
      </c>
      <c r="L5222" s="2">
        <v>45992</v>
      </c>
    </row>
    <row r="5223" spans="1:12" x14ac:dyDescent="0.3">
      <c r="A5223" t="s">
        <v>4178</v>
      </c>
      <c r="B5223">
        <v>57</v>
      </c>
      <c r="C5223" t="s">
        <v>4179</v>
      </c>
      <c r="D5223" s="2">
        <f t="shared" si="82"/>
        <v>46023</v>
      </c>
      <c r="E5223" s="3">
        <f t="shared" si="81"/>
        <v>46023</v>
      </c>
      <c r="H5223" s="4">
        <v>226963.54</v>
      </c>
      <c r="J5223" t="s">
        <v>4180</v>
      </c>
      <c r="L5223" s="2">
        <v>46023</v>
      </c>
    </row>
    <row r="5224" spans="1:12" x14ac:dyDescent="0.3">
      <c r="A5224" t="s">
        <v>4178</v>
      </c>
      <c r="B5224">
        <v>57</v>
      </c>
      <c r="C5224" t="s">
        <v>4179</v>
      </c>
      <c r="D5224" s="2">
        <f t="shared" si="82"/>
        <v>46054</v>
      </c>
      <c r="E5224" s="3">
        <f t="shared" si="81"/>
        <v>46054</v>
      </c>
      <c r="H5224" s="4">
        <v>221633.8</v>
      </c>
      <c r="J5224" t="s">
        <v>4180</v>
      </c>
      <c r="L5224" s="2">
        <v>46054</v>
      </c>
    </row>
    <row r="5225" spans="1:12" x14ac:dyDescent="0.3">
      <c r="A5225" t="s">
        <v>4178</v>
      </c>
      <c r="B5225">
        <v>57</v>
      </c>
      <c r="C5225" t="s">
        <v>4179</v>
      </c>
      <c r="D5225" s="2">
        <f t="shared" si="82"/>
        <v>46082</v>
      </c>
      <c r="E5225" s="3">
        <f t="shared" si="81"/>
        <v>46082</v>
      </c>
      <c r="H5225" s="4">
        <v>231257.19</v>
      </c>
      <c r="J5225" t="s">
        <v>4180</v>
      </c>
      <c r="L5225" s="2">
        <v>46082</v>
      </c>
    </row>
    <row r="5226" spans="1:12" x14ac:dyDescent="0.3">
      <c r="A5226" t="s">
        <v>4178</v>
      </c>
      <c r="B5226">
        <v>57</v>
      </c>
      <c r="C5226" t="s">
        <v>4179</v>
      </c>
      <c r="D5226" s="2">
        <f t="shared" si="82"/>
        <v>46113</v>
      </c>
      <c r="E5226" s="3">
        <f t="shared" si="81"/>
        <v>46113</v>
      </c>
      <c r="H5226" s="4">
        <v>251066.66</v>
      </c>
      <c r="J5226" t="s">
        <v>4180</v>
      </c>
      <c r="L5226" s="2">
        <v>46113</v>
      </c>
    </row>
    <row r="5227" spans="1:12" x14ac:dyDescent="0.3">
      <c r="A5227" t="s">
        <v>4178</v>
      </c>
      <c r="B5227">
        <v>57</v>
      </c>
      <c r="C5227" t="s">
        <v>4179</v>
      </c>
      <c r="D5227" s="2">
        <f t="shared" si="82"/>
        <v>46143</v>
      </c>
      <c r="E5227" s="3">
        <f t="shared" si="81"/>
        <v>46143</v>
      </c>
      <c r="H5227" s="4">
        <v>224085.96</v>
      </c>
      <c r="J5227" t="s">
        <v>4180</v>
      </c>
      <c r="L5227" s="2">
        <v>46143</v>
      </c>
    </row>
    <row r="5228" spans="1:12" x14ac:dyDescent="0.3">
      <c r="A5228" t="s">
        <v>4178</v>
      </c>
      <c r="B5228">
        <v>57</v>
      </c>
      <c r="C5228" t="s">
        <v>4179</v>
      </c>
      <c r="D5228" s="2">
        <f t="shared" si="82"/>
        <v>46174</v>
      </c>
      <c r="E5228" s="3">
        <f t="shared" si="81"/>
        <v>46174</v>
      </c>
      <c r="H5228" s="4">
        <v>218718.46</v>
      </c>
      <c r="J5228" t="s">
        <v>4180</v>
      </c>
      <c r="L5228" s="2">
        <v>46174</v>
      </c>
    </row>
    <row r="5229" spans="1:12" x14ac:dyDescent="0.3">
      <c r="A5229" t="s">
        <v>4178</v>
      </c>
      <c r="B5229">
        <v>59</v>
      </c>
      <c r="C5229" t="s">
        <v>4181</v>
      </c>
      <c r="D5229" s="2">
        <f t="shared" si="82"/>
        <v>45717</v>
      </c>
      <c r="E5229" s="3">
        <f t="shared" si="81"/>
        <v>45717</v>
      </c>
      <c r="H5229" s="4">
        <v>455.28</v>
      </c>
      <c r="J5229" t="s">
        <v>4182</v>
      </c>
      <c r="L5229" s="2">
        <v>45717</v>
      </c>
    </row>
    <row r="5230" spans="1:12" x14ac:dyDescent="0.3">
      <c r="A5230" t="s">
        <v>4178</v>
      </c>
      <c r="B5230">
        <v>59</v>
      </c>
      <c r="C5230" t="s">
        <v>4181</v>
      </c>
      <c r="D5230" s="2">
        <f t="shared" si="82"/>
        <v>45748</v>
      </c>
      <c r="E5230" s="3">
        <f t="shared" si="81"/>
        <v>45748</v>
      </c>
      <c r="H5230" s="4">
        <v>556.84</v>
      </c>
      <c r="J5230" t="s">
        <v>4182</v>
      </c>
      <c r="L5230" s="2">
        <v>45748</v>
      </c>
    </row>
    <row r="5231" spans="1:12" x14ac:dyDescent="0.3">
      <c r="A5231" t="s">
        <v>4178</v>
      </c>
      <c r="B5231">
        <v>59</v>
      </c>
      <c r="C5231" t="s">
        <v>4181</v>
      </c>
      <c r="D5231" s="2">
        <f t="shared" si="82"/>
        <v>45778</v>
      </c>
      <c r="E5231" s="3">
        <f t="shared" si="81"/>
        <v>45778</v>
      </c>
      <c r="H5231" s="4">
        <v>357.27</v>
      </c>
      <c r="J5231" t="s">
        <v>4182</v>
      </c>
      <c r="L5231" s="2">
        <v>45778</v>
      </c>
    </row>
    <row r="5232" spans="1:12" x14ac:dyDescent="0.3">
      <c r="A5232" t="s">
        <v>4178</v>
      </c>
      <c r="B5232">
        <v>59</v>
      </c>
      <c r="C5232" t="s">
        <v>4181</v>
      </c>
      <c r="D5232" s="2">
        <f t="shared" si="82"/>
        <v>45809</v>
      </c>
      <c r="E5232" s="3">
        <f t="shared" si="81"/>
        <v>45809</v>
      </c>
      <c r="H5232" s="4">
        <v>703.2</v>
      </c>
      <c r="J5232" t="s">
        <v>4182</v>
      </c>
      <c r="L5232" s="2">
        <v>45809</v>
      </c>
    </row>
    <row r="5233" spans="1:12" x14ac:dyDescent="0.3">
      <c r="A5233" t="s">
        <v>4178</v>
      </c>
      <c r="B5233">
        <v>59</v>
      </c>
      <c r="C5233" t="s">
        <v>4181</v>
      </c>
      <c r="D5233" s="2">
        <f t="shared" si="82"/>
        <v>45901</v>
      </c>
      <c r="E5233" s="3">
        <f t="shared" si="81"/>
        <v>45901</v>
      </c>
      <c r="H5233" s="4">
        <v>158.51</v>
      </c>
      <c r="J5233" t="s">
        <v>4182</v>
      </c>
      <c r="L5233" s="2">
        <v>45901</v>
      </c>
    </row>
    <row r="5234" spans="1:12" x14ac:dyDescent="0.3">
      <c r="A5234" t="s">
        <v>4178</v>
      </c>
      <c r="B5234">
        <v>59</v>
      </c>
      <c r="C5234" t="s">
        <v>4181</v>
      </c>
      <c r="D5234" s="2">
        <f t="shared" si="82"/>
        <v>45931</v>
      </c>
      <c r="E5234" s="3">
        <f t="shared" si="81"/>
        <v>45931</v>
      </c>
      <c r="H5234" s="4">
        <v>511.32</v>
      </c>
      <c r="J5234" t="s">
        <v>4182</v>
      </c>
      <c r="L5234" s="2">
        <v>45931</v>
      </c>
    </row>
    <row r="5235" spans="1:12" x14ac:dyDescent="0.3">
      <c r="A5235" t="s">
        <v>4178</v>
      </c>
      <c r="B5235">
        <v>59</v>
      </c>
      <c r="C5235" t="s">
        <v>4181</v>
      </c>
      <c r="D5235" s="2">
        <f t="shared" si="82"/>
        <v>45962</v>
      </c>
      <c r="E5235" s="3">
        <f t="shared" si="81"/>
        <v>45962</v>
      </c>
      <c r="H5235" s="4">
        <v>620.29999999999995</v>
      </c>
      <c r="J5235" t="s">
        <v>4182</v>
      </c>
      <c r="L5235" s="2">
        <v>45962</v>
      </c>
    </row>
    <row r="5236" spans="1:12" x14ac:dyDescent="0.3">
      <c r="A5236" t="s">
        <v>4178</v>
      </c>
      <c r="B5236">
        <v>59</v>
      </c>
      <c r="C5236" t="s">
        <v>4181</v>
      </c>
      <c r="D5236" s="2">
        <f t="shared" si="82"/>
        <v>46143</v>
      </c>
      <c r="E5236" s="3">
        <f t="shared" si="81"/>
        <v>46143</v>
      </c>
      <c r="H5236" s="4">
        <v>66.31</v>
      </c>
      <c r="J5236" t="s">
        <v>4182</v>
      </c>
      <c r="L5236" s="2">
        <v>46143</v>
      </c>
    </row>
    <row r="5237" spans="1:12" x14ac:dyDescent="0.3">
      <c r="A5237" t="s">
        <v>4178</v>
      </c>
      <c r="B5237">
        <v>59</v>
      </c>
      <c r="C5237" t="s">
        <v>4181</v>
      </c>
      <c r="D5237" s="2">
        <f t="shared" si="82"/>
        <v>46174</v>
      </c>
      <c r="E5237" s="3">
        <f t="shared" si="81"/>
        <v>46174</v>
      </c>
      <c r="H5237" s="4">
        <v>420.51</v>
      </c>
      <c r="J5237" t="s">
        <v>4182</v>
      </c>
      <c r="L5237" s="2">
        <v>46174</v>
      </c>
    </row>
    <row r="5238" spans="1:12" x14ac:dyDescent="0.3">
      <c r="A5238" t="s">
        <v>4178</v>
      </c>
      <c r="B5238">
        <v>57</v>
      </c>
      <c r="C5238" t="s">
        <v>4179</v>
      </c>
      <c r="D5238" s="2">
        <f t="shared" si="82"/>
        <v>45809</v>
      </c>
      <c r="E5238" s="3">
        <f t="shared" si="81"/>
        <v>45809</v>
      </c>
      <c r="H5238" s="4">
        <v>14740.27</v>
      </c>
      <c r="J5238" t="s">
        <v>4183</v>
      </c>
      <c r="L5238" s="2">
        <v>45809</v>
      </c>
    </row>
    <row r="5239" spans="1:12" x14ac:dyDescent="0.3">
      <c r="A5239" t="s">
        <v>4178</v>
      </c>
      <c r="B5239">
        <v>57</v>
      </c>
      <c r="C5239" t="s">
        <v>4179</v>
      </c>
      <c r="D5239" s="2">
        <f t="shared" si="82"/>
        <v>45839</v>
      </c>
      <c r="E5239" s="3">
        <f t="shared" si="81"/>
        <v>45839</v>
      </c>
      <c r="H5239" s="4">
        <v>4060.05</v>
      </c>
      <c r="J5239" t="s">
        <v>4183</v>
      </c>
      <c r="L5239" s="2">
        <v>45839</v>
      </c>
    </row>
    <row r="5240" spans="1:12" x14ac:dyDescent="0.3">
      <c r="A5240" t="s">
        <v>4178</v>
      </c>
      <c r="B5240">
        <v>57</v>
      </c>
      <c r="C5240" t="s">
        <v>4179</v>
      </c>
      <c r="D5240" s="2">
        <f t="shared" si="82"/>
        <v>45870</v>
      </c>
      <c r="E5240" s="3">
        <f t="shared" si="81"/>
        <v>45870</v>
      </c>
      <c r="H5240" s="4">
        <v>9489.4</v>
      </c>
      <c r="J5240" t="s">
        <v>4183</v>
      </c>
      <c r="L5240" s="2">
        <v>45870</v>
      </c>
    </row>
    <row r="5241" spans="1:12" x14ac:dyDescent="0.3">
      <c r="A5241" t="s">
        <v>4178</v>
      </c>
      <c r="B5241">
        <v>57</v>
      </c>
      <c r="C5241" t="s">
        <v>4179</v>
      </c>
      <c r="D5241" s="2">
        <f t="shared" si="82"/>
        <v>46143</v>
      </c>
      <c r="E5241" s="3">
        <f t="shared" si="81"/>
        <v>46143</v>
      </c>
      <c r="H5241" s="4">
        <v>877.47</v>
      </c>
      <c r="J5241" t="s">
        <v>4183</v>
      </c>
      <c r="L5241" s="2">
        <v>46143</v>
      </c>
    </row>
    <row r="5242" spans="1:12" x14ac:dyDescent="0.3">
      <c r="A5242" t="s">
        <v>4178</v>
      </c>
      <c r="B5242">
        <v>60</v>
      </c>
      <c r="C5242" t="s">
        <v>4184</v>
      </c>
      <c r="D5242" s="2">
        <f t="shared" si="82"/>
        <v>45778</v>
      </c>
      <c r="E5242" s="3">
        <f t="shared" si="81"/>
        <v>45778</v>
      </c>
      <c r="H5242" s="4">
        <v>-180316.5</v>
      </c>
      <c r="J5242" t="s">
        <v>4185</v>
      </c>
      <c r="L5242" s="2">
        <v>45778</v>
      </c>
    </row>
    <row r="5243" spans="1:12" x14ac:dyDescent="0.3">
      <c r="A5243" t="s">
        <v>4178</v>
      </c>
      <c r="B5243">
        <v>60</v>
      </c>
      <c r="C5243" t="s">
        <v>4184</v>
      </c>
      <c r="D5243" s="2">
        <f t="shared" si="82"/>
        <v>46113</v>
      </c>
      <c r="E5243" s="3">
        <f t="shared" si="81"/>
        <v>46113</v>
      </c>
      <c r="H5243" s="4">
        <v>164499.67000000001</v>
      </c>
      <c r="J5243" t="s">
        <v>4185</v>
      </c>
      <c r="L5243" s="2">
        <v>46113</v>
      </c>
    </row>
    <row r="5244" spans="1:12" x14ac:dyDescent="0.3">
      <c r="A5244" t="s">
        <v>4178</v>
      </c>
      <c r="B5244">
        <v>57</v>
      </c>
      <c r="C5244" t="s">
        <v>4179</v>
      </c>
      <c r="D5244" s="2">
        <f t="shared" si="82"/>
        <v>45839</v>
      </c>
      <c r="E5244" s="3">
        <f t="shared" si="81"/>
        <v>45839</v>
      </c>
      <c r="H5244" s="4">
        <v>30800.01</v>
      </c>
      <c r="J5244" t="s">
        <v>4186</v>
      </c>
      <c r="L5244" s="2">
        <v>45839</v>
      </c>
    </row>
    <row r="5245" spans="1:12" x14ac:dyDescent="0.3">
      <c r="A5245" t="s">
        <v>4178</v>
      </c>
      <c r="B5245">
        <v>59</v>
      </c>
      <c r="C5245" t="s">
        <v>4181</v>
      </c>
      <c r="D5245" s="2">
        <f t="shared" si="82"/>
        <v>45658</v>
      </c>
      <c r="E5245" s="3">
        <f t="shared" si="81"/>
        <v>45658</v>
      </c>
      <c r="H5245" s="4">
        <v>17864.18</v>
      </c>
      <c r="J5245" t="s">
        <v>4187</v>
      </c>
      <c r="L5245" s="2">
        <v>45658</v>
      </c>
    </row>
    <row r="5246" spans="1:12" x14ac:dyDescent="0.3">
      <c r="A5246" t="s">
        <v>4178</v>
      </c>
      <c r="B5246">
        <v>59</v>
      </c>
      <c r="C5246" t="s">
        <v>4181</v>
      </c>
      <c r="D5246" s="2">
        <f t="shared" si="82"/>
        <v>45689</v>
      </c>
      <c r="E5246" s="3">
        <f t="shared" si="81"/>
        <v>45689</v>
      </c>
      <c r="H5246" s="4">
        <v>26689.56</v>
      </c>
      <c r="J5246" t="s">
        <v>4187</v>
      </c>
      <c r="L5246" s="2">
        <v>45689</v>
      </c>
    </row>
    <row r="5247" spans="1:12" x14ac:dyDescent="0.3">
      <c r="A5247" t="s">
        <v>4178</v>
      </c>
      <c r="B5247">
        <v>59</v>
      </c>
      <c r="C5247" t="s">
        <v>4181</v>
      </c>
      <c r="D5247" s="2">
        <f t="shared" si="82"/>
        <v>45717</v>
      </c>
      <c r="E5247" s="3">
        <f t="shared" si="81"/>
        <v>45717</v>
      </c>
      <c r="H5247" s="4">
        <v>45105.97</v>
      </c>
      <c r="J5247" t="s">
        <v>4187</v>
      </c>
      <c r="L5247" s="2">
        <v>45717</v>
      </c>
    </row>
    <row r="5248" spans="1:12" x14ac:dyDescent="0.3">
      <c r="A5248" t="s">
        <v>4178</v>
      </c>
      <c r="B5248">
        <v>59</v>
      </c>
      <c r="C5248" t="s">
        <v>4181</v>
      </c>
      <c r="D5248" s="2">
        <f t="shared" si="82"/>
        <v>45748</v>
      </c>
      <c r="E5248" s="3">
        <f t="shared" si="81"/>
        <v>45748</v>
      </c>
      <c r="H5248" s="4">
        <v>45661.08</v>
      </c>
      <c r="J5248" t="s">
        <v>4187</v>
      </c>
      <c r="L5248" s="2">
        <v>45748</v>
      </c>
    </row>
    <row r="5249" spans="1:12" x14ac:dyDescent="0.3">
      <c r="A5249" t="s">
        <v>4178</v>
      </c>
      <c r="B5249">
        <v>59</v>
      </c>
      <c r="C5249" t="s">
        <v>4181</v>
      </c>
      <c r="D5249" s="2">
        <f t="shared" si="82"/>
        <v>45778</v>
      </c>
      <c r="E5249" s="3">
        <f t="shared" si="81"/>
        <v>45778</v>
      </c>
      <c r="H5249" s="4">
        <v>55190.9</v>
      </c>
      <c r="J5249" t="s">
        <v>4187</v>
      </c>
      <c r="L5249" s="2">
        <v>45778</v>
      </c>
    </row>
    <row r="5250" spans="1:12" x14ac:dyDescent="0.3">
      <c r="A5250" t="s">
        <v>4178</v>
      </c>
      <c r="B5250">
        <v>59</v>
      </c>
      <c r="C5250" t="s">
        <v>4181</v>
      </c>
      <c r="D5250" s="2">
        <f t="shared" si="82"/>
        <v>45809</v>
      </c>
      <c r="E5250" s="3">
        <f t="shared" si="81"/>
        <v>45809</v>
      </c>
      <c r="H5250" s="4">
        <v>38490.18</v>
      </c>
      <c r="J5250" t="s">
        <v>4187</v>
      </c>
      <c r="L5250" s="2">
        <v>45809</v>
      </c>
    </row>
    <row r="5251" spans="1:12" x14ac:dyDescent="0.3">
      <c r="A5251" t="s">
        <v>4178</v>
      </c>
      <c r="B5251">
        <v>59</v>
      </c>
      <c r="C5251" t="s">
        <v>4181</v>
      </c>
      <c r="D5251" s="2">
        <f t="shared" si="82"/>
        <v>45839</v>
      </c>
      <c r="E5251" s="3">
        <f t="shared" ref="E5251:E5298" si="83">IF($D5251="","",DATE(YEAR($D5251),MONTH($D5251),1))</f>
        <v>45839</v>
      </c>
      <c r="H5251" s="4">
        <v>45848.800000000003</v>
      </c>
      <c r="J5251" t="s">
        <v>4187</v>
      </c>
      <c r="L5251" s="2">
        <v>45839</v>
      </c>
    </row>
    <row r="5252" spans="1:12" x14ac:dyDescent="0.3">
      <c r="A5252" t="s">
        <v>4178</v>
      </c>
      <c r="B5252">
        <v>59</v>
      </c>
      <c r="C5252" t="s">
        <v>4181</v>
      </c>
      <c r="D5252" s="2">
        <f t="shared" si="82"/>
        <v>45870</v>
      </c>
      <c r="E5252" s="3">
        <f t="shared" si="83"/>
        <v>45870</v>
      </c>
      <c r="H5252" s="4">
        <v>14913.16</v>
      </c>
      <c r="J5252" t="s">
        <v>4187</v>
      </c>
      <c r="L5252" s="2">
        <v>45870</v>
      </c>
    </row>
    <row r="5253" spans="1:12" x14ac:dyDescent="0.3">
      <c r="A5253" t="s">
        <v>4178</v>
      </c>
      <c r="B5253">
        <v>59</v>
      </c>
      <c r="C5253" t="s">
        <v>4181</v>
      </c>
      <c r="D5253" s="2">
        <f t="shared" si="82"/>
        <v>45901</v>
      </c>
      <c r="E5253" s="3">
        <f t="shared" si="83"/>
        <v>45901</v>
      </c>
      <c r="H5253" s="4">
        <v>33764.35</v>
      </c>
      <c r="J5253" t="s">
        <v>4187</v>
      </c>
      <c r="L5253" s="2">
        <v>45901</v>
      </c>
    </row>
    <row r="5254" spans="1:12" x14ac:dyDescent="0.3">
      <c r="A5254" t="s">
        <v>4178</v>
      </c>
      <c r="B5254">
        <v>59</v>
      </c>
      <c r="C5254" t="s">
        <v>4181</v>
      </c>
      <c r="D5254" s="2">
        <f t="shared" si="82"/>
        <v>45931</v>
      </c>
      <c r="E5254" s="3">
        <f t="shared" si="83"/>
        <v>45931</v>
      </c>
      <c r="H5254" s="4">
        <v>39921.910000000003</v>
      </c>
      <c r="J5254" t="s">
        <v>4187</v>
      </c>
      <c r="L5254" s="2">
        <v>45931</v>
      </c>
    </row>
    <row r="5255" spans="1:12" x14ac:dyDescent="0.3">
      <c r="A5255" t="s">
        <v>4178</v>
      </c>
      <c r="B5255">
        <v>59</v>
      </c>
      <c r="C5255" t="s">
        <v>4181</v>
      </c>
      <c r="D5255" s="2">
        <f t="shared" si="82"/>
        <v>45962</v>
      </c>
      <c r="E5255" s="3">
        <f t="shared" si="83"/>
        <v>45962</v>
      </c>
      <c r="H5255" s="4">
        <v>31168.18</v>
      </c>
      <c r="J5255" t="s">
        <v>4187</v>
      </c>
      <c r="L5255" s="2">
        <v>45962</v>
      </c>
    </row>
    <row r="5256" spans="1:12" x14ac:dyDescent="0.3">
      <c r="A5256" t="s">
        <v>4178</v>
      </c>
      <c r="B5256">
        <v>59</v>
      </c>
      <c r="C5256" t="s">
        <v>4181</v>
      </c>
      <c r="D5256" s="2">
        <f t="shared" si="82"/>
        <v>45992</v>
      </c>
      <c r="E5256" s="3">
        <f t="shared" si="83"/>
        <v>45992</v>
      </c>
      <c r="H5256" s="4">
        <v>31580.44</v>
      </c>
      <c r="J5256" t="s">
        <v>4187</v>
      </c>
      <c r="L5256" s="2">
        <v>45992</v>
      </c>
    </row>
    <row r="5257" spans="1:12" x14ac:dyDescent="0.3">
      <c r="A5257" t="s">
        <v>4178</v>
      </c>
      <c r="B5257">
        <v>59</v>
      </c>
      <c r="C5257" t="s">
        <v>4181</v>
      </c>
      <c r="D5257" s="2">
        <f t="shared" si="82"/>
        <v>46023</v>
      </c>
      <c r="E5257" s="3">
        <f t="shared" si="83"/>
        <v>46023</v>
      </c>
      <c r="H5257" s="4">
        <v>21620.93</v>
      </c>
      <c r="J5257" t="s">
        <v>4187</v>
      </c>
      <c r="L5257" s="2">
        <v>46023</v>
      </c>
    </row>
    <row r="5258" spans="1:12" x14ac:dyDescent="0.3">
      <c r="A5258" t="s">
        <v>4178</v>
      </c>
      <c r="B5258">
        <v>59</v>
      </c>
      <c r="C5258" t="s">
        <v>4181</v>
      </c>
      <c r="D5258" s="2">
        <f t="shared" si="82"/>
        <v>46054</v>
      </c>
      <c r="E5258" s="3">
        <f t="shared" si="83"/>
        <v>46054</v>
      </c>
      <c r="H5258" s="4">
        <v>23540.45</v>
      </c>
      <c r="J5258" t="s">
        <v>4187</v>
      </c>
      <c r="L5258" s="2">
        <v>46054</v>
      </c>
    </row>
    <row r="5259" spans="1:12" x14ac:dyDescent="0.3">
      <c r="A5259" t="s">
        <v>4178</v>
      </c>
      <c r="B5259">
        <v>59</v>
      </c>
      <c r="C5259" t="s">
        <v>4181</v>
      </c>
      <c r="D5259" s="2">
        <f t="shared" si="82"/>
        <v>46082</v>
      </c>
      <c r="E5259" s="3">
        <f t="shared" si="83"/>
        <v>46082</v>
      </c>
      <c r="H5259" s="4">
        <v>25710.55</v>
      </c>
      <c r="J5259" t="s">
        <v>4187</v>
      </c>
      <c r="L5259" s="2">
        <v>46082</v>
      </c>
    </row>
    <row r="5260" spans="1:12" x14ac:dyDescent="0.3">
      <c r="A5260" t="s">
        <v>4178</v>
      </c>
      <c r="B5260">
        <v>59</v>
      </c>
      <c r="C5260" t="s">
        <v>4181</v>
      </c>
      <c r="D5260" s="2">
        <f t="shared" si="82"/>
        <v>46113</v>
      </c>
      <c r="E5260" s="3">
        <f t="shared" si="83"/>
        <v>46113</v>
      </c>
      <c r="H5260" s="4">
        <v>45349.09</v>
      </c>
      <c r="J5260" t="s">
        <v>4187</v>
      </c>
      <c r="L5260" s="2">
        <v>46113</v>
      </c>
    </row>
    <row r="5261" spans="1:12" x14ac:dyDescent="0.3">
      <c r="A5261" t="s">
        <v>4178</v>
      </c>
      <c r="B5261">
        <v>59</v>
      </c>
      <c r="C5261" t="s">
        <v>4181</v>
      </c>
      <c r="D5261" s="2">
        <f t="shared" si="82"/>
        <v>46143</v>
      </c>
      <c r="E5261" s="3">
        <f t="shared" si="83"/>
        <v>46143</v>
      </c>
      <c r="H5261" s="4">
        <v>32250.9</v>
      </c>
      <c r="J5261" t="s">
        <v>4187</v>
      </c>
      <c r="L5261" s="2">
        <v>46143</v>
      </c>
    </row>
    <row r="5262" spans="1:12" x14ac:dyDescent="0.3">
      <c r="A5262" t="s">
        <v>4178</v>
      </c>
      <c r="B5262">
        <v>59</v>
      </c>
      <c r="C5262" t="s">
        <v>4181</v>
      </c>
      <c r="D5262" s="2">
        <f t="shared" si="82"/>
        <v>46174</v>
      </c>
      <c r="E5262" s="3">
        <f t="shared" si="83"/>
        <v>46174</v>
      </c>
      <c r="H5262" s="4">
        <v>33824.92</v>
      </c>
      <c r="J5262" t="s">
        <v>4187</v>
      </c>
      <c r="L5262" s="2">
        <v>46174</v>
      </c>
    </row>
    <row r="5263" spans="1:12" x14ac:dyDescent="0.3">
      <c r="A5263" t="s">
        <v>4178</v>
      </c>
      <c r="B5263">
        <v>59</v>
      </c>
      <c r="C5263" t="s">
        <v>4181</v>
      </c>
      <c r="D5263" s="2">
        <f t="shared" si="82"/>
        <v>45658</v>
      </c>
      <c r="E5263" s="3">
        <f t="shared" si="83"/>
        <v>45658</v>
      </c>
      <c r="H5263" s="4">
        <v>43475.09</v>
      </c>
      <c r="J5263" t="s">
        <v>4188</v>
      </c>
      <c r="L5263" s="2">
        <v>45658</v>
      </c>
    </row>
    <row r="5264" spans="1:12" x14ac:dyDescent="0.3">
      <c r="A5264" t="s">
        <v>4178</v>
      </c>
      <c r="B5264">
        <v>59</v>
      </c>
      <c r="C5264" t="s">
        <v>4181</v>
      </c>
      <c r="D5264" s="2">
        <f t="shared" si="82"/>
        <v>45689</v>
      </c>
      <c r="E5264" s="3">
        <f t="shared" si="83"/>
        <v>45689</v>
      </c>
      <c r="H5264" s="4">
        <v>24347.919999999998</v>
      </c>
      <c r="J5264" t="s">
        <v>4188</v>
      </c>
      <c r="L5264" s="2">
        <v>45689</v>
      </c>
    </row>
    <row r="5265" spans="1:12" x14ac:dyDescent="0.3">
      <c r="A5265" t="s">
        <v>4178</v>
      </c>
      <c r="B5265">
        <v>59</v>
      </c>
      <c r="C5265" t="s">
        <v>4181</v>
      </c>
      <c r="D5265" s="2">
        <f t="shared" si="82"/>
        <v>45717</v>
      </c>
      <c r="E5265" s="3">
        <f t="shared" si="83"/>
        <v>45717</v>
      </c>
      <c r="H5265" s="4">
        <v>33043.83</v>
      </c>
      <c r="J5265" t="s">
        <v>4188</v>
      </c>
      <c r="L5265" s="2">
        <v>45717</v>
      </c>
    </row>
    <row r="5266" spans="1:12" x14ac:dyDescent="0.3">
      <c r="A5266" t="s">
        <v>4178</v>
      </c>
      <c r="B5266">
        <v>59</v>
      </c>
      <c r="C5266" t="s">
        <v>4181</v>
      </c>
      <c r="D5266" s="2">
        <f t="shared" si="82"/>
        <v>45748</v>
      </c>
      <c r="E5266" s="3">
        <f t="shared" si="83"/>
        <v>45748</v>
      </c>
      <c r="H5266" s="4">
        <v>25190.92</v>
      </c>
      <c r="J5266" t="s">
        <v>4188</v>
      </c>
      <c r="L5266" s="2">
        <v>45748</v>
      </c>
    </row>
    <row r="5267" spans="1:12" x14ac:dyDescent="0.3">
      <c r="A5267" t="s">
        <v>4178</v>
      </c>
      <c r="B5267">
        <v>59</v>
      </c>
      <c r="C5267" t="s">
        <v>4181</v>
      </c>
      <c r="D5267" s="2">
        <f t="shared" si="82"/>
        <v>45778</v>
      </c>
      <c r="E5267" s="3">
        <f t="shared" si="83"/>
        <v>45778</v>
      </c>
      <c r="H5267" s="4">
        <v>33751.629999999997</v>
      </c>
      <c r="J5267" t="s">
        <v>4188</v>
      </c>
      <c r="L5267" s="2">
        <v>45778</v>
      </c>
    </row>
    <row r="5268" spans="1:12" x14ac:dyDescent="0.3">
      <c r="A5268" t="s">
        <v>4178</v>
      </c>
      <c r="B5268">
        <v>59</v>
      </c>
      <c r="C5268" t="s">
        <v>4181</v>
      </c>
      <c r="D5268" s="2">
        <f t="shared" si="82"/>
        <v>45809</v>
      </c>
      <c r="E5268" s="3">
        <f t="shared" si="83"/>
        <v>45809</v>
      </c>
      <c r="H5268" s="4">
        <v>39226.36</v>
      </c>
      <c r="J5268" t="s">
        <v>4188</v>
      </c>
      <c r="L5268" s="2">
        <v>45809</v>
      </c>
    </row>
    <row r="5269" spans="1:12" x14ac:dyDescent="0.3">
      <c r="A5269" t="s">
        <v>4178</v>
      </c>
      <c r="B5269">
        <v>59</v>
      </c>
      <c r="C5269" t="s">
        <v>4181</v>
      </c>
      <c r="D5269" s="2">
        <f t="shared" si="82"/>
        <v>45839</v>
      </c>
      <c r="E5269" s="3">
        <f t="shared" si="83"/>
        <v>45839</v>
      </c>
      <c r="H5269" s="4">
        <v>26749.27</v>
      </c>
      <c r="J5269" t="s">
        <v>4188</v>
      </c>
      <c r="L5269" s="2">
        <v>45839</v>
      </c>
    </row>
    <row r="5270" spans="1:12" x14ac:dyDescent="0.3">
      <c r="A5270" t="s">
        <v>4178</v>
      </c>
      <c r="B5270">
        <v>59</v>
      </c>
      <c r="C5270" t="s">
        <v>4181</v>
      </c>
      <c r="D5270" s="2">
        <f t="shared" si="82"/>
        <v>45870</v>
      </c>
      <c r="E5270" s="3">
        <f t="shared" si="83"/>
        <v>45870</v>
      </c>
      <c r="H5270" s="4">
        <v>22902.41</v>
      </c>
      <c r="J5270" t="s">
        <v>4188</v>
      </c>
      <c r="L5270" s="2">
        <v>45870</v>
      </c>
    </row>
    <row r="5271" spans="1:12" x14ac:dyDescent="0.3">
      <c r="A5271" t="s">
        <v>4178</v>
      </c>
      <c r="B5271">
        <v>59</v>
      </c>
      <c r="C5271" t="s">
        <v>4181</v>
      </c>
      <c r="D5271" s="2">
        <f t="shared" si="82"/>
        <v>45901</v>
      </c>
      <c r="E5271" s="3">
        <f t="shared" si="83"/>
        <v>45901</v>
      </c>
      <c r="H5271" s="4">
        <v>21615.1</v>
      </c>
      <c r="J5271" t="s">
        <v>4188</v>
      </c>
      <c r="L5271" s="2">
        <v>45901</v>
      </c>
    </row>
    <row r="5272" spans="1:12" x14ac:dyDescent="0.3">
      <c r="A5272" t="s">
        <v>4178</v>
      </c>
      <c r="B5272">
        <v>59</v>
      </c>
      <c r="C5272" t="s">
        <v>4181</v>
      </c>
      <c r="D5272" s="2">
        <f t="shared" si="82"/>
        <v>45931</v>
      </c>
      <c r="E5272" s="3">
        <f t="shared" si="83"/>
        <v>45931</v>
      </c>
      <c r="H5272" s="4">
        <v>22574.51</v>
      </c>
      <c r="J5272" t="s">
        <v>4188</v>
      </c>
      <c r="L5272" s="2">
        <v>45931</v>
      </c>
    </row>
    <row r="5273" spans="1:12" x14ac:dyDescent="0.3">
      <c r="A5273" t="s">
        <v>4178</v>
      </c>
      <c r="B5273">
        <v>59</v>
      </c>
      <c r="C5273" t="s">
        <v>4181</v>
      </c>
      <c r="D5273" s="2">
        <f t="shared" si="82"/>
        <v>45962</v>
      </c>
      <c r="E5273" s="3">
        <f t="shared" si="83"/>
        <v>45962</v>
      </c>
      <c r="H5273" s="4">
        <v>19824.490000000002</v>
      </c>
      <c r="J5273" t="s">
        <v>4188</v>
      </c>
      <c r="L5273" s="2">
        <v>45962</v>
      </c>
    </row>
    <row r="5274" spans="1:12" x14ac:dyDescent="0.3">
      <c r="A5274" t="s">
        <v>4178</v>
      </c>
      <c r="B5274">
        <v>59</v>
      </c>
      <c r="C5274" t="s">
        <v>4181</v>
      </c>
      <c r="D5274" s="2">
        <f t="shared" si="82"/>
        <v>45992</v>
      </c>
      <c r="E5274" s="3">
        <f t="shared" si="83"/>
        <v>45992</v>
      </c>
      <c r="H5274" s="4">
        <v>22244.43</v>
      </c>
      <c r="J5274" t="s">
        <v>4188</v>
      </c>
      <c r="L5274" s="2">
        <v>45992</v>
      </c>
    </row>
    <row r="5275" spans="1:12" x14ac:dyDescent="0.3">
      <c r="A5275" t="s">
        <v>4178</v>
      </c>
      <c r="B5275">
        <v>59</v>
      </c>
      <c r="C5275" t="s">
        <v>4181</v>
      </c>
      <c r="D5275" s="2">
        <f t="shared" si="82"/>
        <v>46023</v>
      </c>
      <c r="E5275" s="3">
        <f t="shared" si="83"/>
        <v>46023</v>
      </c>
      <c r="H5275" s="4">
        <v>38015.74</v>
      </c>
      <c r="J5275" t="s">
        <v>4188</v>
      </c>
      <c r="L5275" s="2">
        <v>46023</v>
      </c>
    </row>
    <row r="5276" spans="1:12" x14ac:dyDescent="0.3">
      <c r="A5276" t="s">
        <v>4178</v>
      </c>
      <c r="B5276">
        <v>59</v>
      </c>
      <c r="C5276" t="s">
        <v>4181</v>
      </c>
      <c r="D5276" s="2">
        <f t="shared" ref="D5276:D5298" si="84">$L5276</f>
        <v>46054</v>
      </c>
      <c r="E5276" s="3">
        <f t="shared" si="83"/>
        <v>46054</v>
      </c>
      <c r="H5276" s="4">
        <v>29438.66</v>
      </c>
      <c r="J5276" t="s">
        <v>4188</v>
      </c>
      <c r="L5276" s="2">
        <v>46054</v>
      </c>
    </row>
    <row r="5277" spans="1:12" x14ac:dyDescent="0.3">
      <c r="A5277" t="s">
        <v>4178</v>
      </c>
      <c r="B5277">
        <v>59</v>
      </c>
      <c r="C5277" t="s">
        <v>4181</v>
      </c>
      <c r="D5277" s="2">
        <f t="shared" si="84"/>
        <v>46082</v>
      </c>
      <c r="E5277" s="3">
        <f t="shared" si="83"/>
        <v>46082</v>
      </c>
      <c r="H5277" s="4">
        <v>24191.48</v>
      </c>
      <c r="J5277" t="s">
        <v>4188</v>
      </c>
      <c r="L5277" s="2">
        <v>46082</v>
      </c>
    </row>
    <row r="5278" spans="1:12" x14ac:dyDescent="0.3">
      <c r="A5278" t="s">
        <v>4178</v>
      </c>
      <c r="B5278">
        <v>59</v>
      </c>
      <c r="C5278" t="s">
        <v>4181</v>
      </c>
      <c r="D5278" s="2">
        <f t="shared" si="84"/>
        <v>46113</v>
      </c>
      <c r="E5278" s="3">
        <f t="shared" si="83"/>
        <v>46113</v>
      </c>
      <c r="H5278" s="4">
        <v>38445.519999999997</v>
      </c>
      <c r="J5278" t="s">
        <v>4188</v>
      </c>
      <c r="L5278" s="2">
        <v>46113</v>
      </c>
    </row>
    <row r="5279" spans="1:12" x14ac:dyDescent="0.3">
      <c r="A5279" t="s">
        <v>4178</v>
      </c>
      <c r="B5279">
        <v>59</v>
      </c>
      <c r="C5279" t="s">
        <v>4181</v>
      </c>
      <c r="D5279" s="2">
        <f t="shared" si="84"/>
        <v>46143</v>
      </c>
      <c r="E5279" s="3">
        <f t="shared" si="83"/>
        <v>46143</v>
      </c>
      <c r="H5279" s="4">
        <v>22580.42</v>
      </c>
      <c r="J5279" t="s">
        <v>4188</v>
      </c>
      <c r="L5279" s="2">
        <v>46143</v>
      </c>
    </row>
    <row r="5280" spans="1:12" x14ac:dyDescent="0.3">
      <c r="A5280" t="s">
        <v>4178</v>
      </c>
      <c r="B5280">
        <v>59</v>
      </c>
      <c r="C5280" t="s">
        <v>4181</v>
      </c>
      <c r="D5280" s="2">
        <f t="shared" si="84"/>
        <v>46174</v>
      </c>
      <c r="E5280" s="3">
        <f t="shared" si="83"/>
        <v>46174</v>
      </c>
      <c r="H5280" s="4">
        <v>20449.48</v>
      </c>
      <c r="J5280" t="s">
        <v>4188</v>
      </c>
      <c r="L5280" s="2">
        <v>46174</v>
      </c>
    </row>
    <row r="5281" spans="1:12" x14ac:dyDescent="0.3">
      <c r="A5281" t="s">
        <v>4178</v>
      </c>
      <c r="B5281">
        <v>58</v>
      </c>
      <c r="C5281" t="s">
        <v>4189</v>
      </c>
      <c r="D5281" s="2">
        <f t="shared" si="84"/>
        <v>45658</v>
      </c>
      <c r="E5281" s="3">
        <f t="shared" si="83"/>
        <v>45658</v>
      </c>
      <c r="H5281" s="4">
        <v>43705.33</v>
      </c>
      <c r="J5281" t="s">
        <v>4190</v>
      </c>
      <c r="L5281" s="2">
        <v>45658</v>
      </c>
    </row>
    <row r="5282" spans="1:12" x14ac:dyDescent="0.3">
      <c r="A5282" t="s">
        <v>4178</v>
      </c>
      <c r="B5282">
        <v>58</v>
      </c>
      <c r="C5282" t="s">
        <v>4189</v>
      </c>
      <c r="D5282" s="2">
        <f t="shared" si="84"/>
        <v>45689</v>
      </c>
      <c r="E5282" s="3">
        <f t="shared" si="83"/>
        <v>45689</v>
      </c>
      <c r="H5282" s="4">
        <v>41458.629999999997</v>
      </c>
      <c r="J5282" t="s">
        <v>4190</v>
      </c>
      <c r="L5282" s="2">
        <v>45689</v>
      </c>
    </row>
    <row r="5283" spans="1:12" x14ac:dyDescent="0.3">
      <c r="A5283" t="s">
        <v>4178</v>
      </c>
      <c r="B5283">
        <v>58</v>
      </c>
      <c r="C5283" t="s">
        <v>4189</v>
      </c>
      <c r="D5283" s="2">
        <f t="shared" si="84"/>
        <v>45717</v>
      </c>
      <c r="E5283" s="3">
        <f t="shared" si="83"/>
        <v>45717</v>
      </c>
      <c r="H5283" s="4">
        <v>41578.93</v>
      </c>
      <c r="J5283" t="s">
        <v>4190</v>
      </c>
      <c r="L5283" s="2">
        <v>45717</v>
      </c>
    </row>
    <row r="5284" spans="1:12" x14ac:dyDescent="0.3">
      <c r="A5284" t="s">
        <v>4178</v>
      </c>
      <c r="B5284">
        <v>58</v>
      </c>
      <c r="C5284" t="s">
        <v>4189</v>
      </c>
      <c r="D5284" s="2">
        <f t="shared" si="84"/>
        <v>45748</v>
      </c>
      <c r="E5284" s="3">
        <f t="shared" si="83"/>
        <v>45748</v>
      </c>
      <c r="H5284" s="4">
        <v>40615.93</v>
      </c>
      <c r="J5284" t="s">
        <v>4190</v>
      </c>
      <c r="L5284" s="2">
        <v>45748</v>
      </c>
    </row>
    <row r="5285" spans="1:12" x14ac:dyDescent="0.3">
      <c r="A5285" t="s">
        <v>4178</v>
      </c>
      <c r="B5285">
        <v>58</v>
      </c>
      <c r="C5285" t="s">
        <v>4189</v>
      </c>
      <c r="D5285" s="2">
        <f t="shared" si="84"/>
        <v>45778</v>
      </c>
      <c r="E5285" s="3">
        <f t="shared" si="83"/>
        <v>45778</v>
      </c>
      <c r="H5285" s="4">
        <v>39879.53</v>
      </c>
      <c r="J5285" t="s">
        <v>4190</v>
      </c>
      <c r="L5285" s="2">
        <v>45778</v>
      </c>
    </row>
    <row r="5286" spans="1:12" x14ac:dyDescent="0.3">
      <c r="A5286" t="s">
        <v>4178</v>
      </c>
      <c r="B5286">
        <v>58</v>
      </c>
      <c r="C5286" t="s">
        <v>4189</v>
      </c>
      <c r="D5286" s="2">
        <f t="shared" si="84"/>
        <v>45809</v>
      </c>
      <c r="E5286" s="3">
        <f t="shared" si="83"/>
        <v>45809</v>
      </c>
      <c r="H5286" s="4">
        <v>43110.32</v>
      </c>
      <c r="J5286" t="s">
        <v>4190</v>
      </c>
      <c r="L5286" s="2">
        <v>45809</v>
      </c>
    </row>
    <row r="5287" spans="1:12" x14ac:dyDescent="0.3">
      <c r="A5287" t="s">
        <v>4178</v>
      </c>
      <c r="B5287">
        <v>58</v>
      </c>
      <c r="C5287" t="s">
        <v>4189</v>
      </c>
      <c r="D5287" s="2">
        <f t="shared" si="84"/>
        <v>45839</v>
      </c>
      <c r="E5287" s="3">
        <f t="shared" si="83"/>
        <v>45839</v>
      </c>
      <c r="H5287" s="4">
        <v>62225.27</v>
      </c>
      <c r="J5287" t="s">
        <v>4190</v>
      </c>
      <c r="L5287" s="2">
        <v>45839</v>
      </c>
    </row>
    <row r="5288" spans="1:12" x14ac:dyDescent="0.3">
      <c r="A5288" t="s">
        <v>4178</v>
      </c>
      <c r="B5288">
        <v>58</v>
      </c>
      <c r="C5288" t="s">
        <v>4189</v>
      </c>
      <c r="D5288" s="2">
        <f t="shared" si="84"/>
        <v>45870</v>
      </c>
      <c r="E5288" s="3">
        <f t="shared" si="83"/>
        <v>45870</v>
      </c>
      <c r="H5288" s="4">
        <v>55235.03</v>
      </c>
      <c r="J5288" t="s">
        <v>4190</v>
      </c>
      <c r="L5288" s="2">
        <v>45870</v>
      </c>
    </row>
    <row r="5289" spans="1:12" x14ac:dyDescent="0.3">
      <c r="A5289" t="s">
        <v>4178</v>
      </c>
      <c r="B5289">
        <v>58</v>
      </c>
      <c r="C5289" t="s">
        <v>4189</v>
      </c>
      <c r="D5289" s="2">
        <f t="shared" si="84"/>
        <v>45901</v>
      </c>
      <c r="E5289" s="3">
        <f t="shared" si="83"/>
        <v>45901</v>
      </c>
      <c r="H5289" s="4">
        <v>56678.8</v>
      </c>
      <c r="J5289" t="s">
        <v>4190</v>
      </c>
      <c r="L5289" s="2">
        <v>45901</v>
      </c>
    </row>
    <row r="5290" spans="1:12" x14ac:dyDescent="0.3">
      <c r="A5290" t="s">
        <v>4178</v>
      </c>
      <c r="B5290">
        <v>58</v>
      </c>
      <c r="C5290" t="s">
        <v>4189</v>
      </c>
      <c r="D5290" s="2">
        <f t="shared" si="84"/>
        <v>45931</v>
      </c>
      <c r="E5290" s="3">
        <f t="shared" si="83"/>
        <v>45931</v>
      </c>
      <c r="H5290" s="4">
        <v>58146.57</v>
      </c>
      <c r="J5290" t="s">
        <v>4190</v>
      </c>
      <c r="L5290" s="2">
        <v>45931</v>
      </c>
    </row>
    <row r="5291" spans="1:12" x14ac:dyDescent="0.3">
      <c r="A5291" t="s">
        <v>4178</v>
      </c>
      <c r="B5291">
        <v>58</v>
      </c>
      <c r="C5291" t="s">
        <v>4189</v>
      </c>
      <c r="D5291" s="2">
        <f t="shared" si="84"/>
        <v>45962</v>
      </c>
      <c r="E5291" s="3">
        <f t="shared" si="83"/>
        <v>45962</v>
      </c>
      <c r="H5291" s="4">
        <v>54333.79</v>
      </c>
      <c r="J5291" t="s">
        <v>4190</v>
      </c>
      <c r="L5291" s="2">
        <v>45962</v>
      </c>
    </row>
    <row r="5292" spans="1:12" x14ac:dyDescent="0.3">
      <c r="A5292" t="s">
        <v>4178</v>
      </c>
      <c r="B5292">
        <v>58</v>
      </c>
      <c r="C5292" t="s">
        <v>4189</v>
      </c>
      <c r="D5292" s="2">
        <f t="shared" si="84"/>
        <v>45992</v>
      </c>
      <c r="E5292" s="3">
        <f t="shared" si="83"/>
        <v>45992</v>
      </c>
      <c r="H5292" s="4">
        <v>53862.22</v>
      </c>
      <c r="J5292" t="s">
        <v>4190</v>
      </c>
      <c r="L5292" s="2">
        <v>45992</v>
      </c>
    </row>
    <row r="5293" spans="1:12" x14ac:dyDescent="0.3">
      <c r="A5293" t="s">
        <v>4178</v>
      </c>
      <c r="B5293">
        <v>58</v>
      </c>
      <c r="C5293" t="s">
        <v>4189</v>
      </c>
      <c r="D5293" s="2">
        <f t="shared" si="84"/>
        <v>46023</v>
      </c>
      <c r="E5293" s="3">
        <f t="shared" si="83"/>
        <v>46023</v>
      </c>
      <c r="H5293" s="4">
        <v>35320.17</v>
      </c>
      <c r="J5293" t="s">
        <v>4190</v>
      </c>
      <c r="L5293" s="2">
        <v>46023</v>
      </c>
    </row>
    <row r="5294" spans="1:12" x14ac:dyDescent="0.3">
      <c r="A5294" t="s">
        <v>4178</v>
      </c>
      <c r="B5294">
        <v>58</v>
      </c>
      <c r="C5294" t="s">
        <v>4189</v>
      </c>
      <c r="D5294" s="2">
        <f t="shared" si="84"/>
        <v>46054</v>
      </c>
      <c r="E5294" s="3">
        <f t="shared" si="83"/>
        <v>46054</v>
      </c>
      <c r="H5294" s="4">
        <v>37152.93</v>
      </c>
      <c r="J5294" t="s">
        <v>4190</v>
      </c>
      <c r="L5294" s="2">
        <v>46054</v>
      </c>
    </row>
    <row r="5295" spans="1:12" x14ac:dyDescent="0.3">
      <c r="A5295" t="s">
        <v>4178</v>
      </c>
      <c r="B5295">
        <v>58</v>
      </c>
      <c r="C5295" t="s">
        <v>4189</v>
      </c>
      <c r="D5295" s="2">
        <f t="shared" si="84"/>
        <v>46082</v>
      </c>
      <c r="E5295" s="3">
        <f t="shared" si="83"/>
        <v>46082</v>
      </c>
      <c r="H5295" s="4">
        <v>39177.93</v>
      </c>
      <c r="J5295" t="s">
        <v>4190</v>
      </c>
      <c r="L5295" s="2">
        <v>46082</v>
      </c>
    </row>
    <row r="5296" spans="1:12" x14ac:dyDescent="0.3">
      <c r="A5296" t="s">
        <v>4178</v>
      </c>
      <c r="B5296">
        <v>58</v>
      </c>
      <c r="C5296" t="s">
        <v>4189</v>
      </c>
      <c r="D5296" s="2">
        <f t="shared" si="84"/>
        <v>46113</v>
      </c>
      <c r="E5296" s="3">
        <f t="shared" si="83"/>
        <v>46113</v>
      </c>
      <c r="H5296" s="4">
        <v>39248.43</v>
      </c>
      <c r="J5296" t="s">
        <v>4190</v>
      </c>
      <c r="L5296" s="2">
        <v>46113</v>
      </c>
    </row>
    <row r="5297" spans="1:12" x14ac:dyDescent="0.3">
      <c r="A5297" t="s">
        <v>4178</v>
      </c>
      <c r="B5297">
        <v>58</v>
      </c>
      <c r="C5297" t="s">
        <v>4189</v>
      </c>
      <c r="D5297" s="2">
        <f t="shared" si="84"/>
        <v>46143</v>
      </c>
      <c r="E5297" s="3">
        <f t="shared" si="83"/>
        <v>46143</v>
      </c>
      <c r="H5297" s="4">
        <v>38839.230000000003</v>
      </c>
      <c r="J5297" t="s">
        <v>4190</v>
      </c>
      <c r="L5297" s="2">
        <v>46143</v>
      </c>
    </row>
    <row r="5298" spans="1:12" x14ac:dyDescent="0.3">
      <c r="A5298" t="s">
        <v>4178</v>
      </c>
      <c r="B5298">
        <v>58</v>
      </c>
      <c r="C5298" t="s">
        <v>4189</v>
      </c>
      <c r="D5298" s="2">
        <f t="shared" si="84"/>
        <v>46174</v>
      </c>
      <c r="E5298" s="3">
        <f t="shared" si="83"/>
        <v>46174</v>
      </c>
      <c r="H5298" s="4">
        <v>56287.73</v>
      </c>
      <c r="J5298" t="s">
        <v>4190</v>
      </c>
      <c r="L5298" s="2">
        <v>46174</v>
      </c>
    </row>
    <row r="5299" spans="1:12" x14ac:dyDescent="0.3">
      <c r="A5299" t="s">
        <v>4191</v>
      </c>
      <c r="B5299">
        <v>57</v>
      </c>
      <c r="C5299" t="s">
        <v>4179</v>
      </c>
      <c r="D5299" s="2">
        <f>'[1]STO P&amp;L'!AJ$20</f>
        <v>46204</v>
      </c>
      <c r="E5299" s="3">
        <f>IF($D5299="","",DATE(YEAR($D5299),MONTH($D5299),1))</f>
        <v>46204</v>
      </c>
      <c r="H5299" s="4">
        <f>'[1]STO P&amp;L'!AJ57</f>
        <v>239556.39350000001</v>
      </c>
      <c r="L5299" s="2">
        <f>$D5299</f>
        <v>46204</v>
      </c>
    </row>
    <row r="5300" spans="1:12" x14ac:dyDescent="0.3">
      <c r="A5300" t="s">
        <v>4191</v>
      </c>
      <c r="B5300">
        <v>58</v>
      </c>
      <c r="C5300" t="s">
        <v>4189</v>
      </c>
      <c r="D5300" s="2">
        <f>'[1]STO P&amp;L'!AJ$20</f>
        <v>46204</v>
      </c>
      <c r="E5300" s="3">
        <f>IF($D5300="","",DATE(YEAR($D5300),MONTH($D5300),1))</f>
        <v>46204</v>
      </c>
      <c r="H5300" s="4">
        <f>'[1]STO P&amp;L'!AJ58</f>
        <v>41108.333333333328</v>
      </c>
      <c r="L5300" s="2">
        <f>$D5300</f>
        <v>46204</v>
      </c>
    </row>
    <row r="5301" spans="1:12" x14ac:dyDescent="0.3">
      <c r="A5301" t="s">
        <v>4191</v>
      </c>
      <c r="B5301">
        <v>59</v>
      </c>
      <c r="C5301" t="s">
        <v>4181</v>
      </c>
      <c r="D5301" s="2">
        <f>'[1]STO P&amp;L'!AJ$20</f>
        <v>46204</v>
      </c>
      <c r="E5301" s="3">
        <f>IF($D5301="","",DATE(YEAR($D5301),MONTH($D5301),1))</f>
        <v>46204</v>
      </c>
      <c r="H5301" s="4">
        <f>'[1]STO P&amp;L'!AJ59</f>
        <v>59320.348374999994</v>
      </c>
      <c r="L5301" s="2">
        <f>$D5301</f>
        <v>46204</v>
      </c>
    </row>
    <row r="5302" spans="1:12" x14ac:dyDescent="0.3">
      <c r="A5302" t="s">
        <v>4191</v>
      </c>
      <c r="B5302">
        <v>60</v>
      </c>
      <c r="C5302" t="s">
        <v>4184</v>
      </c>
      <c r="D5302" s="2">
        <f>'[1]STO P&amp;L'!AJ$20</f>
        <v>46204</v>
      </c>
      <c r="E5302" s="3">
        <f>IF($D5302="","",DATE(YEAR($D5302),MONTH($D5302),1))</f>
        <v>46204</v>
      </c>
      <c r="H5302" s="4">
        <f>'[1]STO P&amp;L'!AJ60</f>
        <v>0</v>
      </c>
      <c r="L5302" s="2">
        <f>$D5302</f>
        <v>46204</v>
      </c>
    </row>
    <row r="5303" spans="1:12" x14ac:dyDescent="0.3">
      <c r="A5303" t="s">
        <v>4191</v>
      </c>
      <c r="B5303">
        <v>63</v>
      </c>
      <c r="C5303" t="s">
        <v>18</v>
      </c>
      <c r="D5303" s="2">
        <f>'[1]STO P&amp;L'!AJ$20</f>
        <v>46204</v>
      </c>
      <c r="E5303" s="3">
        <f>IF($D5303="","",DATE(YEAR($D5303),MONTH($D5303),1))</f>
        <v>46204</v>
      </c>
      <c r="H5303" s="4">
        <f>'[1]STO P&amp;L'!AJ63</f>
        <v>92166.666666666672</v>
      </c>
      <c r="L5303" s="2">
        <f>$D5303</f>
        <v>46204</v>
      </c>
    </row>
    <row r="5304" spans="1:12" x14ac:dyDescent="0.3">
      <c r="A5304" t="s">
        <v>4191</v>
      </c>
      <c r="B5304">
        <v>64</v>
      </c>
      <c r="C5304" t="s">
        <v>83</v>
      </c>
      <c r="D5304" s="2">
        <f>'[1]STO P&amp;L'!AJ$20</f>
        <v>46204</v>
      </c>
      <c r="E5304" s="3">
        <f>IF($D5304="","",DATE(YEAR($D5304),MONTH($D5304),1))</f>
        <v>46204</v>
      </c>
      <c r="H5304" s="4">
        <f>'[1]STO P&amp;L'!AJ64</f>
        <v>1150</v>
      </c>
      <c r="L5304" s="2">
        <f>$D5304</f>
        <v>46204</v>
      </c>
    </row>
    <row r="5305" spans="1:12" x14ac:dyDescent="0.3">
      <c r="A5305" t="s">
        <v>4191</v>
      </c>
      <c r="B5305">
        <v>65</v>
      </c>
      <c r="C5305" t="s">
        <v>54</v>
      </c>
      <c r="D5305" s="2">
        <f>'[1]STO P&amp;L'!AJ$20</f>
        <v>46204</v>
      </c>
      <c r="E5305" s="3">
        <f>IF($D5305="","",DATE(YEAR($D5305),MONTH($D5305),1))</f>
        <v>46204</v>
      </c>
      <c r="H5305" s="4">
        <f>'[1]STO P&amp;L'!AJ65</f>
        <v>24658.39</v>
      </c>
      <c r="L5305" s="2">
        <f>$D5305</f>
        <v>46204</v>
      </c>
    </row>
    <row r="5306" spans="1:12" x14ac:dyDescent="0.3">
      <c r="A5306" t="s">
        <v>4191</v>
      </c>
      <c r="B5306">
        <v>66</v>
      </c>
      <c r="C5306" t="s">
        <v>134</v>
      </c>
      <c r="D5306" s="2">
        <f>'[1]STO P&amp;L'!AJ$20</f>
        <v>46204</v>
      </c>
      <c r="E5306" s="3">
        <f>IF($D5306="","",DATE(YEAR($D5306),MONTH($D5306),1))</f>
        <v>46204</v>
      </c>
      <c r="H5306" s="4">
        <f>'[1]STO P&amp;L'!AJ66</f>
        <v>2000</v>
      </c>
      <c r="L5306" s="2">
        <f>$D5306</f>
        <v>46204</v>
      </c>
    </row>
    <row r="5307" spans="1:12" x14ac:dyDescent="0.3">
      <c r="A5307" t="s">
        <v>4191</v>
      </c>
      <c r="B5307">
        <v>67</v>
      </c>
      <c r="C5307" t="s">
        <v>28</v>
      </c>
      <c r="D5307" s="2">
        <f>'[1]STO P&amp;L'!AJ$20</f>
        <v>46204</v>
      </c>
      <c r="E5307" s="3">
        <f>IF($D5307="","",DATE(YEAR($D5307),MONTH($D5307),1))</f>
        <v>46204</v>
      </c>
      <c r="H5307" s="4">
        <f>'[1]STO P&amp;L'!AJ67</f>
        <v>78939.036221666654</v>
      </c>
      <c r="L5307" s="2">
        <f>$D5307</f>
        <v>46204</v>
      </c>
    </row>
    <row r="5308" spans="1:12" x14ac:dyDescent="0.3">
      <c r="A5308" t="s">
        <v>4191</v>
      </c>
      <c r="B5308">
        <v>68</v>
      </c>
      <c r="C5308" t="s">
        <v>34</v>
      </c>
      <c r="D5308" s="2">
        <f>'[1]STO P&amp;L'!AJ$20</f>
        <v>46204</v>
      </c>
      <c r="E5308" s="3">
        <f>IF($D5308="","",DATE(YEAR($D5308),MONTH($D5308),1))</f>
        <v>46204</v>
      </c>
      <c r="H5308" s="4">
        <f>'[1]STO P&amp;L'!AJ68</f>
        <v>13819.279999999999</v>
      </c>
      <c r="L5308" s="2">
        <f>$D5308</f>
        <v>46204</v>
      </c>
    </row>
    <row r="5309" spans="1:12" x14ac:dyDescent="0.3">
      <c r="A5309" t="s">
        <v>4191</v>
      </c>
      <c r="B5309">
        <v>69</v>
      </c>
      <c r="C5309" t="s">
        <v>297</v>
      </c>
      <c r="D5309" s="2">
        <f>'[1]STO P&amp;L'!AJ$20</f>
        <v>46204</v>
      </c>
      <c r="E5309" s="3">
        <f>IF($D5309="","",DATE(YEAR($D5309),MONTH($D5309),1))</f>
        <v>46204</v>
      </c>
      <c r="H5309" s="4">
        <f>'[1]STO P&amp;L'!AJ69</f>
        <v>4022.2</v>
      </c>
      <c r="L5309" s="2">
        <f>$D5309</f>
        <v>46204</v>
      </c>
    </row>
    <row r="5310" spans="1:12" x14ac:dyDescent="0.3">
      <c r="A5310" t="s">
        <v>4191</v>
      </c>
      <c r="B5310">
        <v>57</v>
      </c>
      <c r="C5310" t="s">
        <v>4179</v>
      </c>
      <c r="D5310" s="2">
        <f>'[1]STO P&amp;L'!AK$20</f>
        <v>46235</v>
      </c>
      <c r="E5310" s="3">
        <f>IF($D5310="","",DATE(YEAR($D5310),MONTH($D5310),1))</f>
        <v>46235</v>
      </c>
      <c r="H5310" s="4">
        <f>'[1]STO P&amp;L'!AK57</f>
        <v>239556.39350000001</v>
      </c>
      <c r="L5310" s="2">
        <f>$D5310</f>
        <v>46235</v>
      </c>
    </row>
    <row r="5311" spans="1:12" x14ac:dyDescent="0.3">
      <c r="A5311" t="s">
        <v>4191</v>
      </c>
      <c r="B5311">
        <v>58</v>
      </c>
      <c r="C5311" t="s">
        <v>4189</v>
      </c>
      <c r="D5311" s="2">
        <f>'[1]STO P&amp;L'!AK$20</f>
        <v>46235</v>
      </c>
      <c r="E5311" s="3">
        <f>IF($D5311="","",DATE(YEAR($D5311),MONTH($D5311),1))</f>
        <v>46235</v>
      </c>
      <c r="H5311" s="4">
        <f>'[1]STO P&amp;L'!AK58</f>
        <v>41108.333333333328</v>
      </c>
      <c r="L5311" s="2">
        <f>$D5311</f>
        <v>46235</v>
      </c>
    </row>
    <row r="5312" spans="1:12" x14ac:dyDescent="0.3">
      <c r="A5312" t="s">
        <v>4191</v>
      </c>
      <c r="B5312">
        <v>59</v>
      </c>
      <c r="C5312" t="s">
        <v>4181</v>
      </c>
      <c r="D5312" s="2">
        <f>'[1]STO P&amp;L'!AK$20</f>
        <v>46235</v>
      </c>
      <c r="E5312" s="3">
        <f>IF($D5312="","",DATE(YEAR($D5312),MONTH($D5312),1))</f>
        <v>46235</v>
      </c>
      <c r="H5312" s="4">
        <f>'[1]STO P&amp;L'!AK59</f>
        <v>59320.348374999994</v>
      </c>
      <c r="L5312" s="2">
        <f>$D5312</f>
        <v>46235</v>
      </c>
    </row>
    <row r="5313" spans="1:12" x14ac:dyDescent="0.3">
      <c r="A5313" t="s">
        <v>4191</v>
      </c>
      <c r="B5313">
        <v>60</v>
      </c>
      <c r="C5313" t="s">
        <v>4184</v>
      </c>
      <c r="D5313" s="2">
        <f>'[1]STO P&amp;L'!AK$20</f>
        <v>46235</v>
      </c>
      <c r="E5313" s="3">
        <f>IF($D5313="","",DATE(YEAR($D5313),MONTH($D5313),1))</f>
        <v>46235</v>
      </c>
      <c r="H5313" s="4">
        <f>'[1]STO P&amp;L'!AK60</f>
        <v>0</v>
      </c>
      <c r="L5313" s="2">
        <f>$D5313</f>
        <v>46235</v>
      </c>
    </row>
    <row r="5314" spans="1:12" x14ac:dyDescent="0.3">
      <c r="A5314" t="s">
        <v>4191</v>
      </c>
      <c r="B5314">
        <v>63</v>
      </c>
      <c r="C5314" t="s">
        <v>18</v>
      </c>
      <c r="D5314" s="2">
        <f>'[1]STO P&amp;L'!AK$20</f>
        <v>46235</v>
      </c>
      <c r="E5314" s="3">
        <f>IF($D5314="","",DATE(YEAR($D5314),MONTH($D5314),1))</f>
        <v>46235</v>
      </c>
      <c r="H5314" s="4">
        <f>'[1]STO P&amp;L'!AK63</f>
        <v>105166.66666666667</v>
      </c>
      <c r="L5314" s="2">
        <f>$D5314</f>
        <v>46235</v>
      </c>
    </row>
    <row r="5315" spans="1:12" x14ac:dyDescent="0.3">
      <c r="A5315" t="s">
        <v>4191</v>
      </c>
      <c r="B5315">
        <v>64</v>
      </c>
      <c r="C5315" t="s">
        <v>83</v>
      </c>
      <c r="D5315" s="2">
        <f>'[1]STO P&amp;L'!AK$20</f>
        <v>46235</v>
      </c>
      <c r="E5315" s="3">
        <f>IF($D5315="","",DATE(YEAR($D5315),MONTH($D5315),1))</f>
        <v>46235</v>
      </c>
      <c r="H5315" s="4">
        <f>'[1]STO P&amp;L'!AK64</f>
        <v>1350</v>
      </c>
      <c r="L5315" s="2">
        <f>$D5315</f>
        <v>46235</v>
      </c>
    </row>
    <row r="5316" spans="1:12" x14ac:dyDescent="0.3">
      <c r="A5316" t="s">
        <v>4191</v>
      </c>
      <c r="B5316">
        <v>65</v>
      </c>
      <c r="C5316" t="s">
        <v>54</v>
      </c>
      <c r="D5316" s="2">
        <f>'[1]STO P&amp;L'!AK$20</f>
        <v>46235</v>
      </c>
      <c r="E5316" s="3">
        <f>IF($D5316="","",DATE(YEAR($D5316),MONTH($D5316),1))</f>
        <v>46235</v>
      </c>
      <c r="H5316" s="4">
        <f>'[1]STO P&amp;L'!AK65</f>
        <v>24658.39</v>
      </c>
      <c r="L5316" s="2">
        <f>$D5316</f>
        <v>46235</v>
      </c>
    </row>
    <row r="5317" spans="1:12" x14ac:dyDescent="0.3">
      <c r="A5317" t="s">
        <v>4191</v>
      </c>
      <c r="B5317">
        <v>66</v>
      </c>
      <c r="C5317" t="s">
        <v>134</v>
      </c>
      <c r="D5317" s="2">
        <f>'[1]STO P&amp;L'!AK$20</f>
        <v>46235</v>
      </c>
      <c r="E5317" s="3">
        <f>IF($D5317="","",DATE(YEAR($D5317),MONTH($D5317),1))</f>
        <v>46235</v>
      </c>
      <c r="H5317" s="4">
        <f>'[1]STO P&amp;L'!AK66</f>
        <v>5500</v>
      </c>
      <c r="L5317" s="2">
        <f>$D5317</f>
        <v>46235</v>
      </c>
    </row>
    <row r="5318" spans="1:12" x14ac:dyDescent="0.3">
      <c r="A5318" t="s">
        <v>4191</v>
      </c>
      <c r="B5318">
        <v>67</v>
      </c>
      <c r="C5318" t="s">
        <v>28</v>
      </c>
      <c r="D5318" s="2">
        <f>'[1]STO P&amp;L'!AK$20</f>
        <v>46235</v>
      </c>
      <c r="E5318" s="3">
        <f>IF($D5318="","",DATE(YEAR($D5318),MONTH($D5318),1))</f>
        <v>46235</v>
      </c>
      <c r="H5318" s="4">
        <f>'[1]STO P&amp;L'!AK67</f>
        <v>83736.182074416662</v>
      </c>
      <c r="L5318" s="2">
        <f>$D5318</f>
        <v>46235</v>
      </c>
    </row>
    <row r="5319" spans="1:12" x14ac:dyDescent="0.3">
      <c r="A5319" t="s">
        <v>4191</v>
      </c>
      <c r="B5319">
        <v>68</v>
      </c>
      <c r="C5319" t="s">
        <v>34</v>
      </c>
      <c r="D5319" s="2">
        <f>'[1]STO P&amp;L'!AK$20</f>
        <v>46235</v>
      </c>
      <c r="E5319" s="3">
        <f>IF($D5319="","",DATE(YEAR($D5319),MONTH($D5319),1))</f>
        <v>46235</v>
      </c>
      <c r="H5319" s="4">
        <f>'[1]STO P&amp;L'!AK68</f>
        <v>14569.279999999999</v>
      </c>
      <c r="L5319" s="2">
        <f>$D5319</f>
        <v>46235</v>
      </c>
    </row>
    <row r="5320" spans="1:12" x14ac:dyDescent="0.3">
      <c r="A5320" t="s">
        <v>4191</v>
      </c>
      <c r="B5320">
        <v>69</v>
      </c>
      <c r="C5320" t="s">
        <v>297</v>
      </c>
      <c r="D5320" s="2">
        <f>'[1]STO P&amp;L'!AK$20</f>
        <v>46235</v>
      </c>
      <c r="E5320" s="3">
        <f>IF($D5320="","",DATE(YEAR($D5320),MONTH($D5320),1))</f>
        <v>46235</v>
      </c>
      <c r="H5320" s="4">
        <f>'[1]STO P&amp;L'!AK69</f>
        <v>4022.2</v>
      </c>
      <c r="L5320" s="2">
        <f>$D5320</f>
        <v>46235</v>
      </c>
    </row>
    <row r="5321" spans="1:12" x14ac:dyDescent="0.3">
      <c r="A5321" t="s">
        <v>4191</v>
      </c>
      <c r="B5321">
        <v>57</v>
      </c>
      <c r="C5321" t="s">
        <v>4179</v>
      </c>
      <c r="D5321" s="2">
        <f>'[1]STO P&amp;L'!AL$20</f>
        <v>46266</v>
      </c>
      <c r="E5321" s="3">
        <f>IF($D5321="","",DATE(YEAR($D5321),MONTH($D5321),1))</f>
        <v>46266</v>
      </c>
      <c r="H5321" s="4">
        <f>'[1]STO P&amp;L'!AL57</f>
        <v>239556.39350000001</v>
      </c>
      <c r="L5321" s="2">
        <f>$D5321</f>
        <v>46266</v>
      </c>
    </row>
    <row r="5322" spans="1:12" x14ac:dyDescent="0.3">
      <c r="A5322" t="s">
        <v>4191</v>
      </c>
      <c r="B5322">
        <v>58</v>
      </c>
      <c r="C5322" t="s">
        <v>4189</v>
      </c>
      <c r="D5322" s="2">
        <f>'[1]STO P&amp;L'!AL$20</f>
        <v>46266</v>
      </c>
      <c r="E5322" s="3">
        <f>IF($D5322="","",DATE(YEAR($D5322),MONTH($D5322),1))</f>
        <v>46266</v>
      </c>
      <c r="H5322" s="4">
        <f>'[1]STO P&amp;L'!AL58</f>
        <v>41108.333333333328</v>
      </c>
      <c r="L5322" s="2">
        <f>$D5322</f>
        <v>46266</v>
      </c>
    </row>
    <row r="5323" spans="1:12" x14ac:dyDescent="0.3">
      <c r="A5323" t="s">
        <v>4191</v>
      </c>
      <c r="B5323">
        <v>59</v>
      </c>
      <c r="C5323" t="s">
        <v>4181</v>
      </c>
      <c r="D5323" s="2">
        <f>'[1]STO P&amp;L'!AL$20</f>
        <v>46266</v>
      </c>
      <c r="E5323" s="3">
        <f>IF($D5323="","",DATE(YEAR($D5323),MONTH($D5323),1))</f>
        <v>46266</v>
      </c>
      <c r="H5323" s="4">
        <f>'[1]STO P&amp;L'!AL59</f>
        <v>59320.348374999994</v>
      </c>
      <c r="L5323" s="2">
        <f>$D5323</f>
        <v>46266</v>
      </c>
    </row>
    <row r="5324" spans="1:12" x14ac:dyDescent="0.3">
      <c r="A5324" t="s">
        <v>4191</v>
      </c>
      <c r="B5324">
        <v>60</v>
      </c>
      <c r="C5324" t="s">
        <v>4184</v>
      </c>
      <c r="D5324" s="2">
        <f>'[1]STO P&amp;L'!AL$20</f>
        <v>46266</v>
      </c>
      <c r="E5324" s="3">
        <f>IF($D5324="","",DATE(YEAR($D5324),MONTH($D5324),1))</f>
        <v>46266</v>
      </c>
      <c r="H5324" s="4">
        <f>'[1]STO P&amp;L'!AL60</f>
        <v>0</v>
      </c>
      <c r="L5324" s="2">
        <f>$D5324</f>
        <v>46266</v>
      </c>
    </row>
    <row r="5325" spans="1:12" x14ac:dyDescent="0.3">
      <c r="A5325" t="s">
        <v>4191</v>
      </c>
      <c r="B5325">
        <v>63</v>
      </c>
      <c r="C5325" t="s">
        <v>18</v>
      </c>
      <c r="D5325" s="2">
        <f>'[1]STO P&amp;L'!AL$20</f>
        <v>46266</v>
      </c>
      <c r="E5325" s="3">
        <f>IF($D5325="","",DATE(YEAR($D5325),MONTH($D5325),1))</f>
        <v>46266</v>
      </c>
      <c r="H5325" s="4">
        <f>'[1]STO P&amp;L'!AL63</f>
        <v>19166.666666666672</v>
      </c>
      <c r="L5325" s="2">
        <f>$D5325</f>
        <v>46266</v>
      </c>
    </row>
    <row r="5326" spans="1:12" x14ac:dyDescent="0.3">
      <c r="A5326" t="s">
        <v>4191</v>
      </c>
      <c r="B5326">
        <v>64</v>
      </c>
      <c r="C5326" t="s">
        <v>83</v>
      </c>
      <c r="D5326" s="2">
        <f>'[1]STO P&amp;L'!AL$20</f>
        <v>46266</v>
      </c>
      <c r="E5326" s="3">
        <f>IF($D5326="","",DATE(YEAR($D5326),MONTH($D5326),1))</f>
        <v>46266</v>
      </c>
      <c r="H5326" s="4">
        <f>'[1]STO P&amp;L'!AL64</f>
        <v>2150</v>
      </c>
      <c r="L5326" s="2">
        <f>$D5326</f>
        <v>46266</v>
      </c>
    </row>
    <row r="5327" spans="1:12" x14ac:dyDescent="0.3">
      <c r="A5327" t="s">
        <v>4191</v>
      </c>
      <c r="B5327">
        <v>65</v>
      </c>
      <c r="C5327" t="s">
        <v>54</v>
      </c>
      <c r="D5327" s="2">
        <f>'[1]STO P&amp;L'!AL$20</f>
        <v>46266</v>
      </c>
      <c r="E5327" s="3">
        <f>IF($D5327="","",DATE(YEAR($D5327),MONTH($D5327),1))</f>
        <v>46266</v>
      </c>
      <c r="H5327" s="4">
        <f>'[1]STO P&amp;L'!AL65</f>
        <v>24658.39</v>
      </c>
      <c r="L5327" s="2">
        <f>$D5327</f>
        <v>46266</v>
      </c>
    </row>
    <row r="5328" spans="1:12" x14ac:dyDescent="0.3">
      <c r="A5328" t="s">
        <v>4191</v>
      </c>
      <c r="B5328">
        <v>66</v>
      </c>
      <c r="C5328" t="s">
        <v>134</v>
      </c>
      <c r="D5328" s="2">
        <f>'[1]STO P&amp;L'!AL$20</f>
        <v>46266</v>
      </c>
      <c r="E5328" s="3">
        <f>IF($D5328="","",DATE(YEAR($D5328),MONTH($D5328),1))</f>
        <v>46266</v>
      </c>
      <c r="H5328" s="4">
        <f>'[1]STO P&amp;L'!AL66</f>
        <v>2000</v>
      </c>
      <c r="L5328" s="2">
        <f>$D5328</f>
        <v>46266</v>
      </c>
    </row>
    <row r="5329" spans="1:12" x14ac:dyDescent="0.3">
      <c r="A5329" t="s">
        <v>4191</v>
      </c>
      <c r="B5329">
        <v>67</v>
      </c>
      <c r="C5329" t="s">
        <v>28</v>
      </c>
      <c r="D5329" s="2">
        <f>'[1]STO P&amp;L'!AL$20</f>
        <v>46266</v>
      </c>
      <c r="E5329" s="3">
        <f>IF($D5329="","",DATE(YEAR($D5329),MONTH($D5329),1))</f>
        <v>46266</v>
      </c>
      <c r="H5329" s="4">
        <f>'[1]STO P&amp;L'!AL67</f>
        <v>87943.185219804174</v>
      </c>
      <c r="L5329" s="2">
        <f>$D5329</f>
        <v>46266</v>
      </c>
    </row>
    <row r="5330" spans="1:12" x14ac:dyDescent="0.3">
      <c r="A5330" t="s">
        <v>4191</v>
      </c>
      <c r="B5330">
        <v>68</v>
      </c>
      <c r="C5330" t="s">
        <v>34</v>
      </c>
      <c r="D5330" s="2">
        <f>'[1]STO P&amp;L'!AL$20</f>
        <v>46266</v>
      </c>
      <c r="E5330" s="3">
        <f>IF($D5330="","",DATE(YEAR($D5330),MONTH($D5330),1))</f>
        <v>46266</v>
      </c>
      <c r="H5330" s="4">
        <f>'[1]STO P&amp;L'!AL68</f>
        <v>16669.28</v>
      </c>
      <c r="L5330" s="2">
        <f>$D5330</f>
        <v>46266</v>
      </c>
    </row>
    <row r="5331" spans="1:12" x14ac:dyDescent="0.3">
      <c r="A5331" t="s">
        <v>4191</v>
      </c>
      <c r="B5331">
        <v>69</v>
      </c>
      <c r="C5331" t="s">
        <v>297</v>
      </c>
      <c r="D5331" s="2">
        <f>'[1]STO P&amp;L'!AL$20</f>
        <v>46266</v>
      </c>
      <c r="E5331" s="3">
        <f>IF($D5331="","",DATE(YEAR($D5331),MONTH($D5331),1))</f>
        <v>46266</v>
      </c>
      <c r="H5331" s="4">
        <f>'[1]STO P&amp;L'!AL69</f>
        <v>4022.2</v>
      </c>
      <c r="L5331" s="2">
        <f>$D5331</f>
        <v>46266</v>
      </c>
    </row>
    <row r="5332" spans="1:12" x14ac:dyDescent="0.3">
      <c r="A5332" t="s">
        <v>4191</v>
      </c>
      <c r="B5332">
        <v>57</v>
      </c>
      <c r="C5332" t="s">
        <v>4179</v>
      </c>
      <c r="D5332" s="2">
        <f>'[1]STO P&amp;L'!AM$20</f>
        <v>46296</v>
      </c>
      <c r="E5332" s="3">
        <f>IF($D5332="","",DATE(YEAR($D5332),MONTH($D5332),1))</f>
        <v>46296</v>
      </c>
      <c r="H5332" s="4">
        <f>'[1]STO P&amp;L'!AM57</f>
        <v>239556.39350000001</v>
      </c>
      <c r="L5332" s="2">
        <f>$D5332</f>
        <v>46296</v>
      </c>
    </row>
    <row r="5333" spans="1:12" x14ac:dyDescent="0.3">
      <c r="A5333" t="s">
        <v>4191</v>
      </c>
      <c r="B5333">
        <v>58</v>
      </c>
      <c r="C5333" t="s">
        <v>4189</v>
      </c>
      <c r="D5333" s="2">
        <f>'[1]STO P&amp;L'!AM$20</f>
        <v>46296</v>
      </c>
      <c r="E5333" s="3">
        <f>IF($D5333="","",DATE(YEAR($D5333),MONTH($D5333),1))</f>
        <v>46296</v>
      </c>
      <c r="H5333" s="4">
        <f>'[1]STO P&amp;L'!AM58</f>
        <v>41108.333333333328</v>
      </c>
      <c r="L5333" s="2">
        <f>$D5333</f>
        <v>46296</v>
      </c>
    </row>
    <row r="5334" spans="1:12" x14ac:dyDescent="0.3">
      <c r="A5334" t="s">
        <v>4191</v>
      </c>
      <c r="B5334">
        <v>59</v>
      </c>
      <c r="C5334" t="s">
        <v>4181</v>
      </c>
      <c r="D5334" s="2">
        <f>'[1]STO P&amp;L'!AM$20</f>
        <v>46296</v>
      </c>
      <c r="E5334" s="3">
        <f>IF($D5334="","",DATE(YEAR($D5334),MONTH($D5334),1))</f>
        <v>46296</v>
      </c>
      <c r="H5334" s="4">
        <f>'[1]STO P&amp;L'!AM59</f>
        <v>59320.348374999994</v>
      </c>
      <c r="L5334" s="2">
        <f>$D5334</f>
        <v>46296</v>
      </c>
    </row>
    <row r="5335" spans="1:12" x14ac:dyDescent="0.3">
      <c r="A5335" t="s">
        <v>4191</v>
      </c>
      <c r="B5335">
        <v>60</v>
      </c>
      <c r="C5335" t="s">
        <v>4184</v>
      </c>
      <c r="D5335" s="2">
        <f>'[1]STO P&amp;L'!AM$20</f>
        <v>46296</v>
      </c>
      <c r="E5335" s="3">
        <f>IF($D5335="","",DATE(YEAR($D5335),MONTH($D5335),1))</f>
        <v>46296</v>
      </c>
      <c r="H5335" s="4">
        <f>'[1]STO P&amp;L'!AM60</f>
        <v>0</v>
      </c>
      <c r="L5335" s="2">
        <f>$D5335</f>
        <v>46296</v>
      </c>
    </row>
    <row r="5336" spans="1:12" x14ac:dyDescent="0.3">
      <c r="A5336" t="s">
        <v>4191</v>
      </c>
      <c r="B5336">
        <v>63</v>
      </c>
      <c r="C5336" t="s">
        <v>18</v>
      </c>
      <c r="D5336" s="2">
        <f>'[1]STO P&amp;L'!AM$20</f>
        <v>46296</v>
      </c>
      <c r="E5336" s="3">
        <f>IF($D5336="","",DATE(YEAR($D5336),MONTH($D5336),1))</f>
        <v>46296</v>
      </c>
      <c r="H5336" s="4">
        <f>'[1]STO P&amp;L'!AM63</f>
        <v>101166.66666666667</v>
      </c>
      <c r="L5336" s="2">
        <f>$D5336</f>
        <v>46296</v>
      </c>
    </row>
    <row r="5337" spans="1:12" x14ac:dyDescent="0.3">
      <c r="A5337" t="s">
        <v>4191</v>
      </c>
      <c r="B5337">
        <v>64</v>
      </c>
      <c r="C5337" t="s">
        <v>83</v>
      </c>
      <c r="D5337" s="2">
        <f>'[1]STO P&amp;L'!AM$20</f>
        <v>46296</v>
      </c>
      <c r="E5337" s="3">
        <f>IF($D5337="","",DATE(YEAR($D5337),MONTH($D5337),1))</f>
        <v>46296</v>
      </c>
      <c r="H5337" s="4">
        <f>'[1]STO P&amp;L'!AM64</f>
        <v>1950</v>
      </c>
      <c r="L5337" s="2">
        <f>$D5337</f>
        <v>46296</v>
      </c>
    </row>
    <row r="5338" spans="1:12" x14ac:dyDescent="0.3">
      <c r="A5338" t="s">
        <v>4191</v>
      </c>
      <c r="B5338">
        <v>65</v>
      </c>
      <c r="C5338" t="s">
        <v>54</v>
      </c>
      <c r="D5338" s="2">
        <f>'[1]STO P&amp;L'!AM$20</f>
        <v>46296</v>
      </c>
      <c r="E5338" s="3">
        <f>IF($D5338="","",DATE(YEAR($D5338),MONTH($D5338),1))</f>
        <v>46296</v>
      </c>
      <c r="H5338" s="4">
        <f>'[1]STO P&amp;L'!AM65</f>
        <v>24658.39</v>
      </c>
      <c r="L5338" s="2">
        <f>$D5338</f>
        <v>46296</v>
      </c>
    </row>
    <row r="5339" spans="1:12" x14ac:dyDescent="0.3">
      <c r="A5339" t="s">
        <v>4191</v>
      </c>
      <c r="B5339">
        <v>66</v>
      </c>
      <c r="C5339" t="s">
        <v>134</v>
      </c>
      <c r="D5339" s="2">
        <f>'[1]STO P&amp;L'!AM$20</f>
        <v>46296</v>
      </c>
      <c r="E5339" s="3">
        <f>IF($D5339="","",DATE(YEAR($D5339),MONTH($D5339),1))</f>
        <v>46296</v>
      </c>
      <c r="H5339" s="4">
        <f>'[1]STO P&amp;L'!AM66</f>
        <v>37500</v>
      </c>
      <c r="L5339" s="2">
        <f>$D5339</f>
        <v>46296</v>
      </c>
    </row>
    <row r="5340" spans="1:12" x14ac:dyDescent="0.3">
      <c r="A5340" t="s">
        <v>4191</v>
      </c>
      <c r="B5340">
        <v>67</v>
      </c>
      <c r="C5340" t="s">
        <v>28</v>
      </c>
      <c r="D5340" s="2">
        <f>'[1]STO P&amp;L'!AM$20</f>
        <v>46296</v>
      </c>
      <c r="E5340" s="3">
        <f>IF($D5340="","",DATE(YEAR($D5340),MONTH($D5340),1))</f>
        <v>46296</v>
      </c>
      <c r="H5340" s="4">
        <f>'[1]STO P&amp;L'!AM67</f>
        <v>102160.53852246104</v>
      </c>
      <c r="L5340" s="2">
        <f>$D5340</f>
        <v>46296</v>
      </c>
    </row>
    <row r="5341" spans="1:12" x14ac:dyDescent="0.3">
      <c r="A5341" t="s">
        <v>4191</v>
      </c>
      <c r="B5341">
        <v>68</v>
      </c>
      <c r="C5341" t="s">
        <v>34</v>
      </c>
      <c r="D5341" s="2">
        <f>'[1]STO P&amp;L'!AM$20</f>
        <v>46296</v>
      </c>
      <c r="E5341" s="3">
        <f>IF($D5341="","",DATE(YEAR($D5341),MONTH($D5341),1))</f>
        <v>46296</v>
      </c>
      <c r="H5341" s="4">
        <f>'[1]STO P&amp;L'!AM68</f>
        <v>17819.280000000002</v>
      </c>
      <c r="L5341" s="2">
        <f>$D5341</f>
        <v>46296</v>
      </c>
    </row>
    <row r="5342" spans="1:12" x14ac:dyDescent="0.3">
      <c r="A5342" t="s">
        <v>4191</v>
      </c>
      <c r="B5342">
        <v>69</v>
      </c>
      <c r="C5342" t="s">
        <v>297</v>
      </c>
      <c r="D5342" s="2">
        <f>'[1]STO P&amp;L'!AM$20</f>
        <v>46296</v>
      </c>
      <c r="E5342" s="3">
        <f>IF($D5342="","",DATE(YEAR($D5342),MONTH($D5342),1))</f>
        <v>46296</v>
      </c>
      <c r="H5342" s="4">
        <f>'[1]STO P&amp;L'!AM69</f>
        <v>4022.2</v>
      </c>
      <c r="L5342" s="2">
        <f>$D5342</f>
        <v>46296</v>
      </c>
    </row>
    <row r="5343" spans="1:12" x14ac:dyDescent="0.3">
      <c r="A5343" t="s">
        <v>4191</v>
      </c>
      <c r="B5343">
        <v>57</v>
      </c>
      <c r="C5343" t="s">
        <v>4179</v>
      </c>
      <c r="D5343" s="2">
        <f>'[1]STO P&amp;L'!AN$20</f>
        <v>46327</v>
      </c>
      <c r="E5343" s="3">
        <f>IF($D5343="","",DATE(YEAR($D5343),MONTH($D5343),1))</f>
        <v>46327</v>
      </c>
      <c r="H5343" s="4">
        <f>'[1]STO P&amp;L'!AN57</f>
        <v>239556.39350000001</v>
      </c>
      <c r="L5343" s="2">
        <f>$D5343</f>
        <v>46327</v>
      </c>
    </row>
    <row r="5344" spans="1:12" x14ac:dyDescent="0.3">
      <c r="A5344" t="s">
        <v>4191</v>
      </c>
      <c r="B5344">
        <v>58</v>
      </c>
      <c r="C5344" t="s">
        <v>4189</v>
      </c>
      <c r="D5344" s="2">
        <f>'[1]STO P&amp;L'!AN$20</f>
        <v>46327</v>
      </c>
      <c r="E5344" s="3">
        <f>IF($D5344="","",DATE(YEAR($D5344),MONTH($D5344),1))</f>
        <v>46327</v>
      </c>
      <c r="H5344" s="4">
        <f>'[1]STO P&amp;L'!AN58</f>
        <v>41108.333333333328</v>
      </c>
      <c r="L5344" s="2">
        <f>$D5344</f>
        <v>46327</v>
      </c>
    </row>
    <row r="5345" spans="1:12" x14ac:dyDescent="0.3">
      <c r="A5345" t="s">
        <v>4191</v>
      </c>
      <c r="B5345">
        <v>59</v>
      </c>
      <c r="C5345" t="s">
        <v>4181</v>
      </c>
      <c r="D5345" s="2">
        <f>'[1]STO P&amp;L'!AN$20</f>
        <v>46327</v>
      </c>
      <c r="E5345" s="3">
        <f>IF($D5345="","",DATE(YEAR($D5345),MONTH($D5345),1))</f>
        <v>46327</v>
      </c>
      <c r="H5345" s="4">
        <f>'[1]STO P&amp;L'!AN59</f>
        <v>59320.348374999994</v>
      </c>
      <c r="L5345" s="2">
        <f>$D5345</f>
        <v>46327</v>
      </c>
    </row>
    <row r="5346" spans="1:12" x14ac:dyDescent="0.3">
      <c r="A5346" t="s">
        <v>4191</v>
      </c>
      <c r="B5346">
        <v>60</v>
      </c>
      <c r="C5346" t="s">
        <v>4184</v>
      </c>
      <c r="D5346" s="2">
        <f>'[1]STO P&amp;L'!AN$20</f>
        <v>46327</v>
      </c>
      <c r="E5346" s="3">
        <f>IF($D5346="","",DATE(YEAR($D5346),MONTH($D5346),1))</f>
        <v>46327</v>
      </c>
      <c r="H5346" s="4">
        <f>'[1]STO P&amp;L'!AN60</f>
        <v>0</v>
      </c>
      <c r="L5346" s="2">
        <f>$D5346</f>
        <v>46327</v>
      </c>
    </row>
    <row r="5347" spans="1:12" x14ac:dyDescent="0.3">
      <c r="A5347" t="s">
        <v>4191</v>
      </c>
      <c r="B5347">
        <v>63</v>
      </c>
      <c r="C5347" t="s">
        <v>18</v>
      </c>
      <c r="D5347" s="2">
        <f>'[1]STO P&amp;L'!AN$20</f>
        <v>46327</v>
      </c>
      <c r="E5347" s="3">
        <f>IF($D5347="","",DATE(YEAR($D5347),MONTH($D5347),1))</f>
        <v>46327</v>
      </c>
      <c r="H5347" s="4">
        <f>'[1]STO P&amp;L'!AN63</f>
        <v>54166.666666666672</v>
      </c>
      <c r="L5347" s="2">
        <f>$D5347</f>
        <v>46327</v>
      </c>
    </row>
    <row r="5348" spans="1:12" x14ac:dyDescent="0.3">
      <c r="A5348" t="s">
        <v>4191</v>
      </c>
      <c r="B5348">
        <v>64</v>
      </c>
      <c r="C5348" t="s">
        <v>83</v>
      </c>
      <c r="D5348" s="2">
        <f>'[1]STO P&amp;L'!AN$20</f>
        <v>46327</v>
      </c>
      <c r="E5348" s="3">
        <f>IF($D5348="","",DATE(YEAR($D5348),MONTH($D5348),1))</f>
        <v>46327</v>
      </c>
      <c r="H5348" s="4">
        <f>'[1]STO P&amp;L'!AN64</f>
        <v>1450</v>
      </c>
      <c r="L5348" s="2">
        <f>$D5348</f>
        <v>46327</v>
      </c>
    </row>
    <row r="5349" spans="1:12" x14ac:dyDescent="0.3">
      <c r="A5349" t="s">
        <v>4191</v>
      </c>
      <c r="B5349">
        <v>65</v>
      </c>
      <c r="C5349" t="s">
        <v>54</v>
      </c>
      <c r="D5349" s="2">
        <f>'[1]STO P&amp;L'!AN$20</f>
        <v>46327</v>
      </c>
      <c r="E5349" s="3">
        <f>IF($D5349="","",DATE(YEAR($D5349),MONTH($D5349),1))</f>
        <v>46327</v>
      </c>
      <c r="H5349" s="4">
        <f>'[1]STO P&amp;L'!AN65</f>
        <v>24658.39</v>
      </c>
      <c r="L5349" s="2">
        <f>$D5349</f>
        <v>46327</v>
      </c>
    </row>
    <row r="5350" spans="1:12" x14ac:dyDescent="0.3">
      <c r="A5350" t="s">
        <v>4191</v>
      </c>
      <c r="B5350">
        <v>66</v>
      </c>
      <c r="C5350" t="s">
        <v>134</v>
      </c>
      <c r="D5350" s="2">
        <f>'[1]STO P&amp;L'!AN$20</f>
        <v>46327</v>
      </c>
      <c r="E5350" s="3">
        <f>IF($D5350="","",DATE(YEAR($D5350),MONTH($D5350),1))</f>
        <v>46327</v>
      </c>
      <c r="H5350" s="4">
        <f>'[1]STO P&amp;L'!AN66</f>
        <v>4500</v>
      </c>
      <c r="L5350" s="2">
        <f>$D5350</f>
        <v>46327</v>
      </c>
    </row>
    <row r="5351" spans="1:12" x14ac:dyDescent="0.3">
      <c r="A5351" t="s">
        <v>4191</v>
      </c>
      <c r="B5351">
        <v>67</v>
      </c>
      <c r="C5351" t="s">
        <v>28</v>
      </c>
      <c r="D5351" s="2">
        <f>'[1]STO P&amp;L'!AN$20</f>
        <v>46327</v>
      </c>
      <c r="E5351" s="3">
        <f>IF($D5351="","",DATE(YEAR($D5351),MONTH($D5351),1))</f>
        <v>46327</v>
      </c>
      <c r="H5351" s="4">
        <f>'[1]STO P&amp;L'!AN67</f>
        <v>98388.759490250755</v>
      </c>
      <c r="L5351" s="2">
        <f>$D5351</f>
        <v>46327</v>
      </c>
    </row>
    <row r="5352" spans="1:12" x14ac:dyDescent="0.3">
      <c r="A5352" t="s">
        <v>4191</v>
      </c>
      <c r="B5352">
        <v>68</v>
      </c>
      <c r="C5352" t="s">
        <v>34</v>
      </c>
      <c r="D5352" s="2">
        <f>'[1]STO P&amp;L'!AN$20</f>
        <v>46327</v>
      </c>
      <c r="E5352" s="3">
        <f>IF($D5352="","",DATE(YEAR($D5352),MONTH($D5352),1))</f>
        <v>46327</v>
      </c>
      <c r="H5352" s="4">
        <f>'[1]STO P&amp;L'!AN68</f>
        <v>16719.28</v>
      </c>
      <c r="L5352" s="2">
        <f>$D5352</f>
        <v>46327</v>
      </c>
    </row>
    <row r="5353" spans="1:12" x14ac:dyDescent="0.3">
      <c r="A5353" t="s">
        <v>4191</v>
      </c>
      <c r="B5353">
        <v>69</v>
      </c>
      <c r="C5353" t="s">
        <v>297</v>
      </c>
      <c r="D5353" s="2">
        <f>'[1]STO P&amp;L'!AN$20</f>
        <v>46327</v>
      </c>
      <c r="E5353" s="3">
        <f>IF($D5353="","",DATE(YEAR($D5353),MONTH($D5353),1))</f>
        <v>46327</v>
      </c>
      <c r="H5353" s="4">
        <f>'[1]STO P&amp;L'!AN69</f>
        <v>4022.2</v>
      </c>
      <c r="L5353" s="2">
        <f>$D5353</f>
        <v>46327</v>
      </c>
    </row>
    <row r="5354" spans="1:12" x14ac:dyDescent="0.3">
      <c r="A5354" t="s">
        <v>4191</v>
      </c>
      <c r="B5354">
        <v>57</v>
      </c>
      <c r="C5354" t="s">
        <v>4179</v>
      </c>
      <c r="D5354" s="2">
        <f>'[1]STO P&amp;L'!AO$20</f>
        <v>46357</v>
      </c>
      <c r="E5354" s="3">
        <f>IF($D5354="","",DATE(YEAR($D5354),MONTH($D5354),1))</f>
        <v>46357</v>
      </c>
      <c r="H5354" s="4">
        <f>'[1]STO P&amp;L'!AO57</f>
        <v>239556.39350000001</v>
      </c>
      <c r="L5354" s="2">
        <f>$D5354</f>
        <v>46357</v>
      </c>
    </row>
    <row r="5355" spans="1:12" x14ac:dyDescent="0.3">
      <c r="A5355" t="s">
        <v>4191</v>
      </c>
      <c r="B5355">
        <v>58</v>
      </c>
      <c r="C5355" t="s">
        <v>4189</v>
      </c>
      <c r="D5355" s="2">
        <f>'[1]STO P&amp;L'!AO$20</f>
        <v>46357</v>
      </c>
      <c r="E5355" s="3">
        <f>IF($D5355="","",DATE(YEAR($D5355),MONTH($D5355),1))</f>
        <v>46357</v>
      </c>
      <c r="H5355" s="4">
        <f>'[1]STO P&amp;L'!AO58</f>
        <v>43908.333333333328</v>
      </c>
      <c r="L5355" s="2">
        <f>$D5355</f>
        <v>46357</v>
      </c>
    </row>
    <row r="5356" spans="1:12" x14ac:dyDescent="0.3">
      <c r="A5356" t="s">
        <v>4191</v>
      </c>
      <c r="B5356">
        <v>59</v>
      </c>
      <c r="C5356" t="s">
        <v>4181</v>
      </c>
      <c r="D5356" s="2">
        <f>'[1]STO P&amp;L'!AO$20</f>
        <v>46357</v>
      </c>
      <c r="E5356" s="3">
        <f>IF($D5356="","",DATE(YEAR($D5356),MONTH($D5356),1))</f>
        <v>46357</v>
      </c>
      <c r="H5356" s="4">
        <f>'[1]STO P&amp;L'!AO59</f>
        <v>59320.348374999994</v>
      </c>
      <c r="L5356" s="2">
        <f>$D5356</f>
        <v>46357</v>
      </c>
    </row>
    <row r="5357" spans="1:12" x14ac:dyDescent="0.3">
      <c r="A5357" t="s">
        <v>4191</v>
      </c>
      <c r="B5357">
        <v>60</v>
      </c>
      <c r="C5357" t="s">
        <v>4184</v>
      </c>
      <c r="D5357" s="2">
        <f>'[1]STO P&amp;L'!AO$20</f>
        <v>46357</v>
      </c>
      <c r="E5357" s="3">
        <f>IF($D5357="","",DATE(YEAR($D5357),MONTH($D5357),1))</f>
        <v>46357</v>
      </c>
      <c r="H5357" s="4">
        <f>'[1]STO P&amp;L'!AO60</f>
        <v>0</v>
      </c>
      <c r="L5357" s="2">
        <f>$D5357</f>
        <v>46357</v>
      </c>
    </row>
    <row r="5358" spans="1:12" x14ac:dyDescent="0.3">
      <c r="A5358" t="s">
        <v>4191</v>
      </c>
      <c r="B5358">
        <v>63</v>
      </c>
      <c r="C5358" t="s">
        <v>18</v>
      </c>
      <c r="D5358" s="2">
        <f>'[1]STO P&amp;L'!AO$20</f>
        <v>46357</v>
      </c>
      <c r="E5358" s="3">
        <f>IF($D5358="","",DATE(YEAR($D5358),MONTH($D5358),1))</f>
        <v>46357</v>
      </c>
      <c r="H5358" s="4">
        <f>'[1]STO P&amp;L'!AO63</f>
        <v>72166.666666666672</v>
      </c>
      <c r="L5358" s="2">
        <f>$D5358</f>
        <v>46357</v>
      </c>
    </row>
    <row r="5359" spans="1:12" x14ac:dyDescent="0.3">
      <c r="A5359" t="s">
        <v>4191</v>
      </c>
      <c r="B5359">
        <v>64</v>
      </c>
      <c r="C5359" t="s">
        <v>83</v>
      </c>
      <c r="D5359" s="2">
        <f>'[1]STO P&amp;L'!AO$20</f>
        <v>46357</v>
      </c>
      <c r="E5359" s="3">
        <f>IF($D5359="","",DATE(YEAR($D5359),MONTH($D5359),1))</f>
        <v>46357</v>
      </c>
      <c r="H5359" s="4">
        <f>'[1]STO P&amp;L'!AO64</f>
        <v>6150</v>
      </c>
      <c r="L5359" s="2">
        <f>$D5359</f>
        <v>46357</v>
      </c>
    </row>
    <row r="5360" spans="1:12" x14ac:dyDescent="0.3">
      <c r="A5360" t="s">
        <v>4191</v>
      </c>
      <c r="B5360">
        <v>65</v>
      </c>
      <c r="C5360" t="s">
        <v>54</v>
      </c>
      <c r="D5360" s="2">
        <f>'[1]STO P&amp;L'!AO$20</f>
        <v>46357</v>
      </c>
      <c r="E5360" s="3">
        <f>IF($D5360="","",DATE(YEAR($D5360),MONTH($D5360),1))</f>
        <v>46357</v>
      </c>
      <c r="H5360" s="4">
        <f>'[1]STO P&amp;L'!AO65</f>
        <v>24658.39</v>
      </c>
      <c r="L5360" s="2">
        <f>$D5360</f>
        <v>46357</v>
      </c>
    </row>
    <row r="5361" spans="1:12" x14ac:dyDescent="0.3">
      <c r="A5361" t="s">
        <v>4191</v>
      </c>
      <c r="B5361">
        <v>66</v>
      </c>
      <c r="C5361" t="s">
        <v>134</v>
      </c>
      <c r="D5361" s="2">
        <f>'[1]STO P&amp;L'!AO$20</f>
        <v>46357</v>
      </c>
      <c r="E5361" s="3">
        <f>IF($D5361="","",DATE(YEAR($D5361),MONTH($D5361),1))</f>
        <v>46357</v>
      </c>
      <c r="H5361" s="4">
        <f>'[1]STO P&amp;L'!AO66</f>
        <v>2000</v>
      </c>
      <c r="L5361" s="2">
        <f>$D5361</f>
        <v>46357</v>
      </c>
    </row>
    <row r="5362" spans="1:12" x14ac:dyDescent="0.3">
      <c r="A5362" t="s">
        <v>4191</v>
      </c>
      <c r="B5362">
        <v>67</v>
      </c>
      <c r="C5362" t="s">
        <v>28</v>
      </c>
      <c r="D5362" s="2">
        <f>'[1]STO P&amp;L'!AO$20</f>
        <v>46357</v>
      </c>
      <c r="E5362" s="3">
        <f>IF($D5362="","",DATE(YEAR($D5362),MONTH($D5362),1))</f>
        <v>46357</v>
      </c>
      <c r="H5362" s="4">
        <f>'[1]STO P&amp;L'!AO67</f>
        <v>90028.391506429951</v>
      </c>
      <c r="L5362" s="2">
        <f>$D5362</f>
        <v>46357</v>
      </c>
    </row>
    <row r="5363" spans="1:12" x14ac:dyDescent="0.3">
      <c r="A5363" t="s">
        <v>4191</v>
      </c>
      <c r="B5363">
        <v>68</v>
      </c>
      <c r="C5363" t="s">
        <v>34</v>
      </c>
      <c r="D5363" s="2">
        <f>'[1]STO P&amp;L'!AO$20</f>
        <v>46357</v>
      </c>
      <c r="E5363" s="3">
        <f>IF($D5363="","",DATE(YEAR($D5363),MONTH($D5363),1))</f>
        <v>46357</v>
      </c>
      <c r="H5363" s="4">
        <f>'[1]STO P&amp;L'!AO68</f>
        <v>18069.280000000002</v>
      </c>
      <c r="L5363" s="2">
        <f>$D5363</f>
        <v>46357</v>
      </c>
    </row>
    <row r="5364" spans="1:12" x14ac:dyDescent="0.3">
      <c r="A5364" t="s">
        <v>4191</v>
      </c>
      <c r="B5364">
        <v>69</v>
      </c>
      <c r="C5364" t="s">
        <v>297</v>
      </c>
      <c r="D5364" s="2">
        <f>'[1]STO P&amp;L'!AO$20</f>
        <v>46357</v>
      </c>
      <c r="E5364" s="3">
        <f>IF($D5364="","",DATE(YEAR($D5364),MONTH($D5364),1))</f>
        <v>46357</v>
      </c>
      <c r="H5364" s="4">
        <f>'[1]STO P&amp;L'!AO69</f>
        <v>4022.2</v>
      </c>
      <c r="L5364" s="2">
        <f>$D5364</f>
        <v>46357</v>
      </c>
    </row>
  </sheetData>
  <autoFilter ref="A1:Q5364" xr:uid="{CCF5D749-668C-4C30-BAFE-0CCE845D4C5F}"/>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Raw Data 57-69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kspark(박경수) F/KR/MGT/FPA</dc:creator>
  <cp:lastModifiedBy>kspark(박경수) F/KR/MGT/FPA</cp:lastModifiedBy>
  <dcterms:created xsi:type="dcterms:W3CDTF">2026-07-10T06:02:56Z</dcterms:created>
  <dcterms:modified xsi:type="dcterms:W3CDTF">2026-07-10T06:05:07Z</dcterms:modified>
</cp:coreProperties>
</file>