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1FDC58FB-E316-46C1-827D-BE4CFF2677B1}" xr6:coauthVersionLast="47" xr6:coauthVersionMax="47" xr10:uidLastSave="{00000000-0000-0000-0000-000000000000}"/>
  <bookViews>
    <workbookView xWindow="-120" yWindow="-120" windowWidth="29040" windowHeight="15720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8" i="2" l="1"/>
  <c r="C6" i="2"/>
  <c r="O31" i="3"/>
  <c r="O32" i="3"/>
  <c r="O33" i="3"/>
  <c r="N33" i="3"/>
  <c r="M33" i="3"/>
  <c r="L33" i="3"/>
  <c r="K33" i="3"/>
  <c r="J33" i="3"/>
  <c r="I33" i="3"/>
  <c r="H33" i="3"/>
  <c r="G33" i="3"/>
  <c r="F33" i="3"/>
  <c r="E33" i="3"/>
  <c r="N32" i="3"/>
  <c r="M32" i="3"/>
  <c r="L32" i="3"/>
  <c r="K32" i="3"/>
  <c r="J32" i="3"/>
  <c r="I32" i="3"/>
  <c r="H32" i="3"/>
  <c r="G32" i="3"/>
  <c r="F32" i="3"/>
  <c r="E32" i="3"/>
  <c r="N31" i="3"/>
  <c r="M31" i="3"/>
  <c r="L31" i="3"/>
  <c r="K31" i="3"/>
  <c r="J31" i="3"/>
  <c r="I31" i="3"/>
  <c r="H31" i="3"/>
  <c r="G31" i="3"/>
  <c r="F31" i="3"/>
  <c r="E31" i="3"/>
  <c r="O30" i="3"/>
  <c r="N30" i="3"/>
  <c r="M30" i="3"/>
  <c r="L30" i="3"/>
  <c r="K30" i="3"/>
  <c r="J30" i="3"/>
  <c r="I30" i="3"/>
  <c r="H30" i="3"/>
  <c r="G30" i="3"/>
  <c r="F30" i="3"/>
  <c r="E30" i="3"/>
  <c r="O29" i="3"/>
  <c r="N29" i="3"/>
  <c r="M29" i="3"/>
  <c r="L29" i="3"/>
  <c r="K29" i="3"/>
  <c r="J29" i="3"/>
  <c r="I29" i="3"/>
  <c r="H29" i="3"/>
  <c r="G29" i="3"/>
  <c r="F29" i="3"/>
  <c r="E29" i="3"/>
  <c r="O26" i="3"/>
  <c r="N26" i="3"/>
  <c r="M26" i="3"/>
  <c r="L26" i="3"/>
  <c r="K26" i="3"/>
  <c r="J26" i="3"/>
  <c r="I26" i="3"/>
  <c r="H26" i="3"/>
  <c r="G26" i="3"/>
  <c r="F26" i="3"/>
  <c r="E26" i="3"/>
  <c r="D33" i="3"/>
  <c r="D32" i="3"/>
  <c r="D31" i="3"/>
  <c r="D30" i="3"/>
  <c r="D29" i="3"/>
  <c r="D26" i="3"/>
  <c r="K39" i="4"/>
  <c r="K58" i="4"/>
  <c r="I6" i="7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O16" i="7" s="1"/>
  <c r="I16" i="7"/>
  <c r="J16" i="7"/>
  <c r="K16" i="7"/>
  <c r="L16" i="7"/>
  <c r="M16" i="7"/>
  <c r="N16" i="7"/>
  <c r="Q16" i="7"/>
  <c r="R16" i="7"/>
  <c r="Y16" i="7"/>
  <c r="Z16" i="7"/>
  <c r="O17" i="7"/>
  <c r="Q17" i="7"/>
  <c r="AC17" i="7" s="1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Y39" i="7"/>
  <c r="Z39" i="7"/>
  <c r="O40" i="7"/>
  <c r="AC42" i="7"/>
  <c r="C43" i="7"/>
  <c r="R40" i="7" l="1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<sst xmlns="http://schemas.openxmlformats.org/spreadsheetml/2006/main" count="437" uniqueCount="144">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</sst>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2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abSelected="1" topLeftCell="A45" zoomScale="115" zoomScaleNormal="115" workbookViewId="0">
      <selection activeCell="I60" sqref="I60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f>+C7+C15</f>
        <v>43735793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04"/>
      <c r="S8" s="304"/>
      <c r="T8" s="304"/>
      <c r="U8" s="304"/>
      <c r="V8" s="304"/>
      <c r="W8" s="304"/>
      <c r="X8" s="304"/>
      <c r="Y8" s="304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04"/>
      <c r="S9" s="304"/>
      <c r="T9" s="304"/>
      <c r="U9" s="304"/>
      <c r="V9" s="304"/>
      <c r="W9" s="304"/>
      <c r="X9" s="304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04"/>
      <c r="S10" s="304"/>
      <c r="T10" s="304"/>
      <c r="U10" s="304"/>
      <c r="V10" s="304"/>
      <c r="W10" s="304"/>
      <c r="X10" s="304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04"/>
      <c r="S11" s="304"/>
      <c r="T11" s="304"/>
      <c r="U11" s="304"/>
      <c r="V11" s="304"/>
      <c r="W11" s="304"/>
      <c r="X11" s="304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04"/>
      <c r="S12" s="304"/>
      <c r="T12" s="304"/>
      <c r="U12" s="304"/>
      <c r="V12" s="304"/>
      <c r="W12" s="304"/>
      <c r="X12" s="304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04"/>
      <c r="S13" s="304"/>
      <c r="T13" s="304"/>
      <c r="U13" s="304"/>
      <c r="V13" s="304"/>
      <c r="W13" s="304"/>
      <c r="X13" s="304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04"/>
      <c r="S14" s="304"/>
      <c r="T14" s="304"/>
      <c r="U14" s="304"/>
      <c r="V14" s="304"/>
      <c r="W14" s="304"/>
      <c r="X14" s="304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04"/>
      <c r="S15" s="304"/>
      <c r="T15" s="304"/>
      <c r="U15" s="304"/>
      <c r="V15" s="304"/>
      <c r="W15" s="304"/>
      <c r="X15" s="304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05"/>
      <c r="S17" s="305"/>
      <c r="T17" s="305"/>
      <c r="U17" s="305"/>
      <c r="V17" s="305"/>
      <c r="W17" s="305"/>
      <c r="X17" s="305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05"/>
      <c r="S18" s="305"/>
      <c r="T18" s="305"/>
      <c r="U18" s="305"/>
      <c r="V18" s="305"/>
      <c r="W18" s="305"/>
      <c r="X18" s="305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05"/>
      <c r="S19" s="305"/>
      <c r="T19" s="305"/>
      <c r="U19" s="305"/>
      <c r="V19" s="305"/>
      <c r="W19" s="305"/>
      <c r="X19" s="305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05"/>
      <c r="S20" s="305"/>
      <c r="T20" s="305"/>
      <c r="U20" s="305"/>
      <c r="V20" s="305"/>
      <c r="W20" s="305"/>
      <c r="X20" s="305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05"/>
      <c r="S21" s="305"/>
      <c r="T21" s="305"/>
      <c r="U21" s="305"/>
      <c r="V21" s="305"/>
      <c r="W21" s="305"/>
      <c r="X21" s="305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05"/>
      <c r="S22" s="305"/>
      <c r="T22" s="305"/>
      <c r="U22" s="305"/>
      <c r="V22" s="305"/>
      <c r="W22" s="305"/>
      <c r="X22" s="305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05"/>
      <c r="S23" s="305"/>
      <c r="T23" s="305"/>
      <c r="U23" s="305"/>
      <c r="V23" s="305"/>
      <c r="W23" s="305"/>
      <c r="X23" s="305"/>
      <c r="Y23" s="44"/>
      <c r="Z23" s="44"/>
    </row>
    <row r="24" spans="2:26" ht="15" customHeight="1" outlineLevel="1">
      <c r="B24" s="27" t="s">
        <v>8</v>
      </c>
      <c r="C24" s="28">
        <v>0</v>
      </c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>
        <v>0</v>
      </c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>
        <v>3917821.56</v>
      </c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>
        <v>9655496.1300000008</v>
      </c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>
        <f>80451.96+4539803.85+689688.06</f>
        <v>5309943.8699999992</v>
      </c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>
        <v>1422395.0099999984</v>
      </c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>
        <v>16050</v>
      </c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>
        <v>545783.79999999993</v>
      </c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>
        <v>958836.50999999989</v>
      </c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>
        <v>10593.900000000009</v>
      </c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zoomScale="115" zoomScaleNormal="115" workbookViewId="0">
      <pane xSplit="2" ySplit="5" topLeftCell="C49" activePane="bottomRight" state="frozen"/>
      <selection pane="topRight" activeCell="C1" sqref="C1"/>
      <selection pane="bottomLeft" activeCell="A6" sqref="A6"/>
      <selection pane="bottomRight" activeCell="K62" sqref="K62:O62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1105348.9050000007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19190799.341130223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f>822947.72-744000</f>
        <v>78947.719999999972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351520.88237127685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625136.84430000081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11121469.662556306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0.56555612573751124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0.57952091858521393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149879.11430000083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2179912.4930722341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0.13559439342820059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0.11359154219283553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660868.57999999996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6993621.6698280703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f>917301.75-744000</f>
        <v>173301.75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672264.71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-0.46228793767158866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-0.25083421962726526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-0.73795769101521713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-0.36264103029553602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0" workbookViewId="0">
      <selection activeCell="E22" sqref="E22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22519965.056941755</v>
      </c>
      <c r="F7" s="113">
        <f t="shared" si="1"/>
        <v>32767888.395359904</v>
      </c>
      <c r="G7" s="113">
        <f t="shared" si="1"/>
        <v>34711218.146814756</v>
      </c>
      <c r="H7" s="113">
        <f t="shared" si="1"/>
        <v>32809654.51202108</v>
      </c>
      <c r="I7" s="113">
        <f t="shared" si="1"/>
        <v>29415985.569995385</v>
      </c>
      <c r="J7" s="113">
        <f t="shared" si="1"/>
        <v>26863546.315469772</v>
      </c>
      <c r="K7" s="113">
        <f t="shared" si="1"/>
        <v>29224897.002354916</v>
      </c>
      <c r="L7" s="113">
        <f t="shared" si="1"/>
        <v>32642448.607022863</v>
      </c>
      <c r="M7" s="113">
        <f t="shared" si="1"/>
        <v>31102821.326060079</v>
      </c>
      <c r="N7" s="113">
        <f t="shared" si="1"/>
        <v>27274499.032393124</v>
      </c>
      <c r="O7" s="113">
        <f t="shared" si="1"/>
        <v>20791649.989064556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935986.69353245571</v>
      </c>
      <c r="F8" s="116">
        <f t="shared" si="2"/>
        <v>898173.53030085994</v>
      </c>
      <c r="G8" s="116">
        <f t="shared" si="2"/>
        <v>858444.80463048443</v>
      </c>
      <c r="H8" s="116">
        <f t="shared" si="2"/>
        <v>831315.38475659152</v>
      </c>
      <c r="I8" s="116">
        <f t="shared" si="2"/>
        <v>940934.62591078423</v>
      </c>
      <c r="J8" s="116">
        <f t="shared" si="2"/>
        <v>914914.99039320624</v>
      </c>
      <c r="K8" s="116">
        <f t="shared" si="2"/>
        <v>898524.72243392165</v>
      </c>
      <c r="L8" s="116">
        <f t="shared" si="2"/>
        <v>1178577.4917766836</v>
      </c>
      <c r="M8" s="116">
        <f t="shared" si="2"/>
        <v>2300502.2717267666</v>
      </c>
      <c r="N8" s="116">
        <f t="shared" si="2"/>
        <v>2266185.0410695286</v>
      </c>
      <c r="O8" s="116">
        <f t="shared" si="2"/>
        <v>1802438.6808365835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5417020.7600567443</v>
      </c>
      <c r="L11" s="119">
        <f t="shared" si="2"/>
        <v>10692508.760056745</v>
      </c>
      <c r="M11" s="119">
        <f t="shared" si="2"/>
        <v>10869305.760056745</v>
      </c>
      <c r="N11" s="119">
        <f t="shared" si="2"/>
        <v>9512084.7600567453</v>
      </c>
      <c r="O11" s="119">
        <f t="shared" si="2"/>
        <v>7765829.7600567453</v>
      </c>
      <c r="P11" s="119"/>
    </row>
    <row r="12" spans="3:16">
      <c r="C12" s="117" t="s">
        <v>9</v>
      </c>
      <c r="D12" s="118">
        <v>3695</v>
      </c>
      <c r="E12" s="119">
        <f t="shared" si="2"/>
        <v>1104015.7200324128</v>
      </c>
      <c r="F12" s="119">
        <f t="shared" si="2"/>
        <v>9639325.4483988993</v>
      </c>
      <c r="G12" s="119">
        <f t="shared" si="2"/>
        <v>13042106.735611238</v>
      </c>
      <c r="H12" s="119">
        <f t="shared" si="2"/>
        <v>12651587.809004508</v>
      </c>
      <c r="I12" s="119">
        <f t="shared" si="2"/>
        <v>11494386.722742528</v>
      </c>
      <c r="J12" s="119">
        <f t="shared" si="2"/>
        <v>10309978.226038693</v>
      </c>
      <c r="K12" s="119">
        <f t="shared" si="2"/>
        <v>8937271.9630944412</v>
      </c>
      <c r="L12" s="119">
        <f t="shared" si="2"/>
        <v>8113271.9630944412</v>
      </c>
      <c r="M12" s="119">
        <f t="shared" si="2"/>
        <v>7083271.9630944412</v>
      </c>
      <c r="N12" s="119">
        <f t="shared" si="2"/>
        <v>6207771.9630944412</v>
      </c>
      <c r="O12" s="119">
        <f t="shared" si="2"/>
        <v>4147771.9630944408</v>
      </c>
      <c r="P12" s="119"/>
    </row>
    <row r="13" spans="3:16">
      <c r="C13" s="117" t="s">
        <v>10</v>
      </c>
      <c r="D13" s="118">
        <v>13830447</v>
      </c>
      <c r="E13" s="119">
        <f t="shared" si="2"/>
        <v>13130776.711087819</v>
      </c>
      <c r="F13" s="119">
        <f t="shared" si="2"/>
        <v>15314117.741493462</v>
      </c>
      <c r="G13" s="119">
        <f t="shared" si="2"/>
        <v>14144217.504825253</v>
      </c>
      <c r="H13" s="119">
        <f t="shared" si="2"/>
        <v>13123671.680000922</v>
      </c>
      <c r="I13" s="119">
        <f t="shared" si="2"/>
        <v>11748218.672108855</v>
      </c>
      <c r="J13" s="119">
        <f t="shared" si="2"/>
        <v>10998079.446346475</v>
      </c>
      <c r="K13" s="119">
        <f t="shared" si="2"/>
        <v>10260245.274169659</v>
      </c>
      <c r="L13" s="119">
        <f t="shared" si="2"/>
        <v>9518360.5791649539</v>
      </c>
      <c r="M13" s="119">
        <f t="shared" si="2"/>
        <v>8281886.087490445</v>
      </c>
      <c r="N13" s="119">
        <f t="shared" si="2"/>
        <v>7292706.4941508388</v>
      </c>
      <c r="O13" s="119">
        <f t="shared" si="2"/>
        <v>5747113.3795577036</v>
      </c>
      <c r="P13" s="119"/>
    </row>
    <row r="14" spans="3:16">
      <c r="C14" s="117" t="s">
        <v>11</v>
      </c>
      <c r="D14" s="118">
        <v>6766574</v>
      </c>
      <c r="E14" s="119">
        <f t="shared" si="2"/>
        <v>5697810.5182513595</v>
      </c>
      <c r="F14" s="119">
        <f t="shared" si="2"/>
        <v>5267792.4405400213</v>
      </c>
      <c r="G14" s="119">
        <f t="shared" si="2"/>
        <v>5021693.9665102251</v>
      </c>
      <c r="H14" s="119">
        <f t="shared" si="2"/>
        <v>4562249.5557487067</v>
      </c>
      <c r="I14" s="119">
        <f t="shared" si="2"/>
        <v>3595953.1376317372</v>
      </c>
      <c r="J14" s="119">
        <f t="shared" si="2"/>
        <v>3006870.4211442615</v>
      </c>
      <c r="K14" s="119">
        <f t="shared" si="2"/>
        <v>2125977.2209208189</v>
      </c>
      <c r="L14" s="119">
        <f t="shared" si="2"/>
        <v>1649077.22460013</v>
      </c>
      <c r="M14" s="119">
        <f t="shared" si="2"/>
        <v>1172177.2282794411</v>
      </c>
      <c r="N14" s="119">
        <f t="shared" si="2"/>
        <v>695277.23195875227</v>
      </c>
      <c r="O14" s="119">
        <f t="shared" si="2"/>
        <v>122997.2363739257</v>
      </c>
      <c r="P14" s="119"/>
    </row>
    <row r="15" spans="3:16">
      <c r="C15" s="117" t="s">
        <v>12</v>
      </c>
      <c r="D15" s="118">
        <v>1499195</v>
      </c>
      <c r="E15" s="119">
        <f t="shared" si="2"/>
        <v>1651375.4140377063</v>
      </c>
      <c r="F15" s="119">
        <f t="shared" si="2"/>
        <v>1648479.2346266583</v>
      </c>
      <c r="G15" s="119">
        <f t="shared" si="2"/>
        <v>1644755.1352375539</v>
      </c>
      <c r="H15" s="119">
        <f t="shared" si="2"/>
        <v>1640830.082510354</v>
      </c>
      <c r="I15" s="119">
        <f t="shared" si="2"/>
        <v>1636492.4116014808</v>
      </c>
      <c r="J15" s="119">
        <f t="shared" si="2"/>
        <v>1633703.2315471342</v>
      </c>
      <c r="K15" s="119">
        <f t="shared" si="2"/>
        <v>1585857.0616793297</v>
      </c>
      <c r="L15" s="119">
        <f t="shared" si="2"/>
        <v>1490652.5883299066</v>
      </c>
      <c r="M15" s="119">
        <f t="shared" si="2"/>
        <v>1395678.0154122412</v>
      </c>
      <c r="N15" s="119">
        <f t="shared" si="2"/>
        <v>1300473.5420628185</v>
      </c>
      <c r="O15" s="119">
        <f t="shared" si="2"/>
        <v>1205498.9691451541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-2535734.9430582458</v>
      </c>
      <c r="E25" s="113">
        <f t="shared" ref="E25:O25" si="4">SUM(E26:E33)</f>
        <v>-1859794.6615818532</v>
      </c>
      <c r="F25" s="113">
        <f t="shared" si="4"/>
        <v>-2006064.2485451468</v>
      </c>
      <c r="G25" s="113">
        <f t="shared" si="4"/>
        <v>-2251057.6347936736</v>
      </c>
      <c r="H25" s="113">
        <f t="shared" si="4"/>
        <v>-3560388.9420256978</v>
      </c>
      <c r="I25" s="113">
        <f t="shared" si="4"/>
        <v>-2552439.2545256149</v>
      </c>
      <c r="J25" s="113">
        <f t="shared" si="4"/>
        <v>-3130181.313114855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-6483078.9437603308</v>
      </c>
      <c r="P25" s="113"/>
    </row>
    <row r="26" spans="2:16">
      <c r="C26" s="114" t="s">
        <v>13</v>
      </c>
      <c r="D26" s="116">
        <f>-PL_before!D21-PL_before!D13</f>
        <v>-97358.306467544287</v>
      </c>
      <c r="E26" s="116">
        <f>-PL_before!E21-PL_before!E13</f>
        <v>-37813.163231595769</v>
      </c>
      <c r="F26" s="116">
        <f>-PL_before!F21-PL_before!F13</f>
        <v>-39728.725670375468</v>
      </c>
      <c r="G26" s="116">
        <f>-PL_before!G21-PL_before!G13</f>
        <v>-27129.41987389289</v>
      </c>
      <c r="H26" s="116">
        <f>-PL_before!H21-PL_before!H13</f>
        <v>-57100.758845807257</v>
      </c>
      <c r="I26" s="116">
        <f>-PL_before!I21-PL_before!I13</f>
        <v>-26019.635517578037</v>
      </c>
      <c r="J26" s="116">
        <f>-PL_before!J21-PL_before!J13</f>
        <v>-16390.2679592846</v>
      </c>
      <c r="K26" s="116">
        <f>-PL_before!K21-PL_before!K13</f>
        <v>-34317.230657237946</v>
      </c>
      <c r="L26" s="116">
        <f>-PL_before!L21-PL_before!L13</f>
        <v>-99374.220049916839</v>
      </c>
      <c r="M26" s="116">
        <f>-PL_before!M21-PL_before!M13</f>
        <v>-34317.230657237946</v>
      </c>
      <c r="N26" s="116">
        <f>-PL_before!N21-PL_before!N13</f>
        <v>-463746.36023294518</v>
      </c>
      <c r="O26" s="116">
        <f>-PL_before!O21-PL_before!O13</f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f>-PL_before!D16-PL_before!D8</f>
        <v>0</v>
      </c>
      <c r="E29" s="119">
        <f>-PL_before!E16-PL_before!E8</f>
        <v>0</v>
      </c>
      <c r="F29" s="119">
        <f>-PL_before!F16-PL_before!F8</f>
        <v>0</v>
      </c>
      <c r="G29" s="119">
        <f>-PL_before!G16-PL_before!G8</f>
        <v>0</v>
      </c>
      <c r="H29" s="119">
        <f>-PL_before!H16-PL_before!H8</f>
        <v>0</v>
      </c>
      <c r="I29" s="119">
        <f>-PL_before!I16-PL_before!I8</f>
        <v>0</v>
      </c>
      <c r="J29" s="119">
        <f>-PL_before!J16-PL_before!J8</f>
        <v>-74511.239943255772</v>
      </c>
      <c r="K29" s="119">
        <f>-PL_before!K16-PL_before!K8</f>
        <v>-541569</v>
      </c>
      <c r="L29" s="119">
        <f>-PL_before!L16-PL_before!L8</f>
        <v>-1492644.0000000005</v>
      </c>
      <c r="M29" s="119">
        <f>-PL_before!M16-PL_before!M8</f>
        <v>-1357221.0000000002</v>
      </c>
      <c r="N29" s="119">
        <f>-PL_before!N16-PL_before!N8</f>
        <v>-1746255.0000000005</v>
      </c>
      <c r="O29" s="119">
        <f>-PL_before!O16-PL_before!O8</f>
        <v>-1746255.0000000005</v>
      </c>
      <c r="P29" s="119"/>
    </row>
    <row r="30" spans="2:16">
      <c r="C30" s="117" t="s">
        <v>9</v>
      </c>
      <c r="D30" s="119">
        <f>-PL_before!D17-PL_before!D9</f>
        <v>-3959.279967587283</v>
      </c>
      <c r="E30" s="119">
        <f>-PL_before!E17-PL_before!E9</f>
        <v>-425162.2716335135</v>
      </c>
      <c r="F30" s="119">
        <f>-PL_before!F17-PL_before!F9</f>
        <v>-546612.712787661</v>
      </c>
      <c r="G30" s="119">
        <f>-PL_before!G17-PL_before!G9</f>
        <v>-740012.92660673021</v>
      </c>
      <c r="H30" s="119">
        <f>-PL_before!H17-PL_before!H9</f>
        <v>-1157201.0862619807</v>
      </c>
      <c r="I30" s="119">
        <f>-PL_before!I17-PL_before!I9</f>
        <v>-1184408.4967038347</v>
      </c>
      <c r="J30" s="119">
        <f>-PL_before!J17-PL_before!J9</f>
        <v>-1372706.2629442513</v>
      </c>
      <c r="K30" s="119">
        <f>-PL_before!K17-PL_before!K9</f>
        <v>-824000.00000000012</v>
      </c>
      <c r="L30" s="119">
        <f>-PL_before!L17-PL_before!L9</f>
        <v>-1030000.0000000002</v>
      </c>
      <c r="M30" s="119">
        <f>-PL_before!M17-PL_before!M9</f>
        <v>-875500.00000000012</v>
      </c>
      <c r="N30" s="119">
        <f>-PL_before!N17-PL_before!N9</f>
        <v>-2060000.0000000005</v>
      </c>
      <c r="O30" s="119">
        <f>-PL_before!O17-PL_before!O9</f>
        <v>-2060000.0000000005</v>
      </c>
      <c r="P30" s="119"/>
    </row>
    <row r="31" spans="2:16">
      <c r="C31" s="117" t="s">
        <v>10</v>
      </c>
      <c r="D31" s="119">
        <f>-PL_before!D18-PL_before!D10</f>
        <v>-1279400.2889121801</v>
      </c>
      <c r="E31" s="119">
        <f>-PL_before!E18-PL_before!E10</f>
        <v>-963904.96959435754</v>
      </c>
      <c r="F31" s="119">
        <f>-PL_before!F18-PL_before!F10</f>
        <v>-1169900.2366682095</v>
      </c>
      <c r="G31" s="119">
        <f>-PL_before!G18-PL_before!G10</f>
        <v>-1020545.8248243317</v>
      </c>
      <c r="H31" s="119">
        <f>-PL_before!H18-PL_before!H10</f>
        <v>-1375453.0078920671</v>
      </c>
      <c r="I31" s="119">
        <f>-PL_before!I18-PL_before!I10</f>
        <v>-750139.22576237994</v>
      </c>
      <c r="J31" s="119">
        <f>-PL_before!J18-PL_before!J10</f>
        <v>-737834.1721768158</v>
      </c>
      <c r="K31" s="119">
        <f>-PL_before!K18-PL_before!K10</f>
        <v>-741884.69500470499</v>
      </c>
      <c r="L31" s="119">
        <f>-PL_before!L18-PL_before!L10</f>
        <v>-1236474.4916745084</v>
      </c>
      <c r="M31" s="119">
        <f>-PL_before!M18-PL_before!M10</f>
        <v>-989179.59333960654</v>
      </c>
      <c r="N31" s="119">
        <f>-PL_before!N18-PL_before!N10</f>
        <v>-1545593.1145931352</v>
      </c>
      <c r="O31" s="119">
        <f>-PL_before!O18-PL_before!O10-470000</f>
        <v>-2015593.1145931352</v>
      </c>
      <c r="P31" s="119"/>
    </row>
    <row r="32" spans="2:16">
      <c r="C32" s="117" t="s">
        <v>11</v>
      </c>
      <c r="D32" s="119">
        <f>-PL_before!D19-PL_before!D11</f>
        <v>-1149417.4817486405</v>
      </c>
      <c r="E32" s="119">
        <f>-PL_before!E19-PL_before!E11</f>
        <v>-430018.07771133841</v>
      </c>
      <c r="F32" s="119">
        <f>-PL_before!F19-PL_before!F11</f>
        <v>-246098.47402979617</v>
      </c>
      <c r="G32" s="119">
        <f>-PL_before!G19-PL_before!G11</f>
        <v>-459444.41076151864</v>
      </c>
      <c r="H32" s="119">
        <f>-PL_before!H19-PL_before!H11</f>
        <v>-966296.41811696941</v>
      </c>
      <c r="I32" s="119">
        <f>-PL_before!I19-PL_before!I11</f>
        <v>-589082.71648747579</v>
      </c>
      <c r="J32" s="119">
        <f>-PL_before!J19-PL_before!J11</f>
        <v>-880893.20022344287</v>
      </c>
      <c r="K32" s="119">
        <f>-PL_before!K19-PL_before!K11</f>
        <v>-476899.99632068886</v>
      </c>
      <c r="L32" s="119">
        <f>-PL_before!L19-PL_before!L11</f>
        <v>-476899.99632068886</v>
      </c>
      <c r="M32" s="119">
        <f>-PL_before!M19-PL_before!M11</f>
        <v>-476899.99632068886</v>
      </c>
      <c r="N32" s="119">
        <f>-PL_before!N19-PL_before!N11</f>
        <v>-572279.99558482657</v>
      </c>
      <c r="O32" s="119">
        <f>-PL_before!O19-PL_before!O11+470000</f>
        <v>-102279.99558482657</v>
      </c>
      <c r="P32" s="119"/>
    </row>
    <row r="33" spans="3:16">
      <c r="C33" s="117" t="s">
        <v>12</v>
      </c>
      <c r="D33" s="119">
        <f>-PL_before!D20-PL_before!D12</f>
        <v>-5599.5859622936932</v>
      </c>
      <c r="E33" s="119">
        <f>-PL_before!E20-PL_before!E12</f>
        <v>-2896.1794110481133</v>
      </c>
      <c r="F33" s="119">
        <f>-PL_before!F20-PL_before!F12</f>
        <v>-3724.0993891044582</v>
      </c>
      <c r="G33" s="119">
        <f>-PL_before!G20-PL_before!G12</f>
        <v>-3925.0527271998608</v>
      </c>
      <c r="H33" s="119">
        <f>-PL_before!H20-PL_before!H12</f>
        <v>-4337.6709088732196</v>
      </c>
      <c r="I33" s="119">
        <f>-PL_before!I20-PL_before!I12</f>
        <v>-2789.1800543466761</v>
      </c>
      <c r="J33" s="119">
        <f>-PL_before!J20-PL_before!J12</f>
        <v>-47846.169867804609</v>
      </c>
      <c r="K33" s="119">
        <f>-PL_before!K20-PL_before!K12</f>
        <v>-95204.473349423148</v>
      </c>
      <c r="L33" s="119">
        <f>-PL_before!L20-PL_before!L12</f>
        <v>-94974.572917665355</v>
      </c>
      <c r="M33" s="119">
        <f>-PL_before!M20-PL_before!M12</f>
        <v>-95204.473349422682</v>
      </c>
      <c r="N33" s="119">
        <f>-PL_before!N20-PL_before!N12</f>
        <v>-94974.572917664424</v>
      </c>
      <c r="O33" s="119">
        <f>-PL_before!O20-PL_before!O12</f>
        <v>-95204.473349423148</v>
      </c>
      <c r="P33" s="119"/>
    </row>
    <row r="34" spans="3:16">
      <c r="C34" s="112" t="s">
        <v>63</v>
      </c>
      <c r="D34" s="113">
        <f>SUM(D35:D42)</f>
        <v>22519965.056941755</v>
      </c>
      <c r="E34" s="113">
        <f t="shared" ref="E34:O34" si="5">SUM(E35:E42)</f>
        <v>32767888.395359904</v>
      </c>
      <c r="F34" s="113">
        <f t="shared" si="5"/>
        <v>34711218.146814756</v>
      </c>
      <c r="G34" s="113">
        <f t="shared" si="5"/>
        <v>32809654.51202108</v>
      </c>
      <c r="H34" s="113">
        <f t="shared" si="5"/>
        <v>29415985.569995385</v>
      </c>
      <c r="I34" s="113">
        <f t="shared" si="5"/>
        <v>26863546.315469772</v>
      </c>
      <c r="J34" s="113">
        <f t="shared" si="5"/>
        <v>29224897.002354916</v>
      </c>
      <c r="K34" s="113">
        <f t="shared" si="5"/>
        <v>32642448.607022863</v>
      </c>
      <c r="L34" s="113">
        <f t="shared" si="5"/>
        <v>31102821.326060079</v>
      </c>
      <c r="M34" s="113">
        <f t="shared" si="5"/>
        <v>27274499.032393124</v>
      </c>
      <c r="N34" s="113">
        <f t="shared" si="5"/>
        <v>20791649.989064556</v>
      </c>
      <c r="O34" s="113">
        <f t="shared" si="5"/>
        <v>14308571.045304222</v>
      </c>
      <c r="P34" s="113"/>
    </row>
    <row r="35" spans="3:16">
      <c r="C35" s="114" t="s">
        <v>13</v>
      </c>
      <c r="D35" s="116">
        <f t="shared" ref="D35:O42" si="6">D8+D17+D26</f>
        <v>935986.69353245571</v>
      </c>
      <c r="E35" s="116">
        <f t="shared" si="6"/>
        <v>898173.53030085994</v>
      </c>
      <c r="F35" s="116">
        <f t="shared" si="6"/>
        <v>858444.80463048443</v>
      </c>
      <c r="G35" s="116">
        <f t="shared" si="6"/>
        <v>831315.38475659152</v>
      </c>
      <c r="H35" s="116">
        <f t="shared" si="6"/>
        <v>940934.62591078423</v>
      </c>
      <c r="I35" s="116">
        <f t="shared" si="6"/>
        <v>914914.99039320624</v>
      </c>
      <c r="J35" s="116">
        <f t="shared" si="6"/>
        <v>898524.72243392165</v>
      </c>
      <c r="K35" s="116">
        <f t="shared" si="6"/>
        <v>1178577.4917766836</v>
      </c>
      <c r="L35" s="116">
        <f t="shared" si="6"/>
        <v>2300502.2717267666</v>
      </c>
      <c r="M35" s="116">
        <f t="shared" si="6"/>
        <v>2266185.0410695286</v>
      </c>
      <c r="N35" s="116">
        <f t="shared" si="6"/>
        <v>1802438.6808365835</v>
      </c>
      <c r="O35" s="116">
        <f t="shared" si="6"/>
        <v>1338692.3206036384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5417020.7600567443</v>
      </c>
      <c r="K38" s="119">
        <f t="shared" si="6"/>
        <v>10692508.760056745</v>
      </c>
      <c r="L38" s="119">
        <f t="shared" si="6"/>
        <v>10869305.760056745</v>
      </c>
      <c r="M38" s="119">
        <f t="shared" si="6"/>
        <v>9512084.7600567453</v>
      </c>
      <c r="N38" s="119">
        <f t="shared" si="6"/>
        <v>7765829.7600567453</v>
      </c>
      <c r="O38" s="119">
        <f t="shared" si="6"/>
        <v>6019574.7600567453</v>
      </c>
      <c r="P38" s="119"/>
    </row>
    <row r="39" spans="3:16">
      <c r="C39" s="117" t="s">
        <v>9</v>
      </c>
      <c r="D39" s="119">
        <f t="shared" si="6"/>
        <v>1104015.7200324128</v>
      </c>
      <c r="E39" s="119">
        <f t="shared" si="6"/>
        <v>9639325.4483988993</v>
      </c>
      <c r="F39" s="119">
        <f t="shared" si="6"/>
        <v>13042106.735611238</v>
      </c>
      <c r="G39" s="119">
        <f t="shared" si="6"/>
        <v>12651587.809004508</v>
      </c>
      <c r="H39" s="119">
        <f t="shared" si="6"/>
        <v>11494386.722742528</v>
      </c>
      <c r="I39" s="119">
        <f t="shared" si="6"/>
        <v>10309978.226038693</v>
      </c>
      <c r="J39" s="119">
        <f t="shared" si="6"/>
        <v>8937271.9630944412</v>
      </c>
      <c r="K39" s="119">
        <f t="shared" si="6"/>
        <v>8113271.9630944412</v>
      </c>
      <c r="L39" s="119">
        <f t="shared" si="6"/>
        <v>7083271.9630944412</v>
      </c>
      <c r="M39" s="119">
        <f t="shared" si="6"/>
        <v>6207771.9630944412</v>
      </c>
      <c r="N39" s="119">
        <f t="shared" si="6"/>
        <v>4147771.9630944408</v>
      </c>
      <c r="O39" s="119">
        <f t="shared" si="6"/>
        <v>2087771.9630944403</v>
      </c>
      <c r="P39" s="119"/>
    </row>
    <row r="40" spans="3:16">
      <c r="C40" s="117" t="s">
        <v>10</v>
      </c>
      <c r="D40" s="119">
        <f t="shared" si="6"/>
        <v>13130776.711087819</v>
      </c>
      <c r="E40" s="119">
        <f t="shared" si="6"/>
        <v>15314117.741493462</v>
      </c>
      <c r="F40" s="119">
        <f t="shared" si="6"/>
        <v>14144217.504825253</v>
      </c>
      <c r="G40" s="119">
        <f t="shared" si="6"/>
        <v>13123671.680000922</v>
      </c>
      <c r="H40" s="119">
        <f t="shared" si="6"/>
        <v>11748218.672108855</v>
      </c>
      <c r="I40" s="119">
        <f t="shared" si="6"/>
        <v>10998079.446346475</v>
      </c>
      <c r="J40" s="119">
        <f t="shared" si="6"/>
        <v>10260245.274169659</v>
      </c>
      <c r="K40" s="119">
        <f t="shared" si="6"/>
        <v>9518360.5791649539</v>
      </c>
      <c r="L40" s="119">
        <f t="shared" si="6"/>
        <v>8281886.087490445</v>
      </c>
      <c r="M40" s="119">
        <f t="shared" si="6"/>
        <v>7292706.4941508388</v>
      </c>
      <c r="N40" s="119">
        <f t="shared" si="6"/>
        <v>5747113.3795577036</v>
      </c>
      <c r="O40" s="119">
        <f t="shared" si="6"/>
        <v>3731520.2649645684</v>
      </c>
      <c r="P40" s="119"/>
    </row>
    <row r="41" spans="3:16">
      <c r="C41" s="117" t="s">
        <v>11</v>
      </c>
      <c r="D41" s="119">
        <f t="shared" si="6"/>
        <v>5697810.5182513595</v>
      </c>
      <c r="E41" s="119">
        <f t="shared" si="6"/>
        <v>5267792.4405400213</v>
      </c>
      <c r="F41" s="119">
        <f t="shared" si="6"/>
        <v>5021693.9665102251</v>
      </c>
      <c r="G41" s="119">
        <f t="shared" si="6"/>
        <v>4562249.5557487067</v>
      </c>
      <c r="H41" s="119">
        <f t="shared" si="6"/>
        <v>3595953.1376317372</v>
      </c>
      <c r="I41" s="119">
        <f t="shared" si="6"/>
        <v>3006870.4211442615</v>
      </c>
      <c r="J41" s="119">
        <f t="shared" si="6"/>
        <v>2125977.2209208189</v>
      </c>
      <c r="K41" s="119">
        <f t="shared" si="6"/>
        <v>1649077.22460013</v>
      </c>
      <c r="L41" s="119">
        <f t="shared" si="6"/>
        <v>1172177.2282794411</v>
      </c>
      <c r="M41" s="119">
        <f t="shared" si="6"/>
        <v>695277.23195875227</v>
      </c>
      <c r="N41" s="119">
        <f t="shared" si="6"/>
        <v>122997.2363739257</v>
      </c>
      <c r="O41" s="119">
        <f t="shared" si="6"/>
        <v>20717.240789099131</v>
      </c>
      <c r="P41" s="119"/>
    </row>
    <row r="42" spans="3:16">
      <c r="C42" s="121" t="s">
        <v>12</v>
      </c>
      <c r="D42" s="122">
        <f t="shared" si="6"/>
        <v>1651375.4140377063</v>
      </c>
      <c r="E42" s="122">
        <f t="shared" si="6"/>
        <v>1648479.2346266583</v>
      </c>
      <c r="F42" s="122">
        <f t="shared" si="6"/>
        <v>1644755.1352375539</v>
      </c>
      <c r="G42" s="122">
        <f t="shared" si="6"/>
        <v>1640830.082510354</v>
      </c>
      <c r="H42" s="122">
        <f t="shared" si="6"/>
        <v>1636492.4116014808</v>
      </c>
      <c r="I42" s="122">
        <f t="shared" si="6"/>
        <v>1633703.2315471342</v>
      </c>
      <c r="J42" s="122">
        <f t="shared" si="6"/>
        <v>1585857.0616793297</v>
      </c>
      <c r="K42" s="122">
        <f t="shared" si="6"/>
        <v>1490652.5883299066</v>
      </c>
      <c r="L42" s="122">
        <f t="shared" si="6"/>
        <v>1395678.0154122412</v>
      </c>
      <c r="M42" s="122">
        <f t="shared" si="6"/>
        <v>1300473.5420628185</v>
      </c>
      <c r="N42" s="122">
        <f t="shared" si="6"/>
        <v>1205498.9691451541</v>
      </c>
      <c r="O42" s="122">
        <f t="shared" si="6"/>
        <v>1110294.495795731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O33" sqref="D26:O33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opLeftCell="I3" zoomScale="70" zoomScaleNormal="70" workbookViewId="0">
      <pane ySplit="3" topLeftCell="A33" activePane="bottomLeft" state="frozen"/>
      <selection activeCell="A3" sqref="A3"/>
      <selection pane="bottomLeft" activeCell="Z23" sqref="Z23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5" t="s">
        <v>65</v>
      </c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6" t="s">
        <v>67</v>
      </c>
      <c r="C4" s="338" t="s">
        <v>68</v>
      </c>
      <c r="D4" s="339"/>
      <c r="E4" s="339"/>
      <c r="F4" s="339"/>
      <c r="G4" s="339"/>
      <c r="H4" s="339"/>
      <c r="I4" s="339"/>
      <c r="J4" s="339"/>
      <c r="K4" s="339"/>
      <c r="L4" s="339"/>
      <c r="M4" s="339"/>
      <c r="N4" s="339"/>
      <c r="O4" s="340"/>
      <c r="P4" s="341" t="s">
        <v>67</v>
      </c>
      <c r="Q4" s="343" t="s">
        <v>69</v>
      </c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4"/>
      <c r="AC4" s="345"/>
      <c r="AD4" s="346" t="s">
        <v>70</v>
      </c>
      <c r="AE4" s="347"/>
      <c r="AF4" s="348"/>
      <c r="AG4" s="151"/>
    </row>
    <row r="5" spans="1:34" ht="42.75" customHeight="1" thickBot="1">
      <c r="B5" s="337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2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49"/>
      <c r="AE5" s="350"/>
      <c r="AF5" s="351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17"/>
      <c r="AE6" s="318"/>
      <c r="AF6" s="319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20"/>
      <c r="AE7" s="321"/>
      <c r="AF7" s="322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23"/>
      <c r="AE8" s="324"/>
      <c r="AF8" s="325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180">
        <f>[2]Summary!Z27*0.9</f>
        <v>180000</v>
      </c>
      <c r="L9" s="180">
        <f>[2]Summary!AA27*0.9</f>
        <v>135000</v>
      </c>
      <c r="M9" s="180">
        <f>[2]Summary!AB27*0.9</f>
        <v>53550</v>
      </c>
      <c r="N9" s="180">
        <f>[2]Summary!AC27*0.9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08"/>
      <c r="AE9" s="309"/>
      <c r="AF9" s="310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26"/>
      <c r="AE10" s="327"/>
      <c r="AF10" s="328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23"/>
      <c r="AE11" s="324"/>
      <c r="AF11" s="325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([2]Summary!Z22*0.91)+([2]Summary!Z23*0.7)</f>
        <v>2217214.5194787271</v>
      </c>
      <c r="L12" s="180">
        <f>([2]Summary!AA22*0.91)+([2]Summary!AA23*0.7)</f>
        <v>1920549.4068811664</v>
      </c>
      <c r="M12" s="180">
        <f>([2]Summary!AB22*0.91)+([2]Summary!AB23*0.7)</f>
        <v>3299140.4261796824</v>
      </c>
      <c r="N12" s="180">
        <f>([2]Summary!AC22*0.91)+([2]Summary!AC23*0.7)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29"/>
      <c r="AE12" s="330"/>
      <c r="AF12" s="331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32"/>
      <c r="AE13" s="333"/>
      <c r="AF13" s="334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32"/>
      <c r="AE14" s="333"/>
      <c r="AF14" s="334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32"/>
      <c r="AE15" s="333"/>
      <c r="AF15" s="334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29"/>
      <c r="AE16" s="330"/>
      <c r="AF16" s="331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+'[1]26년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14"/>
      <c r="AE17" s="315"/>
      <c r="AF17" s="316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SUM('[1]August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08" t="s">
        <v>108</v>
      </c>
      <c r="AE18" s="309"/>
      <c r="AF18" s="310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SUM('[1]August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SUM('[1]August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1" t="s">
        <v>116</v>
      </c>
      <c r="AE22" s="312"/>
      <c r="AF22" s="313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08" t="s">
        <v>118</v>
      </c>
      <c r="AE23" s="309"/>
      <c r="AF23" s="310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'[1]August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'[1]August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08" t="s">
        <v>122</v>
      </c>
      <c r="AE25" s="309"/>
      <c r="AF25" s="310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SUM('[1]August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08" t="s">
        <v>124</v>
      </c>
      <c r="AE26" s="309"/>
      <c r="AF26" s="310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'[1]August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08" t="s">
        <v>128</v>
      </c>
      <c r="AE28" s="309"/>
      <c r="AF28" s="310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SUM('[1]August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08" t="s">
        <v>130</v>
      </c>
      <c r="AE29" s="309"/>
      <c r="AF29" s="310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08"/>
      <c r="AE30" s="309"/>
      <c r="AF30" s="310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08"/>
      <c r="AE31" s="309"/>
      <c r="AF31" s="310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08"/>
      <c r="AE32" s="309"/>
      <c r="AF32" s="310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08"/>
      <c r="AE34" s="309"/>
      <c r="AF34" s="310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08"/>
      <c r="AE35" s="309"/>
      <c r="AF35" s="310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opLeftCell="C3" zoomScale="55" zoomScaleNormal="55" workbookViewId="0">
      <pane ySplit="3" topLeftCell="A12" activePane="bottomLeft" state="frozen"/>
      <selection activeCell="A3" sqref="A3"/>
      <selection pane="bottomLeft" activeCell="T21" sqref="T21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5" t="s">
        <v>65</v>
      </c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6" t="s">
        <v>67</v>
      </c>
      <c r="C4" s="338" t="s">
        <v>68</v>
      </c>
      <c r="D4" s="339"/>
      <c r="E4" s="339"/>
      <c r="F4" s="339"/>
      <c r="G4" s="339"/>
      <c r="H4" s="339"/>
      <c r="I4" s="339"/>
      <c r="J4" s="339"/>
      <c r="K4" s="339"/>
      <c r="L4" s="339"/>
      <c r="M4" s="339"/>
      <c r="N4" s="339"/>
      <c r="O4" s="340"/>
      <c r="P4" s="341" t="s">
        <v>67</v>
      </c>
      <c r="Q4" s="343" t="s">
        <v>69</v>
      </c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4"/>
      <c r="AC4" s="345"/>
      <c r="AD4" s="346" t="s">
        <v>70</v>
      </c>
      <c r="AE4" s="347"/>
      <c r="AF4" s="348"/>
      <c r="AG4" s="151"/>
    </row>
    <row r="5" spans="1:34" ht="42.75" customHeight="1" thickBot="1">
      <c r="B5" s="337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2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49"/>
      <c r="AE5" s="350"/>
      <c r="AF5" s="351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17"/>
      <c r="AE6" s="318"/>
      <c r="AF6" s="319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20"/>
      <c r="AE7" s="321"/>
      <c r="AF7" s="322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23"/>
      <c r="AE8" s="324"/>
      <c r="AF8" s="325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180">
        <f>'[4]STO P&amp;L'!AL27*0.9</f>
        <v>180000</v>
      </c>
      <c r="L9" s="180">
        <f>'[4]STO P&amp;L'!AM27*0.9</f>
        <v>135000</v>
      </c>
      <c r="M9" s="180">
        <f>'[4]STO P&amp;L'!AN27*0.9</f>
        <v>53550</v>
      </c>
      <c r="N9" s="180">
        <f>'[4]STO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08"/>
      <c r="AE9" s="309"/>
      <c r="AF9" s="310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171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26"/>
      <c r="AE10" s="327"/>
      <c r="AF10" s="328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23"/>
      <c r="AE11" s="324"/>
      <c r="AF11" s="325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('[4]STO P&amp;L'!AL22*0.91)+('[4]STO P&amp;L'!AL23*0.7)</f>
        <v>1132188.226908613</v>
      </c>
      <c r="L12" s="180">
        <f>('[4]STO P&amp;L'!AM22*0.91)+('[4]STO P&amp;L'!AM23*0.7)</f>
        <v>1313256.9131450457</v>
      </c>
      <c r="M12" s="180">
        <f>('[4]STO P&amp;L'!AN22*0.91)+('[4]STO P&amp;L'!AN23*0.7)</f>
        <v>2489183.1131880935</v>
      </c>
      <c r="N12" s="180">
        <f>('[4]STO P&amp;L'!AO22*0.91)+('[4]STO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29"/>
      <c r="AE12" s="330"/>
      <c r="AF12" s="331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32"/>
      <c r="AE13" s="333"/>
      <c r="AF13" s="334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32"/>
      <c r="AE14" s="333"/>
      <c r="AF14" s="334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32"/>
      <c r="AE15" s="333"/>
      <c r="AF15" s="334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744187.16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23017514.120000001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1546759.8694780704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42412206.107563257</v>
      </c>
      <c r="AD16" s="329"/>
      <c r="AE16" s="330"/>
      <c r="AF16" s="331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v>744187.16</v>
      </c>
      <c r="L17" s="204"/>
      <c r="M17" s="190"/>
      <c r="N17" s="303">
        <v>4000000</v>
      </c>
      <c r="O17" s="171">
        <f t="shared" si="1"/>
        <v>23017514.120000001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1546759.8694780704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20042383.047563262</v>
      </c>
      <c r="AD17" s="314"/>
      <c r="AE17" s="315"/>
      <c r="AF17" s="316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SUM('[3]August CF'!HK29:HK30)</f>
        <v>277986.24</v>
      </c>
      <c r="Y18" s="190">
        <v>293246.10578947369</v>
      </c>
      <c r="Z18" s="190">
        <v>299628.44</v>
      </c>
      <c r="AA18" s="190">
        <v>320918.44</v>
      </c>
      <c r="AB18" s="190">
        <v>305718.44</v>
      </c>
      <c r="AC18" s="176">
        <f t="shared" si="11"/>
        <v>3562400.0957894735</v>
      </c>
      <c r="AD18" s="308" t="s">
        <v>108</v>
      </c>
      <c r="AE18" s="309"/>
      <c r="AF18" s="310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SUM('[3]August CF'!HK31:HK40)</f>
        <v>52235.99</v>
      </c>
      <c r="Y19" s="190">
        <v>54589.020838596487</v>
      </c>
      <c r="Z19" s="190">
        <v>54267.227733333333</v>
      </c>
      <c r="AA19" s="190">
        <v>62392.227733333333</v>
      </c>
      <c r="AB19" s="190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SUM('[3]August CF'!HK43:HK49)+51632.9</f>
        <v>226370.74999999997</v>
      </c>
      <c r="Y21" s="180">
        <v>289640.36</v>
      </c>
      <c r="Z21" s="180">
        <v>199818.14768598284</v>
      </c>
      <c r="AA21" s="180">
        <v>237778.27598545013</v>
      </c>
      <c r="AB21" s="180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1" t="s">
        <v>116</v>
      </c>
      <c r="AE22" s="312"/>
      <c r="AF22" s="313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08" t="s">
        <v>118</v>
      </c>
      <c r="AE23" s="309"/>
      <c r="AF23" s="310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'[3]August CF'!HK51+12982.2</f>
        <v>271731.27999999997</v>
      </c>
      <c r="Y24" s="180">
        <v>213179.11</v>
      </c>
      <c r="Z24" s="180">
        <v>247844.17798549513</v>
      </c>
      <c r="AA24" s="180">
        <v>263078.90353753115</v>
      </c>
      <c r="AB24" s="180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'[3]August CF'!HK52</f>
        <v>72787.5</v>
      </c>
      <c r="Y25" s="180">
        <v>263338</v>
      </c>
      <c r="Z25" s="180">
        <v>50000</v>
      </c>
      <c r="AA25" s="180">
        <v>50000</v>
      </c>
      <c r="AB25" s="180">
        <v>150000</v>
      </c>
      <c r="AC25" s="220">
        <f t="shared" si="11"/>
        <v>1513235.6999999997</v>
      </c>
      <c r="AD25" s="308" t="s">
        <v>122</v>
      </c>
      <c r="AE25" s="309"/>
      <c r="AF25" s="310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SUM('[3]August CF'!HK54:HK60)</f>
        <v>252875.03000000003</v>
      </c>
      <c r="Y26" s="190">
        <v>313420</v>
      </c>
      <c r="Z26" s="190">
        <v>242518.12656668472</v>
      </c>
      <c r="AA26" s="190">
        <v>281303.58425144746</v>
      </c>
      <c r="AB26" s="190">
        <v>583190.51633322716</v>
      </c>
      <c r="AC26" s="220">
        <f t="shared" si="11"/>
        <v>3784703.6871513594</v>
      </c>
      <c r="AD26" s="308" t="s">
        <v>124</v>
      </c>
      <c r="AE26" s="309"/>
      <c r="AF26" s="310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'[3]August CF'!HK61</f>
        <v>268224.17</v>
      </c>
      <c r="Y27" s="180"/>
      <c r="Z27" s="180">
        <v>156628</v>
      </c>
      <c r="AA27" s="180"/>
      <c r="AB27" s="180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08" t="s">
        <v>128</v>
      </c>
      <c r="AE28" s="309"/>
      <c r="AF28" s="310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SUM('[3]August CF'!HK63:HK64)</f>
        <v>43806.209999999992</v>
      </c>
      <c r="Y29" s="190">
        <v>56947.272850000001</v>
      </c>
      <c r="Z29" s="190">
        <v>42592.234749059848</v>
      </c>
      <c r="AA29" s="190">
        <v>44361.699354427983</v>
      </c>
      <c r="AB29" s="190">
        <v>203796.90235722609</v>
      </c>
      <c r="AC29" s="220">
        <f t="shared" si="11"/>
        <v>776866.90931071388</v>
      </c>
      <c r="AD29" s="308" t="s">
        <v>130</v>
      </c>
      <c r="AE29" s="309"/>
      <c r="AF29" s="310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08"/>
      <c r="AE30" s="309"/>
      <c r="AF30" s="310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08"/>
      <c r="AE31" s="309"/>
      <c r="AF31" s="310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08"/>
      <c r="AE32" s="309"/>
      <c r="AF32" s="310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08"/>
      <c r="AE34" s="309"/>
      <c r="AF34" s="310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08"/>
      <c r="AE35" s="309"/>
      <c r="AF35" s="310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2061007.8869086131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42225766.142130814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1892194.8694780704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46597073.30756326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-575374.14256945741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-5018998.2254324555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168813.01743054274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-4371307.1654324457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979598.72743054433</v>
      </c>
      <c r="M43" s="248">
        <f t="shared" si="18"/>
        <v>1041291.7858550341</v>
      </c>
      <c r="N43" s="248">
        <f t="shared" si="18"/>
        <v>2262559.7401809376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979598.72743054433</v>
      </c>
      <c r="Z43" s="267">
        <f t="shared" si="19"/>
        <v>1041291.7858550341</v>
      </c>
      <c r="AA43" s="267">
        <f t="shared" si="19"/>
        <v>2262559.7401809376</v>
      </c>
      <c r="AB43" s="267">
        <f t="shared" si="19"/>
        <v>3191394.374567545</v>
      </c>
      <c r="AC43" s="248">
        <f>+O43+AC41</f>
        <v>3191394.3745675543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2026-09-09T23:15:41Z</dcterms:modified>
</cp:coreProperties>
</file>